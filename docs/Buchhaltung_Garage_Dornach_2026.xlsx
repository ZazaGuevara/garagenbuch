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nleitung" sheetId="1" state="visible" r:id="rId3"/>
    <sheet name="Übersicht" sheetId="2" state="visible" r:id="rId4"/>
    <sheet name="Einstellungen" sheetId="3" state="visible" r:id="rId5"/>
    <sheet name="Kontenplan" sheetId="4" state="visible" r:id="rId6"/>
    <sheet name="Journal" sheetId="5" state="visible" r:id="rId7"/>
    <sheet name="Erfolgsrechnung" sheetId="6" state="visible" r:id="rId8"/>
    <sheet name="Bilanz" sheetId="7" state="visible" r:id="rId9"/>
    <sheet name="Margen" sheetId="8" state="visible" r:id="rId10"/>
    <sheet name="Fahrzeuge" sheetId="9" state="visible" r:id="rId11"/>
    <sheet name="Debitoren" sheetId="10" state="visible" r:id="rId12"/>
    <sheet name="Kreditoren" sheetId="11" state="visible" r:id="rId13"/>
    <sheet name="Löhne" sheetId="12" state="visible" r:id="rId14"/>
    <sheet name="Lager" sheetId="13" state="visible" r:id="rId15"/>
    <sheet name="Anlagen" sheetId="14" state="visible" r:id="rId16"/>
    <sheet name="MWST" sheetId="15" state="visible" r:id="rId17"/>
    <sheet name="Steuern" sheetId="16" state="visible" r:id="rId18"/>
    <sheet name="Stundensatz" sheetId="17" state="visible" r:id="rId19"/>
    <sheet name="Kontoauszug" sheetId="18" state="visible" r:id="rId20"/>
    <sheet name="Fristen" sheetId="19" state="visible" r:id="rId21"/>
  </sheets>
  <definedNames>
    <definedName function="false" hidden="true" localSheetId="4" name="_xlnm._FilterDatabase" vbProcedure="false">Journal!$A$4:$W$1504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<sst xmlns="http://schemas.openxmlformats.org/spreadsheetml/2006/main" count="1051" uniqueCount="774">
  <si>
    <t xml:space="preserve">Buchhaltung Einzelfirma – Garage (Dornach SO)</t>
  </si>
  <si>
    <t xml:space="preserve">Arbeitsmappe für das Geschäftsjahr. Schweizer KMU-Kontenrahmen, MWST, AHV, Steuern.</t>
  </si>
  <si>
    <t xml:space="preserve">SO FUNKTIONIERT'S</t>
  </si>
  <si>
    <t xml:space="preserve">1. Einstellungen</t>
  </si>
  <si>
    <t xml:space="preserve">Firma, Jahr, MWST-Methode (Saldo/Effektiv) und gelbe Annahmen prüfen (AK-Sätze, Steuersätze).</t>
  </si>
  <si>
    <t xml:space="preserve">2. Kontenplan</t>
  </si>
  <si>
    <t xml:space="preserve">Eröffnungssalden per 1.1. aus der Schlussbilanz des Vorjahres in Spalte G eintragen. Kontrolle rechts muss 'ausgeglichen' zeigen.</t>
  </si>
  <si>
    <t xml:space="preserve">3. Journal</t>
  </si>
  <si>
    <t xml:space="preserve">JEDEN Beleg erfassen: Datum, Beleg-Nr., Text, Soll-Konto, Haben-Konto, Betrag inkl. MWST, MWST-Code. Rest rechnet automatisch.</t>
  </si>
  <si>
    <t xml:space="preserve">4. Nebenlisten</t>
  </si>
  <si>
    <t xml:space="preserve">Debitoren, Kreditoren, Fahrzeuge, Löhne, Lager, Anlagen führen – sie zeigen offene Posten, Margen und Abgleich zur Buchhaltung.</t>
  </si>
  <si>
    <t xml:space="preserve">5. Auswerten</t>
  </si>
  <si>
    <t xml:space="preserve">Übersicht, Erfolgsrechnung, Bilanz, Margen, MWST, Steuern und Stundensatz aktualisieren sich automatisch.</t>
  </si>
  <si>
    <t xml:space="preserve">FARBEN</t>
  </si>
  <si>
    <t xml:space="preserve">Blaue Schrift</t>
  </si>
  <si>
    <t xml:space="preserve">Eingabefelder</t>
  </si>
  <si>
    <t xml:space="preserve">Gelb hinterlegt</t>
  </si>
  <si>
    <t xml:space="preserve">Wichtige Annahmen – prüfen und anpassen</t>
  </si>
  <si>
    <t xml:space="preserve">Grau hinterlegt</t>
  </si>
  <si>
    <t xml:space="preserve">Formeln – nicht überschreiben</t>
  </si>
  <si>
    <t xml:space="preserve">BUCHUNGSSATZ-SPICKZETTEL (Soll an Haben)</t>
  </si>
  <si>
    <t xml:space="preserve">Werkstattrechnung an Kunde</t>
  </si>
  <si>
    <t xml:space="preserve">1100 an 3000 (Arbeit) / 3200 (Teile) · Code U81</t>
  </si>
  <si>
    <t xml:space="preserve">Barzahlung Kunde</t>
  </si>
  <si>
    <t xml:space="preserve">1000 an 3000/3200/3210 · U81</t>
  </si>
  <si>
    <t xml:space="preserve">Kunde zahlt Rechnung</t>
  </si>
  <si>
    <t xml:space="preserve">1020 an 1100 · –</t>
  </si>
  <si>
    <t xml:space="preserve">Einkauf Ersatzteile auf Rechnung</t>
  </si>
  <si>
    <t xml:space="preserve">4000 an 2000 · V81</t>
  </si>
  <si>
    <t xml:space="preserve">Lieferantenrechnung bezahlen</t>
  </si>
  <si>
    <t xml:space="preserve">2000 an 1020 · –</t>
  </si>
  <si>
    <t xml:space="preserve">Occasion ankaufen (von Privat)</t>
  </si>
  <si>
    <t xml:space="preserve">4200 an 1020 · –  (von Händler mit MWST: V81)</t>
  </si>
  <si>
    <t xml:space="preserve">Occasion verkaufen</t>
  </si>
  <si>
    <t xml:space="preserve">1020 an 3400 · U81</t>
  </si>
  <si>
    <t xml:space="preserve">Fremdarbeit (Carrosserie/Lack)</t>
  </si>
  <si>
    <t xml:space="preserve">4400 an 2000 · V81</t>
  </si>
  <si>
    <t xml:space="preserve">Miete Werkstatt</t>
  </si>
  <si>
    <t xml:space="preserve">6000 an 1020 · – (ausser Vermieter optiert: V81)</t>
  </si>
  <si>
    <t xml:space="preserve">Strom, Telefon, Software, Werbung</t>
  </si>
  <si>
    <t xml:space="preserve">6400 / 6500 / 6600 an 1020 · V81</t>
  </si>
  <si>
    <t xml:space="preserve">Versicherungsprämie</t>
  </si>
  <si>
    <t xml:space="preserve">6300 an 1020 · – (keine MWST)</t>
  </si>
  <si>
    <t xml:space="preserve">Investition (Maschine, Werkzeug)</t>
  </si>
  <si>
    <t xml:space="preserve">1500 / 1510 an 1020 · VI81  + Blatt Anlagen ergänzen</t>
  </si>
  <si>
    <t xml:space="preserve">Lohn Mitarbeiter</t>
  </si>
  <si>
    <t xml:space="preserve">5000 an 1020 (netto) · 5000 an 2270 (Abzüge) · 5700 an 2270 (AG) – siehe Blatt Löhne</t>
  </si>
  <si>
    <t xml:space="preserve">Privatbezug Inhaber</t>
  </si>
  <si>
    <t xml:space="preserve">2850 an 1020 · –</t>
  </si>
  <si>
    <t xml:space="preserve">Privateinlage</t>
  </si>
  <si>
    <t xml:space="preserve">1020 an 2850 · –</t>
  </si>
  <si>
    <t xml:space="preserve">Bargeld zur Bank</t>
  </si>
  <si>
    <t xml:space="preserve">1020 an 1000 · –</t>
  </si>
  <si>
    <t xml:space="preserve">MWST an ESTV bezahlt</t>
  </si>
  <si>
    <t xml:space="preserve">2200 an 1020 · –</t>
  </si>
  <si>
    <t xml:space="preserve">Darlehensrückzahlung</t>
  </si>
  <si>
    <t xml:space="preserve">2400 an 1020 · –  (Zins: 6900 an 1020)</t>
  </si>
  <si>
    <t xml:space="preserve">Debitorenverlust</t>
  </si>
  <si>
    <t xml:space="preserve">3805 an 1100 · – (betrag inkl. MWST)</t>
  </si>
  <si>
    <t xml:space="preserve">AUTOMATISCH (nicht selbst buchen)</t>
  </si>
  <si>
    <t xml:space="preserve">Abschreibungen</t>
  </si>
  <si>
    <t xml:space="preserve">Aus Blatt Anlagen → Konto 6800 und Anlagekonten</t>
  </si>
  <si>
    <t xml:space="preserve">MWST Saldomethode</t>
  </si>
  <si>
    <t xml:space="preserve">Aus Blatt MWST → Konto 3809 (Ertragsminderung) und 2200</t>
  </si>
  <si>
    <t xml:space="preserve">MWST effektiv</t>
  </si>
  <si>
    <t xml:space="preserve">Aus MWST-Code: Netto auf Ertrag/Aufwand, MWST auf 2200 bzw. 1170/1171</t>
  </si>
  <si>
    <t xml:space="preserve">JAHRESABSCHLUSS – CHECKLISTE</t>
  </si>
  <si>
    <t xml:space="preserve">☐ Kasse</t>
  </si>
  <si>
    <t xml:space="preserve">Bargeld zählen = Saldo Konto 1000 (Blatt Kontoauszug)</t>
  </si>
  <si>
    <t xml:space="preserve">☐ Bank</t>
  </si>
  <si>
    <t xml:space="preserve">Saldo 1020 = Bankauszug 31.12.</t>
  </si>
  <si>
    <t xml:space="preserve">☐ Debitoren / Kreditoren</t>
  </si>
  <si>
    <t xml:space="preserve">Listen vollständig, Abgleich 'stimmt'</t>
  </si>
  <si>
    <t xml:space="preserve">☐ Inventur</t>
  </si>
  <si>
    <t xml:space="preserve">Blatt Lager ausfüllen, Bestandesänderung buchen; unverkaufte Fahrzeuge auf 1210</t>
  </si>
  <si>
    <t xml:space="preserve">☐ Abgrenzungen</t>
  </si>
  <si>
    <t xml:space="preserve">Im Voraus bezahlte / noch nicht erhaltene Rechnungen (1300 / 2300)</t>
  </si>
  <si>
    <t xml:space="preserve">☐ Anlagen</t>
  </si>
  <si>
    <t xml:space="preserve">Zugänge eingetragen, Abschreibungssätze ok</t>
  </si>
  <si>
    <t xml:space="preserve">☐ MWST</t>
  </si>
  <si>
    <t xml:space="preserve">Umsatzabstimmung, letzte Abrechnung</t>
  </si>
  <si>
    <t xml:space="preserve">☐ Privatanteile</t>
  </si>
  <si>
    <t xml:space="preserve">Auto, Telefon etc. im Blatt Steuern</t>
  </si>
  <si>
    <t xml:space="preserve">☐ Bilanz ausgeglichen</t>
  </si>
  <si>
    <t xml:space="preserve">Blatt Bilanz Kontrolle = 0</t>
  </si>
  <si>
    <t xml:space="preserve">WICHTIG</t>
  </si>
  <si>
    <t xml:space="preserve">Haftung</t>
  </si>
  <si>
    <t xml:space="preserve">Dies ist ein Hilfsmittel, keine Steuer- oder Rechtsberatung. Annahmen (gelb) prüfen; im Zweifel Treuhänder beiziehen.</t>
  </si>
  <si>
    <t xml:space="preserve">Beispieldaten</t>
  </si>
  <si>
    <t xml:space="preserve">Alle Zeilen mit 'BEISPIEL' sowie Beispiel-Einträge in den Nebenlisten löschen, bevor du startest. Eröffnungssalden ersetzen.</t>
  </si>
  <si>
    <t xml:space="preserve">Buchführungspflicht</t>
  </si>
  <si>
    <t xml:space="preserve">Einzelfirma mit Umsatz unter CHF 500'000: vereinfachte Buchführung ('Milchbüchlein') erlaubt; diese doppelte Buchhaltung erfüllt mehr.</t>
  </si>
  <si>
    <t xml:space="preserve">Alle Werte automatisch. Grün = gut, Rot = Handlungsbedarf.</t>
  </si>
  <si>
    <t xml:space="preserve">Kennzahl</t>
  </si>
  <si>
    <t xml:space="preserve">Wert</t>
  </si>
  <si>
    <t xml:space="preserve">Erklärung</t>
  </si>
  <si>
    <t xml:space="preserve">Monat</t>
  </si>
  <si>
    <t xml:space="preserve">Ertrag netto</t>
  </si>
  <si>
    <t xml:space="preserve">Aufwand</t>
  </si>
  <si>
    <t xml:space="preserve">Gewinn</t>
  </si>
  <si>
    <t xml:space="preserve">Gewinn kumuliert</t>
  </si>
  <si>
    <t xml:space="preserve">Nettoerlös (Umsatz)</t>
  </si>
  <si>
    <t xml:space="preserve">Alle Erträge nach Rabatten und MWST</t>
  </si>
  <si>
    <t xml:space="preserve">Jan</t>
  </si>
  <si>
    <t xml:space="preserve">Bruttogewinn</t>
  </si>
  <si>
    <t xml:space="preserve">Umsatz minus Material/Waren/Fremdarbeiten</t>
  </si>
  <si>
    <t xml:space="preserve">Feb</t>
  </si>
  <si>
    <t xml:space="preserve">Bruttomarge</t>
  </si>
  <si>
    <t xml:space="preserve">Bruttogewinn in % vom Umsatz</t>
  </si>
  <si>
    <t xml:space="preserve">Mär</t>
  </si>
  <si>
    <t xml:space="preserve">Personalaufwand</t>
  </si>
  <si>
    <t xml:space="preserve">Löhne + Sozialleistungen Mitarbeitende</t>
  </si>
  <si>
    <t xml:space="preserve">Apr</t>
  </si>
  <si>
    <t xml:space="preserve">EBITDA</t>
  </si>
  <si>
    <t xml:space="preserve">Ergebnis vor Abschreibungen</t>
  </si>
  <si>
    <t xml:space="preserve">Mai</t>
  </si>
  <si>
    <t xml:space="preserve">Jahresgewinn (= dein Einkommen)</t>
  </si>
  <si>
    <t xml:space="preserve">Vor AHV und Steuern des Inhabers</t>
  </si>
  <si>
    <t xml:space="preserve">Jun</t>
  </si>
  <si>
    <t xml:space="preserve">Umsatzrendite</t>
  </si>
  <si>
    <t xml:space="preserve">Gewinn in % vom Umsatz</t>
  </si>
  <si>
    <t xml:space="preserve">Jul</t>
  </si>
  <si>
    <t xml:space="preserve">Liquide Mittel (Kasse + Bank)</t>
  </si>
  <si>
    <t xml:space="preserve">Aug</t>
  </si>
  <si>
    <t xml:space="preserve">Offene Debitoren</t>
  </si>
  <si>
    <t xml:space="preserve">Überfällige siehe Blatt Debitoren</t>
  </si>
  <si>
    <t xml:space="preserve">Sep</t>
  </si>
  <si>
    <t xml:space="preserve">Offene Kreditoren</t>
  </si>
  <si>
    <t xml:space="preserve">Okt</t>
  </si>
  <si>
    <t xml:space="preserve">Liquiditätsgrad 2</t>
  </si>
  <si>
    <t xml:space="preserve">Ziel &gt; 100 %</t>
  </si>
  <si>
    <t xml:space="preserve">Nov</t>
  </si>
  <si>
    <t xml:space="preserve">Eigenkapitalquote</t>
  </si>
  <si>
    <t xml:space="preserve">Eigenkapital / Bilanzsumme</t>
  </si>
  <si>
    <t xml:space="preserve">Dez</t>
  </si>
  <si>
    <t xml:space="preserve">MWST noch offen</t>
  </si>
  <si>
    <t xml:space="preserve">Zurücklegen – gehört der ESTV</t>
  </si>
  <si>
    <t xml:space="preserve">Total</t>
  </si>
  <si>
    <t xml:space="preserve">AHV + Steuern Inhaber (geschätzt)</t>
  </si>
  <si>
    <t xml:space="preserve">Siehe Blatt Steuern</t>
  </si>
  <si>
    <t xml:space="preserve">Abstimmung mit ER</t>
  </si>
  <si>
    <t xml:space="preserve">Rückstellung pro Monat empfohlen</t>
  </si>
  <si>
    <t xml:space="preserve">Monatlich auf separates Konto</t>
  </si>
  <si>
    <t xml:space="preserve">Frei verfügbar pro Monat (Schätzung)</t>
  </si>
  <si>
    <t xml:space="preserve">Nach AHV, Steuern und 3a</t>
  </si>
  <si>
    <t xml:space="preserve">Bisherige Privatbezüge</t>
  </si>
  <si>
    <t xml:space="preserve">Fahrzeuge an Lager</t>
  </si>
  <si>
    <t xml:space="preserve">Länger als 90 Tage: Preis prüfen</t>
  </si>
  <si>
    <t xml:space="preserve">Kostendeckender Stundensatz</t>
  </si>
  <si>
    <t xml:space="preserve">exkl. MWST</t>
  </si>
  <si>
    <t xml:space="preserve">Journal-Zeilen mit Fehlern</t>
  </si>
  <si>
    <t xml:space="preserve">Muss 0 sein</t>
  </si>
  <si>
    <t xml:space="preserve">Einstellungen &amp; Sätze 2026</t>
  </si>
  <si>
    <t xml:space="preserve">Gelbe Felder anpassen. Blaue Schrift = Eingabe. Quellen in Spalte C.</t>
  </si>
  <si>
    <t xml:space="preserve">Parameter</t>
  </si>
  <si>
    <t xml:space="preserve">Quelle / Hinweis</t>
  </si>
  <si>
    <t xml:space="preserve">MWST-Code</t>
  </si>
  <si>
    <t xml:space="preserve">Beschreibung</t>
  </si>
  <si>
    <t xml:space="preserve">Satz</t>
  </si>
  <si>
    <t xml:space="preserve">Art</t>
  </si>
  <si>
    <t xml:space="preserve">Firma</t>
  </si>
  <si>
    <t xml:space="preserve">Garage Muster, Dornach</t>
  </si>
  <si>
    <t xml:space="preserve">Eigene Angabe</t>
  </si>
  <si>
    <t xml:space="preserve">U81</t>
  </si>
  <si>
    <t xml:space="preserve">Umsatz Normalsatz 8,1 %</t>
  </si>
  <si>
    <t xml:space="preserve">U</t>
  </si>
  <si>
    <t xml:space="preserve">Inhaber/in</t>
  </si>
  <si>
    <t xml:space="preserve">Vorname Name</t>
  </si>
  <si>
    <t xml:space="preserve">U26</t>
  </si>
  <si>
    <t xml:space="preserve">Umsatz reduziert 2,6 %</t>
  </si>
  <si>
    <t xml:space="preserve">Geschäftsjahr</t>
  </si>
  <si>
    <t xml:space="preserve">U0</t>
  </si>
  <si>
    <t xml:space="preserve">Umsatz steuerfrei / Export 0 %</t>
  </si>
  <si>
    <t xml:space="preserve">MWST-pflichtig? (Ja/Nein)</t>
  </si>
  <si>
    <t xml:space="preserve">Ja</t>
  </si>
  <si>
    <t xml:space="preserve">Pflicht ab CHF 100'000 Umsatz/Jahr</t>
  </si>
  <si>
    <t xml:space="preserve">V81</t>
  </si>
  <si>
    <t xml:space="preserve">Vorsteuer Material/DL 8,1 %</t>
  </si>
  <si>
    <t xml:space="preserve">V</t>
  </si>
  <si>
    <t xml:space="preserve">MWST-Methode (Saldo/Effektiv)</t>
  </si>
  <si>
    <t xml:space="preserve">Saldo</t>
  </si>
  <si>
    <t xml:space="preserve">Saldo: halbjährlich, pauschal. Effektiv: quartalsweise mit Vorsteuerabzug</t>
  </si>
  <si>
    <t xml:space="preserve">V26</t>
  </si>
  <si>
    <t xml:space="preserve">Vorsteuer Material 2,6 %</t>
  </si>
  <si>
    <t xml:space="preserve">MWST Normalsatz</t>
  </si>
  <si>
    <t xml:space="preserve">ESTV, gültig seit 1.1.2024, 2026 unverändert</t>
  </si>
  <si>
    <t xml:space="preserve">VI81</t>
  </si>
  <si>
    <t xml:space="preserve">Vorsteuer Investitionen 8,1 %</t>
  </si>
  <si>
    <t xml:space="preserve">MWST reduzierter Satz</t>
  </si>
  <si>
    <t xml:space="preserve">ESTV</t>
  </si>
  <si>
    <t xml:space="preserve">-</t>
  </si>
  <si>
    <t xml:space="preserve">ohne MWST (Lohn, Miete, Privat, Bank)</t>
  </si>
  <si>
    <t xml:space="preserve">Saldosteuersatz 1: Auto-Reparaturwerkstätte</t>
  </si>
  <si>
    <t xml:space="preserve">ESTV-Verordnung Saldosteuersätze: Auto-Reparaturwerkstätte 3,0 % – bewilligten Satz aus ESTV-Verfügung eintragen</t>
  </si>
  <si>
    <t xml:space="preserve">Saldosteuersatz 2: Occasionen-/Neuwagenhandel</t>
  </si>
  <si>
    <t xml:space="preserve">ESTV: Auto-Occasionen bis 3,5 t / Neuwagen Handel 0,6 %</t>
  </si>
  <si>
    <t xml:space="preserve">Anlagekategorie</t>
  </si>
  <si>
    <t xml:space="preserve">Satz degressiv</t>
  </si>
  <si>
    <t xml:space="preserve">Quelle</t>
  </si>
  <si>
    <t xml:space="preserve">AHV/IV/EO Satz Selbständige (max.)</t>
  </si>
  <si>
    <t xml:space="preserve">BSV 2026: 8,1 % AHV + 1,4 % IV + 0,5 % EO = 10 %</t>
  </si>
  <si>
    <t xml:space="preserve">Maschinen &amp; Apparate</t>
  </si>
  <si>
    <t xml:space="preserve">ESTV Merkblatt A 1995 (Geschäftsbetriebe)</t>
  </si>
  <si>
    <t xml:space="preserve">Sinkende Skala: obere Grenze</t>
  </si>
  <si>
    <t xml:space="preserve">BSV 2026</t>
  </si>
  <si>
    <t xml:space="preserve">Werkzeuge</t>
  </si>
  <si>
    <t xml:space="preserve">Sinkende Skala: untere Grenze</t>
  </si>
  <si>
    <t xml:space="preserve">Fahrzeuge</t>
  </si>
  <si>
    <t xml:space="preserve">Sinkende Skala: tiefster Satz</t>
  </si>
  <si>
    <t xml:space="preserve">Mobiliar &amp; Einrichtungen</t>
  </si>
  <si>
    <t xml:space="preserve">AHV-Mindestbeitrag</t>
  </si>
  <si>
    <t xml:space="preserve">EDV / Software</t>
  </si>
  <si>
    <t xml:space="preserve">Verwaltungskosten Ausgleichskasse (% der Beiträge)</t>
  </si>
  <si>
    <t xml:space="preserve">ANNAHME – Satz auf Rechnung der AK Solothurn prüfen</t>
  </si>
  <si>
    <t xml:space="preserve">Geschäftsliegenschaft</t>
  </si>
  <si>
    <t xml:space="preserve">FAK-Beitrag Selbständige (% vom Einkommen)</t>
  </si>
  <si>
    <t xml:space="preserve">ANNAHME – Satz bei der AK Solothurn prüfen</t>
  </si>
  <si>
    <t xml:space="preserve">Eigenkapitalzins-Abzug AHV</t>
  </si>
  <si>
    <t xml:space="preserve">ANNAHME – Zinssatz gemäss AK (jährlich festgelegt)</t>
  </si>
  <si>
    <t xml:space="preserve">Steuerfuss Kanton Solothurn (nat. Personen)</t>
  </si>
  <si>
    <t xml:space="preserve">Kantonsratsbeschluss Voranschlag 2026: 104 %</t>
  </si>
  <si>
    <t xml:space="preserve">Steuerfuss Gemeinde Dornach</t>
  </si>
  <si>
    <t xml:space="preserve">Regierungsratsbeschluss 30.6.2026: 92 %</t>
  </si>
  <si>
    <t xml:space="preserve">Kirchensteuerfuss (0 wenn keine)</t>
  </si>
  <si>
    <t xml:space="preserve">Dornach 2025: röm.-kath. 17 %, ref. 15 % – eintragen falls Mitglied</t>
  </si>
  <si>
    <t xml:space="preserve">Einfache Staatssteuer: Ø-Satz auf steuerb. Eink.</t>
  </si>
  <si>
    <t xml:space="preserve">ANNAHME – mit Steuerrechner SO/ESTV ersetzen (abhängig von Einkommen, Zivilstand)</t>
  </si>
  <si>
    <t xml:space="preserve">Direkte Bundessteuer: Ø-Satz</t>
  </si>
  <si>
    <t xml:space="preserve">ANNAHME – mit ESTV-Steuerrechner ersetzen</t>
  </si>
  <si>
    <t xml:space="preserve">Säule 3a Maximum ohne Pensionskasse</t>
  </si>
  <si>
    <t xml:space="preserve">2026: 20 % des Erwerbseinkommens, max. CHF 36'288</t>
  </si>
  <si>
    <t xml:space="preserve">Privatanteil Geschäftsauto pro Monat</t>
  </si>
  <si>
    <t xml:space="preserve">ESTV-Pauschale 0,9 % des Kaufpreises (exkl. MWST) pro Monat</t>
  </si>
  <si>
    <t xml:space="preserve">Löhne: AHV/IV/EO Arbeitnehmer</t>
  </si>
  <si>
    <t xml:space="preserve">BSV 2026: 5,3 % AN + 5,3 % AG</t>
  </si>
  <si>
    <t xml:space="preserve">Löhne: AHV/IV/EO Arbeitgeber</t>
  </si>
  <si>
    <t xml:space="preserve">Löhne: ALV je AN/AG</t>
  </si>
  <si>
    <t xml:space="preserve">BSV 2026: 1,1 % bis CHF 148'200</t>
  </si>
  <si>
    <t xml:space="preserve">Löhne: ALV-Höchstlohn</t>
  </si>
  <si>
    <t xml:space="preserve">Löhne: NBU (Arbeitnehmer)</t>
  </si>
  <si>
    <t xml:space="preserve">ANNAHME – Satz aus UVG-Police</t>
  </si>
  <si>
    <t xml:space="preserve">Löhne: BU (Arbeitgeber)</t>
  </si>
  <si>
    <t xml:space="preserve">ANNAHME – Satz aus UVG-Police (Garagen höher als Büro)</t>
  </si>
  <si>
    <t xml:space="preserve">Löhne: KTG je AN/AG</t>
  </si>
  <si>
    <t xml:space="preserve">ANNAHME – Satz aus KTG-Police</t>
  </si>
  <si>
    <t xml:space="preserve">Löhne: FAK + Verwaltungskosten (AG)</t>
  </si>
  <si>
    <t xml:space="preserve">ANNAHME – Satz der Ausgleichskasse</t>
  </si>
  <si>
    <t xml:space="preserve">Standard-Zahlungsfrist Kunden (Tage)</t>
  </si>
  <si>
    <t xml:space="preserve">Kontenplan (nach KMU-Kontenrahmen, angepasst für Garagen)</t>
  </si>
  <si>
    <t xml:space="preserve">Eröffnungssalden per 1.1. in Spalte G eintragen (blau). Neue Konten unten anfügen (bis Zeile 90) – Typ, Gruppe und Bereich ausfüllen.</t>
  </si>
  <si>
    <t xml:space="preserve">Konto</t>
  </si>
  <si>
    <t xml:space="preserve">Bezeichnung</t>
  </si>
  <si>
    <t xml:space="preserve">Typ</t>
  </si>
  <si>
    <t xml:space="preserve">Gruppe</t>
  </si>
  <si>
    <t xml:space="preserve">Bereich</t>
  </si>
  <si>
    <t xml:space="preserve">Saldo-satz-Gruppe</t>
  </si>
  <si>
    <t xml:space="preserve">Eröffnung 1.1.</t>
  </si>
  <si>
    <t xml:space="preserve">Soll</t>
  </si>
  <si>
    <t xml:space="preserve">Haben</t>
  </si>
  <si>
    <t xml:space="preserve">Automatisch (Abschluss)</t>
  </si>
  <si>
    <t xml:space="preserve">Kontrolle Eröffnung</t>
  </si>
  <si>
    <t xml:space="preserve">Kasse</t>
  </si>
  <si>
    <t xml:space="preserve">Aktiv</t>
  </si>
  <si>
    <t xml:space="preserve">UV</t>
  </si>
  <si>
    <t xml:space="preserve">Aktiven</t>
  </si>
  <si>
    <t xml:space="preserve">Bank</t>
  </si>
  <si>
    <t xml:space="preserve">Passiven</t>
  </si>
  <si>
    <t xml:space="preserve">Forderungen Kunden (Debitoren)</t>
  </si>
  <si>
    <t xml:space="preserve">Differenz</t>
  </si>
  <si>
    <t xml:space="preserve">Vorsteuer MWST Material/DL</t>
  </si>
  <si>
    <t xml:space="preserve">Status</t>
  </si>
  <si>
    <t xml:space="preserve">Vorsteuer MWST Investitionen</t>
  </si>
  <si>
    <t xml:space="preserve">Lager Ersatzteile, Pneus, Öl</t>
  </si>
  <si>
    <t xml:space="preserve">Gruppen: UV Umlaufvermögen · AV Anlagevermögen · FKK kurzfr. FK · FKL langfr. FK · EK Eigenkapital</t>
  </si>
  <si>
    <t xml:space="preserve">Lager Fahrzeuge (Occasionen)</t>
  </si>
  <si>
    <t xml:space="preserve">ERT Betriebsertrag · MAT Material/Waren · PERS Personal · BA Betriebsaufwand · ABS Abschreibungen</t>
  </si>
  <si>
    <t xml:space="preserve">Aktive Rechnungsabgrenzung</t>
  </si>
  <si>
    <t xml:space="preserve">FINA/FINE Finanzaufwand/-ertrag · AO/AOE ausserordentlich</t>
  </si>
  <si>
    <t xml:space="preserve">Maschinen &amp; Werkstatteinrichtung</t>
  </si>
  <si>
    <t xml:space="preserve">AV</t>
  </si>
  <si>
    <t xml:space="preserve">Saldosatz-Gruppe: 1 = Werkstatt-Satz, 2 = Fahrzeughandel-Satz (nur Ertragskonten)</t>
  </si>
  <si>
    <t xml:space="preserve">Büro, Mobiliar &amp; EDV</t>
  </si>
  <si>
    <t xml:space="preserve">Fahrzeuge (Service-/Abschleppwagen)</t>
  </si>
  <si>
    <t xml:space="preserve">Verbindlichkeiten Lieferanten (Kreditoren)</t>
  </si>
  <si>
    <t xml:space="preserve">Passiv</t>
  </si>
  <si>
    <t xml:space="preserve">FKK</t>
  </si>
  <si>
    <t xml:space="preserve">Geschuldete MWST</t>
  </si>
  <si>
    <t xml:space="preserve">Sozialversicherungen (AHV, UVG, BVG)</t>
  </si>
  <si>
    <t xml:space="preserve">Passive Rechnungsabgrenzung</t>
  </si>
  <si>
    <t xml:space="preserve">Bankdarlehen</t>
  </si>
  <si>
    <t xml:space="preserve">FKL</t>
  </si>
  <si>
    <t xml:space="preserve">Darlehen Dritte</t>
  </si>
  <si>
    <t xml:space="preserve">Eigenkapital</t>
  </si>
  <si>
    <t xml:space="preserve">EK</t>
  </si>
  <si>
    <t xml:space="preserve">Privatkonto (Bezüge/Einlagen)</t>
  </si>
  <si>
    <t xml:space="preserve">Werkstattarbeiten (Arbeitsstunden)</t>
  </si>
  <si>
    <t xml:space="preserve">Ertrag</t>
  </si>
  <si>
    <t xml:space="preserve">ERT</t>
  </si>
  <si>
    <t xml:space="preserve">Werkstatt</t>
  </si>
  <si>
    <t xml:space="preserve">Service, MFK-Vorbereitung, Klima</t>
  </si>
  <si>
    <t xml:space="preserve">Verkauf Ersatzteile &amp; Zubehör</t>
  </si>
  <si>
    <t xml:space="preserve">Teile</t>
  </si>
  <si>
    <t xml:space="preserve">Verkauf Pneus &amp; Pneuhotel</t>
  </si>
  <si>
    <t xml:space="preserve">Verkauf Occasionen</t>
  </si>
  <si>
    <t xml:space="preserve">Verkauf Neuwagen</t>
  </si>
  <si>
    <t xml:space="preserve">Übriger Ertrag (Abschleppdienst, Vermietung)</t>
  </si>
  <si>
    <t xml:space="preserve">Allgemein</t>
  </si>
  <si>
    <t xml:space="preserve">Rabatte &amp; Skonti an Kunden</t>
  </si>
  <si>
    <t xml:space="preserve">Debitorenverluste</t>
  </si>
  <si>
    <t xml:space="preserve">MWST Saldosteuersatz (automatisch)</t>
  </si>
  <si>
    <t xml:space="preserve">Einkauf Ersatzteile &amp; Zubehör</t>
  </si>
  <si>
    <t xml:space="preserve">MAT</t>
  </si>
  <si>
    <t xml:space="preserve">Einkauf Pneus</t>
  </si>
  <si>
    <t xml:space="preserve">Einkauf Fahrzeuge</t>
  </si>
  <si>
    <t xml:space="preserve">Aufbereitung/Reparatur Handelsfahrzeuge (fremd)</t>
  </si>
  <si>
    <t xml:space="preserve">Fremdarbeiten (Karosserie, Lack, Elektronik)</t>
  </si>
  <si>
    <t xml:space="preserve">Betriebsmaterial (Öl, Verbrauch)</t>
  </si>
  <si>
    <t xml:space="preserve">Lieferantenskonti &amp; Rabatte</t>
  </si>
  <si>
    <t xml:space="preserve">Löhne Mitarbeitende</t>
  </si>
  <si>
    <t xml:space="preserve">PERS</t>
  </si>
  <si>
    <t xml:space="preserve">Sozialversicherungen Arbeitgeber</t>
  </si>
  <si>
    <t xml:space="preserve">Übriger Personalaufwand (Weiterbildung, Spesen)</t>
  </si>
  <si>
    <t xml:space="preserve">Miete Werkstatt &amp; Abstellplätze</t>
  </si>
  <si>
    <t xml:space="preserve">BA</t>
  </si>
  <si>
    <t xml:space="preserve">Unterhalt &amp; Reparatur Einrichtungen</t>
  </si>
  <si>
    <t xml:space="preserve">Fahrzeugaufwand (eigene Fahrzeuge)</t>
  </si>
  <si>
    <t xml:space="preserve">Versicherungen (Betriebshaftpflicht, Sach)</t>
  </si>
  <si>
    <t xml:space="preserve">Energie &amp; Entsorgung (Strom, Altöl)</t>
  </si>
  <si>
    <t xml:space="preserve">Verwaltung (Büro, Telefon, Software, Treuhand)</t>
  </si>
  <si>
    <t xml:space="preserve">Werbung &amp; Inserate</t>
  </si>
  <si>
    <t xml:space="preserve">Übriger Aufwand (Gebühren, Verbände)</t>
  </si>
  <si>
    <t xml:space="preserve">Abschreibungen (automatisch aus Anlagen)</t>
  </si>
  <si>
    <t xml:space="preserve">ABS</t>
  </si>
  <si>
    <t xml:space="preserve">Finanzaufwand (Zinsen, Bankspesen)</t>
  </si>
  <si>
    <t xml:space="preserve">FINA</t>
  </si>
  <si>
    <t xml:space="preserve">Finanzertrag</t>
  </si>
  <si>
    <t xml:space="preserve">FINE</t>
  </si>
  <si>
    <t xml:space="preserve">Ausserordentlicher Aufwand</t>
  </si>
  <si>
    <t xml:space="preserve">AO</t>
  </si>
  <si>
    <t xml:space="preserve">Ausserordentlicher Ertrag</t>
  </si>
  <si>
    <t xml:space="preserve">AOE</t>
  </si>
  <si>
    <t xml:space="preserve">Journal – alle Buchungen</t>
  </si>
  <si>
    <t xml:space="preserve">Pro Beleg eine Zeile: Soll-Konto an Haben-Konto, Betrag INKL. MWST, MWST-Code. Grau = automatisch.</t>
  </si>
  <si>
    <t xml:space="preserve">Beispiel: Kunde zahlt Rechnung bar → Soll 1000 (Kasse), Haben 3000 (Werkstatt). Einkauf Teile auf Rechnung → Soll 4000, Haben 2000. Die Zeilen 'BEISPIEL' löschen, sobald du eigene Daten erfasst.</t>
  </si>
  <si>
    <t xml:space="preserve">Datum</t>
  </si>
  <si>
    <t xml:space="preserve">Beleg-Nr.</t>
  </si>
  <si>
    <t xml:space="preserve">Buchungstext</t>
  </si>
  <si>
    <t xml:space="preserve">Soll-Konto</t>
  </si>
  <si>
    <t xml:space="preserve">Haben-Konto</t>
  </si>
  <si>
    <t xml:space="preserve">Betrag inkl. MWST</t>
  </si>
  <si>
    <t xml:space="preserve">MWST-Satz</t>
  </si>
  <si>
    <t xml:space="preserve">Art (aktiv)</t>
  </si>
  <si>
    <t xml:space="preserve">MWST-Betrag</t>
  </si>
  <si>
    <t xml:space="preserve">Netto</t>
  </si>
  <si>
    <t xml:space="preserve">Soll-Buchung</t>
  </si>
  <si>
    <t xml:space="preserve">Haben-Buchung</t>
  </si>
  <si>
    <t xml:space="preserve">Quartal</t>
  </si>
  <si>
    <t xml:space="preserve">Semester</t>
  </si>
  <si>
    <t xml:space="preserve">Saldo-Grp Haben</t>
  </si>
  <si>
    <t xml:space="preserve">Saldo-Grp Soll</t>
  </si>
  <si>
    <t xml:space="preserve">Typ Soll</t>
  </si>
  <si>
    <t xml:space="preserve">Typ Haben</t>
  </si>
  <si>
    <t xml:space="preserve">Prüfung</t>
  </si>
  <si>
    <t xml:space="preserve">Auszug-Nr</t>
  </si>
  <si>
    <t xml:space="preserve">R-001</t>
  </si>
  <si>
    <t xml:space="preserve">BEISPIEL Service + Bremsen VW Polo, Arbeit</t>
  </si>
  <si>
    <t xml:space="preserve">BEISPIEL Service VW Polo, Ersatzteile</t>
  </si>
  <si>
    <t xml:space="preserve">K-001</t>
  </si>
  <si>
    <t xml:space="preserve">BEISPIEL Einkauf Ersatzteile Grosshändler</t>
  </si>
  <si>
    <t xml:space="preserve">Q-001</t>
  </si>
  <si>
    <t xml:space="preserve">BEISPIEL Barverkauf Pneuwechsel</t>
  </si>
  <si>
    <t xml:space="preserve">L-001</t>
  </si>
  <si>
    <t xml:space="preserve">BEISPIEL Lohn Mechaniker Januar (netto)</t>
  </si>
  <si>
    <t xml:space="preserve">BEISPIEL AN-Abzüge Mechaniker Januar</t>
  </si>
  <si>
    <t xml:space="preserve">BEISPIEL AG-Beiträge Sozialversicherungen Jan.</t>
  </si>
  <si>
    <t xml:space="preserve">B-001</t>
  </si>
  <si>
    <t xml:space="preserve">BEISPIEL Miete Werkstatt Januar</t>
  </si>
  <si>
    <t xml:space="preserve">B-002</t>
  </si>
  <si>
    <t xml:space="preserve">BEISPIEL Strom Januar</t>
  </si>
  <si>
    <t xml:space="preserve">B-003</t>
  </si>
  <si>
    <t xml:space="preserve">BEISPIEL Zahlungseingang R-001</t>
  </si>
  <si>
    <t xml:space="preserve">F-001</t>
  </si>
  <si>
    <t xml:space="preserve">BEISPIEL Ankauf Occasion VW Golf von Privat</t>
  </si>
  <si>
    <t xml:space="preserve">B-004</t>
  </si>
  <si>
    <t xml:space="preserve">BEISPIEL Betriebshaftpflicht 2026</t>
  </si>
  <si>
    <t xml:space="preserve">F-002</t>
  </si>
  <si>
    <t xml:space="preserve">BEISPIEL Verkauf Occasion VW Golf</t>
  </si>
  <si>
    <t xml:space="preserve">B-005</t>
  </si>
  <si>
    <t xml:space="preserve">BEISPIEL Inserate AutoScout</t>
  </si>
  <si>
    <t xml:space="preserve">P-001</t>
  </si>
  <si>
    <t xml:space="preserve">BEISPIEL Privatbezug Inhaber</t>
  </si>
  <si>
    <t xml:space="preserve">B-006</t>
  </si>
  <si>
    <t xml:space="preserve">BEISPIEL Bankspesen/Zins Q1</t>
  </si>
  <si>
    <t xml:space="preserve">Erfolgsrechnung (mehrstufig)</t>
  </si>
  <si>
    <t xml:space="preserve">Alles automatisch aus Journal, Anlagen und MWST. Vorjahr optional eintragen.</t>
  </si>
  <si>
    <t xml:space="preserve">Position</t>
  </si>
  <si>
    <t xml:space="preserve">Betrag CHF</t>
  </si>
  <si>
    <t xml:space="preserve">% vom Nettoerlös</t>
  </si>
  <si>
    <t xml:space="preserve">Vorjahr (Eingabe)</t>
  </si>
  <si>
    <t xml:space="preserve">Veränderung</t>
  </si>
  <si>
    <t xml:space="preserve">BETRIEBSERTRAG</t>
  </si>
  <si>
    <t xml:space="preserve">übrige Konten dieser Gruppe</t>
  </si>
  <si>
    <t xml:space="preserve">Nettoerlös aus Lieferungen und Leistungen</t>
  </si>
  <si>
    <t xml:space="preserve">MATERIAL- UND WARENAUFWAND</t>
  </si>
  <si>
    <t xml:space="preserve">Total Material-/Warenaufwand</t>
  </si>
  <si>
    <t xml:space="preserve">BRUTTOGEWINN (Bruttomarge)</t>
  </si>
  <si>
    <t xml:space="preserve">PERSONALAUFWAND</t>
  </si>
  <si>
    <t xml:space="preserve">Total Personalaufwand</t>
  </si>
  <si>
    <t xml:space="preserve">BRUTTOGEWINN II (nach Personal)</t>
  </si>
  <si>
    <t xml:space="preserve">ÜBRIGER BETRIEBSAUFWAND</t>
  </si>
  <si>
    <t xml:space="preserve">Total übriger Betriebsaufwand</t>
  </si>
  <si>
    <t xml:space="preserve">BETRIEBSERGEBNIS vor Abschreibungen (EBITDA)</t>
  </si>
  <si>
    <t xml:space="preserve">ABSCHREIBUNGEN</t>
  </si>
  <si>
    <t xml:space="preserve">Total Abschreibungen</t>
  </si>
  <si>
    <t xml:space="preserve">BETRIEBSERGEBNIS (EBIT)</t>
  </si>
  <si>
    <t xml:space="preserve">FINANZERFOLG</t>
  </si>
  <si>
    <t xml:space="preserve">Finanzaufwand</t>
  </si>
  <si>
    <t xml:space="preserve">AUSSERORDENTLICHES</t>
  </si>
  <si>
    <t xml:space="preserve">A.o. Aufwand</t>
  </si>
  <si>
    <t xml:space="preserve">A.o. Ertrag</t>
  </si>
  <si>
    <t xml:space="preserve">JAHRESGEWINN / -VERLUST</t>
  </si>
  <si>
    <t xml:space="preserve">Aufwände sind negativ dargestellt. Der Gewinn einer Einzelfirma ist dein Einkommen – AHV und Steuern darauf siehe Blatt 'Steuern'.</t>
  </si>
  <si>
    <t xml:space="preserve">Bilanz per 31.12.</t>
  </si>
  <si>
    <t xml:space="preserve">Automatisch. Kontrollzeile unten muss 0 sein.</t>
  </si>
  <si>
    <t xml:space="preserve">AKTIVEN</t>
  </si>
  <si>
    <t xml:space="preserve">CHF</t>
  </si>
  <si>
    <t xml:space="preserve">PASSIVEN</t>
  </si>
  <si>
    <t xml:space="preserve">UMLAUFVERMÖGEN</t>
  </si>
  <si>
    <t xml:space="preserve">KURZFRISTIGES FREMDKAPITAL</t>
  </si>
  <si>
    <t xml:space="preserve">übrige Konten</t>
  </si>
  <si>
    <t xml:space="preserve">Total Kurzfristiges Fremdkapital</t>
  </si>
  <si>
    <t xml:space="preserve">LANGFRISTIGES FREMDKAPITAL</t>
  </si>
  <si>
    <t xml:space="preserve">Total Umlaufvermögen</t>
  </si>
  <si>
    <t xml:space="preserve">ANLAGEVERMÖGEN</t>
  </si>
  <si>
    <t xml:space="preserve">Total Langfristiges Fremdkapital</t>
  </si>
  <si>
    <t xml:space="preserve">EIGENKAPITAL</t>
  </si>
  <si>
    <t xml:space="preserve">Total Anlagevermögen</t>
  </si>
  <si>
    <t xml:space="preserve">Total Eigenkapital</t>
  </si>
  <si>
    <t xml:space="preserve">Jahresgewinn / -verlust</t>
  </si>
  <si>
    <t xml:space="preserve">Eigenkapital per 31.12. inkl. Gewinn</t>
  </si>
  <si>
    <t xml:space="preserve">TOTAL AKTIVEN</t>
  </si>
  <si>
    <t xml:space="preserve">TOTAL PASSIVEN</t>
  </si>
  <si>
    <t xml:space="preserve">Kontrolle (Aktiven − Passiven)</t>
  </si>
  <si>
    <t xml:space="preserve">Privatkonto 2850 ist negativ, wenn du mehr bezogen als eingelegt hast. Am Jahresende auf Eigenkapital 2800 übertragen (neues Jahr).</t>
  </si>
  <si>
    <t xml:space="preserve">Margen &amp; Deckungsbeiträge pro Bereich</t>
  </si>
  <si>
    <t xml:space="preserve">Bei Saldomethode wird die MWST vom Bruttoumsatz abgezogen, damit die Margen netto stimmen.</t>
  </si>
  <si>
    <t xml:space="preserve">Teile &amp; Pneus</t>
  </si>
  <si>
    <t xml:space="preserve">Fahrzeughandel</t>
  </si>
  <si>
    <t xml:space="preserve">Allgemein / Gemeinkosten</t>
  </si>
  <si>
    <t xml:space="preserve">TOTAL</t>
  </si>
  <si>
    <t xml:space="preserve">Ertrag (gebucht)</t>
  </si>
  <si>
    <t xml:space="preserve">− MWST-Anteil Saldomethode</t>
  </si>
  <si>
    <t xml:space="preserve">→ Nettoertrag</t>
  </si>
  <si>
    <t xml:space="preserve">− Direkte Kosten (Material, Fremdarbeit, Löhne)</t>
  </si>
  <si>
    <t xml:space="preserve">→ Deckungsbeitrag (DB)</t>
  </si>
  <si>
    <t xml:space="preserve">DB in % vom Nettoertrag</t>
  </si>
  <si>
    <t xml:space="preserve">Anteil am Gesamtumsatz</t>
  </si>
  <si>
    <t xml:space="preserve">Jahresgewinn lt. Margenrechnung</t>
  </si>
  <si>
    <t xml:space="preserve">Jahresgewinn lt. Erfolgsrechnung</t>
  </si>
  <si>
    <t xml:space="preserve">Abstimmung</t>
  </si>
  <si>
    <t xml:space="preserve">WEITERE KENNZAHLEN</t>
  </si>
  <si>
    <t xml:space="preserve">Teile: Aufschlag auf Einstand (Kalkulationsfaktor)</t>
  </si>
  <si>
    <t xml:space="preserve">Teile: Bruttomarge %</t>
  </si>
  <si>
    <t xml:space="preserve">Fahrzeughandel: Ø Marge pro verkauftes Fahrzeug</t>
  </si>
  <si>
    <t xml:space="preserve">Fahrzeughandel: Ø Standtage</t>
  </si>
  <si>
    <t xml:space="preserve">Werkstatt: Ertrag pro Monat (Ø bisher)</t>
  </si>
  <si>
    <t xml:space="preserve">Personalaufwand in % vom Nettoerlös</t>
  </si>
  <si>
    <t xml:space="preserve">Gemeinkosten in % vom Nettoerlös</t>
  </si>
  <si>
    <t xml:space="preserve">Richtwerte Garagenbranche (Orientierung): Teile-Bruttomarge oft 25–40 %, Occasionen 8–15 % auf Verkaufspreis. Eigene Zahlen über mehrere Jahre vergleichen.</t>
  </si>
  <si>
    <t xml:space="preserve">Fahrzeughandel – Marge pro Fahrzeug</t>
  </si>
  <si>
    <t xml:space="preserve">Verkauft</t>
  </si>
  <si>
    <t xml:space="preserve">An Lager</t>
  </si>
  <si>
    <t xml:space="preserve">Ø Standtage</t>
  </si>
  <si>
    <t xml:space="preserve">Buchen im Journal: Ankauf Soll 4200 / Haben 1020; Verkauf Soll 1020 / Haben 3400 (U81). Am Jahresende unverkaufte Fahrzeuge (Lagerwert) auf 1210 umbuchen: Soll 1210 / Haben 4200.</t>
  </si>
  <si>
    <t xml:space="preserve">Ø Marge / Fahrzeug</t>
  </si>
  <si>
    <t xml:space="preserve">Lagerwert (Einstand)</t>
  </si>
  <si>
    <t xml:space="preserve">Total Marge</t>
  </si>
  <si>
    <t xml:space="preserve">'MWST auf Marge' ist nur relevant bei effektiver Methode und Ankauf von Privaten (Margenbesteuerung).</t>
  </si>
  <si>
    <t xml:space="preserve">Nr.</t>
  </si>
  <si>
    <t xml:space="preserve">Fahrzeug (Marke, Modell, Jg.)</t>
  </si>
  <si>
    <t xml:space="preserve">Stamm-Nr. / VIN</t>
  </si>
  <si>
    <t xml:space="preserve">Einkauf am</t>
  </si>
  <si>
    <t xml:space="preserve">Gekauft von</t>
  </si>
  <si>
    <t xml:space="preserve">Einkaufs-preis</t>
  </si>
  <si>
    <t xml:space="preserve">Aufbereitung / Reparatur</t>
  </si>
  <si>
    <t xml:space="preserve">Übrige Kosten (MFK, Inserat)</t>
  </si>
  <si>
    <t xml:space="preserve">Einstand total</t>
  </si>
  <si>
    <t xml:space="preserve">Verkauft am</t>
  </si>
  <si>
    <t xml:space="preserve">Verkaufs-preis</t>
  </si>
  <si>
    <t xml:space="preserve">Marge CHF</t>
  </si>
  <si>
    <t xml:space="preserve">Marge %</t>
  </si>
  <si>
    <t xml:space="preserve">Standtage</t>
  </si>
  <si>
    <t xml:space="preserve">MWST auf Marge (Info)</t>
  </si>
  <si>
    <t xml:space="preserve">VW Golf 1.4 TSI, 2019</t>
  </si>
  <si>
    <t xml:space="preserve">123.456.789</t>
  </si>
  <si>
    <t xml:space="preserve">Privat</t>
  </si>
  <si>
    <t xml:space="preserve">Debitoren – offene Kundenrechnungen &amp; Mahnwesen</t>
  </si>
  <si>
    <t xml:space="preserve">Total offen</t>
  </si>
  <si>
    <t xml:space="preserve">Saldo Konto 1100</t>
  </si>
  <si>
    <t xml:space="preserve">Rechnung buchen: Soll 1100 / Haben 3000 bzw. 3200 (U81). Zahlung: Soll 1020 / Haben 1100 (–).</t>
  </si>
  <si>
    <t xml:space="preserve">davon überfällig</t>
  </si>
  <si>
    <t xml:space="preserve">Abgleich</t>
  </si>
  <si>
    <t xml:space="preserve">Mahnstufe: 1 = bis 30 Tage überfällig, 2 = 31–60 Tage, 3 = über 60 Tage (Betreibung prüfen).</t>
  </si>
  <si>
    <t xml:space="preserve">Offene Rechnungen aus dem Vorjahr (Eröffnungssaldo 1100) hier ebenfalls einzeln erfassen.</t>
  </si>
  <si>
    <t xml:space="preserve">Rechnungs-Nr.</t>
  </si>
  <si>
    <t xml:space="preserve">Kunde</t>
  </si>
  <si>
    <t xml:space="preserve">Fahrzeug / Kontrollschild</t>
  </si>
  <si>
    <t xml:space="preserve">Zahlungsfrist (Tage)</t>
  </si>
  <si>
    <t xml:space="preserve">Fällig am</t>
  </si>
  <si>
    <t xml:space="preserve">Bezahlt am</t>
  </si>
  <si>
    <t xml:space="preserve">Bezahlter Betrag</t>
  </si>
  <si>
    <t xml:space="preserve">Offen</t>
  </si>
  <si>
    <t xml:space="preserve">Tage überfällig</t>
  </si>
  <si>
    <t xml:space="preserve">Mahnstufe</t>
  </si>
  <si>
    <t xml:space="preserve">Muster Hans, Dornach</t>
  </si>
  <si>
    <t xml:space="preserve">SO 12345 / VW Polo</t>
  </si>
  <si>
    <t xml:space="preserve">Kreditoren – offene Lieferantenrechnungen</t>
  </si>
  <si>
    <t xml:space="preserve">Saldo Konto 2000</t>
  </si>
  <si>
    <t xml:space="preserve">Rechnung buchen: Soll 4000 / Haben 2000 (V81). Zahlung: Soll 2000 / Haben 1020 (–). Skonto: Soll 2000 / Haben 4900.</t>
  </si>
  <si>
    <t xml:space="preserve">Offene Rechnungen aus dem Vorjahr (Eröffnungssaldo 2000) hier ebenfalls einzeln erfassen, damit der Abgleich stimmt.</t>
  </si>
  <si>
    <t xml:space="preserve">Lieferant</t>
  </si>
  <si>
    <t xml:space="preserve">Skonto %</t>
  </si>
  <si>
    <t xml:space="preserve">Skonto-Frist (Tage)</t>
  </si>
  <si>
    <t xml:space="preserve">Zahlen bis (mit Skonto)</t>
  </si>
  <si>
    <t xml:space="preserve">Ersatzteil-Grosshandel AG</t>
  </si>
  <si>
    <t xml:space="preserve">INV-8812</t>
  </si>
  <si>
    <t xml:space="preserve">Lohnliste &amp; Lohnkosten (Jahr)</t>
  </si>
  <si>
    <t xml:space="preserve">Sätze in den Einstellungen. Für Lohnausweis &amp; AHV-Jahresmeldung.</t>
  </si>
  <si>
    <t xml:space="preserve">Name</t>
  </si>
  <si>
    <t xml:space="preserve">Funktion</t>
  </si>
  <si>
    <t xml:space="preserve">Eintritt</t>
  </si>
  <si>
    <t xml:space="preserve">Monatslohn brutto</t>
  </si>
  <si>
    <t xml:space="preserve">Anzahl Löhne (12/13)</t>
  </si>
  <si>
    <t xml:space="preserve">Jahreslohn brutto</t>
  </si>
  <si>
    <t xml:space="preserve">AHV/IV/EO AN</t>
  </si>
  <si>
    <t xml:space="preserve">ALV AN</t>
  </si>
  <si>
    <t xml:space="preserve">NBU AN</t>
  </si>
  <si>
    <t xml:space="preserve">KTG AN</t>
  </si>
  <si>
    <t xml:space="preserve">BVG AN pro Monat</t>
  </si>
  <si>
    <t xml:space="preserve">BVG AN Jahr</t>
  </si>
  <si>
    <t xml:space="preserve">Nettolohn Jahr</t>
  </si>
  <si>
    <t xml:space="preserve">Nettolohn pro Auszahlung</t>
  </si>
  <si>
    <t xml:space="preserve">AHV/IV/EO AG</t>
  </si>
  <si>
    <t xml:space="preserve">ALV AG</t>
  </si>
  <si>
    <t xml:space="preserve">FAK+VK AG</t>
  </si>
  <si>
    <t xml:space="preserve">BU AG</t>
  </si>
  <si>
    <t xml:space="preserve">KTG AG</t>
  </si>
  <si>
    <t xml:space="preserve">BVG AG (≥ AN)</t>
  </si>
  <si>
    <t xml:space="preserve">Total AG-Beiträge</t>
  </si>
  <si>
    <t xml:space="preserve">Total Lohnkosten</t>
  </si>
  <si>
    <t xml:space="preserve">Mechaniker Beispiel</t>
  </si>
  <si>
    <t xml:space="preserve">Automobil-Mechatroniker</t>
  </si>
  <si>
    <t xml:space="preserve">Abgleich mit Buchhaltung (bisher gebucht)</t>
  </si>
  <si>
    <t xml:space="preserve">Konto 5000 Löhne</t>
  </si>
  <si>
    <t xml:space="preserve">Konto 5700 Sozialversicherungen AG</t>
  </si>
  <si>
    <t xml:space="preserve">Budget Jahreslohn brutto lt. Liste</t>
  </si>
  <si>
    <t xml:space="preserve">Budget AG-Beiträge lt. Liste</t>
  </si>
  <si>
    <t xml:space="preserve">Buchen pro Monat: Nettolohn Soll 5000 / Haben 1020 · AN-Abzüge Soll 5000 / Haben 2270 · AG-Beiträge Soll 5700 / Haben 2270 · Zahlung an AHV/Versicherung Soll 2270 / Haben 1020.</t>
  </si>
  <si>
    <t xml:space="preserve">Bei Lohnausweis-Pflicht: Lohnausweise bis Ende Januar, AHV-Lohnbescheinigung an die Ausgleichskasse bis 30. Januar. Quellensteuer für ausländische MA ohne C-Bewilligung separat.</t>
  </si>
  <si>
    <t xml:space="preserve">Dein eigener Lohn als Inhaber gehört NICHT hierher – bei der Einzelfirma ist der Gewinn dein Einkommen (Bezüge über Privatkonto 2850).</t>
  </si>
  <si>
    <t xml:space="preserve">Lagerinventar (Stichtag 31.12.)</t>
  </si>
  <si>
    <t xml:space="preserve">Inventur am Jahresende: Menge zählen, Einstandspreis exkl. MWST. Differenz zur Buchhaltung als Bestandesänderung buchen.</t>
  </si>
  <si>
    <t xml:space="preserve">Inventarwert</t>
  </si>
  <si>
    <t xml:space="preserve">Bestandesänderung (erst nach vollständiger Inventur buchen)</t>
  </si>
  <si>
    <t xml:space="preserve">Steuerlich wird oft eine Warenreserve von 1/3 des Inventarwerts akzeptiert – mit Treuhänder/Steuerverwaltung SO klären.</t>
  </si>
  <si>
    <t xml:space="preserve">Buchwert Konto 1200</t>
  </si>
  <si>
    <t xml:space="preserve">Buchung</t>
  </si>
  <si>
    <t xml:space="preserve">Artikel-Nr.</t>
  </si>
  <si>
    <t xml:space="preserve">Kategorie</t>
  </si>
  <si>
    <t xml:space="preserve">Menge</t>
  </si>
  <si>
    <t xml:space="preserve">Einheit</t>
  </si>
  <si>
    <t xml:space="preserve">Einstandspreis</t>
  </si>
  <si>
    <t xml:space="preserve">Lagerwert</t>
  </si>
  <si>
    <t xml:space="preserve">Mindestbestand</t>
  </si>
  <si>
    <t xml:space="preserve">Hinweis</t>
  </si>
  <si>
    <t xml:space="preserve">OE-5W30-208</t>
  </si>
  <si>
    <t xml:space="preserve">Motorenöl 5W-30, Fass</t>
  </si>
  <si>
    <t xml:space="preserve">Öl &amp; Flüssigkeiten</t>
  </si>
  <si>
    <t xml:space="preserve">Öl-Lieferant</t>
  </si>
  <si>
    <t xml:space="preserve">Liter</t>
  </si>
  <si>
    <t xml:space="preserve">BR-VW-0012</t>
  </si>
  <si>
    <t xml:space="preserve">Bremsbeläge VA VW Polo/Golf</t>
  </si>
  <si>
    <t xml:space="preserve">Ersatzteile</t>
  </si>
  <si>
    <t xml:space="preserve">PN-20555R16</t>
  </si>
  <si>
    <t xml:space="preserve">Winterpneu 205/55 R16</t>
  </si>
  <si>
    <t xml:space="preserve">Pneus</t>
  </si>
  <si>
    <t xml:space="preserve">Pneu-Grosshandel</t>
  </si>
  <si>
    <t xml:space="preserve">Stk</t>
  </si>
  <si>
    <t xml:space="preserve">Anlagenverzeichnis &amp; Abschreibungen</t>
  </si>
  <si>
    <t xml:space="preserve">Abschreibungen werden automatisch in Konto 6800 gebucht und vom Anlagekonto abgezogen.</t>
  </si>
  <si>
    <t xml:space="preserve">Total Abschreibung:</t>
  </si>
  <si>
    <t xml:space="preserve">Anschaffung (Datum)</t>
  </si>
  <si>
    <t xml:space="preserve">Anschaffungs-wert</t>
  </si>
  <si>
    <t xml:space="preserve">Buchwert 1.1.</t>
  </si>
  <si>
    <t xml:space="preserve">Zugang im Jahr (Buchwert)</t>
  </si>
  <si>
    <t xml:space="preserve">Satz manuell (optional)</t>
  </si>
  <si>
    <t xml:space="preserve">Satz verwendet</t>
  </si>
  <si>
    <t xml:space="preserve">Abschreibung</t>
  </si>
  <si>
    <t xml:space="preserve">Buchwert 31.12.</t>
  </si>
  <si>
    <t xml:space="preserve">Eröffnung lt. Kontenplan</t>
  </si>
  <si>
    <t xml:space="preserve">Σ Buchwert 1.1.</t>
  </si>
  <si>
    <t xml:space="preserve">Zugänge lt. Journal (Soll)</t>
  </si>
  <si>
    <t xml:space="preserve">Σ Zugang Anlagen</t>
  </si>
  <si>
    <t xml:space="preserve">Hebebühnen (2 Stk.)</t>
  </si>
  <si>
    <t xml:space="preserve">Diagnosegerät &amp; Klimaservicegerät</t>
  </si>
  <si>
    <t xml:space="preserve">Werkzeugsätze, Drehmomentschlüssel</t>
  </si>
  <si>
    <t xml:space="preserve">Servicefahrzeug</t>
  </si>
  <si>
    <t xml:space="preserve">Zugang = Kauf einer neuen Anlage im Jahr (im Journal: Soll 15xx / Haben 1020 oder 2000, Code VI81). Den gleichen Betrag hier in Spalte G eintragen.</t>
  </si>
  <si>
    <t xml:space="preserve">Sätze = ESTV-Höchstsätze degressiv. Tiefere Sätze sind erlaubt (Spalte H) – z.B. um Gewinne zu glätten.</t>
  </si>
  <si>
    <t xml:space="preserve">MWST-Abrechnung</t>
  </si>
  <si>
    <t xml:space="preserve">Rechnet automatisch nach der in den Einstellungen gewählten Methode.</t>
  </si>
  <si>
    <t xml:space="preserve">Aktive Methode</t>
  </si>
  <si>
    <t xml:space="preserve">Saldomethode aktiv</t>
  </si>
  <si>
    <t xml:space="preserve">Effektive Methode aktiv</t>
  </si>
  <si>
    <t xml:space="preserve">A) SALDOSTEUERSATZ-METHODE (halbjährlich)</t>
  </si>
  <si>
    <t xml:space="preserve">Periode</t>
  </si>
  <si>
    <t xml:space="preserve">Umsatz Satz 1 (brutto)</t>
  </si>
  <si>
    <t xml:space="preserve">Satz 1</t>
  </si>
  <si>
    <t xml:space="preserve">Steuer 1</t>
  </si>
  <si>
    <t xml:space="preserve">Umsatz Satz 2 (brutto)</t>
  </si>
  <si>
    <t xml:space="preserve">Satz 2</t>
  </si>
  <si>
    <t xml:space="preserve">Steuer 2</t>
  </si>
  <si>
    <t xml:space="preserve">Total Steuer</t>
  </si>
  <si>
    <t xml:space="preserve">Einreichen bis</t>
  </si>
  <si>
    <t xml:space="preserve">1. Semester</t>
  </si>
  <si>
    <t xml:space="preserve">2. Semester</t>
  </si>
  <si>
    <t xml:space="preserve">Total Jahr</t>
  </si>
  <si>
    <t xml:space="preserve">B) EFFEKTIVE METHODE (quartalsweise)</t>
  </si>
  <si>
    <t xml:space="preserve">Umsatz netto (steuerbar)</t>
  </si>
  <si>
    <t xml:space="preserve">MWST geschuldet</t>
  </si>
  <si>
    <t xml:space="preserve">Vorsteuer Material/DL</t>
  </si>
  <si>
    <t xml:space="preserve">Vorsteuer Investitionen</t>
  </si>
  <si>
    <t xml:space="preserve">Zahllast</t>
  </si>
  <si>
    <t xml:space="preserve">Q1</t>
  </si>
  <si>
    <t xml:space="preserve">Q2</t>
  </si>
  <si>
    <t xml:space="preserve">Q3</t>
  </si>
  <si>
    <t xml:space="preserve">Q4</t>
  </si>
  <si>
    <t xml:space="preserve">C) ÜBERSICHT</t>
  </si>
  <si>
    <t xml:space="preserve">MWST-Schuld Jahr (netto, nach Vorsteuer)</t>
  </si>
  <si>
    <t xml:space="preserve">Bereits an ESTV bezahlt (Soll 2200 im Journal)</t>
  </si>
  <si>
    <t xml:space="preserve">Noch offen / zurückzulegen</t>
  </si>
  <si>
    <t xml:space="preserve">Umsatz brutto total (alle Ertragskonten)</t>
  </si>
  <si>
    <t xml:space="preserve">Hinweis MWST-Pflicht</t>
  </si>
  <si>
    <t xml:space="preserve">Saldomethode: Steuer = Bruttoumsatz × Saldosteuersatz; Vorsteuern sind im Satz eingerechnet. Rechnungen an Kunden trotzdem mit 8,1 % MWST.</t>
  </si>
  <si>
    <t xml:space="preserve">Zahlung an ESTV im Journal: Soll 2200 / Haben 1020, Code '-'. Bei effektiver Methode zusätzlich Vorsteuer verrechnen: Soll 2200 / Haben 1170 bzw. 1171.</t>
  </si>
  <si>
    <t xml:space="preserve">Occasionen von Privaten (effektive Methode): Margenbesteuerung möglich – MWST nur auf der Marge (siehe Blatt Fahrzeuge). Mit Treuhänder klären.</t>
  </si>
  <si>
    <t xml:space="preserve">AHV-Beiträge &amp; Steuerschätzung (Einzelfirma, Kanton Solothurn)</t>
  </si>
  <si>
    <t xml:space="preserve">SCHÄTZUNG zur Planung von Rückstellungen – ersetzt keine Steuererklärung. Gelbe Felder anpassen.</t>
  </si>
  <si>
    <t xml:space="preserve">1. EINKOMMEN AUS SELBSTÄNDIGER ERWERBSTÄTIGKEIT</t>
  </si>
  <si>
    <t xml:space="preserve">Hinweise</t>
  </si>
  <si>
    <t xml:space="preserve">Kaufpreis Geschäftsauto mit Privatnutzung (exkl. MWST)</t>
  </si>
  <si>
    <t xml:space="preserve">• Einzelfirma: Gewinn = dein Einkommen. Kein Lohn an dich selbst buchen; Bezüge über Privatkonto 2850.</t>
  </si>
  <si>
    <t xml:space="preserve">Monate mit Privatnutzung</t>
  </si>
  <si>
    <t xml:space="preserve">• Die Ausgleichskasse rechnet definitiv aufgrund der rechtskräftigen Steuerveranlagung ab (oft 1–2 Jahre später).</t>
  </si>
  <si>
    <t xml:space="preserve">+ Privatanteil Fahrzeug (0,9 % × Kaufpreis × Monate)</t>
  </si>
  <si>
    <t xml:space="preserve">• Sinkende Skala hier linear angenähert. Verbindlich: BSV-Tabelle 'Beitragstabellen Selbständigerwerbende'.</t>
  </si>
  <si>
    <t xml:space="preserve">+ Eigenverbrauch / Privatanteile übrige (Telefon, Reparaturen am Privatauto)</t>
  </si>
  <si>
    <t xml:space="preserve">• Steuersätze: Ø-Sätze in Einstellungen mit dem Steuerrechner (Kanton SO bzw. ESTV) für dein Einkommen ersetzen.</t>
  </si>
  <si>
    <t xml:space="preserve">+ Privat bezahlte Aufwände, die Geschäftsaufwand sind (−) / nicht abziehbare (+)</t>
  </si>
  <si>
    <t xml:space="preserve">• Steuerfüsse 2026: Kanton SO 104 %, Gemeinde Dornach 92 % (rückwirkend erhöht per RRB 30.6.2026).</t>
  </si>
  <si>
    <t xml:space="preserve">→ Einkommen aus selbständiger Erwerbstätigkeit</t>
  </si>
  <si>
    <t xml:space="preserve">• Säule 3a: Ohne Pensionskasse bis 20 % des Erwerbseinkommens, max. CHF 36'288 (2026). Einzahlung bis 31.12.</t>
  </si>
  <si>
    <t xml:space="preserve">• Abschreibungen, Warenreserve auf Lager und Rückstellungen senken den steuerbaren Gewinn – mit Treuhänder abstimmen.</t>
  </si>
  <si>
    <t xml:space="preserve">2. AHV/IV/EO-BEITRÄGE (Selbständige)</t>
  </si>
  <si>
    <t xml:space="preserve">Eigenkapital per 1.1. (Kontenplan 2800)</t>
  </si>
  <si>
    <t xml:space="preserve">− Zinsabzug auf Eigenkapital</t>
  </si>
  <si>
    <t xml:space="preserve">→ Beitragspflichtiges Einkommen (vereinfacht)</t>
  </si>
  <si>
    <t xml:space="preserve">Beitragssatz (sinkende Skala linear angenähert)</t>
  </si>
  <si>
    <t xml:space="preserve">AHV/IV/EO-Beitrag</t>
  </si>
  <si>
    <t xml:space="preserve">+ Verwaltungskosten Ausgleichskasse</t>
  </si>
  <si>
    <t xml:space="preserve">+ FAK-Beitrag</t>
  </si>
  <si>
    <t xml:space="preserve">→ Total Sozialversicherungsbeiträge Inhaber</t>
  </si>
  <si>
    <t xml:space="preserve">Bereits bezahlte AHV-Akontozahlungen (Eingabe)</t>
  </si>
  <si>
    <t xml:space="preserve">Voraussichtliche Nachzahlung / Guthaben</t>
  </si>
  <si>
    <t xml:space="preserve">3. STEUERBARES EINKOMMEN (Schätzung)</t>
  </si>
  <si>
    <t xml:space="preserve">Einkommen aus selbständiger Erwerbstätigkeit</t>
  </si>
  <si>
    <t xml:space="preserve">− AHV/IV/EO/FAK-Beiträge (abziehbar)</t>
  </si>
  <si>
    <t xml:space="preserve">Einzahlung Säule 3a geplant (Eingabe)</t>
  </si>
  <si>
    <t xml:space="preserve">   maximal möglich (20 % des Erwerbseinkommens, max.)</t>
  </si>
  <si>
    <t xml:space="preserve">− Säule 3a (angerechnet)</t>
  </si>
  <si>
    <t xml:space="preserve">− BVG-Einkäufe (Eingabe)</t>
  </si>
  <si>
    <t xml:space="preserve">− Übrige Abzüge (Krankenkasse, Kinder, Schuldzinsen, Weiterbildung ...)</t>
  </si>
  <si>
    <t xml:space="preserve">+ Übrige Einkünfte (Partner/in, Vermögensertrag, Nebenerwerb)</t>
  </si>
  <si>
    <t xml:space="preserve">→ Steuerbares Einkommen (Schätzung)</t>
  </si>
  <si>
    <t xml:space="preserve">4. STEUERN (Schätzung)</t>
  </si>
  <si>
    <t xml:space="preserve">Einfache Staatssteuer (steuerb. Eink. × Ø-Satz Einstellungen)</t>
  </si>
  <si>
    <t xml:space="preserve">Staatssteuer Kanton SO (× Steuerfuss Kanton)</t>
  </si>
  <si>
    <t xml:space="preserve">Gemeindesteuer Dornach (× Steuerfuss Gemeinde)</t>
  </si>
  <si>
    <t xml:space="preserve">Kirchensteuer</t>
  </si>
  <si>
    <t xml:space="preserve">Direkte Bundessteuer</t>
  </si>
  <si>
    <t xml:space="preserve">→ Total Einkommenssteuern</t>
  </si>
  <si>
    <t xml:space="preserve">Effektive Steuerbelastung auf steuerbarem Einkommen</t>
  </si>
  <si>
    <t xml:space="preserve">5. WAS BLEIBT DIR? / RÜCKSTELLUNGEN</t>
  </si>
  <si>
    <t xml:space="preserve">Gewinn (Einkommen) inkl. Privatanteile</t>
  </si>
  <si>
    <t xml:space="preserve">− AHV/FAK total</t>
  </si>
  <si>
    <t xml:space="preserve">− Steuern total</t>
  </si>
  <si>
    <t xml:space="preserve">− Säule 3a (Vorsorge, bleibt dein Vermögen)</t>
  </si>
  <si>
    <t xml:space="preserve">→ Frei verfügbar für Lebenshaltung</t>
  </si>
  <si>
    <t xml:space="preserve">Pro Monat</t>
  </si>
  <si>
    <t xml:space="preserve">Bisherige Privatbezüge (Konto 2850, Soll)</t>
  </si>
  <si>
    <t xml:space="preserve">Empfohlene Rückstellung AHV + Steuern pro Monat</t>
  </si>
  <si>
    <t xml:space="preserve">Stundensatz-Kalkulation Werkstatt</t>
  </si>
  <si>
    <t xml:space="preserve">Welchen Stundensatz brauchst du, damit alle Kosten + dein Lohn gedeckt sind?</t>
  </si>
  <si>
    <t xml:space="preserve">1. VERRECHENBARE STUNDEN</t>
  </si>
  <si>
    <t xml:space="preserve">Anzahl produktive Personen in der Werkstatt (inkl. dir)</t>
  </si>
  <si>
    <t xml:space="preserve">Wochenstunden pro Person</t>
  </si>
  <si>
    <t xml:space="preserve">Ferienwochen pro Jahr</t>
  </si>
  <si>
    <t xml:space="preserve">Feiertage pro Jahr</t>
  </si>
  <si>
    <t xml:space="preserve">Krankheit / Weiterbildung (Tage)</t>
  </si>
  <si>
    <t xml:space="preserve">Anwesenheitsstunden pro Person</t>
  </si>
  <si>
    <t xml:space="preserve">Produktivität (verrechenbarer Anteil)</t>
  </si>
  <si>
    <t xml:space="preserve">→ Verrechenbare Stunden total pro Jahr</t>
  </si>
  <si>
    <t xml:space="preserve">2. JAHRESKOSTEN</t>
  </si>
  <si>
    <t xml:space="preserve">Personalaufwand (aus Buchhaltung)</t>
  </si>
  <si>
    <t xml:space="preserve">Übriger Betriebsaufwand (aus Buchhaltung)</t>
  </si>
  <si>
    <t xml:space="preserve">Abschreibungen (aus Buchhaltung)</t>
  </si>
  <si>
    <t xml:space="preserve">Finanzaufwand (aus Buchhaltung)</t>
  </si>
  <si>
    <t xml:space="preserve">Ist-Kosten bisher</t>
  </si>
  <si>
    <t xml:space="preserve">Budget-Jahreskosten (Eingabe, leer = hochrechnen)</t>
  </si>
  <si>
    <t xml:space="preserve">Monate gebucht bisher</t>
  </si>
  <si>
    <t xml:space="preserve">Verwendete Jahreskosten</t>
  </si>
  <si>
    <t xml:space="preserve">Anteil Gemeinkosten, den die Werkstatt tragen soll</t>
  </si>
  <si>
    <t xml:space="preserve">Gewünschter Unternehmerlohn brutto (inkl. AHV, Vorsorge)</t>
  </si>
  <si>
    <t xml:space="preserve">Gewinnzuschlag / Risiko</t>
  </si>
  <si>
    <t xml:space="preserve">→ Zu deckende Kosten Werkstatt</t>
  </si>
  <si>
    <t xml:space="preserve">3. RESULTAT</t>
  </si>
  <si>
    <t xml:space="preserve">Kostendeckender Stundensatz exkl. MWST</t>
  </si>
  <si>
    <t xml:space="preserve">Stundensatz inkl. MWST</t>
  </si>
  <si>
    <t xml:space="preserve">Aktueller Stundensatz exkl. MWST (Eingabe)</t>
  </si>
  <si>
    <t xml:space="preserve">Differenz pro Stunde</t>
  </si>
  <si>
    <t xml:space="preserve">Auswirkung aufs Jahr (× verrechenbare Stunden)</t>
  </si>
  <si>
    <t xml:space="preserve">Tipp: Mit wenig gebuchten Monaten ist die Hochrechnung ungenau – dann Budget-Jahreskosten (Zeile 20) eintragen.</t>
  </si>
  <si>
    <t xml:space="preserve">Kontoauszug / Kassenbuch – alle Buchungen eines Kontos</t>
  </si>
  <si>
    <t xml:space="preserve">Konto in C4 eingeben (z.B. 1000 = Kassenbuch, 1020 = Bank).</t>
  </si>
  <si>
    <t xml:space="preserve">Konto:</t>
  </si>
  <si>
    <t xml:space="preserve">Typ:</t>
  </si>
  <si>
    <t xml:space="preserve">Saldo lt. Kontenplan:</t>
  </si>
  <si>
    <t xml:space="preserve">Zeigt die ersten 500 Buchungen. Automatische MWST- und Abschreibungsbuchungen erscheinen nur im Kontenplan-Saldo.</t>
  </si>
  <si>
    <t xml:space="preserve">Journalzeile</t>
  </si>
  <si>
    <t xml:space="preserve">Beleg</t>
  </si>
  <si>
    <t xml:space="preserve">Text</t>
  </si>
  <si>
    <t xml:space="preserve">Gegenkonto</t>
  </si>
  <si>
    <t xml:space="preserve">Termine &amp; Pflichten Einzelfirma</t>
  </si>
  <si>
    <t xml:space="preserve">Daten werden aus dem Geschäftsjahr berechnet. Erledigt-Spalte abhaken.</t>
  </si>
  <si>
    <t xml:space="preserve">Fällig</t>
  </si>
  <si>
    <t xml:space="preserve">Was</t>
  </si>
  <si>
    <t xml:space="preserve">Erledigt (x)</t>
  </si>
  <si>
    <t xml:space="preserve">MWST-Abrechnung 1. Semester (Saldomethode)</t>
  </si>
  <si>
    <t xml:space="preserve">Online im ESTV-Portal; Zahlung gleichzeitig fällig</t>
  </si>
  <si>
    <t xml:space="preserve">MWST-Abrechnung 2. Semester (Saldomethode)</t>
  </si>
  <si>
    <t xml:space="preserve">Frist kann online verlängert werden</t>
  </si>
  <si>
    <t xml:space="preserve">MWST Q1 (nur effektive Methode)</t>
  </si>
  <si>
    <t xml:space="preserve">MWST Q2 (nur effektive Methode)</t>
  </si>
  <si>
    <t xml:space="preserve">MWST Q3 (nur effektive Methode)</t>
  </si>
  <si>
    <t xml:space="preserve">MWST Q4 (nur effektive Methode)</t>
  </si>
  <si>
    <t xml:space="preserve">AHV-Akontobeiträge Selbständige (Quartal)</t>
  </si>
  <si>
    <t xml:space="preserve">Gemäss Akontoverfügung der Ausgleichskasse SO (meist quartalsweise)</t>
  </si>
  <si>
    <t xml:space="preserve">AHV-Akontobeiträge (Quartal)</t>
  </si>
  <si>
    <t xml:space="preserve">Bei stark höherem Gewinn: AK informieren (sonst Verzugszins)</t>
  </si>
  <si>
    <t xml:space="preserve">Säule 3a einzahlen</t>
  </si>
  <si>
    <t xml:space="preserve">Muss bis 31.12. auf dem 3a-Konto sein</t>
  </si>
  <si>
    <t xml:space="preserve">Inventur Lager &amp; Fahrzeuge</t>
  </si>
  <si>
    <t xml:space="preserve">Blatt Lager / Fahrzeuge; Bestandesänderung buchen</t>
  </si>
  <si>
    <t xml:space="preserve">Debitoren &amp; Kreditoren abstimmen, Abgrenzungen buchen</t>
  </si>
  <si>
    <t xml:space="preserve">Offene Rechnungen per 31.12. vollständig?</t>
  </si>
  <si>
    <t xml:space="preserve">AHV-Lohnbescheinigung Mitarbeitende</t>
  </si>
  <si>
    <t xml:space="preserve">An die Ausgleichskasse</t>
  </si>
  <si>
    <t xml:space="preserve">Lohnausweise an Mitarbeitende</t>
  </si>
  <si>
    <t xml:space="preserve">Jahresabschluss (Bilanz, ER) fertigstellen</t>
  </si>
  <si>
    <t xml:space="preserve">Für Steuererklärung; Frist gemäss Steuerformular SO</t>
  </si>
  <si>
    <t xml:space="preserve">Steuererklärung Kanton SO</t>
  </si>
  <si>
    <t xml:space="preserve">Frist steht auf dem Formular; Verlängerung online möglich</t>
  </si>
  <si>
    <t xml:space="preserve">Belege aufbewahren</t>
  </si>
  <si>
    <t xml:space="preserve">10 Jahre (Art. 958f OR) – auch digital zulässig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</si>
</sst>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;\-#,##0.00;\-"/>
    <numFmt numFmtId="166" formatCode="#,##0;\-#,##0;\-"/>
    <numFmt numFmtId="167" formatCode="0.0%;\-0.0%;\-"/>
    <numFmt numFmtId="168" formatCode="0%"/>
    <numFmt numFmtId="169" formatCode="0"/>
    <numFmt numFmtId="170" formatCode="0.000%"/>
    <numFmt numFmtId="171" formatCode="dd\.mm\.yyyy"/>
    <numFmt numFmtId="172" formatCode="0.00\x"/>
    <numFmt numFmtId="173" formatCode="0.0\%"/>
    <numFmt numFmtId="174" formatCode="General"/>
    <numFmt numFmtId="175" formatCode="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800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i val="true"/>
      <sz val="11"/>
      <color rgb="FF777777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B0002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4B3"/>
        <bgColor rgb="FFFFFF99"/>
      </patternFill>
    </fill>
    <fill>
      <patternFill patternType="solid">
        <fgColor rgb="FFF3F6F9"/>
        <bgColor rgb="FFFFFFFF"/>
      </patternFill>
    </fill>
    <fill>
      <patternFill patternType="solid">
        <fgColor rgb="FF1F3A5F"/>
        <bgColor rgb="FF333399"/>
      </patternFill>
    </fill>
    <fill>
      <patternFill patternType="solid">
        <fgColor rgb="FFFFFFFF"/>
        <bgColor rgb="FFF3F6F9"/>
      </patternFill>
    </fill>
    <fill>
      <patternFill patternType="solid">
        <fgColor rgb="FFD9E2EC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D4"/>
      </left>
      <right style="thin">
        <color rgb="FFBFC9D4"/>
      </right>
      <top style="thin">
        <color rgb="FFBFC9D4"/>
      </top>
      <bottom style="thin">
        <color rgb="FFBFC9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3F6F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B8860B"/>
      <rgbColor rgb="FF800080"/>
      <rgbColor rgb="FF2E7D32"/>
      <rgbColor rgb="FFBFC9D4"/>
      <rgbColor rgb="FF878787"/>
      <rgbColor rgb="FF9999FF"/>
      <rgbColor rgb="FF8E24AA"/>
      <rgbColor rgb="FFFFF4B3"/>
      <rgbColor rgb="FFF3F6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EC"/>
      <rgbColor rgb="FFD4EDDA"/>
      <rgbColor rgb="FFFFFF99"/>
      <rgbColor rgb="FF99CCFF"/>
      <rgbColor rgb="FFFF99CC"/>
      <rgbColor rgb="FFCC99FF"/>
      <rgbColor rgb="FFF8D7DA"/>
      <rgbColor rgb="FF4F81BD"/>
      <rgbColor rgb="FF33CCCC"/>
      <rgbColor rgb="FF9BBB59"/>
      <rgbColor rgb="FFFFCC00"/>
      <rgbColor rgb="FFFF9900"/>
      <rgbColor rgb="FFFF6600"/>
      <rgbColor rgb="FF777777"/>
      <rgbColor rgb="FF7F8C8D"/>
      <rgbColor rgb="FF1F3A5F"/>
      <rgbColor rgb="FF4CAF50"/>
      <rgbColor rgb="FF003300"/>
      <rgbColor rgb="FF333300"/>
      <rgbColor rgb="FF993300"/>
      <rgbColor rgb="FFC0504D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Ertrag, Aufwand und Gewinn pro Monat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Übersicht!F5</c:f>
              <c:strCache>
                <c:ptCount val="1"/>
                <c:pt idx="0">
                  <c:v>Ertrag netto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Übersicht!$E$6:$E$17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Mär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Übersicht!$F$6:$F$17</c:f>
              <c:numCache>
                <c:formatCode>#,##0;\-#,##0;\-</c:formatCode>
                <c:ptCount val="12"/>
                <c:pt idx="0">
                  <c:v>2528.111</c:v>
                </c:pt>
                <c:pt idx="1">
                  <c:v>0</c:v>
                </c:pt>
                <c:pt idx="2">
                  <c:v>15804.6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Übersicht!G5</c:f>
              <c:strCache>
                <c:ptCount val="1"/>
                <c:pt idx="0">
                  <c:v>Aufwand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Übersicht!$E$6:$E$17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Mär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Übersicht!$G$6:$G$17</c:f>
              <c:numCache>
                <c:formatCode>#,##0;\-#,##0;\-</c:formatCode>
                <c:ptCount val="12"/>
                <c:pt idx="0">
                  <c:v>13560.5333333333</c:v>
                </c:pt>
                <c:pt idx="1">
                  <c:v>17669.9333333333</c:v>
                </c:pt>
                <c:pt idx="2">
                  <c:v>3408.33333333333</c:v>
                </c:pt>
                <c:pt idx="3">
                  <c:v>2783.33333333333</c:v>
                </c:pt>
                <c:pt idx="4">
                  <c:v>2783.33333333333</c:v>
                </c:pt>
                <c:pt idx="5">
                  <c:v>2783.33333333333</c:v>
                </c:pt>
                <c:pt idx="6">
                  <c:v>2783.33333333333</c:v>
                </c:pt>
                <c:pt idx="7">
                  <c:v>2783.33333333333</c:v>
                </c:pt>
                <c:pt idx="8">
                  <c:v>2783.33333333333</c:v>
                </c:pt>
                <c:pt idx="9">
                  <c:v>2783.33333333333</c:v>
                </c:pt>
                <c:pt idx="10">
                  <c:v>2783.33333333333</c:v>
                </c:pt>
                <c:pt idx="11">
                  <c:v>2783.33333333333</c:v>
                </c:pt>
              </c:numCache>
            </c:numRef>
          </c:val>
        </c:ser>
        <c:ser>
          <c:idx val="2"/>
          <c:order val="2"/>
          <c:tx>
            <c:strRef>
              <c:f>Übersicht!H5</c:f>
              <c:strCache>
                <c:ptCount val="1"/>
                <c:pt idx="0">
                  <c:v>Gewinn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Übersicht!$E$6:$E$17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Mär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Übersicht!$H$6:$H$17</c:f>
              <c:numCache>
                <c:formatCode>#,##0;\-#,##0;\-</c:formatCode>
                <c:ptCount val="12"/>
                <c:pt idx="0">
                  <c:v>-11032.4223333333</c:v>
                </c:pt>
                <c:pt idx="1">
                  <c:v>-17669.9333333333</c:v>
                </c:pt>
                <c:pt idx="2">
                  <c:v>12396.2666666667</c:v>
                </c:pt>
                <c:pt idx="3">
                  <c:v>-2783.33333333333</c:v>
                </c:pt>
                <c:pt idx="4">
                  <c:v>-2783.33333333333</c:v>
                </c:pt>
                <c:pt idx="5">
                  <c:v>-2783.33333333333</c:v>
                </c:pt>
                <c:pt idx="6">
                  <c:v>-2783.33333333333</c:v>
                </c:pt>
                <c:pt idx="7">
                  <c:v>-2783.33333333333</c:v>
                </c:pt>
                <c:pt idx="8">
                  <c:v>-2783.33333333333</c:v>
                </c:pt>
                <c:pt idx="9">
                  <c:v>-2783.33333333333</c:v>
                </c:pt>
                <c:pt idx="10">
                  <c:v>-2783.33333333333</c:v>
                </c:pt>
                <c:pt idx="11">
                  <c:v>-2783.33333333333</c:v>
                </c:pt>
              </c:numCache>
            </c:numRef>
          </c:val>
        </c:ser>
        <c:gapWidth val="150"/>
        <c:overlap val="0"/>
        <c:axId val="36481703"/>
        <c:axId val="89974176"/>
      </c:barChart>
      <c:catAx>
        <c:axId val="36481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974176"/>
        <c:crosses val="autoZero"/>
        <c:auto val="1"/>
        <c:lblAlgn val="ctr"/>
        <c:lblOffset val="100"/>
        <c:noMultiLvlLbl val="0"/>
      </c:catAx>
      <c:valAx>
        <c:axId val="899741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4817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20</xdr:row>
      <xdr:rowOff>131040</xdr:rowOff>
    </xdr:from>
    <xdr:to>
      <xdr:col>14</xdr:col>
      <xdr:colOff>69120</xdr:colOff>
      <xdr:row>37</xdr:row>
      <xdr:rowOff>132120</xdr:rowOff>
    </xdr:to>
    <xdr:graphicFrame>
      <xdr:nvGraphicFramePr>
        <xdr:cNvPr id="0" name="Chart 1"/>
        <xdr:cNvGraphicFramePr/>
      </xdr:nvGraphicFramePr>
      <xdr:xfrm>
        <a:off x="6273000" y="421020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false"/>
  </sheetPr>
  <dimension ref="A1:B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26.85" hidden="false" customHeight="false" outlineLevel="0" collapsed="false">
      <c r="A6" s="4" t="s">
        <v>5</v>
      </c>
      <c r="B6" s="5" t="s">
        <v>6</v>
      </c>
    </row>
    <row r="7" customFormat="false" ht="26.85" hidden="false" customHeight="false" outlineLevel="0" collapsed="false">
      <c r="A7" s="4" t="s">
        <v>7</v>
      </c>
      <c r="B7" s="5" t="s">
        <v>8</v>
      </c>
    </row>
    <row r="8" customFormat="false" ht="26.8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 t="s">
        <v>11</v>
      </c>
      <c r="B9" s="5" t="s">
        <v>12</v>
      </c>
    </row>
    <row r="10" customFormat="false" ht="15" hidden="false" customHeight="false" outlineLevel="0" collapsed="false">
      <c r="A10" s="6"/>
    </row>
    <row r="11" customFormat="false" ht="15" hidden="false" customHeight="false" outlineLevel="0" collapsed="false">
      <c r="A11" s="7" t="s">
        <v>13</v>
      </c>
    </row>
    <row r="12" customFormat="false" ht="15" hidden="false" customHeight="false" outlineLevel="0" collapsed="false">
      <c r="A12" s="8" t="s">
        <v>14</v>
      </c>
      <c r="B12" s="5" t="s">
        <v>15</v>
      </c>
    </row>
    <row r="13" customFormat="false" ht="15" hidden="false" customHeight="false" outlineLevel="0" collapsed="false">
      <c r="A13" s="4" t="s">
        <v>16</v>
      </c>
      <c r="B13" s="5" t="s">
        <v>17</v>
      </c>
    </row>
    <row r="14" customFormat="false" ht="15" hidden="false" customHeight="false" outlineLevel="0" collapsed="false">
      <c r="A14" s="4" t="s">
        <v>18</v>
      </c>
      <c r="B14" s="5" t="s">
        <v>19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3" t="s">
        <v>20</v>
      </c>
    </row>
    <row r="17" customFormat="false" ht="15" hidden="false" customHeight="false" outlineLevel="0" collapsed="false">
      <c r="A17" s="4" t="s">
        <v>21</v>
      </c>
      <c r="B17" s="5" t="s">
        <v>22</v>
      </c>
    </row>
    <row r="18" customFormat="false" ht="15" hidden="false" customHeight="false" outlineLevel="0" collapsed="false">
      <c r="A18" s="4" t="s">
        <v>23</v>
      </c>
      <c r="B18" s="5" t="s">
        <v>24</v>
      </c>
    </row>
    <row r="19" customFormat="false" ht="15" hidden="false" customHeight="false" outlineLevel="0" collapsed="false">
      <c r="A19" s="4" t="s">
        <v>25</v>
      </c>
      <c r="B19" s="5" t="s">
        <v>26</v>
      </c>
    </row>
    <row r="20" customFormat="false" ht="15" hidden="false" customHeight="false" outlineLevel="0" collapsed="false">
      <c r="A20" s="4" t="s">
        <v>27</v>
      </c>
      <c r="B20" s="5" t="s">
        <v>28</v>
      </c>
    </row>
    <row r="21" customFormat="false" ht="15" hidden="false" customHeight="false" outlineLevel="0" collapsed="false">
      <c r="A21" s="4" t="s">
        <v>29</v>
      </c>
      <c r="B21" s="5" t="s">
        <v>30</v>
      </c>
    </row>
    <row r="22" customFormat="false" ht="15" hidden="false" customHeight="false" outlineLevel="0" collapsed="false">
      <c r="A22" s="4" t="s">
        <v>31</v>
      </c>
      <c r="B22" s="5" t="s">
        <v>32</v>
      </c>
    </row>
    <row r="23" customFormat="false" ht="15" hidden="false" customHeight="false" outlineLevel="0" collapsed="false">
      <c r="A23" s="4" t="s">
        <v>33</v>
      </c>
      <c r="B23" s="5" t="s">
        <v>34</v>
      </c>
    </row>
    <row r="24" customFormat="false" ht="15" hidden="false" customHeight="false" outlineLevel="0" collapsed="false">
      <c r="A24" s="4" t="s">
        <v>35</v>
      </c>
      <c r="B24" s="5" t="s">
        <v>36</v>
      </c>
    </row>
    <row r="25" customFormat="false" ht="15" hidden="false" customHeight="false" outlineLevel="0" collapsed="false">
      <c r="A25" s="4" t="s">
        <v>37</v>
      </c>
      <c r="B25" s="5" t="s">
        <v>38</v>
      </c>
    </row>
    <row r="26" customFormat="false" ht="15" hidden="false" customHeight="false" outlineLevel="0" collapsed="false">
      <c r="A26" s="4" t="s">
        <v>39</v>
      </c>
      <c r="B26" s="5" t="s">
        <v>40</v>
      </c>
    </row>
    <row r="27" customFormat="false" ht="15" hidden="false" customHeight="false" outlineLevel="0" collapsed="false">
      <c r="A27" s="4" t="s">
        <v>41</v>
      </c>
      <c r="B27" s="5" t="s">
        <v>42</v>
      </c>
    </row>
    <row r="28" customFormat="false" ht="15" hidden="false" customHeight="false" outlineLevel="0" collapsed="false">
      <c r="A28" s="4" t="s">
        <v>43</v>
      </c>
      <c r="B28" s="5" t="s">
        <v>44</v>
      </c>
    </row>
    <row r="29" customFormat="false" ht="15" hidden="false" customHeight="false" outlineLevel="0" collapsed="false">
      <c r="A29" s="4" t="s">
        <v>45</v>
      </c>
      <c r="B29" s="5" t="s">
        <v>46</v>
      </c>
    </row>
    <row r="30" customFormat="false" ht="15" hidden="false" customHeight="false" outlineLevel="0" collapsed="false">
      <c r="A30" s="4" t="s">
        <v>47</v>
      </c>
      <c r="B30" s="5" t="s">
        <v>48</v>
      </c>
    </row>
    <row r="31" customFormat="false" ht="15" hidden="false" customHeight="false" outlineLevel="0" collapsed="false">
      <c r="A31" s="4" t="s">
        <v>49</v>
      </c>
      <c r="B31" s="5" t="s">
        <v>50</v>
      </c>
    </row>
    <row r="32" customFormat="false" ht="15" hidden="false" customHeight="false" outlineLevel="0" collapsed="false">
      <c r="A32" s="4" t="s">
        <v>51</v>
      </c>
      <c r="B32" s="5" t="s">
        <v>52</v>
      </c>
    </row>
    <row r="33" customFormat="false" ht="15" hidden="false" customHeight="false" outlineLevel="0" collapsed="false">
      <c r="A33" s="4" t="s">
        <v>53</v>
      </c>
      <c r="B33" s="5" t="s">
        <v>54</v>
      </c>
    </row>
    <row r="34" customFormat="false" ht="15" hidden="false" customHeight="false" outlineLevel="0" collapsed="false">
      <c r="A34" s="4" t="s">
        <v>55</v>
      </c>
      <c r="B34" s="5" t="s">
        <v>56</v>
      </c>
    </row>
    <row r="35" customFormat="false" ht="15" hidden="false" customHeight="false" outlineLevel="0" collapsed="false">
      <c r="A35" s="4" t="s">
        <v>57</v>
      </c>
      <c r="B35" s="5" t="s">
        <v>58</v>
      </c>
    </row>
    <row r="36" customFormat="false" ht="15" hidden="false" customHeight="false" outlineLevel="0" collapsed="false">
      <c r="A36" s="3"/>
    </row>
    <row r="37" customFormat="false" ht="15" hidden="false" customHeight="false" outlineLevel="0" collapsed="false">
      <c r="A37" s="3" t="s">
        <v>59</v>
      </c>
    </row>
    <row r="38" customFormat="false" ht="15" hidden="false" customHeight="false" outlineLevel="0" collapsed="false">
      <c r="A38" s="4" t="s">
        <v>60</v>
      </c>
      <c r="B38" s="5" t="s">
        <v>61</v>
      </c>
    </row>
    <row r="39" customFormat="false" ht="15" hidden="false" customHeight="false" outlineLevel="0" collapsed="false">
      <c r="A39" s="4" t="s">
        <v>62</v>
      </c>
      <c r="B39" s="5" t="s">
        <v>63</v>
      </c>
    </row>
    <row r="40" customFormat="false" ht="15" hidden="false" customHeight="false" outlineLevel="0" collapsed="false">
      <c r="A40" s="4" t="s">
        <v>64</v>
      </c>
      <c r="B40" s="5" t="s">
        <v>65</v>
      </c>
    </row>
    <row r="41" customFormat="false" ht="15" hidden="false" customHeight="false" outlineLevel="0" collapsed="false">
      <c r="A41" s="3"/>
    </row>
    <row r="42" customFormat="false" ht="15" hidden="false" customHeight="false" outlineLevel="0" collapsed="false">
      <c r="A42" s="3" t="s">
        <v>66</v>
      </c>
    </row>
    <row r="43" customFormat="false" ht="15" hidden="false" customHeight="false" outlineLevel="0" collapsed="false">
      <c r="A43" s="4" t="s">
        <v>67</v>
      </c>
      <c r="B43" s="5" t="s">
        <v>68</v>
      </c>
    </row>
    <row r="44" customFormat="false" ht="15" hidden="false" customHeight="false" outlineLevel="0" collapsed="false">
      <c r="A44" s="4" t="s">
        <v>69</v>
      </c>
      <c r="B44" s="5" t="s">
        <v>70</v>
      </c>
    </row>
    <row r="45" customFormat="false" ht="15" hidden="false" customHeight="false" outlineLevel="0" collapsed="false">
      <c r="A45" s="4" t="s">
        <v>71</v>
      </c>
      <c r="B45" s="5" t="s">
        <v>72</v>
      </c>
    </row>
    <row r="46" customFormat="false" ht="15" hidden="false" customHeight="false" outlineLevel="0" collapsed="false">
      <c r="A46" s="4" t="s">
        <v>73</v>
      </c>
      <c r="B46" s="5" t="s">
        <v>74</v>
      </c>
    </row>
    <row r="47" customFormat="false" ht="15" hidden="false" customHeight="false" outlineLevel="0" collapsed="false">
      <c r="A47" s="4" t="s">
        <v>75</v>
      </c>
      <c r="B47" s="5" t="s">
        <v>76</v>
      </c>
    </row>
    <row r="48" customFormat="false" ht="15" hidden="false" customHeight="false" outlineLevel="0" collapsed="false">
      <c r="A48" s="4" t="s">
        <v>77</v>
      </c>
      <c r="B48" s="5" t="s">
        <v>78</v>
      </c>
    </row>
    <row r="49" customFormat="false" ht="15" hidden="false" customHeight="false" outlineLevel="0" collapsed="false">
      <c r="A49" s="4" t="s">
        <v>79</v>
      </c>
      <c r="B49" s="5" t="s">
        <v>80</v>
      </c>
    </row>
    <row r="50" customFormat="false" ht="15" hidden="false" customHeight="false" outlineLevel="0" collapsed="false">
      <c r="A50" s="4" t="s">
        <v>81</v>
      </c>
      <c r="B50" s="5" t="s">
        <v>82</v>
      </c>
    </row>
    <row r="51" customFormat="false" ht="15" hidden="false" customHeight="false" outlineLevel="0" collapsed="false">
      <c r="A51" s="4" t="s">
        <v>83</v>
      </c>
      <c r="B51" s="5" t="s">
        <v>84</v>
      </c>
    </row>
    <row r="52" customFormat="false" ht="15" hidden="false" customHeight="false" outlineLevel="0" collapsed="false">
      <c r="A52" s="3"/>
    </row>
    <row r="53" customFormat="false" ht="15" hidden="false" customHeight="false" outlineLevel="0" collapsed="false">
      <c r="A53" s="3" t="s">
        <v>85</v>
      </c>
    </row>
    <row r="54" customFormat="false" ht="15" hidden="false" customHeight="false" outlineLevel="0" collapsed="false">
      <c r="A54" s="4" t="s">
        <v>86</v>
      </c>
      <c r="B54" s="5" t="s">
        <v>87</v>
      </c>
    </row>
    <row r="55" customFormat="false" ht="26.85" hidden="false" customHeight="false" outlineLevel="0" collapsed="false">
      <c r="A55" s="4" t="s">
        <v>88</v>
      </c>
      <c r="B55" s="5" t="s">
        <v>89</v>
      </c>
    </row>
    <row r="56" customFormat="false" ht="26.85" hidden="false" customHeight="false" outlineLevel="0" collapsed="false">
      <c r="A56" s="4" t="s">
        <v>90</v>
      </c>
      <c r="B56" s="5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I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3"/>
    <col collapsed="false" customWidth="true" hidden="false" outlineLevel="0" max="5" min="5" style="0" width="10"/>
    <col collapsed="false" customWidth="true" hidden="false" outlineLevel="0" max="8" min="6" style="0" width="14"/>
    <col collapsed="false" customWidth="true" hidden="false" outlineLevel="0" max="9" min="9" style="0" width="16"/>
  </cols>
  <sheetData>
    <row r="1" customFormat="false" ht="19.7" hidden="false" customHeight="false" outlineLevel="0" collapsed="false">
      <c r="A1" s="1" t="str">
        <f aca="false">Einstellungen!$B$5&amp;" – Übersicht Geschäftsjahr "&amp;Einstellungen!$B$7</f>
        <v>Garage Muster, Dornach – Übersicht Geschäftsjahr 2026</v>
      </c>
    </row>
    <row r="2" customFormat="false" ht="15" hidden="false" customHeight="false" outlineLevel="0" collapsed="false">
      <c r="A2" s="9" t="s">
        <v>92</v>
      </c>
    </row>
    <row r="3" customFormat="false" ht="15" hidden="false" customHeight="false" outlineLevel="0" collapsed="false">
      <c r="A3" s="4" t="str">
        <f aca="false">Bilanz!F29</f>
        <v>Bilanz ausgeglichen ✓</v>
      </c>
    </row>
    <row r="5" customFormat="false" ht="31.5" hidden="false" customHeight="true" outlineLevel="0" collapsed="false">
      <c r="A5" s="10" t="s">
        <v>93</v>
      </c>
      <c r="B5" s="10" t="s">
        <v>94</v>
      </c>
      <c r="C5" s="10" t="s">
        <v>95</v>
      </c>
      <c r="E5" s="10" t="s">
        <v>96</v>
      </c>
      <c r="F5" s="10" t="s">
        <v>97</v>
      </c>
      <c r="G5" s="10" t="s">
        <v>98</v>
      </c>
      <c r="H5" s="10" t="s">
        <v>99</v>
      </c>
      <c r="I5" s="10" t="s">
        <v>100</v>
      </c>
    </row>
    <row r="6" customFormat="false" ht="15" hidden="false" customHeight="false" outlineLevel="0" collapsed="false">
      <c r="A6" s="11" t="s">
        <v>101</v>
      </c>
      <c r="B6" s="12" t="n">
        <f aca="false">Erfolgsrechnung!C17</f>
        <v>18332.71</v>
      </c>
      <c r="C6" s="13" t="s">
        <v>102</v>
      </c>
      <c r="E6" s="14" t="s">
        <v>103</v>
      </c>
      <c r="F6" s="15" t="n">
        <f aca="false">SUMIFS(Journal!$N$5:$N$1504,Journal!$U$5:$U$1504,"Ertrag",Journal!$O$5:$O$1504,1)-SUMIFS(Journal!$M$5:$M$1504,Journal!$T$5:$T$1504,"Ertrag",Journal!$O$5:$O$1504,1)-IF(MWST!$C$5,Einstellungen!$B$12*(SUMIFS(Journal!$F$5:$F$1504,Journal!$R$5:$R$1504,1,Journal!$O$5:$O$1504,1)-SUMIFS(Journal!$F$5:$F$1504,Journal!$S$5:$S$1504,1,Journal!$O$5:$O$1504,1))+Einstellungen!$B$13*(SUMIFS(Journal!$F$5:$F$1504,Journal!$R$5:$R$1504,2,Journal!$O$5:$O$1504,1)-SUMIFS(Journal!$F$5:$F$1504,Journal!$S$5:$S$1504,2,Journal!$O$5:$O$1504,1)),0)</f>
        <v>2528.111</v>
      </c>
      <c r="G6" s="15" t="n">
        <f aca="false">SUMIFS(Journal!$M$5:$M$1504,Journal!$T$5:$T$1504,"Aufwand",Journal!$O$5:$O$1504,1)-SUMIFS(Journal!$N$5:$N$1504,Journal!$U$5:$U$1504,"Aufwand",Journal!$O$5:$O$1504,1)+Anlagen!$J$3/12</f>
        <v>13560.5333333333</v>
      </c>
      <c r="H6" s="15" t="n">
        <f aca="false">F6-G6</f>
        <v>-11032.4223333333</v>
      </c>
      <c r="I6" s="15" t="n">
        <f aca="false">H6</f>
        <v>-11032.4223333333</v>
      </c>
    </row>
    <row r="7" customFormat="false" ht="15" hidden="false" customHeight="false" outlineLevel="0" collapsed="false">
      <c r="A7" s="11" t="s">
        <v>104</v>
      </c>
      <c r="B7" s="12" t="n">
        <f aca="false">Erfolgsrechnung!C29</f>
        <v>5035.51</v>
      </c>
      <c r="C7" s="13" t="s">
        <v>105</v>
      </c>
      <c r="E7" s="14" t="s">
        <v>106</v>
      </c>
      <c r="F7" s="15" t="n">
        <f aca="false">SUMIFS(Journal!$N$5:$N$1504,Journal!$U$5:$U$1504,"Ertrag",Journal!$O$5:$O$1504,2)-SUMIFS(Journal!$M$5:$M$1504,Journal!$T$5:$T$1504,"Ertrag",Journal!$O$5:$O$1504,2)-IF(MWST!$C$5,Einstellungen!$B$12*(SUMIFS(Journal!$F$5:$F$1504,Journal!$R$5:$R$1504,1,Journal!$O$5:$O$1504,2)-SUMIFS(Journal!$F$5:$F$1504,Journal!$S$5:$S$1504,1,Journal!$O$5:$O$1504,2))+Einstellungen!$B$13*(SUMIFS(Journal!$F$5:$F$1504,Journal!$R$5:$R$1504,2,Journal!$O$5:$O$1504,2)-SUMIFS(Journal!$F$5:$F$1504,Journal!$S$5:$S$1504,2,Journal!$O$5:$O$1504,2)),0)</f>
        <v>0</v>
      </c>
      <c r="G7" s="15" t="n">
        <f aca="false">SUMIFS(Journal!$M$5:$M$1504,Journal!$T$5:$T$1504,"Aufwand",Journal!$O$5:$O$1504,2)-SUMIFS(Journal!$N$5:$N$1504,Journal!$U$5:$U$1504,"Aufwand",Journal!$O$5:$O$1504,2)+Anlagen!$J$3/12</f>
        <v>17669.9333333333</v>
      </c>
      <c r="H7" s="15" t="n">
        <f aca="false">F7-G7</f>
        <v>-17669.9333333333</v>
      </c>
      <c r="I7" s="15" t="n">
        <f aca="false">I6+H7</f>
        <v>-28702.3556666667</v>
      </c>
    </row>
    <row r="8" customFormat="false" ht="15" hidden="false" customHeight="false" outlineLevel="0" collapsed="false">
      <c r="A8" s="11" t="s">
        <v>107</v>
      </c>
      <c r="B8" s="16" t="n">
        <f aca="false">IF(B6=0,"",B7/B6)</f>
        <v>0.274673520717886</v>
      </c>
      <c r="C8" s="13" t="s">
        <v>108</v>
      </c>
      <c r="E8" s="14" t="s">
        <v>109</v>
      </c>
      <c r="F8" s="15" t="n">
        <f aca="false">SUMIFS(Journal!$N$5:$N$1504,Journal!$U$5:$U$1504,"Ertrag",Journal!$O$5:$O$1504,3)-SUMIFS(Journal!$M$5:$M$1504,Journal!$T$5:$T$1504,"Ertrag",Journal!$O$5:$O$1504,3)-IF(MWST!$C$5,Einstellungen!$B$12*(SUMIFS(Journal!$F$5:$F$1504,Journal!$R$5:$R$1504,1,Journal!$O$5:$O$1504,3)-SUMIFS(Journal!$F$5:$F$1504,Journal!$S$5:$S$1504,1,Journal!$O$5:$O$1504,3))+Einstellungen!$B$13*(SUMIFS(Journal!$F$5:$F$1504,Journal!$R$5:$R$1504,2,Journal!$O$5:$O$1504,3)-SUMIFS(Journal!$F$5:$F$1504,Journal!$S$5:$S$1504,2,Journal!$O$5:$O$1504,3)),0)</f>
        <v>15804.6</v>
      </c>
      <c r="G8" s="15" t="n">
        <f aca="false">SUMIFS(Journal!$M$5:$M$1504,Journal!$T$5:$T$1504,"Aufwand",Journal!$O$5:$O$1504,3)-SUMIFS(Journal!$N$5:$N$1504,Journal!$U$5:$U$1504,"Aufwand",Journal!$O$5:$O$1504,3)+Anlagen!$J$3/12</f>
        <v>3408.33333333333</v>
      </c>
      <c r="H8" s="15" t="n">
        <f aca="false">F8-G8</f>
        <v>12396.2666666667</v>
      </c>
      <c r="I8" s="15" t="n">
        <f aca="false">I7+H8</f>
        <v>-16306.089</v>
      </c>
    </row>
    <row r="9" customFormat="false" ht="15" hidden="false" customHeight="false" outlineLevel="0" collapsed="false">
      <c r="A9" s="11" t="s">
        <v>110</v>
      </c>
      <c r="B9" s="12" t="n">
        <f aca="false">-Erfolgsrechnung!C36</f>
        <v>5980</v>
      </c>
      <c r="C9" s="13" t="s">
        <v>111</v>
      </c>
      <c r="E9" s="14" t="s">
        <v>112</v>
      </c>
      <c r="F9" s="15" t="n">
        <f aca="false">SUMIFS(Journal!$N$5:$N$1504,Journal!$U$5:$U$1504,"Ertrag",Journal!$O$5:$O$1504,4)-SUMIFS(Journal!$M$5:$M$1504,Journal!$T$5:$T$1504,"Ertrag",Journal!$O$5:$O$1504,4)-IF(MWST!$C$5,Einstellungen!$B$12*(SUMIFS(Journal!$F$5:$F$1504,Journal!$R$5:$R$1504,1,Journal!$O$5:$O$1504,4)-SUMIFS(Journal!$F$5:$F$1504,Journal!$S$5:$S$1504,1,Journal!$O$5:$O$1504,4))+Einstellungen!$B$13*(SUMIFS(Journal!$F$5:$F$1504,Journal!$R$5:$R$1504,2,Journal!$O$5:$O$1504,4)-SUMIFS(Journal!$F$5:$F$1504,Journal!$S$5:$S$1504,2,Journal!$O$5:$O$1504,4)),0)</f>
        <v>0</v>
      </c>
      <c r="G9" s="15" t="n">
        <f aca="false">SUMIFS(Journal!$M$5:$M$1504,Journal!$T$5:$T$1504,"Aufwand",Journal!$O$5:$O$1504,4)-SUMIFS(Journal!$N$5:$N$1504,Journal!$U$5:$U$1504,"Aufwand",Journal!$O$5:$O$1504,4)+Anlagen!$J$3/12</f>
        <v>2783.33333333333</v>
      </c>
      <c r="H9" s="15" t="n">
        <f aca="false">F9-G9</f>
        <v>-2783.33333333333</v>
      </c>
      <c r="I9" s="15" t="n">
        <f aca="false">I8+H9</f>
        <v>-19089.4223333333</v>
      </c>
    </row>
    <row r="10" customFormat="false" ht="15" hidden="false" customHeight="false" outlineLevel="0" collapsed="false">
      <c r="A10" s="11" t="s">
        <v>113</v>
      </c>
      <c r="B10" s="12" t="n">
        <f aca="false">Erfolgsrechnung!C50</f>
        <v>-7871.09</v>
      </c>
      <c r="C10" s="13" t="s">
        <v>114</v>
      </c>
      <c r="E10" s="14" t="s">
        <v>115</v>
      </c>
      <c r="F10" s="15" t="n">
        <f aca="false">SUMIFS(Journal!$N$5:$N$1504,Journal!$U$5:$U$1504,"Ertrag",Journal!$O$5:$O$1504,5)-SUMIFS(Journal!$M$5:$M$1504,Journal!$T$5:$T$1504,"Ertrag",Journal!$O$5:$O$1504,5)-IF(MWST!$C$5,Einstellungen!$B$12*(SUMIFS(Journal!$F$5:$F$1504,Journal!$R$5:$R$1504,1,Journal!$O$5:$O$1504,5)-SUMIFS(Journal!$F$5:$F$1504,Journal!$S$5:$S$1504,1,Journal!$O$5:$O$1504,5))+Einstellungen!$B$13*(SUMIFS(Journal!$F$5:$F$1504,Journal!$R$5:$R$1504,2,Journal!$O$5:$O$1504,5)-SUMIFS(Journal!$F$5:$F$1504,Journal!$S$5:$S$1504,2,Journal!$O$5:$O$1504,5)),0)</f>
        <v>0</v>
      </c>
      <c r="G10" s="15" t="n">
        <f aca="false">SUMIFS(Journal!$M$5:$M$1504,Journal!$T$5:$T$1504,"Aufwand",Journal!$O$5:$O$1504,5)-SUMIFS(Journal!$N$5:$N$1504,Journal!$U$5:$U$1504,"Aufwand",Journal!$O$5:$O$1504,5)+Anlagen!$J$3/12</f>
        <v>2783.33333333333</v>
      </c>
      <c r="H10" s="15" t="n">
        <f aca="false">F10-G10</f>
        <v>-2783.33333333333</v>
      </c>
      <c r="I10" s="15" t="n">
        <f aca="false">I9+H10</f>
        <v>-21872.7556666667</v>
      </c>
    </row>
    <row r="11" customFormat="false" ht="15" hidden="false" customHeight="false" outlineLevel="0" collapsed="false">
      <c r="A11" s="11" t="s">
        <v>116</v>
      </c>
      <c r="B11" s="12" t="n">
        <f aca="false">Erfolgsrechnung!$C$72</f>
        <v>-41356.09</v>
      </c>
      <c r="C11" s="13" t="s">
        <v>117</v>
      </c>
      <c r="E11" s="14" t="s">
        <v>118</v>
      </c>
      <c r="F11" s="15" t="n">
        <f aca="false">SUMIFS(Journal!$N$5:$N$1504,Journal!$U$5:$U$1504,"Ertrag",Journal!$O$5:$O$1504,6)-SUMIFS(Journal!$M$5:$M$1504,Journal!$T$5:$T$1504,"Ertrag",Journal!$O$5:$O$1504,6)-IF(MWST!$C$5,Einstellungen!$B$12*(SUMIFS(Journal!$F$5:$F$1504,Journal!$R$5:$R$1504,1,Journal!$O$5:$O$1504,6)-SUMIFS(Journal!$F$5:$F$1504,Journal!$S$5:$S$1504,1,Journal!$O$5:$O$1504,6))+Einstellungen!$B$13*(SUMIFS(Journal!$F$5:$F$1504,Journal!$R$5:$R$1504,2,Journal!$O$5:$O$1504,6)-SUMIFS(Journal!$F$5:$F$1504,Journal!$S$5:$S$1504,2,Journal!$O$5:$O$1504,6)),0)</f>
        <v>0</v>
      </c>
      <c r="G11" s="15" t="n">
        <f aca="false">SUMIFS(Journal!$M$5:$M$1504,Journal!$T$5:$T$1504,"Aufwand",Journal!$O$5:$O$1504,6)-SUMIFS(Journal!$N$5:$N$1504,Journal!$U$5:$U$1504,"Aufwand",Journal!$O$5:$O$1504,6)+Anlagen!$J$3/12</f>
        <v>2783.33333333333</v>
      </c>
      <c r="H11" s="15" t="n">
        <f aca="false">F11-G11</f>
        <v>-2783.33333333333</v>
      </c>
      <c r="I11" s="15" t="n">
        <f aca="false">I10+H11</f>
        <v>-24656.089</v>
      </c>
    </row>
    <row r="12" customFormat="false" ht="15" hidden="false" customHeight="false" outlineLevel="0" collapsed="false">
      <c r="A12" s="11" t="s">
        <v>119</v>
      </c>
      <c r="B12" s="16" t="n">
        <f aca="false">IF(B6=0,"",B11/B6)</f>
        <v>-2.25586342662923</v>
      </c>
      <c r="C12" s="13" t="s">
        <v>120</v>
      </c>
      <c r="E12" s="14" t="s">
        <v>121</v>
      </c>
      <c r="F12" s="15" t="n">
        <f aca="false">SUMIFS(Journal!$N$5:$N$1504,Journal!$U$5:$U$1504,"Ertrag",Journal!$O$5:$O$1504,7)-SUMIFS(Journal!$M$5:$M$1504,Journal!$T$5:$T$1504,"Ertrag",Journal!$O$5:$O$1504,7)-IF(MWST!$C$5,Einstellungen!$B$12*(SUMIFS(Journal!$F$5:$F$1504,Journal!$R$5:$R$1504,1,Journal!$O$5:$O$1504,7)-SUMIFS(Journal!$F$5:$F$1504,Journal!$S$5:$S$1504,1,Journal!$O$5:$O$1504,7))+Einstellungen!$B$13*(SUMIFS(Journal!$F$5:$F$1504,Journal!$R$5:$R$1504,2,Journal!$O$5:$O$1504,7)-SUMIFS(Journal!$F$5:$F$1504,Journal!$S$5:$S$1504,2,Journal!$O$5:$O$1504,7)),0)</f>
        <v>0</v>
      </c>
      <c r="G12" s="15" t="n">
        <f aca="false">SUMIFS(Journal!$M$5:$M$1504,Journal!$T$5:$T$1504,"Aufwand",Journal!$O$5:$O$1504,7)-SUMIFS(Journal!$N$5:$N$1504,Journal!$U$5:$U$1504,"Aufwand",Journal!$O$5:$O$1504,7)+Anlagen!$J$3/12</f>
        <v>2783.33333333333</v>
      </c>
      <c r="H12" s="15" t="n">
        <f aca="false">F12-G12</f>
        <v>-2783.33333333333</v>
      </c>
      <c r="I12" s="15" t="n">
        <f aca="false">I11+H12</f>
        <v>-27439.4223333333</v>
      </c>
    </row>
    <row r="13" customFormat="false" ht="15" hidden="false" customHeight="false" outlineLevel="0" collapsed="false">
      <c r="A13" s="11" t="s">
        <v>122</v>
      </c>
      <c r="B13" s="12" t="n">
        <f aca="false">SUMIF(Kontenplan!$A$5:$A$90,1000,Kontenplan!$K$5:$K$90)+SUMIF(Kontenplan!$A$5:$A$90,1020,Kontenplan!$K$5:$K$90)</f>
        <v>37844.7</v>
      </c>
      <c r="C13" s="13"/>
      <c r="E13" s="14" t="s">
        <v>123</v>
      </c>
      <c r="F13" s="15" t="n">
        <f aca="false">SUMIFS(Journal!$N$5:$N$1504,Journal!$U$5:$U$1504,"Ertrag",Journal!$O$5:$O$1504,8)-SUMIFS(Journal!$M$5:$M$1504,Journal!$T$5:$T$1504,"Ertrag",Journal!$O$5:$O$1504,8)-IF(MWST!$C$5,Einstellungen!$B$12*(SUMIFS(Journal!$F$5:$F$1504,Journal!$R$5:$R$1504,1,Journal!$O$5:$O$1504,8)-SUMIFS(Journal!$F$5:$F$1504,Journal!$S$5:$S$1504,1,Journal!$O$5:$O$1504,8))+Einstellungen!$B$13*(SUMIFS(Journal!$F$5:$F$1504,Journal!$R$5:$R$1504,2,Journal!$O$5:$O$1504,8)-SUMIFS(Journal!$F$5:$F$1504,Journal!$S$5:$S$1504,2,Journal!$O$5:$O$1504,8)),0)</f>
        <v>0</v>
      </c>
      <c r="G13" s="15" t="n">
        <f aca="false">SUMIFS(Journal!$M$5:$M$1504,Journal!$T$5:$T$1504,"Aufwand",Journal!$O$5:$O$1504,8)-SUMIFS(Journal!$N$5:$N$1504,Journal!$U$5:$U$1504,"Aufwand",Journal!$O$5:$O$1504,8)+Anlagen!$J$3/12</f>
        <v>2783.33333333333</v>
      </c>
      <c r="H13" s="15" t="n">
        <f aca="false">F13-G13</f>
        <v>-2783.33333333333</v>
      </c>
      <c r="I13" s="15" t="n">
        <f aca="false">I12+H13</f>
        <v>-30222.7556666667</v>
      </c>
    </row>
    <row r="14" customFormat="false" ht="15" hidden="false" customHeight="false" outlineLevel="0" collapsed="false">
      <c r="A14" s="11" t="s">
        <v>124</v>
      </c>
      <c r="B14" s="12" t="n">
        <f aca="false">SUMIF(Kontenplan!$A$5:$A$90,1100,Kontenplan!$K$5:$K$90)</f>
        <v>0</v>
      </c>
      <c r="C14" s="13" t="s">
        <v>125</v>
      </c>
      <c r="E14" s="14" t="s">
        <v>126</v>
      </c>
      <c r="F14" s="15" t="n">
        <f aca="false">SUMIFS(Journal!$N$5:$N$1504,Journal!$U$5:$U$1504,"Ertrag",Journal!$O$5:$O$1504,9)-SUMIFS(Journal!$M$5:$M$1504,Journal!$T$5:$T$1504,"Ertrag",Journal!$O$5:$O$1504,9)-IF(MWST!$C$5,Einstellungen!$B$12*(SUMIFS(Journal!$F$5:$F$1504,Journal!$R$5:$R$1504,1,Journal!$O$5:$O$1504,9)-SUMIFS(Journal!$F$5:$F$1504,Journal!$S$5:$S$1504,1,Journal!$O$5:$O$1504,9))+Einstellungen!$B$13*(SUMIFS(Journal!$F$5:$F$1504,Journal!$R$5:$R$1504,2,Journal!$O$5:$O$1504,9)-SUMIFS(Journal!$F$5:$F$1504,Journal!$S$5:$S$1504,2,Journal!$O$5:$O$1504,9)),0)</f>
        <v>0</v>
      </c>
      <c r="G14" s="15" t="n">
        <f aca="false">SUMIFS(Journal!$M$5:$M$1504,Journal!$T$5:$T$1504,"Aufwand",Journal!$O$5:$O$1504,9)-SUMIFS(Journal!$N$5:$N$1504,Journal!$U$5:$U$1504,"Aufwand",Journal!$O$5:$O$1504,9)+Anlagen!$J$3/12</f>
        <v>2783.33333333333</v>
      </c>
      <c r="H14" s="15" t="n">
        <f aca="false">F14-G14</f>
        <v>-2783.33333333333</v>
      </c>
      <c r="I14" s="15" t="n">
        <f aca="false">I13+H14</f>
        <v>-33006.089</v>
      </c>
    </row>
    <row r="15" customFormat="false" ht="15" hidden="false" customHeight="false" outlineLevel="0" collapsed="false">
      <c r="A15" s="11" t="s">
        <v>127</v>
      </c>
      <c r="B15" s="12" t="n">
        <f aca="false">SUMIF(Kontenplan!$A$5:$A$90,2000,Kontenplan!$K$5:$K$90)</f>
        <v>1297.2</v>
      </c>
      <c r="C15" s="13"/>
      <c r="E15" s="14" t="s">
        <v>128</v>
      </c>
      <c r="F15" s="15" t="n">
        <f aca="false">SUMIFS(Journal!$N$5:$N$1504,Journal!$U$5:$U$1504,"Ertrag",Journal!$O$5:$O$1504,10)-SUMIFS(Journal!$M$5:$M$1504,Journal!$T$5:$T$1504,"Ertrag",Journal!$O$5:$O$1504,10)-IF(MWST!$C$5,Einstellungen!$B$12*(SUMIFS(Journal!$F$5:$F$1504,Journal!$R$5:$R$1504,1,Journal!$O$5:$O$1504,10)-SUMIFS(Journal!$F$5:$F$1504,Journal!$S$5:$S$1504,1,Journal!$O$5:$O$1504,10))+Einstellungen!$B$13*(SUMIFS(Journal!$F$5:$F$1504,Journal!$R$5:$R$1504,2,Journal!$O$5:$O$1504,10)-SUMIFS(Journal!$F$5:$F$1504,Journal!$S$5:$S$1504,2,Journal!$O$5:$O$1504,10)),0)</f>
        <v>0</v>
      </c>
      <c r="G15" s="15" t="n">
        <f aca="false">SUMIFS(Journal!$M$5:$M$1504,Journal!$T$5:$T$1504,"Aufwand",Journal!$O$5:$O$1504,10)-SUMIFS(Journal!$N$5:$N$1504,Journal!$U$5:$U$1504,"Aufwand",Journal!$O$5:$O$1504,10)+Anlagen!$J$3/12</f>
        <v>2783.33333333333</v>
      </c>
      <c r="H15" s="15" t="n">
        <f aca="false">F15-G15</f>
        <v>-2783.33333333333</v>
      </c>
      <c r="I15" s="15" t="n">
        <f aca="false">I14+H15</f>
        <v>-35789.4223333333</v>
      </c>
    </row>
    <row r="16" customFormat="false" ht="15" hidden="false" customHeight="false" outlineLevel="0" collapsed="false">
      <c r="A16" s="11" t="s">
        <v>129</v>
      </c>
      <c r="B16" s="17" t="n">
        <f aca="false">IF(Bilanz!G11=0,"",(B13+B14)/Bilanz!G11)</f>
        <v>13.512151928563</v>
      </c>
      <c r="C16" s="13" t="s">
        <v>130</v>
      </c>
      <c r="E16" s="14" t="s">
        <v>131</v>
      </c>
      <c r="F16" s="15" t="n">
        <f aca="false">SUMIFS(Journal!$N$5:$N$1504,Journal!$U$5:$U$1504,"Ertrag",Journal!$O$5:$O$1504,11)-SUMIFS(Journal!$M$5:$M$1504,Journal!$T$5:$T$1504,"Ertrag",Journal!$O$5:$O$1504,11)-IF(MWST!$C$5,Einstellungen!$B$12*(SUMIFS(Journal!$F$5:$F$1504,Journal!$R$5:$R$1504,1,Journal!$O$5:$O$1504,11)-SUMIFS(Journal!$F$5:$F$1504,Journal!$S$5:$S$1504,1,Journal!$O$5:$O$1504,11))+Einstellungen!$B$13*(SUMIFS(Journal!$F$5:$F$1504,Journal!$R$5:$R$1504,2,Journal!$O$5:$O$1504,11)-SUMIFS(Journal!$F$5:$F$1504,Journal!$S$5:$S$1504,2,Journal!$O$5:$O$1504,11)),0)</f>
        <v>0</v>
      </c>
      <c r="G16" s="15" t="n">
        <f aca="false">SUMIFS(Journal!$M$5:$M$1504,Journal!$T$5:$T$1504,"Aufwand",Journal!$O$5:$O$1504,11)-SUMIFS(Journal!$N$5:$N$1504,Journal!$U$5:$U$1504,"Aufwand",Journal!$O$5:$O$1504,11)+Anlagen!$J$3/12</f>
        <v>2783.33333333333</v>
      </c>
      <c r="H16" s="15" t="n">
        <f aca="false">F16-G16</f>
        <v>-2783.33333333333</v>
      </c>
      <c r="I16" s="15" t="n">
        <f aca="false">I15+H16</f>
        <v>-38572.7556666667</v>
      </c>
    </row>
    <row r="17" customFormat="false" ht="15" hidden="false" customHeight="false" outlineLevel="0" collapsed="false">
      <c r="A17" s="11" t="s">
        <v>132</v>
      </c>
      <c r="B17" s="16" t="n">
        <f aca="false">IF(Bilanz!C27=0,"",Bilanz!G25/Bilanz!C27)</f>
        <v>0.641668571313754</v>
      </c>
      <c r="C17" s="13" t="s">
        <v>133</v>
      </c>
      <c r="E17" s="14" t="s">
        <v>134</v>
      </c>
      <c r="F17" s="15" t="n">
        <f aca="false">SUMIFS(Journal!$N$5:$N$1504,Journal!$U$5:$U$1504,"Ertrag",Journal!$O$5:$O$1504,12)-SUMIFS(Journal!$M$5:$M$1504,Journal!$T$5:$T$1504,"Ertrag",Journal!$O$5:$O$1504,12)-IF(MWST!$C$5,Einstellungen!$B$12*(SUMIFS(Journal!$F$5:$F$1504,Journal!$R$5:$R$1504,1,Journal!$O$5:$O$1504,12)-SUMIFS(Journal!$F$5:$F$1504,Journal!$S$5:$S$1504,1,Journal!$O$5:$O$1504,12))+Einstellungen!$B$13*(SUMIFS(Journal!$F$5:$F$1504,Journal!$R$5:$R$1504,2,Journal!$O$5:$O$1504,12)-SUMIFS(Journal!$F$5:$F$1504,Journal!$S$5:$S$1504,2,Journal!$O$5:$O$1504,12)),0)</f>
        <v>0</v>
      </c>
      <c r="G17" s="15" t="n">
        <f aca="false">SUMIFS(Journal!$M$5:$M$1504,Journal!$T$5:$T$1504,"Aufwand",Journal!$O$5:$O$1504,12)-SUMIFS(Journal!$N$5:$N$1504,Journal!$U$5:$U$1504,"Aufwand",Journal!$O$5:$O$1504,12)+Anlagen!$J$3/12</f>
        <v>2783.33333333333</v>
      </c>
      <c r="H17" s="15" t="n">
        <f aca="false">F17-G17</f>
        <v>-2783.33333333333</v>
      </c>
      <c r="I17" s="15" t="n">
        <f aca="false">I16+H17</f>
        <v>-41356.089</v>
      </c>
    </row>
    <row r="18" customFormat="false" ht="15" hidden="false" customHeight="false" outlineLevel="0" collapsed="false">
      <c r="A18" s="11" t="s">
        <v>135</v>
      </c>
      <c r="B18" s="12" t="n">
        <f aca="false">MWST!$B$29</f>
        <v>173.59</v>
      </c>
      <c r="C18" s="13" t="s">
        <v>136</v>
      </c>
      <c r="E18" s="4" t="s">
        <v>137</v>
      </c>
      <c r="F18" s="18" t="n">
        <f aca="false">SUM(F6:F17)</f>
        <v>18332.711</v>
      </c>
      <c r="G18" s="18" t="n">
        <f aca="false">SUM(G6:G17)</f>
        <v>59688.8</v>
      </c>
      <c r="H18" s="18" t="n">
        <f aca="false">SUM(H6:H17)</f>
        <v>-41356.089</v>
      </c>
    </row>
    <row r="19" customFormat="false" ht="15" hidden="false" customHeight="false" outlineLevel="0" collapsed="false">
      <c r="A19" s="11" t="s">
        <v>138</v>
      </c>
      <c r="B19" s="12" t="n">
        <f aca="false">Steuern!$C$21+Steuern!$C$42</f>
        <v>546</v>
      </c>
      <c r="C19" s="13" t="s">
        <v>139</v>
      </c>
      <c r="E19" s="14" t="s">
        <v>140</v>
      </c>
      <c r="H19" s="0" t="str">
        <f aca="false">IF(ABS(H18-Erfolgsrechnung!$C$72)&lt;1,"✓","Differenz (Buchungen ausserhalb Jahr?)")</f>
        <v>✓</v>
      </c>
    </row>
    <row r="20" customFormat="false" ht="15" hidden="false" customHeight="false" outlineLevel="0" collapsed="false">
      <c r="A20" s="11" t="s">
        <v>141</v>
      </c>
      <c r="B20" s="12" t="n">
        <f aca="false">Steuern!$C$53</f>
        <v>45.5</v>
      </c>
      <c r="C20" s="13" t="s">
        <v>142</v>
      </c>
    </row>
    <row r="21" customFormat="false" ht="15" hidden="false" customHeight="false" outlineLevel="0" collapsed="false">
      <c r="A21" s="11" t="s">
        <v>143</v>
      </c>
      <c r="B21" s="12" t="n">
        <f aca="false">Steuern!$C$51</f>
        <v>-3491.84083333333</v>
      </c>
      <c r="C21" s="13" t="s">
        <v>144</v>
      </c>
    </row>
    <row r="22" customFormat="false" ht="15" hidden="false" customHeight="false" outlineLevel="0" collapsed="false">
      <c r="A22" s="11" t="s">
        <v>145</v>
      </c>
      <c r="B22" s="12" t="n">
        <f aca="false">Steuern!$C$52</f>
        <v>4000</v>
      </c>
      <c r="C22" s="13"/>
    </row>
    <row r="23" customFormat="false" ht="15" hidden="false" customHeight="false" outlineLevel="0" collapsed="false">
      <c r="A23" s="11" t="s">
        <v>146</v>
      </c>
      <c r="B23" s="19" t="n">
        <f aca="false">Fahrzeuge!$D$3</f>
        <v>0</v>
      </c>
      <c r="C23" s="13" t="s">
        <v>147</v>
      </c>
    </row>
    <row r="24" customFormat="false" ht="15" hidden="false" customHeight="false" outlineLevel="0" collapsed="false">
      <c r="A24" s="11" t="s">
        <v>148</v>
      </c>
      <c r="B24" s="12" t="n">
        <f aca="false">Stundensatz!$C$29</f>
        <v>98.8116644762273</v>
      </c>
      <c r="C24" s="13" t="s">
        <v>149</v>
      </c>
    </row>
    <row r="25" customFormat="false" ht="15" hidden="false" customHeight="false" outlineLevel="0" collapsed="false">
      <c r="A25" s="11" t="s">
        <v>150</v>
      </c>
      <c r="B25" s="19" t="n">
        <f aca="false">COUNTIF(Journal!$V$5:$V$1504,"Konto prüfen!")+COUNTIF(Journal!$V$5:$V$1504,"Datum fehlt")+COUNTIF(Journal!$V$5:$V$1504,"anderes Jahr!")+COUNTIF(Journal!$V$5:$V$1504,"MWST-Code fehlt")</f>
        <v>0</v>
      </c>
      <c r="C25" s="13" t="s">
        <v>151</v>
      </c>
    </row>
  </sheetData>
  <conditionalFormatting sqref="B11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conditionalFormatting sqref="B16">
    <cfRule type="cellIs" priority="4" operator="lessThan" aboveAverage="0" equalAverage="0" bottom="0" percent="0" rank="0" text="" dxfId="0">
      <formula>1</formula>
    </cfRule>
  </conditionalFormatting>
  <conditionalFormatting sqref="B25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860B"/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38"/>
    <col collapsed="false" customWidth="true" hidden="false" outlineLevel="0" max="7" min="7" style="0" width="12"/>
    <col collapsed="false" customWidth="true" hidden="false" outlineLevel="0" max="8" min="8" style="0" width="8"/>
  </cols>
  <sheetData>
    <row r="1" customFormat="false" ht="19.7" hidden="false" customHeight="false" outlineLevel="0" collapsed="false">
      <c r="A1" s="1" t="s">
        <v>152</v>
      </c>
    </row>
    <row r="2" customFormat="false" ht="15" hidden="false" customHeight="false" outlineLevel="0" collapsed="false">
      <c r="A2" s="2" t="s">
        <v>153</v>
      </c>
    </row>
    <row r="4" customFormat="false" ht="31.5" hidden="false" customHeight="true" outlineLevel="0" collapsed="false">
      <c r="A4" s="10" t="s">
        <v>154</v>
      </c>
      <c r="B4" s="10" t="s">
        <v>94</v>
      </c>
      <c r="C4" s="10" t="s">
        <v>155</v>
      </c>
      <c r="E4" s="10" t="s">
        <v>156</v>
      </c>
      <c r="F4" s="10" t="s">
        <v>157</v>
      </c>
      <c r="G4" s="10" t="s">
        <v>158</v>
      </c>
      <c r="H4" s="10" t="s">
        <v>159</v>
      </c>
    </row>
    <row r="5" customFormat="false" ht="15" hidden="false" customHeight="false" outlineLevel="0" collapsed="false">
      <c r="A5" s="11" t="s">
        <v>160</v>
      </c>
      <c r="B5" s="20" t="s">
        <v>161</v>
      </c>
      <c r="C5" s="13" t="s">
        <v>162</v>
      </c>
      <c r="E5" s="4" t="s">
        <v>163</v>
      </c>
      <c r="F5" s="11" t="s">
        <v>164</v>
      </c>
      <c r="G5" s="21" t="n">
        <f aca="false">Einstellungen!$B$10</f>
        <v>0.081</v>
      </c>
      <c r="H5" s="11" t="s">
        <v>165</v>
      </c>
    </row>
    <row r="6" customFormat="false" ht="15" hidden="false" customHeight="false" outlineLevel="0" collapsed="false">
      <c r="A6" s="11" t="s">
        <v>166</v>
      </c>
      <c r="B6" s="20" t="s">
        <v>167</v>
      </c>
      <c r="C6" s="13" t="s">
        <v>162</v>
      </c>
      <c r="E6" s="4" t="s">
        <v>168</v>
      </c>
      <c r="F6" s="11" t="s">
        <v>169</v>
      </c>
      <c r="G6" s="21" t="n">
        <f aca="false">Einstellungen!$B$11</f>
        <v>0.026</v>
      </c>
      <c r="H6" s="11" t="s">
        <v>165</v>
      </c>
    </row>
    <row r="7" customFormat="false" ht="15" hidden="false" customHeight="false" outlineLevel="0" collapsed="false">
      <c r="A7" s="11" t="s">
        <v>170</v>
      </c>
      <c r="B7" s="22" t="n">
        <v>2026</v>
      </c>
      <c r="C7" s="13"/>
      <c r="E7" s="4" t="s">
        <v>171</v>
      </c>
      <c r="F7" s="11" t="s">
        <v>172</v>
      </c>
      <c r="G7" s="23" t="n">
        <v>0</v>
      </c>
      <c r="H7" s="11" t="s">
        <v>165</v>
      </c>
    </row>
    <row r="8" customFormat="false" ht="15" hidden="false" customHeight="false" outlineLevel="0" collapsed="false">
      <c r="A8" s="11" t="s">
        <v>173</v>
      </c>
      <c r="B8" s="20" t="s">
        <v>174</v>
      </c>
      <c r="C8" s="13" t="s">
        <v>175</v>
      </c>
      <c r="E8" s="4" t="s">
        <v>176</v>
      </c>
      <c r="F8" s="11" t="s">
        <v>177</v>
      </c>
      <c r="G8" s="21" t="n">
        <f aca="false">Einstellungen!$B$10</f>
        <v>0.081</v>
      </c>
      <c r="H8" s="11" t="s">
        <v>178</v>
      </c>
    </row>
    <row r="9" customFormat="false" ht="15" hidden="false" customHeight="false" outlineLevel="0" collapsed="false">
      <c r="A9" s="11" t="s">
        <v>179</v>
      </c>
      <c r="B9" s="20" t="s">
        <v>180</v>
      </c>
      <c r="C9" s="13" t="s">
        <v>181</v>
      </c>
      <c r="E9" s="4" t="s">
        <v>182</v>
      </c>
      <c r="F9" s="11" t="s">
        <v>183</v>
      </c>
      <c r="G9" s="21" t="n">
        <f aca="false">Einstellungen!$B$11</f>
        <v>0.026</v>
      </c>
      <c r="H9" s="11" t="s">
        <v>178</v>
      </c>
    </row>
    <row r="10" customFormat="false" ht="15" hidden="false" customHeight="false" outlineLevel="0" collapsed="false">
      <c r="A10" s="11" t="s">
        <v>184</v>
      </c>
      <c r="B10" s="24" t="n">
        <v>0.081</v>
      </c>
      <c r="C10" s="13" t="s">
        <v>185</v>
      </c>
      <c r="E10" s="4" t="s">
        <v>186</v>
      </c>
      <c r="F10" s="11" t="s">
        <v>187</v>
      </c>
      <c r="G10" s="21" t="n">
        <f aca="false">Einstellungen!$B$10</f>
        <v>0.081</v>
      </c>
      <c r="H10" s="11" t="s">
        <v>178</v>
      </c>
    </row>
    <row r="11" customFormat="false" ht="15" hidden="false" customHeight="false" outlineLevel="0" collapsed="false">
      <c r="A11" s="11" t="s">
        <v>188</v>
      </c>
      <c r="B11" s="24" t="n">
        <v>0.026</v>
      </c>
      <c r="C11" s="13" t="s">
        <v>189</v>
      </c>
      <c r="E11" s="4" t="s">
        <v>190</v>
      </c>
      <c r="F11" s="11" t="s">
        <v>191</v>
      </c>
      <c r="G11" s="23" t="n">
        <v>0</v>
      </c>
      <c r="H11" s="11" t="s">
        <v>190</v>
      </c>
    </row>
    <row r="12" customFormat="false" ht="15" hidden="false" customHeight="false" outlineLevel="0" collapsed="false">
      <c r="A12" s="11" t="s">
        <v>192</v>
      </c>
      <c r="B12" s="25" t="n">
        <v>0.03</v>
      </c>
      <c r="C12" s="13" t="s">
        <v>193</v>
      </c>
    </row>
    <row r="13" customFormat="false" ht="15" hidden="false" customHeight="false" outlineLevel="0" collapsed="false">
      <c r="A13" s="11" t="s">
        <v>194</v>
      </c>
      <c r="B13" s="25" t="n">
        <v>0.006</v>
      </c>
      <c r="C13" s="13" t="s">
        <v>195</v>
      </c>
    </row>
    <row r="14" customFormat="false" ht="31.5" hidden="false" customHeight="true" outlineLevel="0" collapsed="false">
      <c r="E14" s="10" t="s">
        <v>196</v>
      </c>
      <c r="F14" s="10" t="s">
        <v>197</v>
      </c>
      <c r="G14" s="10" t="s">
        <v>198</v>
      </c>
    </row>
    <row r="15" customFormat="false" ht="15" hidden="false" customHeight="false" outlineLevel="0" collapsed="false">
      <c r="A15" s="11" t="s">
        <v>199</v>
      </c>
      <c r="B15" s="24" t="n">
        <v>0.1</v>
      </c>
      <c r="C15" s="13" t="s">
        <v>200</v>
      </c>
      <c r="E15" s="11" t="s">
        <v>201</v>
      </c>
      <c r="F15" s="24" t="n">
        <v>0.3</v>
      </c>
      <c r="G15" s="13" t="s">
        <v>202</v>
      </c>
    </row>
    <row r="16" customFormat="false" ht="15" hidden="false" customHeight="false" outlineLevel="0" collapsed="false">
      <c r="A16" s="11" t="s">
        <v>203</v>
      </c>
      <c r="B16" s="26" t="n">
        <v>60500</v>
      </c>
      <c r="C16" s="13" t="s">
        <v>204</v>
      </c>
      <c r="E16" s="11" t="s">
        <v>205</v>
      </c>
      <c r="F16" s="24" t="n">
        <v>0.45</v>
      </c>
      <c r="G16" s="13" t="s">
        <v>202</v>
      </c>
    </row>
    <row r="17" customFormat="false" ht="15" hidden="false" customHeight="false" outlineLevel="0" collapsed="false">
      <c r="A17" s="11" t="s">
        <v>206</v>
      </c>
      <c r="B17" s="26" t="n">
        <v>10100</v>
      </c>
      <c r="C17" s="13" t="s">
        <v>204</v>
      </c>
      <c r="E17" s="11" t="s">
        <v>207</v>
      </c>
      <c r="F17" s="24" t="n">
        <v>0.4</v>
      </c>
      <c r="G17" s="13" t="s">
        <v>202</v>
      </c>
    </row>
    <row r="18" customFormat="false" ht="15" hidden="false" customHeight="false" outlineLevel="0" collapsed="false">
      <c r="A18" s="11" t="s">
        <v>208</v>
      </c>
      <c r="B18" s="27" t="n">
        <v>0.05371</v>
      </c>
      <c r="C18" s="13" t="s">
        <v>204</v>
      </c>
      <c r="E18" s="11" t="s">
        <v>209</v>
      </c>
      <c r="F18" s="24" t="n">
        <v>0.25</v>
      </c>
      <c r="G18" s="13" t="s">
        <v>202</v>
      </c>
    </row>
    <row r="19" customFormat="false" ht="15" hidden="false" customHeight="false" outlineLevel="0" collapsed="false">
      <c r="A19" s="11" t="s">
        <v>210</v>
      </c>
      <c r="B19" s="26" t="n">
        <v>530</v>
      </c>
      <c r="C19" s="13" t="s">
        <v>204</v>
      </c>
      <c r="E19" s="11" t="s">
        <v>211</v>
      </c>
      <c r="F19" s="24" t="n">
        <v>0.4</v>
      </c>
      <c r="G19" s="13" t="s">
        <v>202</v>
      </c>
    </row>
    <row r="20" customFormat="false" ht="15" hidden="false" customHeight="false" outlineLevel="0" collapsed="false">
      <c r="A20" s="11" t="s">
        <v>212</v>
      </c>
      <c r="B20" s="25" t="n">
        <v>0.03</v>
      </c>
      <c r="C20" s="13" t="s">
        <v>213</v>
      </c>
      <c r="E20" s="11" t="s">
        <v>214</v>
      </c>
      <c r="F20" s="24" t="n">
        <v>0.04</v>
      </c>
      <c r="G20" s="13" t="s">
        <v>202</v>
      </c>
    </row>
    <row r="21" customFormat="false" ht="15" hidden="false" customHeight="false" outlineLevel="0" collapsed="false">
      <c r="A21" s="11" t="s">
        <v>215</v>
      </c>
      <c r="B21" s="25" t="n">
        <v>0.012</v>
      </c>
      <c r="C21" s="13" t="s">
        <v>216</v>
      </c>
    </row>
    <row r="22" customFormat="false" ht="15" hidden="false" customHeight="false" outlineLevel="0" collapsed="false">
      <c r="A22" s="11" t="s">
        <v>217</v>
      </c>
      <c r="B22" s="25" t="n">
        <v>0.015</v>
      </c>
      <c r="C22" s="13" t="s">
        <v>218</v>
      </c>
    </row>
    <row r="24" customFormat="false" ht="15" hidden="false" customHeight="false" outlineLevel="0" collapsed="false">
      <c r="A24" s="11" t="s">
        <v>219</v>
      </c>
      <c r="B24" s="24" t="n">
        <v>1.04</v>
      </c>
      <c r="C24" s="13" t="s">
        <v>220</v>
      </c>
    </row>
    <row r="25" customFormat="false" ht="15" hidden="false" customHeight="false" outlineLevel="0" collapsed="false">
      <c r="A25" s="11" t="s">
        <v>221</v>
      </c>
      <c r="B25" s="24" t="n">
        <v>0.92</v>
      </c>
      <c r="C25" s="13" t="s">
        <v>222</v>
      </c>
    </row>
    <row r="26" customFormat="false" ht="15" hidden="false" customHeight="false" outlineLevel="0" collapsed="false">
      <c r="A26" s="11" t="s">
        <v>223</v>
      </c>
      <c r="B26" s="25" t="n">
        <v>0</v>
      </c>
      <c r="C26" s="13" t="s">
        <v>224</v>
      </c>
    </row>
    <row r="27" customFormat="false" ht="15" hidden="false" customHeight="false" outlineLevel="0" collapsed="false">
      <c r="A27" s="11" t="s">
        <v>225</v>
      </c>
      <c r="B27" s="25" t="n">
        <v>0.07</v>
      </c>
      <c r="C27" s="13" t="s">
        <v>226</v>
      </c>
    </row>
    <row r="28" customFormat="false" ht="15" hidden="false" customHeight="false" outlineLevel="0" collapsed="false">
      <c r="A28" s="11" t="s">
        <v>227</v>
      </c>
      <c r="B28" s="25" t="n">
        <v>0.02</v>
      </c>
      <c r="C28" s="13" t="s">
        <v>228</v>
      </c>
    </row>
    <row r="29" customFormat="false" ht="15" hidden="false" customHeight="false" outlineLevel="0" collapsed="false">
      <c r="A29" s="11" t="s">
        <v>229</v>
      </c>
      <c r="B29" s="26" t="n">
        <v>36288</v>
      </c>
      <c r="C29" s="13" t="s">
        <v>230</v>
      </c>
    </row>
    <row r="30" customFormat="false" ht="15" hidden="false" customHeight="false" outlineLevel="0" collapsed="false">
      <c r="A30" s="11" t="s">
        <v>231</v>
      </c>
      <c r="B30" s="24" t="n">
        <v>0.009</v>
      </c>
      <c r="C30" s="13" t="s">
        <v>232</v>
      </c>
    </row>
    <row r="32" customFormat="false" ht="15" hidden="false" customHeight="false" outlineLevel="0" collapsed="false">
      <c r="A32" s="11" t="s">
        <v>233</v>
      </c>
      <c r="B32" s="24" t="n">
        <v>0.053</v>
      </c>
      <c r="C32" s="13" t="s">
        <v>234</v>
      </c>
    </row>
    <row r="33" customFormat="false" ht="15" hidden="false" customHeight="false" outlineLevel="0" collapsed="false">
      <c r="A33" s="11" t="s">
        <v>235</v>
      </c>
      <c r="B33" s="24" t="n">
        <v>0.053</v>
      </c>
      <c r="C33" s="13" t="s">
        <v>204</v>
      </c>
    </row>
    <row r="34" customFormat="false" ht="15" hidden="false" customHeight="false" outlineLevel="0" collapsed="false">
      <c r="A34" s="11" t="s">
        <v>236</v>
      </c>
      <c r="B34" s="24" t="n">
        <v>0.011</v>
      </c>
      <c r="C34" s="13" t="s">
        <v>237</v>
      </c>
    </row>
    <row r="35" customFormat="false" ht="15" hidden="false" customHeight="false" outlineLevel="0" collapsed="false">
      <c r="A35" s="11" t="s">
        <v>238</v>
      </c>
      <c r="B35" s="26" t="n">
        <v>148200</v>
      </c>
      <c r="C35" s="13" t="s">
        <v>204</v>
      </c>
    </row>
    <row r="36" customFormat="false" ht="15" hidden="false" customHeight="false" outlineLevel="0" collapsed="false">
      <c r="A36" s="11" t="s">
        <v>239</v>
      </c>
      <c r="B36" s="25" t="n">
        <v>0.015</v>
      </c>
      <c r="C36" s="13" t="s">
        <v>240</v>
      </c>
    </row>
    <row r="37" customFormat="false" ht="15" hidden="false" customHeight="false" outlineLevel="0" collapsed="false">
      <c r="A37" s="11" t="s">
        <v>241</v>
      </c>
      <c r="B37" s="25" t="n">
        <v>0.02</v>
      </c>
      <c r="C37" s="13" t="s">
        <v>242</v>
      </c>
    </row>
    <row r="38" customFormat="false" ht="15" hidden="false" customHeight="false" outlineLevel="0" collapsed="false">
      <c r="A38" s="11" t="s">
        <v>243</v>
      </c>
      <c r="B38" s="25" t="n">
        <v>0.006</v>
      </c>
      <c r="C38" s="13" t="s">
        <v>244</v>
      </c>
    </row>
    <row r="39" customFormat="false" ht="15" hidden="false" customHeight="false" outlineLevel="0" collapsed="false">
      <c r="A39" s="11" t="s">
        <v>245</v>
      </c>
      <c r="B39" s="25" t="n">
        <v>0.016</v>
      </c>
      <c r="C39" s="13" t="s">
        <v>246</v>
      </c>
    </row>
    <row r="40" customFormat="false" ht="15" hidden="false" customHeight="false" outlineLevel="0" collapsed="false">
      <c r="A40" s="11" t="s">
        <v>247</v>
      </c>
      <c r="B40" s="22" t="n">
        <v>30</v>
      </c>
      <c r="C40" s="13" t="s">
        <v>162</v>
      </c>
    </row>
  </sheetData>
  <dataValidations count="2">
    <dataValidation allowBlank="false" errorStyle="stop" operator="between" showDropDown="false" showErrorMessage="false" showInputMessage="false" sqref="B8" type="list">
      <formula1>"Ja,Nein"</formula1>
      <formula2>0</formula2>
    </dataValidation>
    <dataValidation allowBlank="false" errorStyle="stop" operator="between" showDropDown="false" showErrorMessage="false" showInputMessage="false" sqref="B9" type="list">
      <formula1>"Saldo,Effektiv"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5"/>
    <col collapsed="false" customWidth="true" hidden="false" outlineLevel="0" max="10" min="8" style="0" width="14"/>
    <col collapsed="false" customWidth="true" hidden="false" outlineLevel="0" max="11" min="11" style="0" width="15"/>
    <col collapsed="false" customWidth="true" hidden="false" outlineLevel="0" max="12" min="12" style="0" width="2"/>
    <col collapsed="false" customWidth="true" hidden="false" outlineLevel="0" max="13" min="13" style="0" width="20"/>
    <col collapsed="false" customWidth="true" hidden="false" outlineLevel="0" max="14" min="14" style="0" width="34"/>
  </cols>
  <sheetData>
    <row r="1" customFormat="false" ht="19.7" hidden="false" customHeight="false" outlineLevel="0" collapsed="false">
      <c r="A1" s="1" t="s">
        <v>248</v>
      </c>
    </row>
    <row r="2" customFormat="false" ht="15" hidden="false" customHeight="false" outlineLevel="0" collapsed="false">
      <c r="A2" s="2" t="s">
        <v>249</v>
      </c>
    </row>
    <row r="4" customFormat="false" ht="31.5" hidden="false" customHeight="true" outlineLevel="0" collapsed="false">
      <c r="A4" s="10" t="s">
        <v>250</v>
      </c>
      <c r="B4" s="10" t="s">
        <v>251</v>
      </c>
      <c r="C4" s="10" t="s">
        <v>252</v>
      </c>
      <c r="D4" s="10" t="s">
        <v>253</v>
      </c>
      <c r="E4" s="10" t="s">
        <v>254</v>
      </c>
      <c r="F4" s="10" t="s">
        <v>255</v>
      </c>
      <c r="G4" s="10" t="s">
        <v>256</v>
      </c>
      <c r="H4" s="10" t="s">
        <v>257</v>
      </c>
      <c r="I4" s="10" t="s">
        <v>258</v>
      </c>
      <c r="J4" s="10" t="s">
        <v>259</v>
      </c>
      <c r="K4" s="10" t="s">
        <v>180</v>
      </c>
      <c r="M4" s="4" t="s">
        <v>260</v>
      </c>
    </row>
    <row r="5" customFormat="false" ht="15" hidden="false" customHeight="false" outlineLevel="0" collapsed="false">
      <c r="A5" s="28" t="n">
        <v>1000</v>
      </c>
      <c r="B5" s="29" t="s">
        <v>261</v>
      </c>
      <c r="C5" s="29" t="s">
        <v>262</v>
      </c>
      <c r="D5" s="29" t="s">
        <v>263</v>
      </c>
      <c r="E5" s="29"/>
      <c r="F5" s="29"/>
      <c r="G5" s="30" t="n">
        <v>2000</v>
      </c>
      <c r="H5" s="31" t="n">
        <f aca="false">IF($A5="",0,SUMIFS(Journal!$M$5:$M$1504,Journal!$D$5:$D$1504,$A5)+IF($A5=1170,SUMIFS(Journal!$K$5:$K$1504,Journal!$J$5:$J$1504,"V",Journal!$G$5:$G$1504,"&lt;&gt;VI81"),0)+IF($A5=1171,SUMIFS(Journal!$K$5:$K$1504,Journal!$J$5:$J$1504,"V",Journal!$G$5:$G$1504,"VI81"),0))</f>
        <v>120</v>
      </c>
      <c r="I5" s="31" t="n">
        <f aca="false">IF($A5="",0,SUMIFS(Journal!$N$5:$N$1504,Journal!$E$5:$E$1504,$A5)+IF($A5=2200,SUMIFS(Journal!$K$5:$K$1504,Journal!$J$5:$J$1504,"U"),0))</f>
        <v>0</v>
      </c>
      <c r="J5" s="31" t="n">
        <f aca="false">IF($A5="",0,IF($A5=3809,-MWST!$H$13,IF($A5=2200,MWST!$H$13,IF($A5=6800,Anlagen!$J$3,-SUMIF(Anlagen!$B$6:$B$105,$A5,Anlagen!$J$6:$J$105)))))</f>
        <v>-0</v>
      </c>
      <c r="K5" s="12" t="n">
        <f aca="false">IF($A5="","",IF(OR($C5="Aktiv",$C5="Aufwand"),$G5+$H5-$I5+$J5,$G5+$I5-$H5+$J5))</f>
        <v>2120</v>
      </c>
      <c r="M5" s="14" t="s">
        <v>264</v>
      </c>
      <c r="N5" s="31" t="n">
        <f aca="false">SUMIFS(Kontenplan!$G$5:$G$90,Kontenplan!$C$5:$C$90,"Aktiv")</f>
        <v>162000</v>
      </c>
    </row>
    <row r="6" customFormat="false" ht="15" hidden="false" customHeight="false" outlineLevel="0" collapsed="false">
      <c r="A6" s="28" t="n">
        <v>1020</v>
      </c>
      <c r="B6" s="29" t="s">
        <v>265</v>
      </c>
      <c r="C6" s="29" t="s">
        <v>262</v>
      </c>
      <c r="D6" s="29" t="s">
        <v>263</v>
      </c>
      <c r="E6" s="29"/>
      <c r="F6" s="29"/>
      <c r="G6" s="30" t="n">
        <v>45000</v>
      </c>
      <c r="H6" s="31" t="n">
        <f aca="false">IF($A6="",0,SUMIFS(Journal!$M$5:$M$1504,Journal!$D$5:$D$1504,$A6)+IF($A6=1170,SUMIFS(Journal!$K$5:$K$1504,Journal!$J$5:$J$1504,"V",Journal!$G$5:$G$1504,"&lt;&gt;VI81"),0)+IF($A6=1171,SUMIFS(Journal!$K$5:$K$1504,Journal!$J$5:$J$1504,"V",Journal!$G$5:$G$1504,"VI81"),0))</f>
        <v>18386.3</v>
      </c>
      <c r="I6" s="31" t="n">
        <f aca="false">IF($A6="",0,SUMIFS(Journal!$N$5:$N$1504,Journal!$E$5:$E$1504,$A6)+IF($A6=2200,SUMIFS(Journal!$K$5:$K$1504,Journal!$J$5:$J$1504,"U"),0))</f>
        <v>27661.6</v>
      </c>
      <c r="J6" s="31" t="n">
        <f aca="false">IF($A6="",0,IF($A6=3809,-MWST!$H$13,IF($A6=2200,MWST!$H$13,IF($A6=6800,Anlagen!$J$3,-SUMIF(Anlagen!$B$6:$B$105,$A6,Anlagen!$J$6:$J$105)))))</f>
        <v>-0</v>
      </c>
      <c r="K6" s="12" t="n">
        <f aca="false">IF($A6="","",IF(OR($C6="Aktiv",$C6="Aufwand"),$G6+$H6-$I6+$J6,$G6+$I6-$H6+$J6))</f>
        <v>35724.7</v>
      </c>
      <c r="M6" s="14" t="s">
        <v>266</v>
      </c>
      <c r="N6" s="31" t="n">
        <f aca="false">SUMIFS(Kontenplan!$G$5:$G$90,Kontenplan!$C$5:$C$90,"Passiv")</f>
        <v>162000</v>
      </c>
    </row>
    <row r="7" customFormat="false" ht="15" hidden="false" customHeight="false" outlineLevel="0" collapsed="false">
      <c r="A7" s="28" t="n">
        <v>1100</v>
      </c>
      <c r="B7" s="29" t="s">
        <v>267</v>
      </c>
      <c r="C7" s="29" t="s">
        <v>262</v>
      </c>
      <c r="D7" s="29" t="s">
        <v>263</v>
      </c>
      <c r="E7" s="29"/>
      <c r="F7" s="29"/>
      <c r="G7" s="30" t="n">
        <v>0</v>
      </c>
      <c r="H7" s="31" t="n">
        <f aca="false">IF($A7="",0,SUMIFS(Journal!$M$5:$M$1504,Journal!$D$5:$D$1504,$A7)+IF($A7=1170,SUMIFS(Journal!$K$5:$K$1504,Journal!$J$5:$J$1504,"V",Journal!$G$5:$G$1504,"&lt;&gt;VI81"),0)+IF($A7=1171,SUMIFS(Journal!$K$5:$K$1504,Journal!$J$5:$J$1504,"V",Journal!$G$5:$G$1504,"VI81"),0))</f>
        <v>2486.3</v>
      </c>
      <c r="I7" s="31" t="n">
        <f aca="false">IF($A7="",0,SUMIFS(Journal!$N$5:$N$1504,Journal!$E$5:$E$1504,$A7)+IF($A7=2200,SUMIFS(Journal!$K$5:$K$1504,Journal!$J$5:$J$1504,"U"),0))</f>
        <v>2486.3</v>
      </c>
      <c r="J7" s="31" t="n">
        <f aca="false">IF($A7="",0,IF($A7=3809,-MWST!$H$13,IF($A7=2200,MWST!$H$13,IF($A7=6800,Anlagen!$J$3,-SUMIF(Anlagen!$B$6:$B$105,$A7,Anlagen!$J$6:$J$105)))))</f>
        <v>-0</v>
      </c>
      <c r="K7" s="12" t="n">
        <f aca="false">IF($A7="","",IF(OR($C7="Aktiv",$C7="Aufwand"),$G7+$H7-$I7+$J7,$G7+$I7-$H7+$J7))</f>
        <v>0</v>
      </c>
      <c r="M7" s="14" t="s">
        <v>268</v>
      </c>
      <c r="N7" s="31" t="n">
        <f aca="false">N5-N6</f>
        <v>0</v>
      </c>
    </row>
    <row r="8" customFormat="false" ht="15" hidden="false" customHeight="false" outlineLevel="0" collapsed="false">
      <c r="A8" s="28" t="n">
        <v>1170</v>
      </c>
      <c r="B8" s="29" t="s">
        <v>269</v>
      </c>
      <c r="C8" s="29" t="s">
        <v>262</v>
      </c>
      <c r="D8" s="29" t="s">
        <v>263</v>
      </c>
      <c r="E8" s="29"/>
      <c r="F8" s="29"/>
      <c r="G8" s="30" t="n">
        <v>0</v>
      </c>
      <c r="H8" s="31" t="n">
        <f aca="false">IF($A8="",0,SUMIFS(Journal!$M$5:$M$1504,Journal!$D$5:$D$1504,$A8)+IF($A8=1170,SUMIFS(Journal!$K$5:$K$1504,Journal!$J$5:$J$1504,"V",Journal!$G$5:$G$1504,"&lt;&gt;VI81"),0)+IF($A8=1171,SUMIFS(Journal!$K$5:$K$1504,Journal!$J$5:$J$1504,"V",Journal!$G$5:$G$1504,"VI81"),0))</f>
        <v>0</v>
      </c>
      <c r="I8" s="31" t="n">
        <f aca="false">IF($A8="",0,SUMIFS(Journal!$N$5:$N$1504,Journal!$E$5:$E$1504,$A8)+IF($A8=2200,SUMIFS(Journal!$K$5:$K$1504,Journal!$J$5:$J$1504,"U"),0))</f>
        <v>0</v>
      </c>
      <c r="J8" s="31" t="n">
        <f aca="false">IF($A8="",0,IF($A8=3809,-MWST!$H$13,IF($A8=2200,MWST!$H$13,IF($A8=6800,Anlagen!$J$3,-SUMIF(Anlagen!$B$6:$B$105,$A8,Anlagen!$J$6:$J$105)))))</f>
        <v>-0</v>
      </c>
      <c r="K8" s="12" t="n">
        <f aca="false">IF($A8="","",IF(OR($C8="Aktiv",$C8="Aufwand"),$G8+$H8-$I8+$J8,$G8+$I8-$H8+$J8))</f>
        <v>0</v>
      </c>
      <c r="M8" s="14" t="s">
        <v>270</v>
      </c>
      <c r="N8" s="4" t="str">
        <f aca="false">IF(ABS(N7)&lt;0.01,"Eröffnungsbilanz ausgeglichen ✓","ACHTUNG: Eröffnung nicht ausgeglichen")</f>
        <v>Eröffnungsbilanz ausgeglichen ✓</v>
      </c>
    </row>
    <row r="9" customFormat="false" ht="15" hidden="false" customHeight="false" outlineLevel="0" collapsed="false">
      <c r="A9" s="28" t="n">
        <v>1171</v>
      </c>
      <c r="B9" s="29" t="s">
        <v>271</v>
      </c>
      <c r="C9" s="29" t="s">
        <v>262</v>
      </c>
      <c r="D9" s="29" t="s">
        <v>263</v>
      </c>
      <c r="E9" s="29"/>
      <c r="F9" s="29"/>
      <c r="G9" s="30" t="n">
        <v>0</v>
      </c>
      <c r="H9" s="31" t="n">
        <f aca="false">IF($A9="",0,SUMIFS(Journal!$M$5:$M$1504,Journal!$D$5:$D$1504,$A9)+IF($A9=1170,SUMIFS(Journal!$K$5:$K$1504,Journal!$J$5:$J$1504,"V",Journal!$G$5:$G$1504,"&lt;&gt;VI81"),0)+IF($A9=1171,SUMIFS(Journal!$K$5:$K$1504,Journal!$J$5:$J$1504,"V",Journal!$G$5:$G$1504,"VI81"),0))</f>
        <v>0</v>
      </c>
      <c r="I9" s="31" t="n">
        <f aca="false">IF($A9="",0,SUMIFS(Journal!$N$5:$N$1504,Journal!$E$5:$E$1504,$A9)+IF($A9=2200,SUMIFS(Journal!$K$5:$K$1504,Journal!$J$5:$J$1504,"U"),0))</f>
        <v>0</v>
      </c>
      <c r="J9" s="31" t="n">
        <f aca="false">IF($A9="",0,IF($A9=3809,-MWST!$H$13,IF($A9=2200,MWST!$H$13,IF($A9=6800,Anlagen!$J$3,-SUMIF(Anlagen!$B$6:$B$105,$A9,Anlagen!$J$6:$J$105)))))</f>
        <v>-0</v>
      </c>
      <c r="K9" s="12" t="n">
        <f aca="false">IF($A9="","",IF(OR($C9="Aktiv",$C9="Aufwand"),$G9+$H9-$I9+$J9,$G9+$I9-$H9+$J9))</f>
        <v>0</v>
      </c>
    </row>
    <row r="10" customFormat="false" ht="15" hidden="false" customHeight="false" outlineLevel="0" collapsed="false">
      <c r="A10" s="28" t="n">
        <v>1200</v>
      </c>
      <c r="B10" s="29" t="s">
        <v>272</v>
      </c>
      <c r="C10" s="29" t="s">
        <v>262</v>
      </c>
      <c r="D10" s="29" t="s">
        <v>263</v>
      </c>
      <c r="E10" s="29"/>
      <c r="F10" s="29"/>
      <c r="G10" s="30" t="n">
        <v>18000</v>
      </c>
      <c r="H10" s="31" t="n">
        <f aca="false">IF($A10="",0,SUMIFS(Journal!$M$5:$M$1504,Journal!$D$5:$D$1504,$A10)+IF($A10=1170,SUMIFS(Journal!$K$5:$K$1504,Journal!$J$5:$J$1504,"V",Journal!$G$5:$G$1504,"&lt;&gt;VI81"),0)+IF($A10=1171,SUMIFS(Journal!$K$5:$K$1504,Journal!$J$5:$J$1504,"V",Journal!$G$5:$G$1504,"VI81"),0))</f>
        <v>0</v>
      </c>
      <c r="I10" s="31" t="n">
        <f aca="false">IF($A10="",0,SUMIFS(Journal!$N$5:$N$1504,Journal!$E$5:$E$1504,$A10)+IF($A10=2200,SUMIFS(Journal!$K$5:$K$1504,Journal!$J$5:$J$1504,"U"),0))</f>
        <v>0</v>
      </c>
      <c r="J10" s="31" t="n">
        <f aca="false">IF($A10="",0,IF($A10=3809,-MWST!$H$13,IF($A10=2200,MWST!$H$13,IF($A10=6800,Anlagen!$J$3,-SUMIF(Anlagen!$B$6:$B$105,$A10,Anlagen!$J$6:$J$105)))))</f>
        <v>-0</v>
      </c>
      <c r="K10" s="12" t="n">
        <f aca="false">IF($A10="","",IF(OR($C10="Aktiv",$C10="Aufwand"),$G10+$H10-$I10+$J10,$G10+$I10-$H10+$J10))</f>
        <v>18000</v>
      </c>
      <c r="M10" s="9" t="s">
        <v>273</v>
      </c>
    </row>
    <row r="11" customFormat="false" ht="15" hidden="false" customHeight="false" outlineLevel="0" collapsed="false">
      <c r="A11" s="28" t="n">
        <v>1210</v>
      </c>
      <c r="B11" s="29" t="s">
        <v>274</v>
      </c>
      <c r="C11" s="29" t="s">
        <v>262</v>
      </c>
      <c r="D11" s="29" t="s">
        <v>263</v>
      </c>
      <c r="E11" s="29"/>
      <c r="F11" s="29"/>
      <c r="G11" s="30" t="n">
        <v>0</v>
      </c>
      <c r="H11" s="31" t="n">
        <f aca="false">IF($A11="",0,SUMIFS(Journal!$M$5:$M$1504,Journal!$D$5:$D$1504,$A11)+IF($A11=1170,SUMIFS(Journal!$K$5:$K$1504,Journal!$J$5:$J$1504,"V",Journal!$G$5:$G$1504,"&lt;&gt;VI81"),0)+IF($A11=1171,SUMIFS(Journal!$K$5:$K$1504,Journal!$J$5:$J$1504,"V",Journal!$G$5:$G$1504,"VI81"),0))</f>
        <v>0</v>
      </c>
      <c r="I11" s="31" t="n">
        <f aca="false">IF($A11="",0,SUMIFS(Journal!$N$5:$N$1504,Journal!$E$5:$E$1504,$A11)+IF($A11=2200,SUMIFS(Journal!$K$5:$K$1504,Journal!$J$5:$J$1504,"U"),0))</f>
        <v>0</v>
      </c>
      <c r="J11" s="31" t="n">
        <f aca="false">IF($A11="",0,IF($A11=3809,-MWST!$H$13,IF($A11=2200,MWST!$H$13,IF($A11=6800,Anlagen!$J$3,-SUMIF(Anlagen!$B$6:$B$105,$A11,Anlagen!$J$6:$J$105)))))</f>
        <v>-0</v>
      </c>
      <c r="K11" s="12" t="n">
        <f aca="false">IF($A11="","",IF(OR($C11="Aktiv",$C11="Aufwand"),$G11+$H11-$I11+$J11,$G11+$I11-$H11+$J11))</f>
        <v>0</v>
      </c>
      <c r="M11" s="9" t="s">
        <v>275</v>
      </c>
    </row>
    <row r="12" customFormat="false" ht="15" hidden="false" customHeight="false" outlineLevel="0" collapsed="false">
      <c r="A12" s="28" t="n">
        <v>1300</v>
      </c>
      <c r="B12" s="29" t="s">
        <v>276</v>
      </c>
      <c r="C12" s="29" t="s">
        <v>262</v>
      </c>
      <c r="D12" s="29" t="s">
        <v>263</v>
      </c>
      <c r="E12" s="29"/>
      <c r="F12" s="29"/>
      <c r="G12" s="30" t="n">
        <v>0</v>
      </c>
      <c r="H12" s="31" t="n">
        <f aca="false">IF($A12="",0,SUMIFS(Journal!$M$5:$M$1504,Journal!$D$5:$D$1504,$A12)+IF($A12=1170,SUMIFS(Journal!$K$5:$K$1504,Journal!$J$5:$J$1504,"V",Journal!$G$5:$G$1504,"&lt;&gt;VI81"),0)+IF($A12=1171,SUMIFS(Journal!$K$5:$K$1504,Journal!$J$5:$J$1504,"V",Journal!$G$5:$G$1504,"VI81"),0))</f>
        <v>0</v>
      </c>
      <c r="I12" s="31" t="n">
        <f aca="false">IF($A12="",0,SUMIFS(Journal!$N$5:$N$1504,Journal!$E$5:$E$1504,$A12)+IF($A12=2200,SUMIFS(Journal!$K$5:$K$1504,Journal!$J$5:$J$1504,"U"),0))</f>
        <v>0</v>
      </c>
      <c r="J12" s="31" t="n">
        <f aca="false">IF($A12="",0,IF($A12=3809,-MWST!$H$13,IF($A12=2200,MWST!$H$13,IF($A12=6800,Anlagen!$J$3,-SUMIF(Anlagen!$B$6:$B$105,$A12,Anlagen!$J$6:$J$105)))))</f>
        <v>-0</v>
      </c>
      <c r="K12" s="12" t="n">
        <f aca="false">IF($A12="","",IF(OR($C12="Aktiv",$C12="Aufwand"),$G12+$H12-$I12+$J12,$G12+$I12-$H12+$J12))</f>
        <v>0</v>
      </c>
      <c r="M12" s="9" t="s">
        <v>277</v>
      </c>
    </row>
    <row r="13" customFormat="false" ht="15" hidden="false" customHeight="false" outlineLevel="0" collapsed="false">
      <c r="A13" s="28" t="n">
        <v>1500</v>
      </c>
      <c r="B13" s="29" t="s">
        <v>278</v>
      </c>
      <c r="C13" s="29" t="s">
        <v>262</v>
      </c>
      <c r="D13" s="29" t="s">
        <v>279</v>
      </c>
      <c r="E13" s="29"/>
      <c r="F13" s="29"/>
      <c r="G13" s="30" t="n">
        <v>60000</v>
      </c>
      <c r="H13" s="31" t="n">
        <f aca="false">IF($A13="",0,SUMIFS(Journal!$M$5:$M$1504,Journal!$D$5:$D$1504,$A13)+IF($A13=1170,SUMIFS(Journal!$K$5:$K$1504,Journal!$J$5:$J$1504,"V",Journal!$G$5:$G$1504,"&lt;&gt;VI81"),0)+IF($A13=1171,SUMIFS(Journal!$K$5:$K$1504,Journal!$J$5:$J$1504,"V",Journal!$G$5:$G$1504,"VI81"),0))</f>
        <v>0</v>
      </c>
      <c r="I13" s="31" t="n">
        <f aca="false">IF($A13="",0,SUMIFS(Journal!$N$5:$N$1504,Journal!$E$5:$E$1504,$A13)+IF($A13=2200,SUMIFS(Journal!$K$5:$K$1504,Journal!$J$5:$J$1504,"U"),0))</f>
        <v>0</v>
      </c>
      <c r="J13" s="31" t="n">
        <f aca="false">IF($A13="",0,IF($A13=3809,-MWST!$H$13,IF($A13=2200,MWST!$H$13,IF($A13=6800,Anlagen!$J$3,-SUMIF(Anlagen!$B$6:$B$105,$A13,Anlagen!$J$6:$J$105)))))</f>
        <v>-18000</v>
      </c>
      <c r="K13" s="12" t="n">
        <f aca="false">IF($A13="","",IF(OR($C13="Aktiv",$C13="Aufwand"),$G13+$H13-$I13+$J13,$G13+$I13-$H13+$J13))</f>
        <v>42000</v>
      </c>
      <c r="M13" s="9" t="s">
        <v>280</v>
      </c>
    </row>
    <row r="14" customFormat="false" ht="15" hidden="false" customHeight="false" outlineLevel="0" collapsed="false">
      <c r="A14" s="28" t="n">
        <v>1510</v>
      </c>
      <c r="B14" s="29" t="s">
        <v>205</v>
      </c>
      <c r="C14" s="29" t="s">
        <v>262</v>
      </c>
      <c r="D14" s="29" t="s">
        <v>279</v>
      </c>
      <c r="E14" s="29"/>
      <c r="F14" s="29"/>
      <c r="G14" s="30" t="n">
        <v>12000</v>
      </c>
      <c r="H14" s="31" t="n">
        <f aca="false">IF($A14="",0,SUMIFS(Journal!$M$5:$M$1504,Journal!$D$5:$D$1504,$A14)+IF($A14=1170,SUMIFS(Journal!$K$5:$K$1504,Journal!$J$5:$J$1504,"V",Journal!$G$5:$G$1504,"&lt;&gt;VI81"),0)+IF($A14=1171,SUMIFS(Journal!$K$5:$K$1504,Journal!$J$5:$J$1504,"V",Journal!$G$5:$G$1504,"VI81"),0))</f>
        <v>0</v>
      </c>
      <c r="I14" s="31" t="n">
        <f aca="false">IF($A14="",0,SUMIFS(Journal!$N$5:$N$1504,Journal!$E$5:$E$1504,$A14)+IF($A14=2200,SUMIFS(Journal!$K$5:$K$1504,Journal!$J$5:$J$1504,"U"),0))</f>
        <v>0</v>
      </c>
      <c r="J14" s="31" t="n">
        <f aca="false">IF($A14="",0,IF($A14=3809,-MWST!$H$13,IF($A14=2200,MWST!$H$13,IF($A14=6800,Anlagen!$J$3,-SUMIF(Anlagen!$B$6:$B$105,$A14,Anlagen!$J$6:$J$105)))))</f>
        <v>-5400</v>
      </c>
      <c r="K14" s="12" t="n">
        <f aca="false">IF($A14="","",IF(OR($C14="Aktiv",$C14="Aufwand"),$G14+$H14-$I14+$J14,$G14+$I14-$H14+$J14))</f>
        <v>6600</v>
      </c>
    </row>
    <row r="15" customFormat="false" ht="15" hidden="false" customHeight="false" outlineLevel="0" collapsed="false">
      <c r="A15" s="28" t="n">
        <v>1520</v>
      </c>
      <c r="B15" s="29" t="s">
        <v>281</v>
      </c>
      <c r="C15" s="29" t="s">
        <v>262</v>
      </c>
      <c r="D15" s="29" t="s">
        <v>279</v>
      </c>
      <c r="E15" s="29"/>
      <c r="F15" s="29"/>
      <c r="G15" s="30" t="n">
        <v>0</v>
      </c>
      <c r="H15" s="31" t="n">
        <f aca="false">IF($A15="",0,SUMIFS(Journal!$M$5:$M$1504,Journal!$D$5:$D$1504,$A15)+IF($A15=1170,SUMIFS(Journal!$K$5:$K$1504,Journal!$J$5:$J$1504,"V",Journal!$G$5:$G$1504,"&lt;&gt;VI81"),0)+IF($A15=1171,SUMIFS(Journal!$K$5:$K$1504,Journal!$J$5:$J$1504,"V",Journal!$G$5:$G$1504,"VI81"),0))</f>
        <v>0</v>
      </c>
      <c r="I15" s="31" t="n">
        <f aca="false">IF($A15="",0,SUMIFS(Journal!$N$5:$N$1504,Journal!$E$5:$E$1504,$A15)+IF($A15=2200,SUMIFS(Journal!$K$5:$K$1504,Journal!$J$5:$J$1504,"U"),0))</f>
        <v>0</v>
      </c>
      <c r="J15" s="31" t="n">
        <f aca="false">IF($A15="",0,IF($A15=3809,-MWST!$H$13,IF($A15=2200,MWST!$H$13,IF($A15=6800,Anlagen!$J$3,-SUMIF(Anlagen!$B$6:$B$105,$A15,Anlagen!$J$6:$J$105)))))</f>
        <v>-0</v>
      </c>
      <c r="K15" s="12" t="n">
        <f aca="false">IF($A15="","",IF(OR($C15="Aktiv",$C15="Aufwand"),$G15+$H15-$I15+$J15,$G15+$I15-$H15+$J15))</f>
        <v>0</v>
      </c>
    </row>
    <row r="16" customFormat="false" ht="15" hidden="false" customHeight="false" outlineLevel="0" collapsed="false">
      <c r="A16" s="28" t="n">
        <v>1530</v>
      </c>
      <c r="B16" s="29" t="s">
        <v>282</v>
      </c>
      <c r="C16" s="29" t="s">
        <v>262</v>
      </c>
      <c r="D16" s="29" t="s">
        <v>279</v>
      </c>
      <c r="E16" s="29"/>
      <c r="F16" s="29"/>
      <c r="G16" s="30" t="n">
        <v>25000</v>
      </c>
      <c r="H16" s="31" t="n">
        <f aca="false">IF($A16="",0,SUMIFS(Journal!$M$5:$M$1504,Journal!$D$5:$D$1504,$A16)+IF($A16=1170,SUMIFS(Journal!$K$5:$K$1504,Journal!$J$5:$J$1504,"V",Journal!$G$5:$G$1504,"&lt;&gt;VI81"),0)+IF($A16=1171,SUMIFS(Journal!$K$5:$K$1504,Journal!$J$5:$J$1504,"V",Journal!$G$5:$G$1504,"VI81"),0))</f>
        <v>0</v>
      </c>
      <c r="I16" s="31" t="n">
        <f aca="false">IF($A16="",0,SUMIFS(Journal!$N$5:$N$1504,Journal!$E$5:$E$1504,$A16)+IF($A16=2200,SUMIFS(Journal!$K$5:$K$1504,Journal!$J$5:$J$1504,"U"),0))</f>
        <v>0</v>
      </c>
      <c r="J16" s="31" t="n">
        <f aca="false">IF($A16="",0,IF($A16=3809,-MWST!$H$13,IF($A16=2200,MWST!$H$13,IF($A16=6800,Anlagen!$J$3,-SUMIF(Anlagen!$B$6:$B$105,$A16,Anlagen!$J$6:$J$105)))))</f>
        <v>-10000</v>
      </c>
      <c r="K16" s="12" t="n">
        <f aca="false">IF($A16="","",IF(OR($C16="Aktiv",$C16="Aufwand"),$G16+$H16-$I16+$J16,$G16+$I16-$H16+$J16))</f>
        <v>15000</v>
      </c>
    </row>
    <row r="17" customFormat="false" ht="15" hidden="false" customHeight="false" outlineLevel="0" collapsed="false">
      <c r="A17" s="28" t="n">
        <v>2000</v>
      </c>
      <c r="B17" s="29" t="s">
        <v>283</v>
      </c>
      <c r="C17" s="29" t="s">
        <v>284</v>
      </c>
      <c r="D17" s="29" t="s">
        <v>285</v>
      </c>
      <c r="E17" s="29"/>
      <c r="F17" s="29"/>
      <c r="G17" s="30" t="n">
        <v>0</v>
      </c>
      <c r="H17" s="31" t="n">
        <f aca="false">IF($A17="",0,SUMIFS(Journal!$M$5:$M$1504,Journal!$D$5:$D$1504,$A17)+IF($A17=1170,SUMIFS(Journal!$K$5:$K$1504,Journal!$J$5:$J$1504,"V",Journal!$G$5:$G$1504,"&lt;&gt;VI81"),0)+IF($A17=1171,SUMIFS(Journal!$K$5:$K$1504,Journal!$J$5:$J$1504,"V",Journal!$G$5:$G$1504,"VI81"),0))</f>
        <v>0</v>
      </c>
      <c r="I17" s="31" t="n">
        <f aca="false">IF($A17="",0,SUMIFS(Journal!$N$5:$N$1504,Journal!$E$5:$E$1504,$A17)+IF($A17=2200,SUMIFS(Journal!$K$5:$K$1504,Journal!$J$5:$J$1504,"U"),0))</f>
        <v>1297.2</v>
      </c>
      <c r="J17" s="31" t="n">
        <f aca="false">IF($A17="",0,IF($A17=3809,-MWST!$H$13,IF($A17=2200,MWST!$H$13,IF($A17=6800,Anlagen!$J$3,-SUMIF(Anlagen!$B$6:$B$105,$A17,Anlagen!$J$6:$J$105)))))</f>
        <v>-0</v>
      </c>
      <c r="K17" s="12" t="n">
        <f aca="false">IF($A17="","",IF(OR($C17="Aktiv",$C17="Aufwand"),$G17+$H17-$I17+$J17,$G17+$I17-$H17+$J17))</f>
        <v>1297.2</v>
      </c>
    </row>
    <row r="18" customFormat="false" ht="15" hidden="false" customHeight="false" outlineLevel="0" collapsed="false">
      <c r="A18" s="28" t="n">
        <v>2200</v>
      </c>
      <c r="B18" s="29" t="s">
        <v>286</v>
      </c>
      <c r="C18" s="29" t="s">
        <v>284</v>
      </c>
      <c r="D18" s="29" t="s">
        <v>285</v>
      </c>
      <c r="E18" s="29"/>
      <c r="F18" s="29"/>
      <c r="G18" s="30" t="n">
        <v>0</v>
      </c>
      <c r="H18" s="31" t="n">
        <f aca="false">IF($A18="",0,SUMIFS(Journal!$M$5:$M$1504,Journal!$D$5:$D$1504,$A18)+IF($A18=1170,SUMIFS(Journal!$K$5:$K$1504,Journal!$J$5:$J$1504,"V",Journal!$G$5:$G$1504,"&lt;&gt;VI81"),0)+IF($A18=1171,SUMIFS(Journal!$K$5:$K$1504,Journal!$J$5:$J$1504,"V",Journal!$G$5:$G$1504,"VI81"),0))</f>
        <v>0</v>
      </c>
      <c r="I18" s="31" t="n">
        <f aca="false">IF($A18="",0,SUMIFS(Journal!$N$5:$N$1504,Journal!$E$5:$E$1504,$A18)+IF($A18=2200,SUMIFS(Journal!$K$5:$K$1504,Journal!$J$5:$J$1504,"U"),0))</f>
        <v>0</v>
      </c>
      <c r="J18" s="31" t="n">
        <f aca="false">IF($A18="",0,IF($A18=3809,-MWST!$H$13,IF($A18=2200,MWST!$H$13,IF($A18=6800,Anlagen!$J$3,-SUMIF(Anlagen!$B$6:$B$105,$A18,Anlagen!$J$6:$J$105)))))</f>
        <v>173.59</v>
      </c>
      <c r="K18" s="12" t="n">
        <f aca="false">IF($A18="","",IF(OR($C18="Aktiv",$C18="Aufwand"),$G18+$H18-$I18+$J18,$G18+$I18-$H18+$J18))</f>
        <v>173.59</v>
      </c>
    </row>
    <row r="19" customFormat="false" ht="15" hidden="false" customHeight="false" outlineLevel="0" collapsed="false">
      <c r="A19" s="28" t="n">
        <v>2270</v>
      </c>
      <c r="B19" s="29" t="s">
        <v>287</v>
      </c>
      <c r="C19" s="29" t="s">
        <v>284</v>
      </c>
      <c r="D19" s="29" t="s">
        <v>285</v>
      </c>
      <c r="E19" s="29"/>
      <c r="F19" s="29"/>
      <c r="G19" s="30" t="n">
        <v>0</v>
      </c>
      <c r="H19" s="31" t="n">
        <f aca="false">IF($A19="",0,SUMIFS(Journal!$M$5:$M$1504,Journal!$D$5:$D$1504,$A19)+IF($A19=1170,SUMIFS(Journal!$K$5:$K$1504,Journal!$J$5:$J$1504,"V",Journal!$G$5:$G$1504,"&lt;&gt;VI81"),0)+IF($A19=1171,SUMIFS(Journal!$K$5:$K$1504,Journal!$J$5:$J$1504,"V",Journal!$G$5:$G$1504,"VI81"),0))</f>
        <v>0</v>
      </c>
      <c r="I19" s="31" t="n">
        <f aca="false">IF($A19="",0,SUMIFS(Journal!$N$5:$N$1504,Journal!$E$5:$E$1504,$A19)+IF($A19=2200,SUMIFS(Journal!$K$5:$K$1504,Journal!$J$5:$J$1504,"U"),0))</f>
        <v>1330</v>
      </c>
      <c r="J19" s="31" t="n">
        <f aca="false">IF($A19="",0,IF($A19=3809,-MWST!$H$13,IF($A19=2200,MWST!$H$13,IF($A19=6800,Anlagen!$J$3,-SUMIF(Anlagen!$B$6:$B$105,$A19,Anlagen!$J$6:$J$105)))))</f>
        <v>-0</v>
      </c>
      <c r="K19" s="12" t="n">
        <f aca="false">IF($A19="","",IF(OR($C19="Aktiv",$C19="Aufwand"),$G19+$H19-$I19+$J19,$G19+$I19-$H19+$J19))</f>
        <v>1330</v>
      </c>
    </row>
    <row r="20" customFormat="false" ht="15" hidden="false" customHeight="false" outlineLevel="0" collapsed="false">
      <c r="A20" s="28" t="n">
        <v>2300</v>
      </c>
      <c r="B20" s="29" t="s">
        <v>288</v>
      </c>
      <c r="C20" s="29" t="s">
        <v>284</v>
      </c>
      <c r="D20" s="29" t="s">
        <v>285</v>
      </c>
      <c r="E20" s="29"/>
      <c r="F20" s="29"/>
      <c r="G20" s="30" t="n">
        <v>0</v>
      </c>
      <c r="H20" s="31" t="n">
        <f aca="false">IF($A20="",0,SUMIFS(Journal!$M$5:$M$1504,Journal!$D$5:$D$1504,$A20)+IF($A20=1170,SUMIFS(Journal!$K$5:$K$1504,Journal!$J$5:$J$1504,"V",Journal!$G$5:$G$1504,"&lt;&gt;VI81"),0)+IF($A20=1171,SUMIFS(Journal!$K$5:$K$1504,Journal!$J$5:$J$1504,"V",Journal!$G$5:$G$1504,"VI81"),0))</f>
        <v>0</v>
      </c>
      <c r="I20" s="31" t="n">
        <f aca="false">IF($A20="",0,SUMIFS(Journal!$N$5:$N$1504,Journal!$E$5:$E$1504,$A20)+IF($A20=2200,SUMIFS(Journal!$K$5:$K$1504,Journal!$J$5:$J$1504,"U"),0))</f>
        <v>0</v>
      </c>
      <c r="J20" s="31" t="n">
        <f aca="false">IF($A20="",0,IF($A20=3809,-MWST!$H$13,IF($A20=2200,MWST!$H$13,IF($A20=6800,Anlagen!$J$3,-SUMIF(Anlagen!$B$6:$B$105,$A20,Anlagen!$J$6:$J$105)))))</f>
        <v>-0</v>
      </c>
      <c r="K20" s="12" t="n">
        <f aca="false">IF($A20="","",IF(OR($C20="Aktiv",$C20="Aufwand"),$G20+$H20-$I20+$J20,$G20+$I20-$H20+$J20))</f>
        <v>0</v>
      </c>
    </row>
    <row r="21" customFormat="false" ht="15" hidden="false" customHeight="false" outlineLevel="0" collapsed="false">
      <c r="A21" s="28" t="n">
        <v>2400</v>
      </c>
      <c r="B21" s="29" t="s">
        <v>289</v>
      </c>
      <c r="C21" s="29" t="s">
        <v>284</v>
      </c>
      <c r="D21" s="29" t="s">
        <v>290</v>
      </c>
      <c r="E21" s="29"/>
      <c r="F21" s="29"/>
      <c r="G21" s="30" t="n">
        <v>40000</v>
      </c>
      <c r="H21" s="31" t="n">
        <f aca="false">IF($A21="",0,SUMIFS(Journal!$M$5:$M$1504,Journal!$D$5:$D$1504,$A21)+IF($A21=1170,SUMIFS(Journal!$K$5:$K$1504,Journal!$J$5:$J$1504,"V",Journal!$G$5:$G$1504,"&lt;&gt;VI81"),0)+IF($A21=1171,SUMIFS(Journal!$K$5:$K$1504,Journal!$J$5:$J$1504,"V",Journal!$G$5:$G$1504,"VI81"),0))</f>
        <v>0</v>
      </c>
      <c r="I21" s="31" t="n">
        <f aca="false">IF($A21="",0,SUMIFS(Journal!$N$5:$N$1504,Journal!$E$5:$E$1504,$A21)+IF($A21=2200,SUMIFS(Journal!$K$5:$K$1504,Journal!$J$5:$J$1504,"U"),0))</f>
        <v>0</v>
      </c>
      <c r="J21" s="31" t="n">
        <f aca="false">IF($A21="",0,IF($A21=3809,-MWST!$H$13,IF($A21=2200,MWST!$H$13,IF($A21=6800,Anlagen!$J$3,-SUMIF(Anlagen!$B$6:$B$105,$A21,Anlagen!$J$6:$J$105)))))</f>
        <v>-0</v>
      </c>
      <c r="K21" s="12" t="n">
        <f aca="false">IF($A21="","",IF(OR($C21="Aktiv",$C21="Aufwand"),$G21+$H21-$I21+$J21,$G21+$I21-$H21+$J21))</f>
        <v>40000</v>
      </c>
    </row>
    <row r="22" customFormat="false" ht="15" hidden="false" customHeight="false" outlineLevel="0" collapsed="false">
      <c r="A22" s="28" t="n">
        <v>2450</v>
      </c>
      <c r="B22" s="29" t="s">
        <v>291</v>
      </c>
      <c r="C22" s="29" t="s">
        <v>284</v>
      </c>
      <c r="D22" s="29" t="s">
        <v>290</v>
      </c>
      <c r="E22" s="29"/>
      <c r="F22" s="29"/>
      <c r="G22" s="30" t="n">
        <v>0</v>
      </c>
      <c r="H22" s="31" t="n">
        <f aca="false">IF($A22="",0,SUMIFS(Journal!$M$5:$M$1504,Journal!$D$5:$D$1504,$A22)+IF($A22=1170,SUMIFS(Journal!$K$5:$K$1504,Journal!$J$5:$J$1504,"V",Journal!$G$5:$G$1504,"&lt;&gt;VI81"),0)+IF($A22=1171,SUMIFS(Journal!$K$5:$K$1504,Journal!$J$5:$J$1504,"V",Journal!$G$5:$G$1504,"VI81"),0))</f>
        <v>0</v>
      </c>
      <c r="I22" s="31" t="n">
        <f aca="false">IF($A22="",0,SUMIFS(Journal!$N$5:$N$1504,Journal!$E$5:$E$1504,$A22)+IF($A22=2200,SUMIFS(Journal!$K$5:$K$1504,Journal!$J$5:$J$1504,"U"),0))</f>
        <v>0</v>
      </c>
      <c r="J22" s="31" t="n">
        <f aca="false">IF($A22="",0,IF($A22=3809,-MWST!$H$13,IF($A22=2200,MWST!$H$13,IF($A22=6800,Anlagen!$J$3,-SUMIF(Anlagen!$B$6:$B$105,$A22,Anlagen!$J$6:$J$105)))))</f>
        <v>-0</v>
      </c>
      <c r="K22" s="12" t="n">
        <f aca="false">IF($A22="","",IF(OR($C22="Aktiv",$C22="Aufwand"),$G22+$H22-$I22+$J22,$G22+$I22-$H22+$J22))</f>
        <v>0</v>
      </c>
    </row>
    <row r="23" customFormat="false" ht="15" hidden="false" customHeight="false" outlineLevel="0" collapsed="false">
      <c r="A23" s="28" t="n">
        <v>2800</v>
      </c>
      <c r="B23" s="29" t="s">
        <v>292</v>
      </c>
      <c r="C23" s="29" t="s">
        <v>284</v>
      </c>
      <c r="D23" s="29" t="s">
        <v>293</v>
      </c>
      <c r="E23" s="29"/>
      <c r="F23" s="29"/>
      <c r="G23" s="30" t="n">
        <v>122000</v>
      </c>
      <c r="H23" s="31" t="n">
        <f aca="false">IF($A23="",0,SUMIFS(Journal!$M$5:$M$1504,Journal!$D$5:$D$1504,$A23)+IF($A23=1170,SUMIFS(Journal!$K$5:$K$1504,Journal!$J$5:$J$1504,"V",Journal!$G$5:$G$1504,"&lt;&gt;VI81"),0)+IF($A23=1171,SUMIFS(Journal!$K$5:$K$1504,Journal!$J$5:$J$1504,"V",Journal!$G$5:$G$1504,"VI81"),0))</f>
        <v>0</v>
      </c>
      <c r="I23" s="31" t="n">
        <f aca="false">IF($A23="",0,SUMIFS(Journal!$N$5:$N$1504,Journal!$E$5:$E$1504,$A23)+IF($A23=2200,SUMIFS(Journal!$K$5:$K$1504,Journal!$J$5:$J$1504,"U"),0))</f>
        <v>0</v>
      </c>
      <c r="J23" s="31" t="n">
        <f aca="false">IF($A23="",0,IF($A23=3809,-MWST!$H$13,IF($A23=2200,MWST!$H$13,IF($A23=6800,Anlagen!$J$3,-SUMIF(Anlagen!$B$6:$B$105,$A23,Anlagen!$J$6:$J$105)))))</f>
        <v>-0</v>
      </c>
      <c r="K23" s="12" t="n">
        <f aca="false">IF($A23="","",IF(OR($C23="Aktiv",$C23="Aufwand"),$G23+$H23-$I23+$J23,$G23+$I23-$H23+$J23))</f>
        <v>122000</v>
      </c>
    </row>
    <row r="24" customFormat="false" ht="15" hidden="false" customHeight="false" outlineLevel="0" collapsed="false">
      <c r="A24" s="28" t="n">
        <v>2850</v>
      </c>
      <c r="B24" s="29" t="s">
        <v>294</v>
      </c>
      <c r="C24" s="29" t="s">
        <v>284</v>
      </c>
      <c r="D24" s="29" t="s">
        <v>293</v>
      </c>
      <c r="E24" s="29"/>
      <c r="F24" s="29"/>
      <c r="G24" s="30" t="n">
        <v>0</v>
      </c>
      <c r="H24" s="31" t="n">
        <f aca="false">IF($A24="",0,SUMIFS(Journal!$M$5:$M$1504,Journal!$D$5:$D$1504,$A24)+IF($A24=1170,SUMIFS(Journal!$K$5:$K$1504,Journal!$J$5:$J$1504,"V",Journal!$G$5:$G$1504,"&lt;&gt;VI81"),0)+IF($A24=1171,SUMIFS(Journal!$K$5:$K$1504,Journal!$J$5:$J$1504,"V",Journal!$G$5:$G$1504,"VI81"),0))</f>
        <v>4000</v>
      </c>
      <c r="I24" s="31" t="n">
        <f aca="false">IF($A24="",0,SUMIFS(Journal!$N$5:$N$1504,Journal!$E$5:$E$1504,$A24)+IF($A24=2200,SUMIFS(Journal!$K$5:$K$1504,Journal!$J$5:$J$1504,"U"),0))</f>
        <v>0</v>
      </c>
      <c r="J24" s="31" t="n">
        <f aca="false">IF($A24="",0,IF($A24=3809,-MWST!$H$13,IF($A24=2200,MWST!$H$13,IF($A24=6800,Anlagen!$J$3,-SUMIF(Anlagen!$B$6:$B$105,$A24,Anlagen!$J$6:$J$105)))))</f>
        <v>-0</v>
      </c>
      <c r="K24" s="12" t="n">
        <f aca="false">IF($A24="","",IF(OR($C24="Aktiv",$C24="Aufwand"),$G24+$H24-$I24+$J24,$G24+$I24-$H24+$J24))</f>
        <v>-4000</v>
      </c>
    </row>
    <row r="25" customFormat="false" ht="15" hidden="false" customHeight="false" outlineLevel="0" collapsed="false">
      <c r="A25" s="28" t="n">
        <v>3000</v>
      </c>
      <c r="B25" s="29" t="s">
        <v>295</v>
      </c>
      <c r="C25" s="29" t="s">
        <v>296</v>
      </c>
      <c r="D25" s="29" t="s">
        <v>297</v>
      </c>
      <c r="E25" s="29" t="s">
        <v>298</v>
      </c>
      <c r="F25" s="29" t="n">
        <v>1</v>
      </c>
      <c r="G25" s="30" t="n">
        <v>0</v>
      </c>
      <c r="H25" s="31" t="n">
        <f aca="false">IF($A25="",0,SUMIFS(Journal!$M$5:$M$1504,Journal!$D$5:$D$1504,$A25)+IF($A25=1170,SUMIFS(Journal!$K$5:$K$1504,Journal!$J$5:$J$1504,"V",Journal!$G$5:$G$1504,"&lt;&gt;VI81"),0)+IF($A25=1171,SUMIFS(Journal!$K$5:$K$1504,Journal!$J$5:$J$1504,"V",Journal!$G$5:$G$1504,"VI81"),0))</f>
        <v>0</v>
      </c>
      <c r="I25" s="31" t="n">
        <f aca="false">IF($A25="",0,SUMIFS(Journal!$N$5:$N$1504,Journal!$E$5:$E$1504,$A25)+IF($A25=2200,SUMIFS(Journal!$K$5:$K$1504,Journal!$J$5:$J$1504,"U"),0))</f>
        <v>1621.5</v>
      </c>
      <c r="J25" s="31" t="n">
        <f aca="false">IF($A25="",0,IF($A25=3809,-MWST!$H$13,IF($A25=2200,MWST!$H$13,IF($A25=6800,Anlagen!$J$3,-SUMIF(Anlagen!$B$6:$B$105,$A25,Anlagen!$J$6:$J$105)))))</f>
        <v>-0</v>
      </c>
      <c r="K25" s="12" t="n">
        <f aca="false">IF($A25="","",IF(OR($C25="Aktiv",$C25="Aufwand"),$G25+$H25-$I25+$J25,$G25+$I25-$H25+$J25))</f>
        <v>1621.5</v>
      </c>
    </row>
    <row r="26" customFormat="false" ht="15" hidden="false" customHeight="false" outlineLevel="0" collapsed="false">
      <c r="A26" s="28" t="n">
        <v>3010</v>
      </c>
      <c r="B26" s="29" t="s">
        <v>299</v>
      </c>
      <c r="C26" s="29" t="s">
        <v>296</v>
      </c>
      <c r="D26" s="29" t="s">
        <v>297</v>
      </c>
      <c r="E26" s="29" t="s">
        <v>298</v>
      </c>
      <c r="F26" s="29" t="n">
        <v>1</v>
      </c>
      <c r="G26" s="30" t="n">
        <v>0</v>
      </c>
      <c r="H26" s="31" t="n">
        <f aca="false">IF($A26="",0,SUMIFS(Journal!$M$5:$M$1504,Journal!$D$5:$D$1504,$A26)+IF($A26=1170,SUMIFS(Journal!$K$5:$K$1504,Journal!$J$5:$J$1504,"V",Journal!$G$5:$G$1504,"&lt;&gt;VI81"),0)+IF($A26=1171,SUMIFS(Journal!$K$5:$K$1504,Journal!$J$5:$J$1504,"V",Journal!$G$5:$G$1504,"VI81"),0))</f>
        <v>0</v>
      </c>
      <c r="I26" s="31" t="n">
        <f aca="false">IF($A26="",0,SUMIFS(Journal!$N$5:$N$1504,Journal!$E$5:$E$1504,$A26)+IF($A26=2200,SUMIFS(Journal!$K$5:$K$1504,Journal!$J$5:$J$1504,"U"),0))</f>
        <v>0</v>
      </c>
      <c r="J26" s="31" t="n">
        <f aca="false">IF($A26="",0,IF($A26=3809,-MWST!$H$13,IF($A26=2200,MWST!$H$13,IF($A26=6800,Anlagen!$J$3,-SUMIF(Anlagen!$B$6:$B$105,$A26,Anlagen!$J$6:$J$105)))))</f>
        <v>-0</v>
      </c>
      <c r="K26" s="12" t="n">
        <f aca="false">IF($A26="","",IF(OR($C26="Aktiv",$C26="Aufwand"),$G26+$H26-$I26+$J26,$G26+$I26-$H26+$J26))</f>
        <v>0</v>
      </c>
    </row>
    <row r="27" customFormat="false" ht="15" hidden="false" customHeight="false" outlineLevel="0" collapsed="false">
      <c r="A27" s="28" t="n">
        <v>3200</v>
      </c>
      <c r="B27" s="29" t="s">
        <v>300</v>
      </c>
      <c r="C27" s="29" t="s">
        <v>296</v>
      </c>
      <c r="D27" s="29" t="s">
        <v>297</v>
      </c>
      <c r="E27" s="29" t="s">
        <v>301</v>
      </c>
      <c r="F27" s="29" t="n">
        <v>1</v>
      </c>
      <c r="G27" s="30" t="n">
        <v>0</v>
      </c>
      <c r="H27" s="31" t="n">
        <f aca="false">IF($A27="",0,SUMIFS(Journal!$M$5:$M$1504,Journal!$D$5:$D$1504,$A27)+IF($A27=1170,SUMIFS(Journal!$K$5:$K$1504,Journal!$J$5:$J$1504,"V",Journal!$G$5:$G$1504,"&lt;&gt;VI81"),0)+IF($A27=1171,SUMIFS(Journal!$K$5:$K$1504,Journal!$J$5:$J$1504,"V",Journal!$G$5:$G$1504,"VI81"),0))</f>
        <v>0</v>
      </c>
      <c r="I27" s="31" t="n">
        <f aca="false">IF($A27="",0,SUMIFS(Journal!$N$5:$N$1504,Journal!$E$5:$E$1504,$A27)+IF($A27=2200,SUMIFS(Journal!$K$5:$K$1504,Journal!$J$5:$J$1504,"U"),0))</f>
        <v>864.8</v>
      </c>
      <c r="J27" s="31" t="n">
        <f aca="false">IF($A27="",0,IF($A27=3809,-MWST!$H$13,IF($A27=2200,MWST!$H$13,IF($A27=6800,Anlagen!$J$3,-SUMIF(Anlagen!$B$6:$B$105,$A27,Anlagen!$J$6:$J$105)))))</f>
        <v>-0</v>
      </c>
      <c r="K27" s="12" t="n">
        <f aca="false">IF($A27="","",IF(OR($C27="Aktiv",$C27="Aufwand"),$G27+$H27-$I27+$J27,$G27+$I27-$H27+$J27))</f>
        <v>864.8</v>
      </c>
    </row>
    <row r="28" customFormat="false" ht="15" hidden="false" customHeight="false" outlineLevel="0" collapsed="false">
      <c r="A28" s="28" t="n">
        <v>3210</v>
      </c>
      <c r="B28" s="29" t="s">
        <v>302</v>
      </c>
      <c r="C28" s="29" t="s">
        <v>296</v>
      </c>
      <c r="D28" s="29" t="s">
        <v>297</v>
      </c>
      <c r="E28" s="29" t="s">
        <v>301</v>
      </c>
      <c r="F28" s="29" t="n">
        <v>1</v>
      </c>
      <c r="G28" s="30" t="n">
        <v>0</v>
      </c>
      <c r="H28" s="31" t="n">
        <f aca="false">IF($A28="",0,SUMIFS(Journal!$M$5:$M$1504,Journal!$D$5:$D$1504,$A28)+IF($A28=1170,SUMIFS(Journal!$K$5:$K$1504,Journal!$J$5:$J$1504,"V",Journal!$G$5:$G$1504,"&lt;&gt;VI81"),0)+IF($A28=1171,SUMIFS(Journal!$K$5:$K$1504,Journal!$J$5:$J$1504,"V",Journal!$G$5:$G$1504,"VI81"),0))</f>
        <v>0</v>
      </c>
      <c r="I28" s="31" t="n">
        <f aca="false">IF($A28="",0,SUMIFS(Journal!$N$5:$N$1504,Journal!$E$5:$E$1504,$A28)+IF($A28=2200,SUMIFS(Journal!$K$5:$K$1504,Journal!$J$5:$J$1504,"U"),0))</f>
        <v>120</v>
      </c>
      <c r="J28" s="31" t="n">
        <f aca="false">IF($A28="",0,IF($A28=3809,-MWST!$H$13,IF($A28=2200,MWST!$H$13,IF($A28=6800,Anlagen!$J$3,-SUMIF(Anlagen!$B$6:$B$105,$A28,Anlagen!$J$6:$J$105)))))</f>
        <v>-0</v>
      </c>
      <c r="K28" s="12" t="n">
        <f aca="false">IF($A28="","",IF(OR($C28="Aktiv",$C28="Aufwand"),$G28+$H28-$I28+$J28,$G28+$I28-$H28+$J28))</f>
        <v>120</v>
      </c>
    </row>
    <row r="29" customFormat="false" ht="15" hidden="false" customHeight="false" outlineLevel="0" collapsed="false">
      <c r="A29" s="28" t="n">
        <v>3400</v>
      </c>
      <c r="B29" s="29" t="s">
        <v>303</v>
      </c>
      <c r="C29" s="29" t="s">
        <v>296</v>
      </c>
      <c r="D29" s="29" t="s">
        <v>297</v>
      </c>
      <c r="E29" s="29" t="s">
        <v>207</v>
      </c>
      <c r="F29" s="29" t="n">
        <v>2</v>
      </c>
      <c r="G29" s="30" t="n">
        <v>0</v>
      </c>
      <c r="H29" s="31" t="n">
        <f aca="false">IF($A29="",0,SUMIFS(Journal!$M$5:$M$1504,Journal!$D$5:$D$1504,$A29)+IF($A29=1170,SUMIFS(Journal!$K$5:$K$1504,Journal!$J$5:$J$1504,"V",Journal!$G$5:$G$1504,"&lt;&gt;VI81"),0)+IF($A29=1171,SUMIFS(Journal!$K$5:$K$1504,Journal!$J$5:$J$1504,"V",Journal!$G$5:$G$1504,"VI81"),0))</f>
        <v>0</v>
      </c>
      <c r="I29" s="31" t="n">
        <f aca="false">IF($A29="",0,SUMIFS(Journal!$N$5:$N$1504,Journal!$E$5:$E$1504,$A29)+IF($A29=2200,SUMIFS(Journal!$K$5:$K$1504,Journal!$J$5:$J$1504,"U"),0))</f>
        <v>15900</v>
      </c>
      <c r="J29" s="31" t="n">
        <f aca="false">IF($A29="",0,IF($A29=3809,-MWST!$H$13,IF($A29=2200,MWST!$H$13,IF($A29=6800,Anlagen!$J$3,-SUMIF(Anlagen!$B$6:$B$105,$A29,Anlagen!$J$6:$J$105)))))</f>
        <v>-0</v>
      </c>
      <c r="K29" s="12" t="n">
        <f aca="false">IF($A29="","",IF(OR($C29="Aktiv",$C29="Aufwand"),$G29+$H29-$I29+$J29,$G29+$I29-$H29+$J29))</f>
        <v>15900</v>
      </c>
    </row>
    <row r="30" customFormat="false" ht="15" hidden="false" customHeight="false" outlineLevel="0" collapsed="false">
      <c r="A30" s="28" t="n">
        <v>3410</v>
      </c>
      <c r="B30" s="29" t="s">
        <v>304</v>
      </c>
      <c r="C30" s="29" t="s">
        <v>296</v>
      </c>
      <c r="D30" s="29" t="s">
        <v>297</v>
      </c>
      <c r="E30" s="29" t="s">
        <v>207</v>
      </c>
      <c r="F30" s="29" t="n">
        <v>2</v>
      </c>
      <c r="G30" s="30" t="n">
        <v>0</v>
      </c>
      <c r="H30" s="31" t="n">
        <f aca="false">IF($A30="",0,SUMIFS(Journal!$M$5:$M$1504,Journal!$D$5:$D$1504,$A30)+IF($A30=1170,SUMIFS(Journal!$K$5:$K$1504,Journal!$J$5:$J$1504,"V",Journal!$G$5:$G$1504,"&lt;&gt;VI81"),0)+IF($A30=1171,SUMIFS(Journal!$K$5:$K$1504,Journal!$J$5:$J$1504,"V",Journal!$G$5:$G$1504,"VI81"),0))</f>
        <v>0</v>
      </c>
      <c r="I30" s="31" t="n">
        <f aca="false">IF($A30="",0,SUMIFS(Journal!$N$5:$N$1504,Journal!$E$5:$E$1504,$A30)+IF($A30=2200,SUMIFS(Journal!$K$5:$K$1504,Journal!$J$5:$J$1504,"U"),0))</f>
        <v>0</v>
      </c>
      <c r="J30" s="31" t="n">
        <f aca="false">IF($A30="",0,IF($A30=3809,-MWST!$H$13,IF($A30=2200,MWST!$H$13,IF($A30=6800,Anlagen!$J$3,-SUMIF(Anlagen!$B$6:$B$105,$A30,Anlagen!$J$6:$J$105)))))</f>
        <v>-0</v>
      </c>
      <c r="K30" s="12" t="n">
        <f aca="false">IF($A30="","",IF(OR($C30="Aktiv",$C30="Aufwand"),$G30+$H30-$I30+$J30,$G30+$I30-$H30+$J30))</f>
        <v>0</v>
      </c>
    </row>
    <row r="31" customFormat="false" ht="15" hidden="false" customHeight="false" outlineLevel="0" collapsed="false">
      <c r="A31" s="28" t="n">
        <v>3600</v>
      </c>
      <c r="B31" s="29" t="s">
        <v>305</v>
      </c>
      <c r="C31" s="29" t="s">
        <v>296</v>
      </c>
      <c r="D31" s="29" t="s">
        <v>297</v>
      </c>
      <c r="E31" s="29" t="s">
        <v>306</v>
      </c>
      <c r="F31" s="29" t="n">
        <v>1</v>
      </c>
      <c r="G31" s="30" t="n">
        <v>0</v>
      </c>
      <c r="H31" s="31" t="n">
        <f aca="false">IF($A31="",0,SUMIFS(Journal!$M$5:$M$1504,Journal!$D$5:$D$1504,$A31)+IF($A31=1170,SUMIFS(Journal!$K$5:$K$1504,Journal!$J$5:$J$1504,"V",Journal!$G$5:$G$1504,"&lt;&gt;VI81"),0)+IF($A31=1171,SUMIFS(Journal!$K$5:$K$1504,Journal!$J$5:$J$1504,"V",Journal!$G$5:$G$1504,"VI81"),0))</f>
        <v>0</v>
      </c>
      <c r="I31" s="31" t="n">
        <f aca="false">IF($A31="",0,SUMIFS(Journal!$N$5:$N$1504,Journal!$E$5:$E$1504,$A31)+IF($A31=2200,SUMIFS(Journal!$K$5:$K$1504,Journal!$J$5:$J$1504,"U"),0))</f>
        <v>0</v>
      </c>
      <c r="J31" s="31" t="n">
        <f aca="false">IF($A31="",0,IF($A31=3809,-MWST!$H$13,IF($A31=2200,MWST!$H$13,IF($A31=6800,Anlagen!$J$3,-SUMIF(Anlagen!$B$6:$B$105,$A31,Anlagen!$J$6:$J$105)))))</f>
        <v>-0</v>
      </c>
      <c r="K31" s="12" t="n">
        <f aca="false">IF($A31="","",IF(OR($C31="Aktiv",$C31="Aufwand"),$G31+$H31-$I31+$J31,$G31+$I31-$H31+$J31))</f>
        <v>0</v>
      </c>
    </row>
    <row r="32" customFormat="false" ht="15" hidden="false" customHeight="false" outlineLevel="0" collapsed="false">
      <c r="A32" s="28" t="n">
        <v>3800</v>
      </c>
      <c r="B32" s="29" t="s">
        <v>307</v>
      </c>
      <c r="C32" s="29" t="s">
        <v>296</v>
      </c>
      <c r="D32" s="29" t="s">
        <v>297</v>
      </c>
      <c r="E32" s="29" t="s">
        <v>306</v>
      </c>
      <c r="F32" s="29" t="n">
        <v>1</v>
      </c>
      <c r="G32" s="30" t="n">
        <v>0</v>
      </c>
      <c r="H32" s="31" t="n">
        <f aca="false">IF($A32="",0,SUMIFS(Journal!$M$5:$M$1504,Journal!$D$5:$D$1504,$A32)+IF($A32=1170,SUMIFS(Journal!$K$5:$K$1504,Journal!$J$5:$J$1504,"V",Journal!$G$5:$G$1504,"&lt;&gt;VI81"),0)+IF($A32=1171,SUMIFS(Journal!$K$5:$K$1504,Journal!$J$5:$J$1504,"V",Journal!$G$5:$G$1504,"VI81"),0))</f>
        <v>0</v>
      </c>
      <c r="I32" s="31" t="n">
        <f aca="false">IF($A32="",0,SUMIFS(Journal!$N$5:$N$1504,Journal!$E$5:$E$1504,$A32)+IF($A32=2200,SUMIFS(Journal!$K$5:$K$1504,Journal!$J$5:$J$1504,"U"),0))</f>
        <v>0</v>
      </c>
      <c r="J32" s="31" t="n">
        <f aca="false">IF($A32="",0,IF($A32=3809,-MWST!$H$13,IF($A32=2200,MWST!$H$13,IF($A32=6800,Anlagen!$J$3,-SUMIF(Anlagen!$B$6:$B$105,$A32,Anlagen!$J$6:$J$105)))))</f>
        <v>-0</v>
      </c>
      <c r="K32" s="12" t="n">
        <f aca="false">IF($A32="","",IF(OR($C32="Aktiv",$C32="Aufwand"),$G32+$H32-$I32+$J32,$G32+$I32-$H32+$J32))</f>
        <v>0</v>
      </c>
    </row>
    <row r="33" customFormat="false" ht="15" hidden="false" customHeight="false" outlineLevel="0" collapsed="false">
      <c r="A33" s="28" t="n">
        <v>3805</v>
      </c>
      <c r="B33" s="29" t="s">
        <v>308</v>
      </c>
      <c r="C33" s="29" t="s">
        <v>296</v>
      </c>
      <c r="D33" s="29" t="s">
        <v>297</v>
      </c>
      <c r="E33" s="29" t="s">
        <v>306</v>
      </c>
      <c r="F33" s="29" t="n">
        <v>1</v>
      </c>
      <c r="G33" s="30" t="n">
        <v>0</v>
      </c>
      <c r="H33" s="31" t="n">
        <f aca="false">IF($A33="",0,SUMIFS(Journal!$M$5:$M$1504,Journal!$D$5:$D$1504,$A33)+IF($A33=1170,SUMIFS(Journal!$K$5:$K$1504,Journal!$J$5:$J$1504,"V",Journal!$G$5:$G$1504,"&lt;&gt;VI81"),0)+IF($A33=1171,SUMIFS(Journal!$K$5:$K$1504,Journal!$J$5:$J$1504,"V",Journal!$G$5:$G$1504,"VI81"),0))</f>
        <v>0</v>
      </c>
      <c r="I33" s="31" t="n">
        <f aca="false">IF($A33="",0,SUMIFS(Journal!$N$5:$N$1504,Journal!$E$5:$E$1504,$A33)+IF($A33=2200,SUMIFS(Journal!$K$5:$K$1504,Journal!$J$5:$J$1504,"U"),0))</f>
        <v>0</v>
      </c>
      <c r="J33" s="31" t="n">
        <f aca="false">IF($A33="",0,IF($A33=3809,-MWST!$H$13,IF($A33=2200,MWST!$H$13,IF($A33=6800,Anlagen!$J$3,-SUMIF(Anlagen!$B$6:$B$105,$A33,Anlagen!$J$6:$J$105)))))</f>
        <v>-0</v>
      </c>
      <c r="K33" s="12" t="n">
        <f aca="false">IF($A33="","",IF(OR($C33="Aktiv",$C33="Aufwand"),$G33+$H33-$I33+$J33,$G33+$I33-$H33+$J33))</f>
        <v>0</v>
      </c>
    </row>
    <row r="34" customFormat="false" ht="15" hidden="false" customHeight="false" outlineLevel="0" collapsed="false">
      <c r="A34" s="28" t="n">
        <v>3809</v>
      </c>
      <c r="B34" s="29" t="s">
        <v>309</v>
      </c>
      <c r="C34" s="29" t="s">
        <v>296</v>
      </c>
      <c r="D34" s="29" t="s">
        <v>297</v>
      </c>
      <c r="E34" s="29" t="s">
        <v>306</v>
      </c>
      <c r="F34" s="29"/>
      <c r="G34" s="30" t="n">
        <v>0</v>
      </c>
      <c r="H34" s="31" t="n">
        <f aca="false">IF($A34="",0,SUMIFS(Journal!$M$5:$M$1504,Journal!$D$5:$D$1504,$A34)+IF($A34=1170,SUMIFS(Journal!$K$5:$K$1504,Journal!$J$5:$J$1504,"V",Journal!$G$5:$G$1504,"&lt;&gt;VI81"),0)+IF($A34=1171,SUMIFS(Journal!$K$5:$K$1504,Journal!$J$5:$J$1504,"V",Journal!$G$5:$G$1504,"VI81"),0))</f>
        <v>0</v>
      </c>
      <c r="I34" s="31" t="n">
        <f aca="false">IF($A34="",0,SUMIFS(Journal!$N$5:$N$1504,Journal!$E$5:$E$1504,$A34)+IF($A34=2200,SUMIFS(Journal!$K$5:$K$1504,Journal!$J$5:$J$1504,"U"),0))</f>
        <v>0</v>
      </c>
      <c r="J34" s="31" t="n">
        <f aca="false">IF($A34="",0,IF($A34=3809,-MWST!$H$13,IF($A34=2200,MWST!$H$13,IF($A34=6800,Anlagen!$J$3,-SUMIF(Anlagen!$B$6:$B$105,$A34,Anlagen!$J$6:$J$105)))))</f>
        <v>-173.59</v>
      </c>
      <c r="K34" s="12" t="n">
        <f aca="false">IF($A34="","",IF(OR($C34="Aktiv",$C34="Aufwand"),$G34+$H34-$I34+$J34,$G34+$I34-$H34+$J34))</f>
        <v>-173.59</v>
      </c>
    </row>
    <row r="35" customFormat="false" ht="15" hidden="false" customHeight="false" outlineLevel="0" collapsed="false">
      <c r="A35" s="28" t="n">
        <v>4000</v>
      </c>
      <c r="B35" s="29" t="s">
        <v>310</v>
      </c>
      <c r="C35" s="29" t="s">
        <v>98</v>
      </c>
      <c r="D35" s="29" t="s">
        <v>311</v>
      </c>
      <c r="E35" s="29" t="s">
        <v>301</v>
      </c>
      <c r="F35" s="29"/>
      <c r="G35" s="30" t="n">
        <v>0</v>
      </c>
      <c r="H35" s="31" t="n">
        <f aca="false">IF($A35="",0,SUMIFS(Journal!$M$5:$M$1504,Journal!$D$5:$D$1504,$A35)+IF($A35=1170,SUMIFS(Journal!$K$5:$K$1504,Journal!$J$5:$J$1504,"V",Journal!$G$5:$G$1504,"&lt;&gt;VI81"),0)+IF($A35=1171,SUMIFS(Journal!$K$5:$K$1504,Journal!$J$5:$J$1504,"V",Journal!$G$5:$G$1504,"VI81"),0))</f>
        <v>1297.2</v>
      </c>
      <c r="I35" s="31" t="n">
        <f aca="false">IF($A35="",0,SUMIFS(Journal!$N$5:$N$1504,Journal!$E$5:$E$1504,$A35)+IF($A35=2200,SUMIFS(Journal!$K$5:$K$1504,Journal!$J$5:$J$1504,"U"),0))</f>
        <v>0</v>
      </c>
      <c r="J35" s="31" t="n">
        <f aca="false">IF($A35="",0,IF($A35=3809,-MWST!$H$13,IF($A35=2200,MWST!$H$13,IF($A35=6800,Anlagen!$J$3,-SUMIF(Anlagen!$B$6:$B$105,$A35,Anlagen!$J$6:$J$105)))))</f>
        <v>-0</v>
      </c>
      <c r="K35" s="12" t="n">
        <f aca="false">IF($A35="","",IF(OR($C35="Aktiv",$C35="Aufwand"),$G35+$H35-$I35+$J35,$G35+$I35-$H35+$J35))</f>
        <v>1297.2</v>
      </c>
    </row>
    <row r="36" customFormat="false" ht="15" hidden="false" customHeight="false" outlineLevel="0" collapsed="false">
      <c r="A36" s="28" t="n">
        <v>4010</v>
      </c>
      <c r="B36" s="29" t="s">
        <v>312</v>
      </c>
      <c r="C36" s="29" t="s">
        <v>98</v>
      </c>
      <c r="D36" s="29" t="s">
        <v>311</v>
      </c>
      <c r="E36" s="29" t="s">
        <v>301</v>
      </c>
      <c r="F36" s="29"/>
      <c r="G36" s="30" t="n">
        <v>0</v>
      </c>
      <c r="H36" s="31" t="n">
        <f aca="false">IF($A36="",0,SUMIFS(Journal!$M$5:$M$1504,Journal!$D$5:$D$1504,$A36)+IF($A36=1170,SUMIFS(Journal!$K$5:$K$1504,Journal!$J$5:$J$1504,"V",Journal!$G$5:$G$1504,"&lt;&gt;VI81"),0)+IF($A36=1171,SUMIFS(Journal!$K$5:$K$1504,Journal!$J$5:$J$1504,"V",Journal!$G$5:$G$1504,"VI81"),0))</f>
        <v>0</v>
      </c>
      <c r="I36" s="31" t="n">
        <f aca="false">IF($A36="",0,SUMIFS(Journal!$N$5:$N$1504,Journal!$E$5:$E$1504,$A36)+IF($A36=2200,SUMIFS(Journal!$K$5:$K$1504,Journal!$J$5:$J$1504,"U"),0))</f>
        <v>0</v>
      </c>
      <c r="J36" s="31" t="n">
        <f aca="false">IF($A36="",0,IF($A36=3809,-MWST!$H$13,IF($A36=2200,MWST!$H$13,IF($A36=6800,Anlagen!$J$3,-SUMIF(Anlagen!$B$6:$B$105,$A36,Anlagen!$J$6:$J$105)))))</f>
        <v>-0</v>
      </c>
      <c r="K36" s="12" t="n">
        <f aca="false">IF($A36="","",IF(OR($C36="Aktiv",$C36="Aufwand"),$G36+$H36-$I36+$J36,$G36+$I36-$H36+$J36))</f>
        <v>0</v>
      </c>
    </row>
    <row r="37" customFormat="false" ht="15" hidden="false" customHeight="false" outlineLevel="0" collapsed="false">
      <c r="A37" s="28" t="n">
        <v>4200</v>
      </c>
      <c r="B37" s="29" t="s">
        <v>313</v>
      </c>
      <c r="C37" s="29" t="s">
        <v>98</v>
      </c>
      <c r="D37" s="29" t="s">
        <v>311</v>
      </c>
      <c r="E37" s="29" t="s">
        <v>207</v>
      </c>
      <c r="F37" s="29"/>
      <c r="G37" s="30" t="n">
        <v>0</v>
      </c>
      <c r="H37" s="31" t="n">
        <f aca="false">IF($A37="",0,SUMIFS(Journal!$M$5:$M$1504,Journal!$D$5:$D$1504,$A37)+IF($A37=1170,SUMIFS(Journal!$K$5:$K$1504,Journal!$J$5:$J$1504,"V",Journal!$G$5:$G$1504,"&lt;&gt;VI81"),0)+IF($A37=1171,SUMIFS(Journal!$K$5:$K$1504,Journal!$J$5:$J$1504,"V",Journal!$G$5:$G$1504,"VI81"),0))</f>
        <v>12000</v>
      </c>
      <c r="I37" s="31" t="n">
        <f aca="false">IF($A37="",0,SUMIFS(Journal!$N$5:$N$1504,Journal!$E$5:$E$1504,$A37)+IF($A37=2200,SUMIFS(Journal!$K$5:$K$1504,Journal!$J$5:$J$1504,"U"),0))</f>
        <v>0</v>
      </c>
      <c r="J37" s="31" t="n">
        <f aca="false">IF($A37="",0,IF($A37=3809,-MWST!$H$13,IF($A37=2200,MWST!$H$13,IF($A37=6800,Anlagen!$J$3,-SUMIF(Anlagen!$B$6:$B$105,$A37,Anlagen!$J$6:$J$105)))))</f>
        <v>-0</v>
      </c>
      <c r="K37" s="12" t="n">
        <f aca="false">IF($A37="","",IF(OR($C37="Aktiv",$C37="Aufwand"),$G37+$H37-$I37+$J37,$G37+$I37-$H37+$J37))</f>
        <v>12000</v>
      </c>
    </row>
    <row r="38" customFormat="false" ht="15" hidden="false" customHeight="false" outlineLevel="0" collapsed="false">
      <c r="A38" s="28" t="n">
        <v>4210</v>
      </c>
      <c r="B38" s="29" t="s">
        <v>314</v>
      </c>
      <c r="C38" s="29" t="s">
        <v>98</v>
      </c>
      <c r="D38" s="29" t="s">
        <v>311</v>
      </c>
      <c r="E38" s="29" t="s">
        <v>207</v>
      </c>
      <c r="F38" s="29"/>
      <c r="G38" s="30" t="n">
        <v>0</v>
      </c>
      <c r="H38" s="31" t="n">
        <f aca="false">IF($A38="",0,SUMIFS(Journal!$M$5:$M$1504,Journal!$D$5:$D$1504,$A38)+IF($A38=1170,SUMIFS(Journal!$K$5:$K$1504,Journal!$J$5:$J$1504,"V",Journal!$G$5:$G$1504,"&lt;&gt;VI81"),0)+IF($A38=1171,SUMIFS(Journal!$K$5:$K$1504,Journal!$J$5:$J$1504,"V",Journal!$G$5:$G$1504,"VI81"),0))</f>
        <v>0</v>
      </c>
      <c r="I38" s="31" t="n">
        <f aca="false">IF($A38="",0,SUMIFS(Journal!$N$5:$N$1504,Journal!$E$5:$E$1504,$A38)+IF($A38=2200,SUMIFS(Journal!$K$5:$K$1504,Journal!$J$5:$J$1504,"U"),0))</f>
        <v>0</v>
      </c>
      <c r="J38" s="31" t="n">
        <f aca="false">IF($A38="",0,IF($A38=3809,-MWST!$H$13,IF($A38=2200,MWST!$H$13,IF($A38=6800,Anlagen!$J$3,-SUMIF(Anlagen!$B$6:$B$105,$A38,Anlagen!$J$6:$J$105)))))</f>
        <v>-0</v>
      </c>
      <c r="K38" s="12" t="n">
        <f aca="false">IF($A38="","",IF(OR($C38="Aktiv",$C38="Aufwand"),$G38+$H38-$I38+$J38,$G38+$I38-$H38+$J38))</f>
        <v>0</v>
      </c>
    </row>
    <row r="39" customFormat="false" ht="15" hidden="false" customHeight="false" outlineLevel="0" collapsed="false">
      <c r="A39" s="28" t="n">
        <v>4400</v>
      </c>
      <c r="B39" s="29" t="s">
        <v>315</v>
      </c>
      <c r="C39" s="29" t="s">
        <v>98</v>
      </c>
      <c r="D39" s="29" t="s">
        <v>311</v>
      </c>
      <c r="E39" s="29" t="s">
        <v>298</v>
      </c>
      <c r="F39" s="29"/>
      <c r="G39" s="30" t="n">
        <v>0</v>
      </c>
      <c r="H39" s="31" t="n">
        <f aca="false">IF($A39="",0,SUMIFS(Journal!$M$5:$M$1504,Journal!$D$5:$D$1504,$A39)+IF($A39=1170,SUMIFS(Journal!$K$5:$K$1504,Journal!$J$5:$J$1504,"V",Journal!$G$5:$G$1504,"&lt;&gt;VI81"),0)+IF($A39=1171,SUMIFS(Journal!$K$5:$K$1504,Journal!$J$5:$J$1504,"V",Journal!$G$5:$G$1504,"VI81"),0))</f>
        <v>0</v>
      </c>
      <c r="I39" s="31" t="n">
        <f aca="false">IF($A39="",0,SUMIFS(Journal!$N$5:$N$1504,Journal!$E$5:$E$1504,$A39)+IF($A39=2200,SUMIFS(Journal!$K$5:$K$1504,Journal!$J$5:$J$1504,"U"),0))</f>
        <v>0</v>
      </c>
      <c r="J39" s="31" t="n">
        <f aca="false">IF($A39="",0,IF($A39=3809,-MWST!$H$13,IF($A39=2200,MWST!$H$13,IF($A39=6800,Anlagen!$J$3,-SUMIF(Anlagen!$B$6:$B$105,$A39,Anlagen!$J$6:$J$105)))))</f>
        <v>-0</v>
      </c>
      <c r="K39" s="12" t="n">
        <f aca="false">IF($A39="","",IF(OR($C39="Aktiv",$C39="Aufwand"),$G39+$H39-$I39+$J39,$G39+$I39-$H39+$J39))</f>
        <v>0</v>
      </c>
    </row>
    <row r="40" customFormat="false" ht="15" hidden="false" customHeight="false" outlineLevel="0" collapsed="false">
      <c r="A40" s="28" t="n">
        <v>4500</v>
      </c>
      <c r="B40" s="29" t="s">
        <v>316</v>
      </c>
      <c r="C40" s="29" t="s">
        <v>98</v>
      </c>
      <c r="D40" s="29" t="s">
        <v>311</v>
      </c>
      <c r="E40" s="29" t="s">
        <v>298</v>
      </c>
      <c r="F40" s="29"/>
      <c r="G40" s="30" t="n">
        <v>0</v>
      </c>
      <c r="H40" s="31" t="n">
        <f aca="false">IF($A40="",0,SUMIFS(Journal!$M$5:$M$1504,Journal!$D$5:$D$1504,$A40)+IF($A40=1170,SUMIFS(Journal!$K$5:$K$1504,Journal!$J$5:$J$1504,"V",Journal!$G$5:$G$1504,"&lt;&gt;VI81"),0)+IF($A40=1171,SUMIFS(Journal!$K$5:$K$1504,Journal!$J$5:$J$1504,"V",Journal!$G$5:$G$1504,"VI81"),0))</f>
        <v>0</v>
      </c>
      <c r="I40" s="31" t="n">
        <f aca="false">IF($A40="",0,SUMIFS(Journal!$N$5:$N$1504,Journal!$E$5:$E$1504,$A40)+IF($A40=2200,SUMIFS(Journal!$K$5:$K$1504,Journal!$J$5:$J$1504,"U"),0))</f>
        <v>0</v>
      </c>
      <c r="J40" s="31" t="n">
        <f aca="false">IF($A40="",0,IF($A40=3809,-MWST!$H$13,IF($A40=2200,MWST!$H$13,IF($A40=6800,Anlagen!$J$3,-SUMIF(Anlagen!$B$6:$B$105,$A40,Anlagen!$J$6:$J$105)))))</f>
        <v>-0</v>
      </c>
      <c r="K40" s="12" t="n">
        <f aca="false">IF($A40="","",IF(OR($C40="Aktiv",$C40="Aufwand"),$G40+$H40-$I40+$J40,$G40+$I40-$H40+$J40))</f>
        <v>0</v>
      </c>
    </row>
    <row r="41" customFormat="false" ht="15" hidden="false" customHeight="false" outlineLevel="0" collapsed="false">
      <c r="A41" s="28" t="n">
        <v>4900</v>
      </c>
      <c r="B41" s="29" t="s">
        <v>317</v>
      </c>
      <c r="C41" s="29" t="s">
        <v>98</v>
      </c>
      <c r="D41" s="29" t="s">
        <v>311</v>
      </c>
      <c r="E41" s="29" t="s">
        <v>301</v>
      </c>
      <c r="F41" s="29"/>
      <c r="G41" s="30" t="n">
        <v>0</v>
      </c>
      <c r="H41" s="31" t="n">
        <f aca="false">IF($A41="",0,SUMIFS(Journal!$M$5:$M$1504,Journal!$D$5:$D$1504,$A41)+IF($A41=1170,SUMIFS(Journal!$K$5:$K$1504,Journal!$J$5:$J$1504,"V",Journal!$G$5:$G$1504,"&lt;&gt;VI81"),0)+IF($A41=1171,SUMIFS(Journal!$K$5:$K$1504,Journal!$J$5:$J$1504,"V",Journal!$G$5:$G$1504,"VI81"),0))</f>
        <v>0</v>
      </c>
      <c r="I41" s="31" t="n">
        <f aca="false">IF($A41="",0,SUMIFS(Journal!$N$5:$N$1504,Journal!$E$5:$E$1504,$A41)+IF($A41=2200,SUMIFS(Journal!$K$5:$K$1504,Journal!$J$5:$J$1504,"U"),0))</f>
        <v>0</v>
      </c>
      <c r="J41" s="31" t="n">
        <f aca="false">IF($A41="",0,IF($A41=3809,-MWST!$H$13,IF($A41=2200,MWST!$H$13,IF($A41=6800,Anlagen!$J$3,-SUMIF(Anlagen!$B$6:$B$105,$A41,Anlagen!$J$6:$J$105)))))</f>
        <v>-0</v>
      </c>
      <c r="K41" s="12" t="n">
        <f aca="false">IF($A41="","",IF(OR($C41="Aktiv",$C41="Aufwand"),$G41+$H41-$I41+$J41,$G41+$I41-$H41+$J41))</f>
        <v>0</v>
      </c>
    </row>
    <row r="42" customFormat="false" ht="15" hidden="false" customHeight="false" outlineLevel="0" collapsed="false">
      <c r="A42" s="28" t="n">
        <v>5000</v>
      </c>
      <c r="B42" s="29" t="s">
        <v>318</v>
      </c>
      <c r="C42" s="29" t="s">
        <v>98</v>
      </c>
      <c r="D42" s="29" t="s">
        <v>319</v>
      </c>
      <c r="E42" s="29" t="s">
        <v>298</v>
      </c>
      <c r="F42" s="29"/>
      <c r="G42" s="30" t="n">
        <v>0</v>
      </c>
      <c r="H42" s="31" t="n">
        <f aca="false">IF($A42="",0,SUMIFS(Journal!$M$5:$M$1504,Journal!$D$5:$D$1504,$A42)+IF($A42=1170,SUMIFS(Journal!$K$5:$K$1504,Journal!$J$5:$J$1504,"V",Journal!$G$5:$G$1504,"&lt;&gt;VI81"),0)+IF($A42=1171,SUMIFS(Journal!$K$5:$K$1504,Journal!$J$5:$J$1504,"V",Journal!$G$5:$G$1504,"VI81"),0))</f>
        <v>5200</v>
      </c>
      <c r="I42" s="31" t="n">
        <f aca="false">IF($A42="",0,SUMIFS(Journal!$N$5:$N$1504,Journal!$E$5:$E$1504,$A42)+IF($A42=2200,SUMIFS(Journal!$K$5:$K$1504,Journal!$J$5:$J$1504,"U"),0))</f>
        <v>0</v>
      </c>
      <c r="J42" s="31" t="n">
        <f aca="false">IF($A42="",0,IF($A42=3809,-MWST!$H$13,IF($A42=2200,MWST!$H$13,IF($A42=6800,Anlagen!$J$3,-SUMIF(Anlagen!$B$6:$B$105,$A42,Anlagen!$J$6:$J$105)))))</f>
        <v>-0</v>
      </c>
      <c r="K42" s="12" t="n">
        <f aca="false">IF($A42="","",IF(OR($C42="Aktiv",$C42="Aufwand"),$G42+$H42-$I42+$J42,$G42+$I42-$H42+$J42))</f>
        <v>5200</v>
      </c>
    </row>
    <row r="43" customFormat="false" ht="15" hidden="false" customHeight="false" outlineLevel="0" collapsed="false">
      <c r="A43" s="28" t="n">
        <v>5700</v>
      </c>
      <c r="B43" s="29" t="s">
        <v>320</v>
      </c>
      <c r="C43" s="29" t="s">
        <v>98</v>
      </c>
      <c r="D43" s="29" t="s">
        <v>319</v>
      </c>
      <c r="E43" s="29" t="s">
        <v>298</v>
      </c>
      <c r="F43" s="29"/>
      <c r="G43" s="30" t="n">
        <v>0</v>
      </c>
      <c r="H43" s="31" t="n">
        <f aca="false">IF($A43="",0,SUMIFS(Journal!$M$5:$M$1504,Journal!$D$5:$D$1504,$A43)+IF($A43=1170,SUMIFS(Journal!$K$5:$K$1504,Journal!$J$5:$J$1504,"V",Journal!$G$5:$G$1504,"&lt;&gt;VI81"),0)+IF($A43=1171,SUMIFS(Journal!$K$5:$K$1504,Journal!$J$5:$J$1504,"V",Journal!$G$5:$G$1504,"VI81"),0))</f>
        <v>780</v>
      </c>
      <c r="I43" s="31" t="n">
        <f aca="false">IF($A43="",0,SUMIFS(Journal!$N$5:$N$1504,Journal!$E$5:$E$1504,$A43)+IF($A43=2200,SUMIFS(Journal!$K$5:$K$1504,Journal!$J$5:$J$1504,"U"),0))</f>
        <v>0</v>
      </c>
      <c r="J43" s="31" t="n">
        <f aca="false">IF($A43="",0,IF($A43=3809,-MWST!$H$13,IF($A43=2200,MWST!$H$13,IF($A43=6800,Anlagen!$J$3,-SUMIF(Anlagen!$B$6:$B$105,$A43,Anlagen!$J$6:$J$105)))))</f>
        <v>-0</v>
      </c>
      <c r="K43" s="12" t="n">
        <f aca="false">IF($A43="","",IF(OR($C43="Aktiv",$C43="Aufwand"),$G43+$H43-$I43+$J43,$G43+$I43-$H43+$J43))</f>
        <v>780</v>
      </c>
    </row>
    <row r="44" customFormat="false" ht="15" hidden="false" customHeight="false" outlineLevel="0" collapsed="false">
      <c r="A44" s="28" t="n">
        <v>5800</v>
      </c>
      <c r="B44" s="29" t="s">
        <v>321</v>
      </c>
      <c r="C44" s="29" t="s">
        <v>98</v>
      </c>
      <c r="D44" s="29" t="s">
        <v>319</v>
      </c>
      <c r="E44" s="29" t="s">
        <v>306</v>
      </c>
      <c r="F44" s="29"/>
      <c r="G44" s="30" t="n">
        <v>0</v>
      </c>
      <c r="H44" s="31" t="n">
        <f aca="false">IF($A44="",0,SUMIFS(Journal!$M$5:$M$1504,Journal!$D$5:$D$1504,$A44)+IF($A44=1170,SUMIFS(Journal!$K$5:$K$1504,Journal!$J$5:$J$1504,"V",Journal!$G$5:$G$1504,"&lt;&gt;VI81"),0)+IF($A44=1171,SUMIFS(Journal!$K$5:$K$1504,Journal!$J$5:$J$1504,"V",Journal!$G$5:$G$1504,"VI81"),0))</f>
        <v>0</v>
      </c>
      <c r="I44" s="31" t="n">
        <f aca="false">IF($A44="",0,SUMIFS(Journal!$N$5:$N$1504,Journal!$E$5:$E$1504,$A44)+IF($A44=2200,SUMIFS(Journal!$K$5:$K$1504,Journal!$J$5:$J$1504,"U"),0))</f>
        <v>0</v>
      </c>
      <c r="J44" s="31" t="n">
        <f aca="false">IF($A44="",0,IF($A44=3809,-MWST!$H$13,IF($A44=2200,MWST!$H$13,IF($A44=6800,Anlagen!$J$3,-SUMIF(Anlagen!$B$6:$B$105,$A44,Anlagen!$J$6:$J$105)))))</f>
        <v>-0</v>
      </c>
      <c r="K44" s="12" t="n">
        <f aca="false">IF($A44="","",IF(OR($C44="Aktiv",$C44="Aufwand"),$G44+$H44-$I44+$J44,$G44+$I44-$H44+$J44))</f>
        <v>0</v>
      </c>
    </row>
    <row r="45" customFormat="false" ht="15" hidden="false" customHeight="false" outlineLevel="0" collapsed="false">
      <c r="A45" s="28" t="n">
        <v>6000</v>
      </c>
      <c r="B45" s="29" t="s">
        <v>322</v>
      </c>
      <c r="C45" s="29" t="s">
        <v>98</v>
      </c>
      <c r="D45" s="29" t="s">
        <v>323</v>
      </c>
      <c r="E45" s="29" t="s">
        <v>306</v>
      </c>
      <c r="F45" s="29"/>
      <c r="G45" s="30" t="n">
        <v>0</v>
      </c>
      <c r="H45" s="31" t="n">
        <f aca="false">IF($A45="",0,SUMIFS(Journal!$M$5:$M$1504,Journal!$D$5:$D$1504,$A45)+IF($A45=1170,SUMIFS(Journal!$K$5:$K$1504,Journal!$J$5:$J$1504,"V",Journal!$G$5:$G$1504,"&lt;&gt;VI81"),0)+IF($A45=1171,SUMIFS(Journal!$K$5:$K$1504,Journal!$J$5:$J$1504,"V",Journal!$G$5:$G$1504,"VI81"),0))</f>
        <v>3500</v>
      </c>
      <c r="I45" s="31" t="n">
        <f aca="false">IF($A45="",0,SUMIFS(Journal!$N$5:$N$1504,Journal!$E$5:$E$1504,$A45)+IF($A45=2200,SUMIFS(Journal!$K$5:$K$1504,Journal!$J$5:$J$1504,"U"),0))</f>
        <v>0</v>
      </c>
      <c r="J45" s="31" t="n">
        <f aca="false">IF($A45="",0,IF($A45=3809,-MWST!$H$13,IF($A45=2200,MWST!$H$13,IF($A45=6800,Anlagen!$J$3,-SUMIF(Anlagen!$B$6:$B$105,$A45,Anlagen!$J$6:$J$105)))))</f>
        <v>-0</v>
      </c>
      <c r="K45" s="12" t="n">
        <f aca="false">IF($A45="","",IF(OR($C45="Aktiv",$C45="Aufwand"),$G45+$H45-$I45+$J45,$G45+$I45-$H45+$J45))</f>
        <v>3500</v>
      </c>
    </row>
    <row r="46" customFormat="false" ht="15" hidden="false" customHeight="false" outlineLevel="0" collapsed="false">
      <c r="A46" s="28" t="n">
        <v>6100</v>
      </c>
      <c r="B46" s="29" t="s">
        <v>324</v>
      </c>
      <c r="C46" s="29" t="s">
        <v>98</v>
      </c>
      <c r="D46" s="29" t="s">
        <v>323</v>
      </c>
      <c r="E46" s="29" t="s">
        <v>306</v>
      </c>
      <c r="F46" s="29"/>
      <c r="G46" s="30" t="n">
        <v>0</v>
      </c>
      <c r="H46" s="31" t="n">
        <f aca="false">IF($A46="",0,SUMIFS(Journal!$M$5:$M$1504,Journal!$D$5:$D$1504,$A46)+IF($A46=1170,SUMIFS(Journal!$K$5:$K$1504,Journal!$J$5:$J$1504,"V",Journal!$G$5:$G$1504,"&lt;&gt;VI81"),0)+IF($A46=1171,SUMIFS(Journal!$K$5:$K$1504,Journal!$J$5:$J$1504,"V",Journal!$G$5:$G$1504,"VI81"),0))</f>
        <v>0</v>
      </c>
      <c r="I46" s="31" t="n">
        <f aca="false">IF($A46="",0,SUMIFS(Journal!$N$5:$N$1504,Journal!$E$5:$E$1504,$A46)+IF($A46=2200,SUMIFS(Journal!$K$5:$K$1504,Journal!$J$5:$J$1504,"U"),0))</f>
        <v>0</v>
      </c>
      <c r="J46" s="31" t="n">
        <f aca="false">IF($A46="",0,IF($A46=3809,-MWST!$H$13,IF($A46=2200,MWST!$H$13,IF($A46=6800,Anlagen!$J$3,-SUMIF(Anlagen!$B$6:$B$105,$A46,Anlagen!$J$6:$J$105)))))</f>
        <v>-0</v>
      </c>
      <c r="K46" s="12" t="n">
        <f aca="false">IF($A46="","",IF(OR($C46="Aktiv",$C46="Aufwand"),$G46+$H46-$I46+$J46,$G46+$I46-$H46+$J46))</f>
        <v>0</v>
      </c>
    </row>
    <row r="47" customFormat="false" ht="15" hidden="false" customHeight="false" outlineLevel="0" collapsed="false">
      <c r="A47" s="28" t="n">
        <v>6200</v>
      </c>
      <c r="B47" s="29" t="s">
        <v>325</v>
      </c>
      <c r="C47" s="29" t="s">
        <v>98</v>
      </c>
      <c r="D47" s="29" t="s">
        <v>323</v>
      </c>
      <c r="E47" s="29" t="s">
        <v>306</v>
      </c>
      <c r="F47" s="29"/>
      <c r="G47" s="30" t="n">
        <v>0</v>
      </c>
      <c r="H47" s="31" t="n">
        <f aca="false">IF($A47="",0,SUMIFS(Journal!$M$5:$M$1504,Journal!$D$5:$D$1504,$A47)+IF($A47=1170,SUMIFS(Journal!$K$5:$K$1504,Journal!$J$5:$J$1504,"V",Journal!$G$5:$G$1504,"&lt;&gt;VI81"),0)+IF($A47=1171,SUMIFS(Journal!$K$5:$K$1504,Journal!$J$5:$J$1504,"V",Journal!$G$5:$G$1504,"VI81"),0))</f>
        <v>0</v>
      </c>
      <c r="I47" s="31" t="n">
        <f aca="false">IF($A47="",0,SUMIFS(Journal!$N$5:$N$1504,Journal!$E$5:$E$1504,$A47)+IF($A47=2200,SUMIFS(Journal!$K$5:$K$1504,Journal!$J$5:$J$1504,"U"),0))</f>
        <v>0</v>
      </c>
      <c r="J47" s="31" t="n">
        <f aca="false">IF($A47="",0,IF($A47=3809,-MWST!$H$13,IF($A47=2200,MWST!$H$13,IF($A47=6800,Anlagen!$J$3,-SUMIF(Anlagen!$B$6:$B$105,$A47,Anlagen!$J$6:$J$105)))))</f>
        <v>-0</v>
      </c>
      <c r="K47" s="12" t="n">
        <f aca="false">IF($A47="","",IF(OR($C47="Aktiv",$C47="Aufwand"),$G47+$H47-$I47+$J47,$G47+$I47-$H47+$J47))</f>
        <v>0</v>
      </c>
    </row>
    <row r="48" customFormat="false" ht="15" hidden="false" customHeight="false" outlineLevel="0" collapsed="false">
      <c r="A48" s="28" t="n">
        <v>6300</v>
      </c>
      <c r="B48" s="29" t="s">
        <v>326</v>
      </c>
      <c r="C48" s="29" t="s">
        <v>98</v>
      </c>
      <c r="D48" s="29" t="s">
        <v>323</v>
      </c>
      <c r="E48" s="29" t="s">
        <v>306</v>
      </c>
      <c r="F48" s="29"/>
      <c r="G48" s="30" t="n">
        <v>0</v>
      </c>
      <c r="H48" s="31" t="n">
        <f aca="false">IF($A48="",0,SUMIFS(Journal!$M$5:$M$1504,Journal!$D$5:$D$1504,$A48)+IF($A48=1170,SUMIFS(Journal!$K$5:$K$1504,Journal!$J$5:$J$1504,"V",Journal!$G$5:$G$1504,"&lt;&gt;VI81"),0)+IF($A48=1171,SUMIFS(Journal!$K$5:$K$1504,Journal!$J$5:$J$1504,"V",Journal!$G$5:$G$1504,"VI81"),0))</f>
        <v>2400</v>
      </c>
      <c r="I48" s="31" t="n">
        <f aca="false">IF($A48="",0,SUMIFS(Journal!$N$5:$N$1504,Journal!$E$5:$E$1504,$A48)+IF($A48=2200,SUMIFS(Journal!$K$5:$K$1504,Journal!$J$5:$J$1504,"U"),0))</f>
        <v>0</v>
      </c>
      <c r="J48" s="31" t="n">
        <f aca="false">IF($A48="",0,IF($A48=3809,-MWST!$H$13,IF($A48=2200,MWST!$H$13,IF($A48=6800,Anlagen!$J$3,-SUMIF(Anlagen!$B$6:$B$105,$A48,Anlagen!$J$6:$J$105)))))</f>
        <v>-0</v>
      </c>
      <c r="K48" s="12" t="n">
        <f aca="false">IF($A48="","",IF(OR($C48="Aktiv",$C48="Aufwand"),$G48+$H48-$I48+$J48,$G48+$I48-$H48+$J48))</f>
        <v>2400</v>
      </c>
    </row>
    <row r="49" customFormat="false" ht="15" hidden="false" customHeight="false" outlineLevel="0" collapsed="false">
      <c r="A49" s="28" t="n">
        <v>6400</v>
      </c>
      <c r="B49" s="29" t="s">
        <v>327</v>
      </c>
      <c r="C49" s="29" t="s">
        <v>98</v>
      </c>
      <c r="D49" s="29" t="s">
        <v>323</v>
      </c>
      <c r="E49" s="29" t="s">
        <v>306</v>
      </c>
      <c r="F49" s="29"/>
      <c r="G49" s="30" t="n">
        <v>0</v>
      </c>
      <c r="H49" s="31" t="n">
        <f aca="false">IF($A49="",0,SUMIFS(Journal!$M$5:$M$1504,Journal!$D$5:$D$1504,$A49)+IF($A49=1170,SUMIFS(Journal!$K$5:$K$1504,Journal!$J$5:$J$1504,"V",Journal!$G$5:$G$1504,"&lt;&gt;VI81"),0)+IF($A49=1171,SUMIFS(Journal!$K$5:$K$1504,Journal!$J$5:$J$1504,"V",Journal!$G$5:$G$1504,"VI81"),0))</f>
        <v>486.6</v>
      </c>
      <c r="I49" s="31" t="n">
        <f aca="false">IF($A49="",0,SUMIFS(Journal!$N$5:$N$1504,Journal!$E$5:$E$1504,$A49)+IF($A49=2200,SUMIFS(Journal!$K$5:$K$1504,Journal!$J$5:$J$1504,"U"),0))</f>
        <v>0</v>
      </c>
      <c r="J49" s="31" t="n">
        <f aca="false">IF($A49="",0,IF($A49=3809,-MWST!$H$13,IF($A49=2200,MWST!$H$13,IF($A49=6800,Anlagen!$J$3,-SUMIF(Anlagen!$B$6:$B$105,$A49,Anlagen!$J$6:$J$105)))))</f>
        <v>-0</v>
      </c>
      <c r="K49" s="12" t="n">
        <f aca="false">IF($A49="","",IF(OR($C49="Aktiv",$C49="Aufwand"),$G49+$H49-$I49+$J49,$G49+$I49-$H49+$J49))</f>
        <v>486.6</v>
      </c>
    </row>
    <row r="50" customFormat="false" ht="15" hidden="false" customHeight="false" outlineLevel="0" collapsed="false">
      <c r="A50" s="28" t="n">
        <v>6500</v>
      </c>
      <c r="B50" s="29" t="s">
        <v>328</v>
      </c>
      <c r="C50" s="29" t="s">
        <v>98</v>
      </c>
      <c r="D50" s="29" t="s">
        <v>323</v>
      </c>
      <c r="E50" s="29" t="s">
        <v>306</v>
      </c>
      <c r="F50" s="29"/>
      <c r="G50" s="30" t="n">
        <v>0</v>
      </c>
      <c r="H50" s="31" t="n">
        <f aca="false">IF($A50="",0,SUMIFS(Journal!$M$5:$M$1504,Journal!$D$5:$D$1504,$A50)+IF($A50=1170,SUMIFS(Journal!$K$5:$K$1504,Journal!$J$5:$J$1504,"V",Journal!$G$5:$G$1504,"&lt;&gt;VI81"),0)+IF($A50=1171,SUMIFS(Journal!$K$5:$K$1504,Journal!$J$5:$J$1504,"V",Journal!$G$5:$G$1504,"VI81"),0))</f>
        <v>0</v>
      </c>
      <c r="I50" s="31" t="n">
        <f aca="false">IF($A50="",0,SUMIFS(Journal!$N$5:$N$1504,Journal!$E$5:$E$1504,$A50)+IF($A50=2200,SUMIFS(Journal!$K$5:$K$1504,Journal!$J$5:$J$1504,"U"),0))</f>
        <v>0</v>
      </c>
      <c r="J50" s="31" t="n">
        <f aca="false">IF($A50="",0,IF($A50=3809,-MWST!$H$13,IF($A50=2200,MWST!$H$13,IF($A50=6800,Anlagen!$J$3,-SUMIF(Anlagen!$B$6:$B$105,$A50,Anlagen!$J$6:$J$105)))))</f>
        <v>-0</v>
      </c>
      <c r="K50" s="12" t="n">
        <f aca="false">IF($A50="","",IF(OR($C50="Aktiv",$C50="Aufwand"),$G50+$H50-$I50+$J50,$G50+$I50-$H50+$J50))</f>
        <v>0</v>
      </c>
    </row>
    <row r="51" customFormat="false" ht="15" hidden="false" customHeight="false" outlineLevel="0" collapsed="false">
      <c r="A51" s="28" t="n">
        <v>6600</v>
      </c>
      <c r="B51" s="29" t="s">
        <v>329</v>
      </c>
      <c r="C51" s="29" t="s">
        <v>98</v>
      </c>
      <c r="D51" s="29" t="s">
        <v>323</v>
      </c>
      <c r="E51" s="29" t="s">
        <v>306</v>
      </c>
      <c r="F51" s="29"/>
      <c r="G51" s="30" t="n">
        <v>0</v>
      </c>
      <c r="H51" s="31" t="n">
        <f aca="false">IF($A51="",0,SUMIFS(Journal!$M$5:$M$1504,Journal!$D$5:$D$1504,$A51)+IF($A51=1170,SUMIFS(Journal!$K$5:$K$1504,Journal!$J$5:$J$1504,"V",Journal!$G$5:$G$1504,"&lt;&gt;VI81"),0)+IF($A51=1171,SUMIFS(Journal!$K$5:$K$1504,Journal!$J$5:$J$1504,"V",Journal!$G$5:$G$1504,"VI81"),0))</f>
        <v>540</v>
      </c>
      <c r="I51" s="31" t="n">
        <f aca="false">IF($A51="",0,SUMIFS(Journal!$N$5:$N$1504,Journal!$E$5:$E$1504,$A51)+IF($A51=2200,SUMIFS(Journal!$K$5:$K$1504,Journal!$J$5:$J$1504,"U"),0))</f>
        <v>0</v>
      </c>
      <c r="J51" s="31" t="n">
        <f aca="false">IF($A51="",0,IF($A51=3809,-MWST!$H$13,IF($A51=2200,MWST!$H$13,IF($A51=6800,Anlagen!$J$3,-SUMIF(Anlagen!$B$6:$B$105,$A51,Anlagen!$J$6:$J$105)))))</f>
        <v>-0</v>
      </c>
      <c r="K51" s="12" t="n">
        <f aca="false">IF($A51="","",IF(OR($C51="Aktiv",$C51="Aufwand"),$G51+$H51-$I51+$J51,$G51+$I51-$H51+$J51))</f>
        <v>540</v>
      </c>
    </row>
    <row r="52" customFormat="false" ht="15" hidden="false" customHeight="false" outlineLevel="0" collapsed="false">
      <c r="A52" s="28" t="n">
        <v>6700</v>
      </c>
      <c r="B52" s="29" t="s">
        <v>330</v>
      </c>
      <c r="C52" s="29" t="s">
        <v>98</v>
      </c>
      <c r="D52" s="29" t="s">
        <v>323</v>
      </c>
      <c r="E52" s="29" t="s">
        <v>306</v>
      </c>
      <c r="F52" s="29"/>
      <c r="G52" s="30" t="n">
        <v>0</v>
      </c>
      <c r="H52" s="31" t="n">
        <f aca="false">IF($A52="",0,SUMIFS(Journal!$M$5:$M$1504,Journal!$D$5:$D$1504,$A52)+IF($A52=1170,SUMIFS(Journal!$K$5:$K$1504,Journal!$J$5:$J$1504,"V",Journal!$G$5:$G$1504,"&lt;&gt;VI81"),0)+IF($A52=1171,SUMIFS(Journal!$K$5:$K$1504,Journal!$J$5:$J$1504,"V",Journal!$G$5:$G$1504,"VI81"),0))</f>
        <v>0</v>
      </c>
      <c r="I52" s="31" t="n">
        <f aca="false">IF($A52="",0,SUMIFS(Journal!$N$5:$N$1504,Journal!$E$5:$E$1504,$A52)+IF($A52=2200,SUMIFS(Journal!$K$5:$K$1504,Journal!$J$5:$J$1504,"U"),0))</f>
        <v>0</v>
      </c>
      <c r="J52" s="31" t="n">
        <f aca="false">IF($A52="",0,IF($A52=3809,-MWST!$H$13,IF($A52=2200,MWST!$H$13,IF($A52=6800,Anlagen!$J$3,-SUMIF(Anlagen!$B$6:$B$105,$A52,Anlagen!$J$6:$J$105)))))</f>
        <v>-0</v>
      </c>
      <c r="K52" s="12" t="n">
        <f aca="false">IF($A52="","",IF(OR($C52="Aktiv",$C52="Aufwand"),$G52+$H52-$I52+$J52,$G52+$I52-$H52+$J52))</f>
        <v>0</v>
      </c>
    </row>
    <row r="53" customFormat="false" ht="15" hidden="false" customHeight="false" outlineLevel="0" collapsed="false">
      <c r="A53" s="28" t="n">
        <v>6800</v>
      </c>
      <c r="B53" s="29" t="s">
        <v>331</v>
      </c>
      <c r="C53" s="29" t="s">
        <v>98</v>
      </c>
      <c r="D53" s="29" t="s">
        <v>332</v>
      </c>
      <c r="E53" s="29" t="s">
        <v>306</v>
      </c>
      <c r="F53" s="29"/>
      <c r="G53" s="30" t="n">
        <v>0</v>
      </c>
      <c r="H53" s="31" t="n">
        <f aca="false">IF($A53="",0,SUMIFS(Journal!$M$5:$M$1504,Journal!$D$5:$D$1504,$A53)+IF($A53=1170,SUMIFS(Journal!$K$5:$K$1504,Journal!$J$5:$J$1504,"V",Journal!$G$5:$G$1504,"&lt;&gt;VI81"),0)+IF($A53=1171,SUMIFS(Journal!$K$5:$K$1504,Journal!$J$5:$J$1504,"V",Journal!$G$5:$G$1504,"VI81"),0))</f>
        <v>0</v>
      </c>
      <c r="I53" s="31" t="n">
        <f aca="false">IF($A53="",0,SUMIFS(Journal!$N$5:$N$1504,Journal!$E$5:$E$1504,$A53)+IF($A53=2200,SUMIFS(Journal!$K$5:$K$1504,Journal!$J$5:$J$1504,"U"),0))</f>
        <v>0</v>
      </c>
      <c r="J53" s="31" t="n">
        <f aca="false">IF($A53="",0,IF($A53=3809,-MWST!$H$13,IF($A53=2200,MWST!$H$13,IF($A53=6800,Anlagen!$J$3,-SUMIF(Anlagen!$B$6:$B$105,$A53,Anlagen!$J$6:$J$105)))))</f>
        <v>33400</v>
      </c>
      <c r="K53" s="12" t="n">
        <f aca="false">IF($A53="","",IF(OR($C53="Aktiv",$C53="Aufwand"),$G53+$H53-$I53+$J53,$G53+$I53-$H53+$J53))</f>
        <v>33400</v>
      </c>
    </row>
    <row r="54" customFormat="false" ht="15" hidden="false" customHeight="false" outlineLevel="0" collapsed="false">
      <c r="A54" s="28" t="n">
        <v>6900</v>
      </c>
      <c r="B54" s="29" t="s">
        <v>333</v>
      </c>
      <c r="C54" s="29" t="s">
        <v>98</v>
      </c>
      <c r="D54" s="29" t="s">
        <v>334</v>
      </c>
      <c r="E54" s="29" t="s">
        <v>306</v>
      </c>
      <c r="F54" s="29"/>
      <c r="G54" s="30" t="n">
        <v>0</v>
      </c>
      <c r="H54" s="31" t="n">
        <f aca="false">IF($A54="",0,SUMIFS(Journal!$M$5:$M$1504,Journal!$D$5:$D$1504,$A54)+IF($A54=1170,SUMIFS(Journal!$K$5:$K$1504,Journal!$J$5:$J$1504,"V",Journal!$G$5:$G$1504,"&lt;&gt;VI81"),0)+IF($A54=1171,SUMIFS(Journal!$K$5:$K$1504,Journal!$J$5:$J$1504,"V",Journal!$G$5:$G$1504,"VI81"),0))</f>
        <v>85</v>
      </c>
      <c r="I54" s="31" t="n">
        <f aca="false">IF($A54="",0,SUMIFS(Journal!$N$5:$N$1504,Journal!$E$5:$E$1504,$A54)+IF($A54=2200,SUMIFS(Journal!$K$5:$K$1504,Journal!$J$5:$J$1504,"U"),0))</f>
        <v>0</v>
      </c>
      <c r="J54" s="31" t="n">
        <f aca="false">IF($A54="",0,IF($A54=3809,-MWST!$H$13,IF($A54=2200,MWST!$H$13,IF($A54=6800,Anlagen!$J$3,-SUMIF(Anlagen!$B$6:$B$105,$A54,Anlagen!$J$6:$J$105)))))</f>
        <v>-0</v>
      </c>
      <c r="K54" s="12" t="n">
        <f aca="false">IF($A54="","",IF(OR($C54="Aktiv",$C54="Aufwand"),$G54+$H54-$I54+$J54,$G54+$I54-$H54+$J54))</f>
        <v>85</v>
      </c>
    </row>
    <row r="55" customFormat="false" ht="15" hidden="false" customHeight="false" outlineLevel="0" collapsed="false">
      <c r="A55" s="28" t="n">
        <v>6950</v>
      </c>
      <c r="B55" s="29" t="s">
        <v>335</v>
      </c>
      <c r="C55" s="29" t="s">
        <v>296</v>
      </c>
      <c r="D55" s="29" t="s">
        <v>336</v>
      </c>
      <c r="E55" s="29" t="s">
        <v>306</v>
      </c>
      <c r="F55" s="29"/>
      <c r="G55" s="30" t="n">
        <v>0</v>
      </c>
      <c r="H55" s="31" t="n">
        <f aca="false">IF($A55="",0,SUMIFS(Journal!$M$5:$M$1504,Journal!$D$5:$D$1504,$A55)+IF($A55=1170,SUMIFS(Journal!$K$5:$K$1504,Journal!$J$5:$J$1504,"V",Journal!$G$5:$G$1504,"&lt;&gt;VI81"),0)+IF($A55=1171,SUMIFS(Journal!$K$5:$K$1504,Journal!$J$5:$J$1504,"V",Journal!$G$5:$G$1504,"VI81"),0))</f>
        <v>0</v>
      </c>
      <c r="I55" s="31" t="n">
        <f aca="false">IF($A55="",0,SUMIFS(Journal!$N$5:$N$1504,Journal!$E$5:$E$1504,$A55)+IF($A55=2200,SUMIFS(Journal!$K$5:$K$1504,Journal!$J$5:$J$1504,"U"),0))</f>
        <v>0</v>
      </c>
      <c r="J55" s="31" t="n">
        <f aca="false">IF($A55="",0,IF($A55=3809,-MWST!$H$13,IF($A55=2200,MWST!$H$13,IF($A55=6800,Anlagen!$J$3,-SUMIF(Anlagen!$B$6:$B$105,$A55,Anlagen!$J$6:$J$105)))))</f>
        <v>-0</v>
      </c>
      <c r="K55" s="12" t="n">
        <f aca="false">IF($A55="","",IF(OR($C55="Aktiv",$C55="Aufwand"),$G55+$H55-$I55+$J55,$G55+$I55-$H55+$J55))</f>
        <v>0</v>
      </c>
    </row>
    <row r="56" customFormat="false" ht="15" hidden="false" customHeight="false" outlineLevel="0" collapsed="false">
      <c r="A56" s="28" t="n">
        <v>8000</v>
      </c>
      <c r="B56" s="29" t="s">
        <v>337</v>
      </c>
      <c r="C56" s="29" t="s">
        <v>98</v>
      </c>
      <c r="D56" s="29" t="s">
        <v>338</v>
      </c>
      <c r="E56" s="29" t="s">
        <v>306</v>
      </c>
      <c r="F56" s="29"/>
      <c r="G56" s="30" t="n">
        <v>0</v>
      </c>
      <c r="H56" s="31" t="n">
        <f aca="false">IF($A56="",0,SUMIFS(Journal!$M$5:$M$1504,Journal!$D$5:$D$1504,$A56)+IF($A56=1170,SUMIFS(Journal!$K$5:$K$1504,Journal!$J$5:$J$1504,"V",Journal!$G$5:$G$1504,"&lt;&gt;VI81"),0)+IF($A56=1171,SUMIFS(Journal!$K$5:$K$1504,Journal!$J$5:$J$1504,"V",Journal!$G$5:$G$1504,"VI81"),0))</f>
        <v>0</v>
      </c>
      <c r="I56" s="31" t="n">
        <f aca="false">IF($A56="",0,SUMIFS(Journal!$N$5:$N$1504,Journal!$E$5:$E$1504,$A56)+IF($A56=2200,SUMIFS(Journal!$K$5:$K$1504,Journal!$J$5:$J$1504,"U"),0))</f>
        <v>0</v>
      </c>
      <c r="J56" s="31" t="n">
        <f aca="false">IF($A56="",0,IF($A56=3809,-MWST!$H$13,IF($A56=2200,MWST!$H$13,IF($A56=6800,Anlagen!$J$3,-SUMIF(Anlagen!$B$6:$B$105,$A56,Anlagen!$J$6:$J$105)))))</f>
        <v>-0</v>
      </c>
      <c r="K56" s="12" t="n">
        <f aca="false">IF($A56="","",IF(OR($C56="Aktiv",$C56="Aufwand"),$G56+$H56-$I56+$J56,$G56+$I56-$H56+$J56))</f>
        <v>0</v>
      </c>
    </row>
    <row r="57" customFormat="false" ht="15" hidden="false" customHeight="false" outlineLevel="0" collapsed="false">
      <c r="A57" s="28" t="n">
        <v>8100</v>
      </c>
      <c r="B57" s="29" t="s">
        <v>339</v>
      </c>
      <c r="C57" s="29" t="s">
        <v>296</v>
      </c>
      <c r="D57" s="29" t="s">
        <v>340</v>
      </c>
      <c r="E57" s="29" t="s">
        <v>306</v>
      </c>
      <c r="F57" s="29"/>
      <c r="G57" s="30" t="n">
        <v>0</v>
      </c>
      <c r="H57" s="31" t="n">
        <f aca="false">IF($A57="",0,SUMIFS(Journal!$M$5:$M$1504,Journal!$D$5:$D$1504,$A57)+IF($A57=1170,SUMIFS(Journal!$K$5:$K$1504,Journal!$J$5:$J$1504,"V",Journal!$G$5:$G$1504,"&lt;&gt;VI81"),0)+IF($A57=1171,SUMIFS(Journal!$K$5:$K$1504,Journal!$J$5:$J$1504,"V",Journal!$G$5:$G$1504,"VI81"),0))</f>
        <v>0</v>
      </c>
      <c r="I57" s="31" t="n">
        <f aca="false">IF($A57="",0,SUMIFS(Journal!$N$5:$N$1504,Journal!$E$5:$E$1504,$A57)+IF($A57=2200,SUMIFS(Journal!$K$5:$K$1504,Journal!$J$5:$J$1504,"U"),0))</f>
        <v>0</v>
      </c>
      <c r="J57" s="31" t="n">
        <f aca="false">IF($A57="",0,IF($A57=3809,-MWST!$H$13,IF($A57=2200,MWST!$H$13,IF($A57=6800,Anlagen!$J$3,-SUMIF(Anlagen!$B$6:$B$105,$A57,Anlagen!$J$6:$J$105)))))</f>
        <v>-0</v>
      </c>
      <c r="K57" s="12" t="n">
        <f aca="false">IF($A57="","",IF(OR($C57="Aktiv",$C57="Aufwand"),$G57+$H57-$I57+$J57,$G57+$I57-$H57+$J57))</f>
        <v>0</v>
      </c>
    </row>
    <row r="58" customFormat="false" ht="15" hidden="false" customHeight="false" outlineLevel="0" collapsed="false">
      <c r="A58" s="32"/>
      <c r="B58" s="32"/>
      <c r="C58" s="32"/>
      <c r="D58" s="32"/>
      <c r="E58" s="32"/>
      <c r="F58" s="32"/>
      <c r="G58" s="30"/>
      <c r="H58" s="31" t="n">
        <f aca="false">IF($A58="",0,SUMIFS(Journal!$M$5:$M$1504,Journal!$D$5:$D$1504,$A58)+IF($A58=1170,SUMIFS(Journal!$K$5:$K$1504,Journal!$J$5:$J$1504,"V",Journal!$G$5:$G$1504,"&lt;&gt;VI81"),0)+IF($A58=1171,SUMIFS(Journal!$K$5:$K$1504,Journal!$J$5:$J$1504,"V",Journal!$G$5:$G$1504,"VI81"),0))</f>
        <v>0</v>
      </c>
      <c r="I58" s="31" t="n">
        <f aca="false">IF($A58="",0,SUMIFS(Journal!$N$5:$N$1504,Journal!$E$5:$E$1504,$A58)+IF($A58=2200,SUMIFS(Journal!$K$5:$K$1504,Journal!$J$5:$J$1504,"U"),0))</f>
        <v>0</v>
      </c>
      <c r="J58" s="31" t="n">
        <f aca="false">IF($A58="",0,IF($A58=3809,-MWST!$H$13,IF($A58=2200,MWST!$H$13,IF($A58=6800,Anlagen!$J$3,-SUMIF(Anlagen!$B$6:$B$105,$A58,Anlagen!$J$6:$J$105)))))</f>
        <v>0</v>
      </c>
      <c r="K58" s="12" t="str">
        <f aca="false">IF($A58="","",IF(OR($C58="Aktiv",$C58="Aufwand"),$G58+$H58-$I58+$J58,$G58+$I58-$H58+$J58))</f>
        <v/>
      </c>
    </row>
    <row r="59" customFormat="false" ht="15" hidden="false" customHeight="false" outlineLevel="0" collapsed="false">
      <c r="A59" s="32"/>
      <c r="B59" s="32"/>
      <c r="C59" s="32"/>
      <c r="D59" s="32"/>
      <c r="E59" s="32"/>
      <c r="F59" s="32"/>
      <c r="G59" s="30"/>
      <c r="H59" s="31" t="n">
        <f aca="false">IF($A59="",0,SUMIFS(Journal!$M$5:$M$1504,Journal!$D$5:$D$1504,$A59)+IF($A59=1170,SUMIFS(Journal!$K$5:$K$1504,Journal!$J$5:$J$1504,"V",Journal!$G$5:$G$1504,"&lt;&gt;VI81"),0)+IF($A59=1171,SUMIFS(Journal!$K$5:$K$1504,Journal!$J$5:$J$1504,"V",Journal!$G$5:$G$1504,"VI81"),0))</f>
        <v>0</v>
      </c>
      <c r="I59" s="31" t="n">
        <f aca="false">IF($A59="",0,SUMIFS(Journal!$N$5:$N$1504,Journal!$E$5:$E$1504,$A59)+IF($A59=2200,SUMIFS(Journal!$K$5:$K$1504,Journal!$J$5:$J$1504,"U"),0))</f>
        <v>0</v>
      </c>
      <c r="J59" s="31" t="n">
        <f aca="false">IF($A59="",0,IF($A59=3809,-MWST!$H$13,IF($A59=2200,MWST!$H$13,IF($A59=6800,Anlagen!$J$3,-SUMIF(Anlagen!$B$6:$B$105,$A59,Anlagen!$J$6:$J$105)))))</f>
        <v>0</v>
      </c>
      <c r="K59" s="12" t="str">
        <f aca="false">IF($A59="","",IF(OR($C59="Aktiv",$C59="Aufwand"),$G59+$H59-$I59+$J59,$G59+$I59-$H59+$J59))</f>
        <v/>
      </c>
    </row>
    <row r="60" customFormat="false" ht="15" hidden="false" customHeight="false" outlineLevel="0" collapsed="false">
      <c r="A60" s="32"/>
      <c r="B60" s="32"/>
      <c r="C60" s="32"/>
      <c r="D60" s="32"/>
      <c r="E60" s="32"/>
      <c r="F60" s="32"/>
      <c r="G60" s="30"/>
      <c r="H60" s="31" t="n">
        <f aca="false">IF($A60="",0,SUMIFS(Journal!$M$5:$M$1504,Journal!$D$5:$D$1504,$A60)+IF($A60=1170,SUMIFS(Journal!$K$5:$K$1504,Journal!$J$5:$J$1504,"V",Journal!$G$5:$G$1504,"&lt;&gt;VI81"),0)+IF($A60=1171,SUMIFS(Journal!$K$5:$K$1504,Journal!$J$5:$J$1504,"V",Journal!$G$5:$G$1504,"VI81"),0))</f>
        <v>0</v>
      </c>
      <c r="I60" s="31" t="n">
        <f aca="false">IF($A60="",0,SUMIFS(Journal!$N$5:$N$1504,Journal!$E$5:$E$1504,$A60)+IF($A60=2200,SUMIFS(Journal!$K$5:$K$1504,Journal!$J$5:$J$1504,"U"),0))</f>
        <v>0</v>
      </c>
      <c r="J60" s="31" t="n">
        <f aca="false">IF($A60="",0,IF($A60=3809,-MWST!$H$13,IF($A60=2200,MWST!$H$13,IF($A60=6800,Anlagen!$J$3,-SUMIF(Anlagen!$B$6:$B$105,$A60,Anlagen!$J$6:$J$105)))))</f>
        <v>0</v>
      </c>
      <c r="K60" s="12" t="str">
        <f aca="false">IF($A60="","",IF(OR($C60="Aktiv",$C60="Aufwand"),$G60+$H60-$I60+$J60,$G60+$I60-$H60+$J60))</f>
        <v/>
      </c>
    </row>
    <row r="61" customFormat="false" ht="15" hidden="false" customHeight="false" outlineLevel="0" collapsed="false">
      <c r="A61" s="32"/>
      <c r="B61" s="32"/>
      <c r="C61" s="32"/>
      <c r="D61" s="32"/>
      <c r="E61" s="32"/>
      <c r="F61" s="32"/>
      <c r="G61" s="30"/>
      <c r="H61" s="31" t="n">
        <f aca="false">IF($A61="",0,SUMIFS(Journal!$M$5:$M$1504,Journal!$D$5:$D$1504,$A61)+IF($A61=1170,SUMIFS(Journal!$K$5:$K$1504,Journal!$J$5:$J$1504,"V",Journal!$G$5:$G$1504,"&lt;&gt;VI81"),0)+IF($A61=1171,SUMIFS(Journal!$K$5:$K$1504,Journal!$J$5:$J$1504,"V",Journal!$G$5:$G$1504,"VI81"),0))</f>
        <v>0</v>
      </c>
      <c r="I61" s="31" t="n">
        <f aca="false">IF($A61="",0,SUMIFS(Journal!$N$5:$N$1504,Journal!$E$5:$E$1504,$A61)+IF($A61=2200,SUMIFS(Journal!$K$5:$K$1504,Journal!$J$5:$J$1504,"U"),0))</f>
        <v>0</v>
      </c>
      <c r="J61" s="31" t="n">
        <f aca="false">IF($A61="",0,IF($A61=3809,-MWST!$H$13,IF($A61=2200,MWST!$H$13,IF($A61=6800,Anlagen!$J$3,-SUMIF(Anlagen!$B$6:$B$105,$A61,Anlagen!$J$6:$J$105)))))</f>
        <v>0</v>
      </c>
      <c r="K61" s="12" t="str">
        <f aca="false">IF($A61="","",IF(OR($C61="Aktiv",$C61="Aufwand"),$G61+$H61-$I61+$J61,$G61+$I61-$H61+$J61))</f>
        <v/>
      </c>
    </row>
    <row r="62" customFormat="false" ht="15" hidden="false" customHeight="false" outlineLevel="0" collapsed="false">
      <c r="A62" s="32"/>
      <c r="B62" s="32"/>
      <c r="C62" s="32"/>
      <c r="D62" s="32"/>
      <c r="E62" s="32"/>
      <c r="F62" s="32"/>
      <c r="G62" s="30"/>
      <c r="H62" s="31" t="n">
        <f aca="false">IF($A62="",0,SUMIFS(Journal!$M$5:$M$1504,Journal!$D$5:$D$1504,$A62)+IF($A62=1170,SUMIFS(Journal!$K$5:$K$1504,Journal!$J$5:$J$1504,"V",Journal!$G$5:$G$1504,"&lt;&gt;VI81"),0)+IF($A62=1171,SUMIFS(Journal!$K$5:$K$1504,Journal!$J$5:$J$1504,"V",Journal!$G$5:$G$1504,"VI81"),0))</f>
        <v>0</v>
      </c>
      <c r="I62" s="31" t="n">
        <f aca="false">IF($A62="",0,SUMIFS(Journal!$N$5:$N$1504,Journal!$E$5:$E$1504,$A62)+IF($A62=2200,SUMIFS(Journal!$K$5:$K$1504,Journal!$J$5:$J$1504,"U"),0))</f>
        <v>0</v>
      </c>
      <c r="J62" s="31" t="n">
        <f aca="false">IF($A62="",0,IF($A62=3809,-MWST!$H$13,IF($A62=2200,MWST!$H$13,IF($A62=6800,Anlagen!$J$3,-SUMIF(Anlagen!$B$6:$B$105,$A62,Anlagen!$J$6:$J$105)))))</f>
        <v>0</v>
      </c>
      <c r="K62" s="12" t="str">
        <f aca="false">IF($A62="","",IF(OR($C62="Aktiv",$C62="Aufwand"),$G62+$H62-$I62+$J62,$G62+$I62-$H62+$J62))</f>
        <v/>
      </c>
    </row>
    <row r="63" customFormat="false" ht="15" hidden="false" customHeight="false" outlineLevel="0" collapsed="false">
      <c r="A63" s="32"/>
      <c r="B63" s="32"/>
      <c r="C63" s="32"/>
      <c r="D63" s="32"/>
      <c r="E63" s="32"/>
      <c r="F63" s="32"/>
      <c r="G63" s="30"/>
      <c r="H63" s="31" t="n">
        <f aca="false">IF($A63="",0,SUMIFS(Journal!$M$5:$M$1504,Journal!$D$5:$D$1504,$A63)+IF($A63=1170,SUMIFS(Journal!$K$5:$K$1504,Journal!$J$5:$J$1504,"V",Journal!$G$5:$G$1504,"&lt;&gt;VI81"),0)+IF($A63=1171,SUMIFS(Journal!$K$5:$K$1504,Journal!$J$5:$J$1504,"V",Journal!$G$5:$G$1504,"VI81"),0))</f>
        <v>0</v>
      </c>
      <c r="I63" s="31" t="n">
        <f aca="false">IF($A63="",0,SUMIFS(Journal!$N$5:$N$1504,Journal!$E$5:$E$1504,$A63)+IF($A63=2200,SUMIFS(Journal!$K$5:$K$1504,Journal!$J$5:$J$1504,"U"),0))</f>
        <v>0</v>
      </c>
      <c r="J63" s="31" t="n">
        <f aca="false">IF($A63="",0,IF($A63=3809,-MWST!$H$13,IF($A63=2200,MWST!$H$13,IF($A63=6800,Anlagen!$J$3,-SUMIF(Anlagen!$B$6:$B$105,$A63,Anlagen!$J$6:$J$105)))))</f>
        <v>0</v>
      </c>
      <c r="K63" s="12" t="str">
        <f aca="false">IF($A63="","",IF(OR($C63="Aktiv",$C63="Aufwand"),$G63+$H63-$I63+$J63,$G63+$I63-$H63+$J63))</f>
        <v/>
      </c>
    </row>
    <row r="64" customFormat="false" ht="15" hidden="false" customHeight="false" outlineLevel="0" collapsed="false">
      <c r="A64" s="32"/>
      <c r="B64" s="32"/>
      <c r="C64" s="32"/>
      <c r="D64" s="32"/>
      <c r="E64" s="32"/>
      <c r="F64" s="32"/>
      <c r="G64" s="30"/>
      <c r="H64" s="31" t="n">
        <f aca="false">IF($A64="",0,SUMIFS(Journal!$M$5:$M$1504,Journal!$D$5:$D$1504,$A64)+IF($A64=1170,SUMIFS(Journal!$K$5:$K$1504,Journal!$J$5:$J$1504,"V",Journal!$G$5:$G$1504,"&lt;&gt;VI81"),0)+IF($A64=1171,SUMIFS(Journal!$K$5:$K$1504,Journal!$J$5:$J$1504,"V",Journal!$G$5:$G$1504,"VI81"),0))</f>
        <v>0</v>
      </c>
      <c r="I64" s="31" t="n">
        <f aca="false">IF($A64="",0,SUMIFS(Journal!$N$5:$N$1504,Journal!$E$5:$E$1504,$A64)+IF($A64=2200,SUMIFS(Journal!$K$5:$K$1504,Journal!$J$5:$J$1504,"U"),0))</f>
        <v>0</v>
      </c>
      <c r="J64" s="31" t="n">
        <f aca="false">IF($A64="",0,IF($A64=3809,-MWST!$H$13,IF($A64=2200,MWST!$H$13,IF($A64=6800,Anlagen!$J$3,-SUMIF(Anlagen!$B$6:$B$105,$A64,Anlagen!$J$6:$J$105)))))</f>
        <v>0</v>
      </c>
      <c r="K64" s="12" t="str">
        <f aca="false">IF($A64="","",IF(OR($C64="Aktiv",$C64="Aufwand"),$G64+$H64-$I64+$J64,$G64+$I64-$H64+$J64))</f>
        <v/>
      </c>
    </row>
    <row r="65" customFormat="false" ht="15" hidden="false" customHeight="false" outlineLevel="0" collapsed="false">
      <c r="A65" s="32"/>
      <c r="B65" s="32"/>
      <c r="C65" s="32"/>
      <c r="D65" s="32"/>
      <c r="E65" s="32"/>
      <c r="F65" s="32"/>
      <c r="G65" s="30"/>
      <c r="H65" s="31" t="n">
        <f aca="false">IF($A65="",0,SUMIFS(Journal!$M$5:$M$1504,Journal!$D$5:$D$1504,$A65)+IF($A65=1170,SUMIFS(Journal!$K$5:$K$1504,Journal!$J$5:$J$1504,"V",Journal!$G$5:$G$1504,"&lt;&gt;VI81"),0)+IF($A65=1171,SUMIFS(Journal!$K$5:$K$1504,Journal!$J$5:$J$1504,"V",Journal!$G$5:$G$1504,"VI81"),0))</f>
        <v>0</v>
      </c>
      <c r="I65" s="31" t="n">
        <f aca="false">IF($A65="",0,SUMIFS(Journal!$N$5:$N$1504,Journal!$E$5:$E$1504,$A65)+IF($A65=2200,SUMIFS(Journal!$K$5:$K$1504,Journal!$J$5:$J$1504,"U"),0))</f>
        <v>0</v>
      </c>
      <c r="J65" s="31" t="n">
        <f aca="false">IF($A65="",0,IF($A65=3809,-MWST!$H$13,IF($A65=2200,MWST!$H$13,IF($A65=6800,Anlagen!$J$3,-SUMIF(Anlagen!$B$6:$B$105,$A65,Anlagen!$J$6:$J$105)))))</f>
        <v>0</v>
      </c>
      <c r="K65" s="12" t="str">
        <f aca="false">IF($A65="","",IF(OR($C65="Aktiv",$C65="Aufwand"),$G65+$H65-$I65+$J65,$G65+$I65-$H65+$J65))</f>
        <v/>
      </c>
    </row>
    <row r="66" customFormat="false" ht="15" hidden="false" customHeight="false" outlineLevel="0" collapsed="false">
      <c r="A66" s="32"/>
      <c r="B66" s="32"/>
      <c r="C66" s="32"/>
      <c r="D66" s="32"/>
      <c r="E66" s="32"/>
      <c r="F66" s="32"/>
      <c r="G66" s="30"/>
      <c r="H66" s="31" t="n">
        <f aca="false">IF($A66="",0,SUMIFS(Journal!$M$5:$M$1504,Journal!$D$5:$D$1504,$A66)+IF($A66=1170,SUMIFS(Journal!$K$5:$K$1504,Journal!$J$5:$J$1504,"V",Journal!$G$5:$G$1504,"&lt;&gt;VI81"),0)+IF($A66=1171,SUMIFS(Journal!$K$5:$K$1504,Journal!$J$5:$J$1504,"V",Journal!$G$5:$G$1504,"VI81"),0))</f>
        <v>0</v>
      </c>
      <c r="I66" s="31" t="n">
        <f aca="false">IF($A66="",0,SUMIFS(Journal!$N$5:$N$1504,Journal!$E$5:$E$1504,$A66)+IF($A66=2200,SUMIFS(Journal!$K$5:$K$1504,Journal!$J$5:$J$1504,"U"),0))</f>
        <v>0</v>
      </c>
      <c r="J66" s="31" t="n">
        <f aca="false">IF($A66="",0,IF($A66=3809,-MWST!$H$13,IF($A66=2200,MWST!$H$13,IF($A66=6800,Anlagen!$J$3,-SUMIF(Anlagen!$B$6:$B$105,$A66,Anlagen!$J$6:$J$105)))))</f>
        <v>0</v>
      </c>
      <c r="K66" s="12" t="str">
        <f aca="false">IF($A66="","",IF(OR($C66="Aktiv",$C66="Aufwand"),$G66+$H66-$I66+$J66,$G66+$I66-$H66+$J66))</f>
        <v/>
      </c>
    </row>
    <row r="67" customFormat="false" ht="15" hidden="false" customHeight="false" outlineLevel="0" collapsed="false">
      <c r="A67" s="32"/>
      <c r="B67" s="32"/>
      <c r="C67" s="32"/>
      <c r="D67" s="32"/>
      <c r="E67" s="32"/>
      <c r="F67" s="32"/>
      <c r="G67" s="30"/>
      <c r="H67" s="31" t="n">
        <f aca="false">IF($A67="",0,SUMIFS(Journal!$M$5:$M$1504,Journal!$D$5:$D$1504,$A67)+IF($A67=1170,SUMIFS(Journal!$K$5:$K$1504,Journal!$J$5:$J$1504,"V",Journal!$G$5:$G$1504,"&lt;&gt;VI81"),0)+IF($A67=1171,SUMIFS(Journal!$K$5:$K$1504,Journal!$J$5:$J$1504,"V",Journal!$G$5:$G$1504,"VI81"),0))</f>
        <v>0</v>
      </c>
      <c r="I67" s="31" t="n">
        <f aca="false">IF($A67="",0,SUMIFS(Journal!$N$5:$N$1504,Journal!$E$5:$E$1504,$A67)+IF($A67=2200,SUMIFS(Journal!$K$5:$K$1504,Journal!$J$5:$J$1504,"U"),0))</f>
        <v>0</v>
      </c>
      <c r="J67" s="31" t="n">
        <f aca="false">IF($A67="",0,IF($A67=3809,-MWST!$H$13,IF($A67=2200,MWST!$H$13,IF($A67=6800,Anlagen!$J$3,-SUMIF(Anlagen!$B$6:$B$105,$A67,Anlagen!$J$6:$J$105)))))</f>
        <v>0</v>
      </c>
      <c r="K67" s="12" t="str">
        <f aca="false">IF($A67="","",IF(OR($C67="Aktiv",$C67="Aufwand"),$G67+$H67-$I67+$J67,$G67+$I67-$H67+$J67))</f>
        <v/>
      </c>
    </row>
    <row r="68" customFormat="false" ht="15" hidden="false" customHeight="false" outlineLevel="0" collapsed="false">
      <c r="A68" s="32"/>
      <c r="B68" s="32"/>
      <c r="C68" s="32"/>
      <c r="D68" s="32"/>
      <c r="E68" s="32"/>
      <c r="F68" s="32"/>
      <c r="G68" s="30"/>
      <c r="H68" s="31" t="n">
        <f aca="false">IF($A68="",0,SUMIFS(Journal!$M$5:$M$1504,Journal!$D$5:$D$1504,$A68)+IF($A68=1170,SUMIFS(Journal!$K$5:$K$1504,Journal!$J$5:$J$1504,"V",Journal!$G$5:$G$1504,"&lt;&gt;VI81"),0)+IF($A68=1171,SUMIFS(Journal!$K$5:$K$1504,Journal!$J$5:$J$1504,"V",Journal!$G$5:$G$1504,"VI81"),0))</f>
        <v>0</v>
      </c>
      <c r="I68" s="31" t="n">
        <f aca="false">IF($A68="",0,SUMIFS(Journal!$N$5:$N$1504,Journal!$E$5:$E$1504,$A68)+IF($A68=2200,SUMIFS(Journal!$K$5:$K$1504,Journal!$J$5:$J$1504,"U"),0))</f>
        <v>0</v>
      </c>
      <c r="J68" s="31" t="n">
        <f aca="false">IF($A68="",0,IF($A68=3809,-MWST!$H$13,IF($A68=2200,MWST!$H$13,IF($A68=6800,Anlagen!$J$3,-SUMIF(Anlagen!$B$6:$B$105,$A68,Anlagen!$J$6:$J$105)))))</f>
        <v>0</v>
      </c>
      <c r="K68" s="12" t="str">
        <f aca="false">IF($A68="","",IF(OR($C68="Aktiv",$C68="Aufwand"),$G68+$H68-$I68+$J68,$G68+$I68-$H68+$J68))</f>
        <v/>
      </c>
    </row>
    <row r="69" customFormat="false" ht="15" hidden="false" customHeight="false" outlineLevel="0" collapsed="false">
      <c r="A69" s="32"/>
      <c r="B69" s="32"/>
      <c r="C69" s="32"/>
      <c r="D69" s="32"/>
      <c r="E69" s="32"/>
      <c r="F69" s="32"/>
      <c r="G69" s="30"/>
      <c r="H69" s="31" t="n">
        <f aca="false">IF($A69="",0,SUMIFS(Journal!$M$5:$M$1504,Journal!$D$5:$D$1504,$A69)+IF($A69=1170,SUMIFS(Journal!$K$5:$K$1504,Journal!$J$5:$J$1504,"V",Journal!$G$5:$G$1504,"&lt;&gt;VI81"),0)+IF($A69=1171,SUMIFS(Journal!$K$5:$K$1504,Journal!$J$5:$J$1504,"V",Journal!$G$5:$G$1504,"VI81"),0))</f>
        <v>0</v>
      </c>
      <c r="I69" s="31" t="n">
        <f aca="false">IF($A69="",0,SUMIFS(Journal!$N$5:$N$1504,Journal!$E$5:$E$1504,$A69)+IF($A69=2200,SUMIFS(Journal!$K$5:$K$1504,Journal!$J$5:$J$1504,"U"),0))</f>
        <v>0</v>
      </c>
      <c r="J69" s="31" t="n">
        <f aca="false">IF($A69="",0,IF($A69=3809,-MWST!$H$13,IF($A69=2200,MWST!$H$13,IF($A69=6800,Anlagen!$J$3,-SUMIF(Anlagen!$B$6:$B$105,$A69,Anlagen!$J$6:$J$105)))))</f>
        <v>0</v>
      </c>
      <c r="K69" s="12" t="str">
        <f aca="false">IF($A69="","",IF(OR($C69="Aktiv",$C69="Aufwand"),$G69+$H69-$I69+$J69,$G69+$I69-$H69+$J69))</f>
        <v/>
      </c>
    </row>
    <row r="70" customFormat="false" ht="15" hidden="false" customHeight="false" outlineLevel="0" collapsed="false">
      <c r="A70" s="32"/>
      <c r="B70" s="32"/>
      <c r="C70" s="32"/>
      <c r="D70" s="32"/>
      <c r="E70" s="32"/>
      <c r="F70" s="32"/>
      <c r="G70" s="30"/>
      <c r="H70" s="31" t="n">
        <f aca="false">IF($A70="",0,SUMIFS(Journal!$M$5:$M$1504,Journal!$D$5:$D$1504,$A70)+IF($A70=1170,SUMIFS(Journal!$K$5:$K$1504,Journal!$J$5:$J$1504,"V",Journal!$G$5:$G$1504,"&lt;&gt;VI81"),0)+IF($A70=1171,SUMIFS(Journal!$K$5:$K$1504,Journal!$J$5:$J$1504,"V",Journal!$G$5:$G$1504,"VI81"),0))</f>
        <v>0</v>
      </c>
      <c r="I70" s="31" t="n">
        <f aca="false">IF($A70="",0,SUMIFS(Journal!$N$5:$N$1504,Journal!$E$5:$E$1504,$A70)+IF($A70=2200,SUMIFS(Journal!$K$5:$K$1504,Journal!$J$5:$J$1504,"U"),0))</f>
        <v>0</v>
      </c>
      <c r="J70" s="31" t="n">
        <f aca="false">IF($A70="",0,IF($A70=3809,-MWST!$H$13,IF($A70=2200,MWST!$H$13,IF($A70=6800,Anlagen!$J$3,-SUMIF(Anlagen!$B$6:$B$105,$A70,Anlagen!$J$6:$J$105)))))</f>
        <v>0</v>
      </c>
      <c r="K70" s="12" t="str">
        <f aca="false">IF($A70="","",IF(OR($C70="Aktiv",$C70="Aufwand"),$G70+$H70-$I70+$J70,$G70+$I70-$H70+$J70))</f>
        <v/>
      </c>
    </row>
    <row r="71" customFormat="false" ht="15" hidden="false" customHeight="false" outlineLevel="0" collapsed="false">
      <c r="A71" s="32"/>
      <c r="B71" s="32"/>
      <c r="C71" s="32"/>
      <c r="D71" s="32"/>
      <c r="E71" s="32"/>
      <c r="F71" s="32"/>
      <c r="G71" s="30"/>
      <c r="H71" s="31" t="n">
        <f aca="false">IF($A71="",0,SUMIFS(Journal!$M$5:$M$1504,Journal!$D$5:$D$1504,$A71)+IF($A71=1170,SUMIFS(Journal!$K$5:$K$1504,Journal!$J$5:$J$1504,"V",Journal!$G$5:$G$1504,"&lt;&gt;VI81"),0)+IF($A71=1171,SUMIFS(Journal!$K$5:$K$1504,Journal!$J$5:$J$1504,"V",Journal!$G$5:$G$1504,"VI81"),0))</f>
        <v>0</v>
      </c>
      <c r="I71" s="31" t="n">
        <f aca="false">IF($A71="",0,SUMIFS(Journal!$N$5:$N$1504,Journal!$E$5:$E$1504,$A71)+IF($A71=2200,SUMIFS(Journal!$K$5:$K$1504,Journal!$J$5:$J$1504,"U"),0))</f>
        <v>0</v>
      </c>
      <c r="J71" s="31" t="n">
        <f aca="false">IF($A71="",0,IF($A71=3809,-MWST!$H$13,IF($A71=2200,MWST!$H$13,IF($A71=6800,Anlagen!$J$3,-SUMIF(Anlagen!$B$6:$B$105,$A71,Anlagen!$J$6:$J$105)))))</f>
        <v>0</v>
      </c>
      <c r="K71" s="12" t="str">
        <f aca="false">IF($A71="","",IF(OR($C71="Aktiv",$C71="Aufwand"),$G71+$H71-$I71+$J71,$G71+$I71-$H71+$J71))</f>
        <v/>
      </c>
    </row>
    <row r="72" customFormat="false" ht="15" hidden="false" customHeight="false" outlineLevel="0" collapsed="false">
      <c r="A72" s="32"/>
      <c r="B72" s="32"/>
      <c r="C72" s="32"/>
      <c r="D72" s="32"/>
      <c r="E72" s="32"/>
      <c r="F72" s="32"/>
      <c r="G72" s="30"/>
      <c r="H72" s="31" t="n">
        <f aca="false">IF($A72="",0,SUMIFS(Journal!$M$5:$M$1504,Journal!$D$5:$D$1504,$A72)+IF($A72=1170,SUMIFS(Journal!$K$5:$K$1504,Journal!$J$5:$J$1504,"V",Journal!$G$5:$G$1504,"&lt;&gt;VI81"),0)+IF($A72=1171,SUMIFS(Journal!$K$5:$K$1504,Journal!$J$5:$J$1504,"V",Journal!$G$5:$G$1504,"VI81"),0))</f>
        <v>0</v>
      </c>
      <c r="I72" s="31" t="n">
        <f aca="false">IF($A72="",0,SUMIFS(Journal!$N$5:$N$1504,Journal!$E$5:$E$1504,$A72)+IF($A72=2200,SUMIFS(Journal!$K$5:$K$1504,Journal!$J$5:$J$1504,"U"),0))</f>
        <v>0</v>
      </c>
      <c r="J72" s="31" t="n">
        <f aca="false">IF($A72="",0,IF($A72=3809,-MWST!$H$13,IF($A72=2200,MWST!$H$13,IF($A72=6800,Anlagen!$J$3,-SUMIF(Anlagen!$B$6:$B$105,$A72,Anlagen!$J$6:$J$105)))))</f>
        <v>0</v>
      </c>
      <c r="K72" s="12" t="str">
        <f aca="false">IF($A72="","",IF(OR($C72="Aktiv",$C72="Aufwand"),$G72+$H72-$I72+$J72,$G72+$I72-$H72+$J72))</f>
        <v/>
      </c>
    </row>
    <row r="73" customFormat="false" ht="15" hidden="false" customHeight="false" outlineLevel="0" collapsed="false">
      <c r="A73" s="32"/>
      <c r="B73" s="32"/>
      <c r="C73" s="32"/>
      <c r="D73" s="32"/>
      <c r="E73" s="32"/>
      <c r="F73" s="32"/>
      <c r="G73" s="30"/>
      <c r="H73" s="31" t="n">
        <f aca="false">IF($A73="",0,SUMIFS(Journal!$M$5:$M$1504,Journal!$D$5:$D$1504,$A73)+IF($A73=1170,SUMIFS(Journal!$K$5:$K$1504,Journal!$J$5:$J$1504,"V",Journal!$G$5:$G$1504,"&lt;&gt;VI81"),0)+IF($A73=1171,SUMIFS(Journal!$K$5:$K$1504,Journal!$J$5:$J$1504,"V",Journal!$G$5:$G$1504,"VI81"),0))</f>
        <v>0</v>
      </c>
      <c r="I73" s="31" t="n">
        <f aca="false">IF($A73="",0,SUMIFS(Journal!$N$5:$N$1504,Journal!$E$5:$E$1504,$A73)+IF($A73=2200,SUMIFS(Journal!$K$5:$K$1504,Journal!$J$5:$J$1504,"U"),0))</f>
        <v>0</v>
      </c>
      <c r="J73" s="31" t="n">
        <f aca="false">IF($A73="",0,IF($A73=3809,-MWST!$H$13,IF($A73=2200,MWST!$H$13,IF($A73=6800,Anlagen!$J$3,-SUMIF(Anlagen!$B$6:$B$105,$A73,Anlagen!$J$6:$J$105)))))</f>
        <v>0</v>
      </c>
      <c r="K73" s="12" t="str">
        <f aca="false">IF($A73="","",IF(OR($C73="Aktiv",$C73="Aufwand"),$G73+$H73-$I73+$J73,$G73+$I73-$H73+$J73))</f>
        <v/>
      </c>
    </row>
    <row r="74" customFormat="false" ht="15" hidden="false" customHeight="false" outlineLevel="0" collapsed="false">
      <c r="A74" s="32"/>
      <c r="B74" s="32"/>
      <c r="C74" s="32"/>
      <c r="D74" s="32"/>
      <c r="E74" s="32"/>
      <c r="F74" s="32"/>
      <c r="G74" s="30"/>
      <c r="H74" s="31" t="n">
        <f aca="false">IF($A74="",0,SUMIFS(Journal!$M$5:$M$1504,Journal!$D$5:$D$1504,$A74)+IF($A74=1170,SUMIFS(Journal!$K$5:$K$1504,Journal!$J$5:$J$1504,"V",Journal!$G$5:$G$1504,"&lt;&gt;VI81"),0)+IF($A74=1171,SUMIFS(Journal!$K$5:$K$1504,Journal!$J$5:$J$1504,"V",Journal!$G$5:$G$1504,"VI81"),0))</f>
        <v>0</v>
      </c>
      <c r="I74" s="31" t="n">
        <f aca="false">IF($A74="",0,SUMIFS(Journal!$N$5:$N$1504,Journal!$E$5:$E$1504,$A74)+IF($A74=2200,SUMIFS(Journal!$K$5:$K$1504,Journal!$J$5:$J$1504,"U"),0))</f>
        <v>0</v>
      </c>
      <c r="J74" s="31" t="n">
        <f aca="false">IF($A74="",0,IF($A74=3809,-MWST!$H$13,IF($A74=2200,MWST!$H$13,IF($A74=6800,Anlagen!$J$3,-SUMIF(Anlagen!$B$6:$B$105,$A74,Anlagen!$J$6:$J$105)))))</f>
        <v>0</v>
      </c>
      <c r="K74" s="12" t="str">
        <f aca="false">IF($A74="","",IF(OR($C74="Aktiv",$C74="Aufwand"),$G74+$H74-$I74+$J74,$G74+$I74-$H74+$J74))</f>
        <v/>
      </c>
    </row>
    <row r="75" customFormat="false" ht="15" hidden="false" customHeight="false" outlineLevel="0" collapsed="false">
      <c r="A75" s="32"/>
      <c r="B75" s="32"/>
      <c r="C75" s="32"/>
      <c r="D75" s="32"/>
      <c r="E75" s="32"/>
      <c r="F75" s="32"/>
      <c r="G75" s="30"/>
      <c r="H75" s="31" t="n">
        <f aca="false">IF($A75="",0,SUMIFS(Journal!$M$5:$M$1504,Journal!$D$5:$D$1504,$A75)+IF($A75=1170,SUMIFS(Journal!$K$5:$K$1504,Journal!$J$5:$J$1504,"V",Journal!$G$5:$G$1504,"&lt;&gt;VI81"),0)+IF($A75=1171,SUMIFS(Journal!$K$5:$K$1504,Journal!$J$5:$J$1504,"V",Journal!$G$5:$G$1504,"VI81"),0))</f>
        <v>0</v>
      </c>
      <c r="I75" s="31" t="n">
        <f aca="false">IF($A75="",0,SUMIFS(Journal!$N$5:$N$1504,Journal!$E$5:$E$1504,$A75)+IF($A75=2200,SUMIFS(Journal!$K$5:$K$1504,Journal!$J$5:$J$1504,"U"),0))</f>
        <v>0</v>
      </c>
      <c r="J75" s="31" t="n">
        <f aca="false">IF($A75="",0,IF($A75=3809,-MWST!$H$13,IF($A75=2200,MWST!$H$13,IF($A75=6800,Anlagen!$J$3,-SUMIF(Anlagen!$B$6:$B$105,$A75,Anlagen!$J$6:$J$105)))))</f>
        <v>0</v>
      </c>
      <c r="K75" s="12" t="str">
        <f aca="false">IF($A75="","",IF(OR($C75="Aktiv",$C75="Aufwand"),$G75+$H75-$I75+$J75,$G75+$I75-$H75+$J75))</f>
        <v/>
      </c>
    </row>
    <row r="76" customFormat="false" ht="15" hidden="false" customHeight="false" outlineLevel="0" collapsed="false">
      <c r="A76" s="32"/>
      <c r="B76" s="32"/>
      <c r="C76" s="32"/>
      <c r="D76" s="32"/>
      <c r="E76" s="32"/>
      <c r="F76" s="32"/>
      <c r="G76" s="30"/>
      <c r="H76" s="31" t="n">
        <f aca="false">IF($A76="",0,SUMIFS(Journal!$M$5:$M$1504,Journal!$D$5:$D$1504,$A76)+IF($A76=1170,SUMIFS(Journal!$K$5:$K$1504,Journal!$J$5:$J$1504,"V",Journal!$G$5:$G$1504,"&lt;&gt;VI81"),0)+IF($A76=1171,SUMIFS(Journal!$K$5:$K$1504,Journal!$J$5:$J$1504,"V",Journal!$G$5:$G$1504,"VI81"),0))</f>
        <v>0</v>
      </c>
      <c r="I76" s="31" t="n">
        <f aca="false">IF($A76="",0,SUMIFS(Journal!$N$5:$N$1504,Journal!$E$5:$E$1504,$A76)+IF($A76=2200,SUMIFS(Journal!$K$5:$K$1504,Journal!$J$5:$J$1504,"U"),0))</f>
        <v>0</v>
      </c>
      <c r="J76" s="31" t="n">
        <f aca="false">IF($A76="",0,IF($A76=3809,-MWST!$H$13,IF($A76=2200,MWST!$H$13,IF($A76=6800,Anlagen!$J$3,-SUMIF(Anlagen!$B$6:$B$105,$A76,Anlagen!$J$6:$J$105)))))</f>
        <v>0</v>
      </c>
      <c r="K76" s="12" t="str">
        <f aca="false">IF($A76="","",IF(OR($C76="Aktiv",$C76="Aufwand"),$G76+$H76-$I76+$J76,$G76+$I76-$H76+$J76))</f>
        <v/>
      </c>
    </row>
    <row r="77" customFormat="false" ht="15" hidden="false" customHeight="false" outlineLevel="0" collapsed="false">
      <c r="A77" s="32"/>
      <c r="B77" s="32"/>
      <c r="C77" s="32"/>
      <c r="D77" s="32"/>
      <c r="E77" s="32"/>
      <c r="F77" s="32"/>
      <c r="G77" s="30"/>
      <c r="H77" s="31" t="n">
        <f aca="false">IF($A77="",0,SUMIFS(Journal!$M$5:$M$1504,Journal!$D$5:$D$1504,$A77)+IF($A77=1170,SUMIFS(Journal!$K$5:$K$1504,Journal!$J$5:$J$1504,"V",Journal!$G$5:$G$1504,"&lt;&gt;VI81"),0)+IF($A77=1171,SUMIFS(Journal!$K$5:$K$1504,Journal!$J$5:$J$1504,"V",Journal!$G$5:$G$1504,"VI81"),0))</f>
        <v>0</v>
      </c>
      <c r="I77" s="31" t="n">
        <f aca="false">IF($A77="",0,SUMIFS(Journal!$N$5:$N$1504,Journal!$E$5:$E$1504,$A77)+IF($A77=2200,SUMIFS(Journal!$K$5:$K$1504,Journal!$J$5:$J$1504,"U"),0))</f>
        <v>0</v>
      </c>
      <c r="J77" s="31" t="n">
        <f aca="false">IF($A77="",0,IF($A77=3809,-MWST!$H$13,IF($A77=2200,MWST!$H$13,IF($A77=6800,Anlagen!$J$3,-SUMIF(Anlagen!$B$6:$B$105,$A77,Anlagen!$J$6:$J$105)))))</f>
        <v>0</v>
      </c>
      <c r="K77" s="12" t="str">
        <f aca="false">IF($A77="","",IF(OR($C77="Aktiv",$C77="Aufwand"),$G77+$H77-$I77+$J77,$G77+$I77-$H77+$J77))</f>
        <v/>
      </c>
    </row>
    <row r="78" customFormat="false" ht="15" hidden="false" customHeight="false" outlineLevel="0" collapsed="false">
      <c r="A78" s="32"/>
      <c r="B78" s="32"/>
      <c r="C78" s="32"/>
      <c r="D78" s="32"/>
      <c r="E78" s="32"/>
      <c r="F78" s="32"/>
      <c r="G78" s="30"/>
      <c r="H78" s="31" t="n">
        <f aca="false">IF($A78="",0,SUMIFS(Journal!$M$5:$M$1504,Journal!$D$5:$D$1504,$A78)+IF($A78=1170,SUMIFS(Journal!$K$5:$K$1504,Journal!$J$5:$J$1504,"V",Journal!$G$5:$G$1504,"&lt;&gt;VI81"),0)+IF($A78=1171,SUMIFS(Journal!$K$5:$K$1504,Journal!$J$5:$J$1504,"V",Journal!$G$5:$G$1504,"VI81"),0))</f>
        <v>0</v>
      </c>
      <c r="I78" s="31" t="n">
        <f aca="false">IF($A78="",0,SUMIFS(Journal!$N$5:$N$1504,Journal!$E$5:$E$1504,$A78)+IF($A78=2200,SUMIFS(Journal!$K$5:$K$1504,Journal!$J$5:$J$1504,"U"),0))</f>
        <v>0</v>
      </c>
      <c r="J78" s="31" t="n">
        <f aca="false">IF($A78="",0,IF($A78=3809,-MWST!$H$13,IF($A78=2200,MWST!$H$13,IF($A78=6800,Anlagen!$J$3,-SUMIF(Anlagen!$B$6:$B$105,$A78,Anlagen!$J$6:$J$105)))))</f>
        <v>0</v>
      </c>
      <c r="K78" s="12" t="str">
        <f aca="false">IF($A78="","",IF(OR($C78="Aktiv",$C78="Aufwand"),$G78+$H78-$I78+$J78,$G78+$I78-$H78+$J78))</f>
        <v/>
      </c>
    </row>
    <row r="79" customFormat="false" ht="15" hidden="false" customHeight="false" outlineLevel="0" collapsed="false">
      <c r="A79" s="32"/>
      <c r="B79" s="32"/>
      <c r="C79" s="32"/>
      <c r="D79" s="32"/>
      <c r="E79" s="32"/>
      <c r="F79" s="32"/>
      <c r="G79" s="30"/>
      <c r="H79" s="31" t="n">
        <f aca="false">IF($A79="",0,SUMIFS(Journal!$M$5:$M$1504,Journal!$D$5:$D$1504,$A79)+IF($A79=1170,SUMIFS(Journal!$K$5:$K$1504,Journal!$J$5:$J$1504,"V",Journal!$G$5:$G$1504,"&lt;&gt;VI81"),0)+IF($A79=1171,SUMIFS(Journal!$K$5:$K$1504,Journal!$J$5:$J$1504,"V",Journal!$G$5:$G$1504,"VI81"),0))</f>
        <v>0</v>
      </c>
      <c r="I79" s="31" t="n">
        <f aca="false">IF($A79="",0,SUMIFS(Journal!$N$5:$N$1504,Journal!$E$5:$E$1504,$A79)+IF($A79=2200,SUMIFS(Journal!$K$5:$K$1504,Journal!$J$5:$J$1504,"U"),0))</f>
        <v>0</v>
      </c>
      <c r="J79" s="31" t="n">
        <f aca="false">IF($A79="",0,IF($A79=3809,-MWST!$H$13,IF($A79=2200,MWST!$H$13,IF($A79=6800,Anlagen!$J$3,-SUMIF(Anlagen!$B$6:$B$105,$A79,Anlagen!$J$6:$J$105)))))</f>
        <v>0</v>
      </c>
      <c r="K79" s="12" t="str">
        <f aca="false">IF($A79="","",IF(OR($C79="Aktiv",$C79="Aufwand"),$G79+$H79-$I79+$J79,$G79+$I79-$H79+$J79))</f>
        <v/>
      </c>
    </row>
    <row r="80" customFormat="false" ht="15" hidden="false" customHeight="false" outlineLevel="0" collapsed="false">
      <c r="A80" s="32"/>
      <c r="B80" s="32"/>
      <c r="C80" s="32"/>
      <c r="D80" s="32"/>
      <c r="E80" s="32"/>
      <c r="F80" s="32"/>
      <c r="G80" s="30"/>
      <c r="H80" s="31" t="n">
        <f aca="false">IF($A80="",0,SUMIFS(Journal!$M$5:$M$1504,Journal!$D$5:$D$1504,$A80)+IF($A80=1170,SUMIFS(Journal!$K$5:$K$1504,Journal!$J$5:$J$1504,"V",Journal!$G$5:$G$1504,"&lt;&gt;VI81"),0)+IF($A80=1171,SUMIFS(Journal!$K$5:$K$1504,Journal!$J$5:$J$1504,"V",Journal!$G$5:$G$1504,"VI81"),0))</f>
        <v>0</v>
      </c>
      <c r="I80" s="31" t="n">
        <f aca="false">IF($A80="",0,SUMIFS(Journal!$N$5:$N$1504,Journal!$E$5:$E$1504,$A80)+IF($A80=2200,SUMIFS(Journal!$K$5:$K$1504,Journal!$J$5:$J$1504,"U"),0))</f>
        <v>0</v>
      </c>
      <c r="J80" s="31" t="n">
        <f aca="false">IF($A80="",0,IF($A80=3809,-MWST!$H$13,IF($A80=2200,MWST!$H$13,IF($A80=6800,Anlagen!$J$3,-SUMIF(Anlagen!$B$6:$B$105,$A80,Anlagen!$J$6:$J$105)))))</f>
        <v>0</v>
      </c>
      <c r="K80" s="12" t="str">
        <f aca="false">IF($A80="","",IF(OR($C80="Aktiv",$C80="Aufwand"),$G80+$H80-$I80+$J80,$G80+$I80-$H80+$J80))</f>
        <v/>
      </c>
    </row>
    <row r="81" customFormat="false" ht="15" hidden="false" customHeight="false" outlineLevel="0" collapsed="false">
      <c r="A81" s="32"/>
      <c r="B81" s="32"/>
      <c r="C81" s="32"/>
      <c r="D81" s="32"/>
      <c r="E81" s="32"/>
      <c r="F81" s="32"/>
      <c r="G81" s="30"/>
      <c r="H81" s="31" t="n">
        <f aca="false">IF($A81="",0,SUMIFS(Journal!$M$5:$M$1504,Journal!$D$5:$D$1504,$A81)+IF($A81=1170,SUMIFS(Journal!$K$5:$K$1504,Journal!$J$5:$J$1504,"V",Journal!$G$5:$G$1504,"&lt;&gt;VI81"),0)+IF($A81=1171,SUMIFS(Journal!$K$5:$K$1504,Journal!$J$5:$J$1504,"V",Journal!$G$5:$G$1504,"VI81"),0))</f>
        <v>0</v>
      </c>
      <c r="I81" s="31" t="n">
        <f aca="false">IF($A81="",0,SUMIFS(Journal!$N$5:$N$1504,Journal!$E$5:$E$1504,$A81)+IF($A81=2200,SUMIFS(Journal!$K$5:$K$1504,Journal!$J$5:$J$1504,"U"),0))</f>
        <v>0</v>
      </c>
      <c r="J81" s="31" t="n">
        <f aca="false">IF($A81="",0,IF($A81=3809,-MWST!$H$13,IF($A81=2200,MWST!$H$13,IF($A81=6800,Anlagen!$J$3,-SUMIF(Anlagen!$B$6:$B$105,$A81,Anlagen!$J$6:$J$105)))))</f>
        <v>0</v>
      </c>
      <c r="K81" s="12" t="str">
        <f aca="false">IF($A81="","",IF(OR($C81="Aktiv",$C81="Aufwand"),$G81+$H81-$I81+$J81,$G81+$I81-$H81+$J81))</f>
        <v/>
      </c>
    </row>
    <row r="82" customFormat="false" ht="15" hidden="false" customHeight="false" outlineLevel="0" collapsed="false">
      <c r="A82" s="32"/>
      <c r="B82" s="32"/>
      <c r="C82" s="32"/>
      <c r="D82" s="32"/>
      <c r="E82" s="32"/>
      <c r="F82" s="32"/>
      <c r="G82" s="30"/>
      <c r="H82" s="31" t="n">
        <f aca="false">IF($A82="",0,SUMIFS(Journal!$M$5:$M$1504,Journal!$D$5:$D$1504,$A82)+IF($A82=1170,SUMIFS(Journal!$K$5:$K$1504,Journal!$J$5:$J$1504,"V",Journal!$G$5:$G$1504,"&lt;&gt;VI81"),0)+IF($A82=1171,SUMIFS(Journal!$K$5:$K$1504,Journal!$J$5:$J$1504,"V",Journal!$G$5:$G$1504,"VI81"),0))</f>
        <v>0</v>
      </c>
      <c r="I82" s="31" t="n">
        <f aca="false">IF($A82="",0,SUMIFS(Journal!$N$5:$N$1504,Journal!$E$5:$E$1504,$A82)+IF($A82=2200,SUMIFS(Journal!$K$5:$K$1504,Journal!$J$5:$J$1504,"U"),0))</f>
        <v>0</v>
      </c>
      <c r="J82" s="31" t="n">
        <f aca="false">IF($A82="",0,IF($A82=3809,-MWST!$H$13,IF($A82=2200,MWST!$H$13,IF($A82=6800,Anlagen!$J$3,-SUMIF(Anlagen!$B$6:$B$105,$A82,Anlagen!$J$6:$J$105)))))</f>
        <v>0</v>
      </c>
      <c r="K82" s="12" t="str">
        <f aca="false">IF($A82="","",IF(OR($C82="Aktiv",$C82="Aufwand"),$G82+$H82-$I82+$J82,$G82+$I82-$H82+$J82))</f>
        <v/>
      </c>
    </row>
    <row r="83" customFormat="false" ht="15" hidden="false" customHeight="false" outlineLevel="0" collapsed="false">
      <c r="A83" s="32"/>
      <c r="B83" s="32"/>
      <c r="C83" s="32"/>
      <c r="D83" s="32"/>
      <c r="E83" s="32"/>
      <c r="F83" s="32"/>
      <c r="G83" s="30"/>
      <c r="H83" s="31" t="n">
        <f aca="false">IF($A83="",0,SUMIFS(Journal!$M$5:$M$1504,Journal!$D$5:$D$1504,$A83)+IF($A83=1170,SUMIFS(Journal!$K$5:$K$1504,Journal!$J$5:$J$1504,"V",Journal!$G$5:$G$1504,"&lt;&gt;VI81"),0)+IF($A83=1171,SUMIFS(Journal!$K$5:$K$1504,Journal!$J$5:$J$1504,"V",Journal!$G$5:$G$1504,"VI81"),0))</f>
        <v>0</v>
      </c>
      <c r="I83" s="31" t="n">
        <f aca="false">IF($A83="",0,SUMIFS(Journal!$N$5:$N$1504,Journal!$E$5:$E$1504,$A83)+IF($A83=2200,SUMIFS(Journal!$K$5:$K$1504,Journal!$J$5:$J$1504,"U"),0))</f>
        <v>0</v>
      </c>
      <c r="J83" s="31" t="n">
        <f aca="false">IF($A83="",0,IF($A83=3809,-MWST!$H$13,IF($A83=2200,MWST!$H$13,IF($A83=6800,Anlagen!$J$3,-SUMIF(Anlagen!$B$6:$B$105,$A83,Anlagen!$J$6:$J$105)))))</f>
        <v>0</v>
      </c>
      <c r="K83" s="12" t="str">
        <f aca="false">IF($A83="","",IF(OR($C83="Aktiv",$C83="Aufwand"),$G83+$H83-$I83+$J83,$G83+$I83-$H83+$J83))</f>
        <v/>
      </c>
    </row>
    <row r="84" customFormat="false" ht="15" hidden="false" customHeight="false" outlineLevel="0" collapsed="false">
      <c r="A84" s="32"/>
      <c r="B84" s="32"/>
      <c r="C84" s="32"/>
      <c r="D84" s="32"/>
      <c r="E84" s="32"/>
      <c r="F84" s="32"/>
      <c r="G84" s="30"/>
      <c r="H84" s="31" t="n">
        <f aca="false">IF($A84="",0,SUMIFS(Journal!$M$5:$M$1504,Journal!$D$5:$D$1504,$A84)+IF($A84=1170,SUMIFS(Journal!$K$5:$K$1504,Journal!$J$5:$J$1504,"V",Journal!$G$5:$G$1504,"&lt;&gt;VI81"),0)+IF($A84=1171,SUMIFS(Journal!$K$5:$K$1504,Journal!$J$5:$J$1504,"V",Journal!$G$5:$G$1504,"VI81"),0))</f>
        <v>0</v>
      </c>
      <c r="I84" s="31" t="n">
        <f aca="false">IF($A84="",0,SUMIFS(Journal!$N$5:$N$1504,Journal!$E$5:$E$1504,$A84)+IF($A84=2200,SUMIFS(Journal!$K$5:$K$1504,Journal!$J$5:$J$1504,"U"),0))</f>
        <v>0</v>
      </c>
      <c r="J84" s="31" t="n">
        <f aca="false">IF($A84="",0,IF($A84=3809,-MWST!$H$13,IF($A84=2200,MWST!$H$13,IF($A84=6800,Anlagen!$J$3,-SUMIF(Anlagen!$B$6:$B$105,$A84,Anlagen!$J$6:$J$105)))))</f>
        <v>0</v>
      </c>
      <c r="K84" s="12" t="str">
        <f aca="false">IF($A84="","",IF(OR($C84="Aktiv",$C84="Aufwand"),$G84+$H84-$I84+$J84,$G84+$I84-$H84+$J84))</f>
        <v/>
      </c>
    </row>
    <row r="85" customFormat="false" ht="15" hidden="false" customHeight="false" outlineLevel="0" collapsed="false">
      <c r="A85" s="32"/>
      <c r="B85" s="32"/>
      <c r="C85" s="32"/>
      <c r="D85" s="32"/>
      <c r="E85" s="32"/>
      <c r="F85" s="32"/>
      <c r="G85" s="30"/>
      <c r="H85" s="31" t="n">
        <f aca="false">IF($A85="",0,SUMIFS(Journal!$M$5:$M$1504,Journal!$D$5:$D$1504,$A85)+IF($A85=1170,SUMIFS(Journal!$K$5:$K$1504,Journal!$J$5:$J$1504,"V",Journal!$G$5:$G$1504,"&lt;&gt;VI81"),0)+IF($A85=1171,SUMIFS(Journal!$K$5:$K$1504,Journal!$J$5:$J$1504,"V",Journal!$G$5:$G$1504,"VI81"),0))</f>
        <v>0</v>
      </c>
      <c r="I85" s="31" t="n">
        <f aca="false">IF($A85="",0,SUMIFS(Journal!$N$5:$N$1504,Journal!$E$5:$E$1504,$A85)+IF($A85=2200,SUMIFS(Journal!$K$5:$K$1504,Journal!$J$5:$J$1504,"U"),0))</f>
        <v>0</v>
      </c>
      <c r="J85" s="31" t="n">
        <f aca="false">IF($A85="",0,IF($A85=3809,-MWST!$H$13,IF($A85=2200,MWST!$H$13,IF($A85=6800,Anlagen!$J$3,-SUMIF(Anlagen!$B$6:$B$105,$A85,Anlagen!$J$6:$J$105)))))</f>
        <v>0</v>
      </c>
      <c r="K85" s="12" t="str">
        <f aca="false">IF($A85="","",IF(OR($C85="Aktiv",$C85="Aufwand"),$G85+$H85-$I85+$J85,$G85+$I85-$H85+$J85))</f>
        <v/>
      </c>
    </row>
    <row r="86" customFormat="false" ht="15" hidden="false" customHeight="false" outlineLevel="0" collapsed="false">
      <c r="A86" s="32"/>
      <c r="B86" s="32"/>
      <c r="C86" s="32"/>
      <c r="D86" s="32"/>
      <c r="E86" s="32"/>
      <c r="F86" s="32"/>
      <c r="G86" s="30"/>
      <c r="H86" s="31" t="n">
        <f aca="false">IF($A86="",0,SUMIFS(Journal!$M$5:$M$1504,Journal!$D$5:$D$1504,$A86)+IF($A86=1170,SUMIFS(Journal!$K$5:$K$1504,Journal!$J$5:$J$1504,"V",Journal!$G$5:$G$1504,"&lt;&gt;VI81"),0)+IF($A86=1171,SUMIFS(Journal!$K$5:$K$1504,Journal!$J$5:$J$1504,"V",Journal!$G$5:$G$1504,"VI81"),0))</f>
        <v>0</v>
      </c>
      <c r="I86" s="31" t="n">
        <f aca="false">IF($A86="",0,SUMIFS(Journal!$N$5:$N$1504,Journal!$E$5:$E$1504,$A86)+IF($A86=2200,SUMIFS(Journal!$K$5:$K$1504,Journal!$J$5:$J$1504,"U"),0))</f>
        <v>0</v>
      </c>
      <c r="J86" s="31" t="n">
        <f aca="false">IF($A86="",0,IF($A86=3809,-MWST!$H$13,IF($A86=2200,MWST!$H$13,IF($A86=6800,Anlagen!$J$3,-SUMIF(Anlagen!$B$6:$B$105,$A86,Anlagen!$J$6:$J$105)))))</f>
        <v>0</v>
      </c>
      <c r="K86" s="12" t="str">
        <f aca="false">IF($A86="","",IF(OR($C86="Aktiv",$C86="Aufwand"),$G86+$H86-$I86+$J86,$G86+$I86-$H86+$J86))</f>
        <v/>
      </c>
    </row>
    <row r="87" customFormat="false" ht="15" hidden="false" customHeight="false" outlineLevel="0" collapsed="false">
      <c r="A87" s="32"/>
      <c r="B87" s="32"/>
      <c r="C87" s="32"/>
      <c r="D87" s="32"/>
      <c r="E87" s="32"/>
      <c r="F87" s="32"/>
      <c r="G87" s="30"/>
      <c r="H87" s="31" t="n">
        <f aca="false">IF($A87="",0,SUMIFS(Journal!$M$5:$M$1504,Journal!$D$5:$D$1504,$A87)+IF($A87=1170,SUMIFS(Journal!$K$5:$K$1504,Journal!$J$5:$J$1504,"V",Journal!$G$5:$G$1504,"&lt;&gt;VI81"),0)+IF($A87=1171,SUMIFS(Journal!$K$5:$K$1504,Journal!$J$5:$J$1504,"V",Journal!$G$5:$G$1504,"VI81"),0))</f>
        <v>0</v>
      </c>
      <c r="I87" s="31" t="n">
        <f aca="false">IF($A87="",0,SUMIFS(Journal!$N$5:$N$1504,Journal!$E$5:$E$1504,$A87)+IF($A87=2200,SUMIFS(Journal!$K$5:$K$1504,Journal!$J$5:$J$1504,"U"),0))</f>
        <v>0</v>
      </c>
      <c r="J87" s="31" t="n">
        <f aca="false">IF($A87="",0,IF($A87=3809,-MWST!$H$13,IF($A87=2200,MWST!$H$13,IF($A87=6800,Anlagen!$J$3,-SUMIF(Anlagen!$B$6:$B$105,$A87,Anlagen!$J$6:$J$105)))))</f>
        <v>0</v>
      </c>
      <c r="K87" s="12" t="str">
        <f aca="false">IF($A87="","",IF(OR($C87="Aktiv",$C87="Aufwand"),$G87+$H87-$I87+$J87,$G87+$I87-$H87+$J87))</f>
        <v/>
      </c>
    </row>
    <row r="88" customFormat="false" ht="15" hidden="false" customHeight="false" outlineLevel="0" collapsed="false">
      <c r="A88" s="32"/>
      <c r="B88" s="32"/>
      <c r="C88" s="32"/>
      <c r="D88" s="32"/>
      <c r="E88" s="32"/>
      <c r="F88" s="32"/>
      <c r="G88" s="30"/>
      <c r="H88" s="31" t="n">
        <f aca="false">IF($A88="",0,SUMIFS(Journal!$M$5:$M$1504,Journal!$D$5:$D$1504,$A88)+IF($A88=1170,SUMIFS(Journal!$K$5:$K$1504,Journal!$J$5:$J$1504,"V",Journal!$G$5:$G$1504,"&lt;&gt;VI81"),0)+IF($A88=1171,SUMIFS(Journal!$K$5:$K$1504,Journal!$J$5:$J$1504,"V",Journal!$G$5:$G$1504,"VI81"),0))</f>
        <v>0</v>
      </c>
      <c r="I88" s="31" t="n">
        <f aca="false">IF($A88="",0,SUMIFS(Journal!$N$5:$N$1504,Journal!$E$5:$E$1504,$A88)+IF($A88=2200,SUMIFS(Journal!$K$5:$K$1504,Journal!$J$5:$J$1504,"U"),0))</f>
        <v>0</v>
      </c>
      <c r="J88" s="31" t="n">
        <f aca="false">IF($A88="",0,IF($A88=3809,-MWST!$H$13,IF($A88=2200,MWST!$H$13,IF($A88=6800,Anlagen!$J$3,-SUMIF(Anlagen!$B$6:$B$105,$A88,Anlagen!$J$6:$J$105)))))</f>
        <v>0</v>
      </c>
      <c r="K88" s="12" t="str">
        <f aca="false">IF($A88="","",IF(OR($C88="Aktiv",$C88="Aufwand"),$G88+$H88-$I88+$J88,$G88+$I88-$H88+$J88))</f>
        <v/>
      </c>
    </row>
    <row r="89" customFormat="false" ht="15" hidden="false" customHeight="false" outlineLevel="0" collapsed="false">
      <c r="A89" s="32"/>
      <c r="B89" s="32"/>
      <c r="C89" s="32"/>
      <c r="D89" s="32"/>
      <c r="E89" s="32"/>
      <c r="F89" s="32"/>
      <c r="G89" s="30"/>
      <c r="H89" s="31" t="n">
        <f aca="false">IF($A89="",0,SUMIFS(Journal!$M$5:$M$1504,Journal!$D$5:$D$1504,$A89)+IF($A89=1170,SUMIFS(Journal!$K$5:$K$1504,Journal!$J$5:$J$1504,"V",Journal!$G$5:$G$1504,"&lt;&gt;VI81"),0)+IF($A89=1171,SUMIFS(Journal!$K$5:$K$1504,Journal!$J$5:$J$1504,"V",Journal!$G$5:$G$1504,"VI81"),0))</f>
        <v>0</v>
      </c>
      <c r="I89" s="31" t="n">
        <f aca="false">IF($A89="",0,SUMIFS(Journal!$N$5:$N$1504,Journal!$E$5:$E$1504,$A89)+IF($A89=2200,SUMIFS(Journal!$K$5:$K$1504,Journal!$J$5:$J$1504,"U"),0))</f>
        <v>0</v>
      </c>
      <c r="J89" s="31" t="n">
        <f aca="false">IF($A89="",0,IF($A89=3809,-MWST!$H$13,IF($A89=2200,MWST!$H$13,IF($A89=6800,Anlagen!$J$3,-SUMIF(Anlagen!$B$6:$B$105,$A89,Anlagen!$J$6:$J$105)))))</f>
        <v>0</v>
      </c>
      <c r="K89" s="12" t="str">
        <f aca="false">IF($A89="","",IF(OR($C89="Aktiv",$C89="Aufwand"),$G89+$H89-$I89+$J89,$G89+$I89-$H89+$J89))</f>
        <v/>
      </c>
    </row>
    <row r="90" customFormat="false" ht="15" hidden="false" customHeight="false" outlineLevel="0" collapsed="false">
      <c r="A90" s="32"/>
      <c r="B90" s="32"/>
      <c r="C90" s="32"/>
      <c r="D90" s="32"/>
      <c r="E90" s="32"/>
      <c r="F90" s="32"/>
      <c r="G90" s="30"/>
      <c r="H90" s="31" t="n">
        <f aca="false">IF($A90="",0,SUMIFS(Journal!$M$5:$M$1504,Journal!$D$5:$D$1504,$A90)+IF($A90=1170,SUMIFS(Journal!$K$5:$K$1504,Journal!$J$5:$J$1504,"V",Journal!$G$5:$G$1504,"&lt;&gt;VI81"),0)+IF($A90=1171,SUMIFS(Journal!$K$5:$K$1504,Journal!$J$5:$J$1504,"V",Journal!$G$5:$G$1504,"VI81"),0))</f>
        <v>0</v>
      </c>
      <c r="I90" s="31" t="n">
        <f aca="false">IF($A90="",0,SUMIFS(Journal!$N$5:$N$1504,Journal!$E$5:$E$1504,$A90)+IF($A90=2200,SUMIFS(Journal!$K$5:$K$1504,Journal!$J$5:$J$1504,"U"),0))</f>
        <v>0</v>
      </c>
      <c r="J90" s="31" t="n">
        <f aca="false">IF($A90="",0,IF($A90=3809,-MWST!$H$13,IF($A90=2200,MWST!$H$13,IF($A90=6800,Anlagen!$J$3,-SUMIF(Anlagen!$B$6:$B$105,$A90,Anlagen!$J$6:$J$105)))))</f>
        <v>0</v>
      </c>
      <c r="K90" s="12" t="str">
        <f aca="false">IF($A90="","",IF(OR($C90="Aktiv",$C90="Aufwand"),$G90+$H90-$I90+$J90,$G90+$I90-$H90+$J90))</f>
        <v/>
      </c>
    </row>
  </sheetData>
  <dataValidations count="3">
    <dataValidation allowBlank="false" errorStyle="stop" operator="between" showDropDown="false" showErrorMessage="false" showInputMessage="false" sqref="C5:C90" type="list">
      <formula1>"Aktiv,Passiv,Ertrag,Aufwand"</formula1>
      <formula2>0</formula2>
    </dataValidation>
    <dataValidation allowBlank="false" errorStyle="stop" operator="between" showDropDown="false" showErrorMessage="false" showInputMessage="false" sqref="D5:D90" type="list">
      <formula1>"UV,AV,FKK,FKL,EK,ERT,MAT,PERS,BA,ABS,FINA,FINE,AO,AOE"</formula1>
      <formula2>0</formula2>
    </dataValidation>
    <dataValidation allowBlank="false" errorStyle="stop" operator="between" showDropDown="false" showErrorMessage="false" showInputMessage="false" sqref="E5:E90" type="list">
      <formula1>"Werkstatt,Teile,Fahrzeuge,Allgemein"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W1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44"/>
    <col collapsed="false" customWidth="true" hidden="false" outlineLevel="0" max="5" min="4" style="0" width="8"/>
    <col collapsed="false" customWidth="true" hidden="false" outlineLevel="0" max="6" min="6" style="0" width="14"/>
    <col collapsed="false" customWidth="true" hidden="false" outlineLevel="0" max="8" min="7" style="0" width="8"/>
    <col collapsed="false" customWidth="true" hidden="false" outlineLevel="0" max="9" min="9" style="0" width="5"/>
    <col collapsed="false" customWidth="true" hidden="false" outlineLevel="0" max="10" min="10" style="0" width="6"/>
    <col collapsed="false" customWidth="true" hidden="false" outlineLevel="0" max="11" min="11" style="0" width="11"/>
    <col collapsed="false" customWidth="true" hidden="false" outlineLevel="0" max="14" min="12" style="0" width="13"/>
    <col collapsed="false" customWidth="true" hidden="false" outlineLevel="0" max="15" min="15" style="0" width="6"/>
    <col collapsed="false" customWidth="true" hidden="false" outlineLevel="0" max="16" min="16" style="0" width="7"/>
    <col collapsed="false" customWidth="true" hidden="false" outlineLevel="0" max="17" min="17" style="0" width="8"/>
    <col collapsed="false" customWidth="true" hidden="false" outlineLevel="0" max="19" min="18" style="0" width="7"/>
    <col collapsed="false" customWidth="true" hidden="false" outlineLevel="0" max="21" min="20" style="0" width="8"/>
    <col collapsed="false" customWidth="true" hidden="false" outlineLevel="0" max="22" min="22" style="0" width="13"/>
    <col collapsed="false" customWidth="true" hidden="false" outlineLevel="0" max="23" min="23" style="0" width="7"/>
  </cols>
  <sheetData>
    <row r="1" customFormat="false" ht="19.7" hidden="false" customHeight="false" outlineLevel="0" collapsed="false">
      <c r="A1" s="1" t="s">
        <v>341</v>
      </c>
    </row>
    <row r="2" customFormat="false" ht="15" hidden="false" customHeight="false" outlineLevel="0" collapsed="false">
      <c r="A2" s="2" t="s">
        <v>342</v>
      </c>
    </row>
    <row r="3" customFormat="false" ht="15" hidden="false" customHeight="false" outlineLevel="0" collapsed="false">
      <c r="A3" s="9" t="s">
        <v>343</v>
      </c>
    </row>
    <row r="4" customFormat="false" ht="31.5" hidden="false" customHeight="true" outlineLevel="0" collapsed="false">
      <c r="A4" s="10" t="s">
        <v>344</v>
      </c>
      <c r="B4" s="10" t="s">
        <v>345</v>
      </c>
      <c r="C4" s="10" t="s">
        <v>346</v>
      </c>
      <c r="D4" s="10" t="s">
        <v>347</v>
      </c>
      <c r="E4" s="10" t="s">
        <v>348</v>
      </c>
      <c r="F4" s="10" t="s">
        <v>349</v>
      </c>
      <c r="G4" s="10" t="s">
        <v>156</v>
      </c>
      <c r="H4" s="10" t="s">
        <v>350</v>
      </c>
      <c r="I4" s="10" t="s">
        <v>159</v>
      </c>
      <c r="J4" s="10" t="s">
        <v>351</v>
      </c>
      <c r="K4" s="10" t="s">
        <v>352</v>
      </c>
      <c r="L4" s="10" t="s">
        <v>353</v>
      </c>
      <c r="M4" s="10" t="s">
        <v>354</v>
      </c>
      <c r="N4" s="10" t="s">
        <v>355</v>
      </c>
      <c r="O4" s="10" t="s">
        <v>96</v>
      </c>
      <c r="P4" s="10" t="s">
        <v>356</v>
      </c>
      <c r="Q4" s="10" t="s">
        <v>357</v>
      </c>
      <c r="R4" s="10" t="s">
        <v>358</v>
      </c>
      <c r="S4" s="10" t="s">
        <v>359</v>
      </c>
      <c r="T4" s="10" t="s">
        <v>360</v>
      </c>
      <c r="U4" s="10" t="s">
        <v>361</v>
      </c>
      <c r="V4" s="10" t="s">
        <v>362</v>
      </c>
      <c r="W4" s="10" t="s">
        <v>363</v>
      </c>
    </row>
    <row r="5" customFormat="false" ht="15" hidden="false" customHeight="false" outlineLevel="0" collapsed="false">
      <c r="A5" s="33" t="n">
        <v>46031</v>
      </c>
      <c r="B5" s="32" t="s">
        <v>364</v>
      </c>
      <c r="C5" s="32" t="s">
        <v>365</v>
      </c>
      <c r="D5" s="32" t="n">
        <v>1100</v>
      </c>
      <c r="E5" s="32" t="n">
        <v>3000</v>
      </c>
      <c r="F5" s="30" t="n">
        <v>1621.5</v>
      </c>
      <c r="G5" s="32" t="s">
        <v>163</v>
      </c>
      <c r="H5" s="34" t="n">
        <f aca="false">IF($G5="",0,IFERROR(INDEX(Einstellungen!$G$5:$G$11,MATCH($G5,Einstellungen!$E$5:$E$11,0)),0))</f>
        <v>0.081</v>
      </c>
      <c r="I5" s="35" t="str">
        <f aca="false">IF($G5="","-",IFERROR(INDEX(Einstellungen!$H$5:$H$11,MATCH($G5,Einstellungen!$E$5:$E$11,0)),"-"))</f>
        <v>U</v>
      </c>
      <c r="J5" s="35" t="str">
        <f aca="false">IF(AND(Einstellungen!$B$8="Ja",Einstellungen!$B$9="Effektiv"),$I5,"-")</f>
        <v>-</v>
      </c>
      <c r="K5" s="31" t="n">
        <f aca="false">IF(OR($F5="",$J5="-"),0,ROUND($F5-$F5/(1+$H5),2))</f>
        <v>0</v>
      </c>
      <c r="L5" s="31" t="n">
        <f aca="false">IF($F5="",0,$F5-$K5)</f>
        <v>1621.5</v>
      </c>
      <c r="M5" s="31" t="n">
        <f aca="false">IF($F5="",0,IF($J5="V",$L5,$F5))</f>
        <v>1621.5</v>
      </c>
      <c r="N5" s="31" t="n">
        <f aca="false">IF($F5="",0,IF($J5="U",$L5,$F5))</f>
        <v>1621.5</v>
      </c>
      <c r="O5" s="35" t="n">
        <f aca="false">IF($A5="","",MONTH($A5))</f>
        <v>1</v>
      </c>
      <c r="P5" s="35" t="n">
        <f aca="false">IF($A5="","",ROUNDUP(MONTH($A5)/3,0))</f>
        <v>1</v>
      </c>
      <c r="Q5" s="35" t="n">
        <f aca="false">IF($A5="","",IF(MONTH($A5)&lt;=6,1,2))</f>
        <v>1</v>
      </c>
      <c r="R5" s="35" t="n">
        <f aca="false">IF($E5="","",IFERROR(INDEX(Kontenplan!$F$5:$F$90,MATCH($E5,Kontenplan!$A$5:$A$90,0)),""))</f>
        <v>1</v>
      </c>
      <c r="S5" s="35" t="n">
        <f aca="false">IF($D5="","",IFERROR(INDEX(Kontenplan!$F$5:$F$90,MATCH($D5,Kontenplan!$A$5:$A$90,0)),""))</f>
        <v>0</v>
      </c>
      <c r="T5" s="35" t="str">
        <f aca="false">IF($D5="","",IFERROR(INDEX(Kontenplan!$C$5:$C$90,MATCH($D5,Kontenplan!$A$5:$A$90,0)),"?"))</f>
        <v>Aktiv</v>
      </c>
      <c r="U5" s="35" t="str">
        <f aca="false">IF($E5="","",IFERROR(INDEX(Kontenplan!$C$5:$C$90,MATCH($E5,Kontenplan!$A$5:$A$90,0)),"?"))</f>
        <v>Ertrag</v>
      </c>
      <c r="V5" s="35" t="str">
        <f aca="false">IF($F5="","",IF(OR($D5="",$E5="",$T5="?",$U5="?"),"Konto prüfen!",IF($A5="","Datum fehlt",IF(YEAR($A5)&lt;&gt;Einstellungen!$B$7,"anderes Jahr!",IF($G5="","MWST-Code fehlt","OK")))))</f>
        <v>OK</v>
      </c>
      <c r="W5" s="35" t="str">
        <f aca="false">IF($F5="","",IF(OR($D5=Kontoauszug!$C$4,$E5=Kontoauszug!$C$4),MAX(W$4:W4)+1,""))</f>
        <v/>
      </c>
    </row>
    <row r="6" customFormat="false" ht="15" hidden="false" customHeight="false" outlineLevel="0" collapsed="false">
      <c r="A6" s="33" t="n">
        <v>46031</v>
      </c>
      <c r="B6" s="32" t="s">
        <v>364</v>
      </c>
      <c r="C6" s="32" t="s">
        <v>366</v>
      </c>
      <c r="D6" s="32" t="n">
        <v>1100</v>
      </c>
      <c r="E6" s="32" t="n">
        <v>3200</v>
      </c>
      <c r="F6" s="30" t="n">
        <v>864.8</v>
      </c>
      <c r="G6" s="32" t="s">
        <v>163</v>
      </c>
      <c r="H6" s="34" t="n">
        <f aca="false">IF($G6="",0,IFERROR(INDEX(Einstellungen!$G$5:$G$11,MATCH($G6,Einstellungen!$E$5:$E$11,0)),0))</f>
        <v>0.081</v>
      </c>
      <c r="I6" s="35" t="str">
        <f aca="false">IF($G6="","-",IFERROR(INDEX(Einstellungen!$H$5:$H$11,MATCH($G6,Einstellungen!$E$5:$E$11,0)),"-"))</f>
        <v>U</v>
      </c>
      <c r="J6" s="35" t="str">
        <f aca="false">IF(AND(Einstellungen!$B$8="Ja",Einstellungen!$B$9="Effektiv"),$I6,"-")</f>
        <v>-</v>
      </c>
      <c r="K6" s="31" t="n">
        <f aca="false">IF(OR($F6="",$J6="-"),0,ROUND($F6-$F6/(1+$H6),2))</f>
        <v>0</v>
      </c>
      <c r="L6" s="31" t="n">
        <f aca="false">IF($F6="",0,$F6-$K6)</f>
        <v>864.8</v>
      </c>
      <c r="M6" s="31" t="n">
        <f aca="false">IF($F6="",0,IF($J6="V",$L6,$F6))</f>
        <v>864.8</v>
      </c>
      <c r="N6" s="31" t="n">
        <f aca="false">IF($F6="",0,IF($J6="U",$L6,$F6))</f>
        <v>864.8</v>
      </c>
      <c r="O6" s="35" t="n">
        <f aca="false">IF($A6="","",MONTH($A6))</f>
        <v>1</v>
      </c>
      <c r="P6" s="35" t="n">
        <f aca="false">IF($A6="","",ROUNDUP(MONTH($A6)/3,0))</f>
        <v>1</v>
      </c>
      <c r="Q6" s="35" t="n">
        <f aca="false">IF($A6="","",IF(MONTH($A6)&lt;=6,1,2))</f>
        <v>1</v>
      </c>
      <c r="R6" s="35" t="n">
        <f aca="false">IF($E6="","",IFERROR(INDEX(Kontenplan!$F$5:$F$90,MATCH($E6,Kontenplan!$A$5:$A$90,0)),""))</f>
        <v>1</v>
      </c>
      <c r="S6" s="35" t="n">
        <f aca="false">IF($D6="","",IFERROR(INDEX(Kontenplan!$F$5:$F$90,MATCH($D6,Kontenplan!$A$5:$A$90,0)),""))</f>
        <v>0</v>
      </c>
      <c r="T6" s="35" t="str">
        <f aca="false">IF($D6="","",IFERROR(INDEX(Kontenplan!$C$5:$C$90,MATCH($D6,Kontenplan!$A$5:$A$90,0)),"?"))</f>
        <v>Aktiv</v>
      </c>
      <c r="U6" s="35" t="str">
        <f aca="false">IF($E6="","",IFERROR(INDEX(Kontenplan!$C$5:$C$90,MATCH($E6,Kontenplan!$A$5:$A$90,0)),"?"))</f>
        <v>Ertrag</v>
      </c>
      <c r="V6" s="35" t="str">
        <f aca="false">IF($F6="","",IF(OR($D6="",$E6="",$T6="?",$U6="?"),"Konto prüfen!",IF($A6="","Datum fehlt",IF(YEAR($A6)&lt;&gt;Einstellungen!$B$7,"anderes Jahr!",IF($G6="","MWST-Code fehlt","OK")))))</f>
        <v>OK</v>
      </c>
      <c r="W6" s="35" t="str">
        <f aca="false">IF($F6="","",IF(OR($D6=Kontoauszug!$C$4,$E6=Kontoauszug!$C$4),MAX(W$4:W5)+1,""))</f>
        <v/>
      </c>
    </row>
    <row r="7" customFormat="false" ht="15" hidden="false" customHeight="false" outlineLevel="0" collapsed="false">
      <c r="A7" s="33" t="n">
        <v>46034</v>
      </c>
      <c r="B7" s="32" t="s">
        <v>367</v>
      </c>
      <c r="C7" s="32" t="s">
        <v>368</v>
      </c>
      <c r="D7" s="32" t="n">
        <v>4000</v>
      </c>
      <c r="E7" s="32" t="n">
        <v>2000</v>
      </c>
      <c r="F7" s="30" t="n">
        <v>1297.2</v>
      </c>
      <c r="G7" s="32" t="s">
        <v>176</v>
      </c>
      <c r="H7" s="34" t="n">
        <f aca="false">IF($G7="",0,IFERROR(INDEX(Einstellungen!$G$5:$G$11,MATCH($G7,Einstellungen!$E$5:$E$11,0)),0))</f>
        <v>0.081</v>
      </c>
      <c r="I7" s="35" t="str">
        <f aca="false">IF($G7="","-",IFERROR(INDEX(Einstellungen!$H$5:$H$11,MATCH($G7,Einstellungen!$E$5:$E$11,0)),"-"))</f>
        <v>V</v>
      </c>
      <c r="J7" s="35" t="str">
        <f aca="false">IF(AND(Einstellungen!$B$8="Ja",Einstellungen!$B$9="Effektiv"),$I7,"-")</f>
        <v>-</v>
      </c>
      <c r="K7" s="31" t="n">
        <f aca="false">IF(OR($F7="",$J7="-"),0,ROUND($F7-$F7/(1+$H7),2))</f>
        <v>0</v>
      </c>
      <c r="L7" s="31" t="n">
        <f aca="false">IF($F7="",0,$F7-$K7)</f>
        <v>1297.2</v>
      </c>
      <c r="M7" s="31" t="n">
        <f aca="false">IF($F7="",0,IF($J7="V",$L7,$F7))</f>
        <v>1297.2</v>
      </c>
      <c r="N7" s="31" t="n">
        <f aca="false">IF($F7="",0,IF($J7="U",$L7,$F7))</f>
        <v>1297.2</v>
      </c>
      <c r="O7" s="35" t="n">
        <f aca="false">IF($A7="","",MONTH($A7))</f>
        <v>1</v>
      </c>
      <c r="P7" s="35" t="n">
        <f aca="false">IF($A7="","",ROUNDUP(MONTH($A7)/3,0))</f>
        <v>1</v>
      </c>
      <c r="Q7" s="35" t="n">
        <f aca="false">IF($A7="","",IF(MONTH($A7)&lt;=6,1,2))</f>
        <v>1</v>
      </c>
      <c r="R7" s="35" t="n">
        <f aca="false">IF($E7="","",IFERROR(INDEX(Kontenplan!$F$5:$F$90,MATCH($E7,Kontenplan!$A$5:$A$90,0)),""))</f>
        <v>0</v>
      </c>
      <c r="S7" s="35" t="n">
        <f aca="false">IF($D7="","",IFERROR(INDEX(Kontenplan!$F$5:$F$90,MATCH($D7,Kontenplan!$A$5:$A$90,0)),""))</f>
        <v>0</v>
      </c>
      <c r="T7" s="35" t="str">
        <f aca="false">IF($D7="","",IFERROR(INDEX(Kontenplan!$C$5:$C$90,MATCH($D7,Kontenplan!$A$5:$A$90,0)),"?"))</f>
        <v>Aufwand</v>
      </c>
      <c r="U7" s="35" t="str">
        <f aca="false">IF($E7="","",IFERROR(INDEX(Kontenplan!$C$5:$C$90,MATCH($E7,Kontenplan!$A$5:$A$90,0)),"?"))</f>
        <v>Passiv</v>
      </c>
      <c r="V7" s="35" t="str">
        <f aca="false">IF($F7="","",IF(OR($D7="",$E7="",$T7="?",$U7="?"),"Konto prüfen!",IF($A7="","Datum fehlt",IF(YEAR($A7)&lt;&gt;Einstellungen!$B$7,"anderes Jahr!",IF($G7="","MWST-Code fehlt","OK")))))</f>
        <v>OK</v>
      </c>
      <c r="W7" s="35" t="str">
        <f aca="false">IF($F7="","",IF(OR($D7=Kontoauszug!$C$4,$E7=Kontoauszug!$C$4),MAX(W$4:W6)+1,""))</f>
        <v/>
      </c>
    </row>
    <row r="8" customFormat="false" ht="15" hidden="false" customHeight="false" outlineLevel="0" collapsed="false">
      <c r="A8" s="33" t="n">
        <v>46037</v>
      </c>
      <c r="B8" s="32" t="s">
        <v>369</v>
      </c>
      <c r="C8" s="32" t="s">
        <v>370</v>
      </c>
      <c r="D8" s="32" t="n">
        <v>1000</v>
      </c>
      <c r="E8" s="32" t="n">
        <v>3210</v>
      </c>
      <c r="F8" s="30" t="n">
        <v>120</v>
      </c>
      <c r="G8" s="32" t="s">
        <v>163</v>
      </c>
      <c r="H8" s="34" t="n">
        <f aca="false">IF($G8="",0,IFERROR(INDEX(Einstellungen!$G$5:$G$11,MATCH($G8,Einstellungen!$E$5:$E$11,0)),0))</f>
        <v>0.081</v>
      </c>
      <c r="I8" s="35" t="str">
        <f aca="false">IF($G8="","-",IFERROR(INDEX(Einstellungen!$H$5:$H$11,MATCH($G8,Einstellungen!$E$5:$E$11,0)),"-"))</f>
        <v>U</v>
      </c>
      <c r="J8" s="35" t="str">
        <f aca="false">IF(AND(Einstellungen!$B$8="Ja",Einstellungen!$B$9="Effektiv"),$I8,"-")</f>
        <v>-</v>
      </c>
      <c r="K8" s="31" t="n">
        <f aca="false">IF(OR($F8="",$J8="-"),0,ROUND($F8-$F8/(1+$H8),2))</f>
        <v>0</v>
      </c>
      <c r="L8" s="31" t="n">
        <f aca="false">IF($F8="",0,$F8-$K8)</f>
        <v>120</v>
      </c>
      <c r="M8" s="31" t="n">
        <f aca="false">IF($F8="",0,IF($J8="V",$L8,$F8))</f>
        <v>120</v>
      </c>
      <c r="N8" s="31" t="n">
        <f aca="false">IF($F8="",0,IF($J8="U",$L8,$F8))</f>
        <v>120</v>
      </c>
      <c r="O8" s="35" t="n">
        <f aca="false">IF($A8="","",MONTH($A8))</f>
        <v>1</v>
      </c>
      <c r="P8" s="35" t="n">
        <f aca="false">IF($A8="","",ROUNDUP(MONTH($A8)/3,0))</f>
        <v>1</v>
      </c>
      <c r="Q8" s="35" t="n">
        <f aca="false">IF($A8="","",IF(MONTH($A8)&lt;=6,1,2))</f>
        <v>1</v>
      </c>
      <c r="R8" s="35" t="n">
        <f aca="false">IF($E8="","",IFERROR(INDEX(Kontenplan!$F$5:$F$90,MATCH($E8,Kontenplan!$A$5:$A$90,0)),""))</f>
        <v>1</v>
      </c>
      <c r="S8" s="35" t="n">
        <f aca="false">IF($D8="","",IFERROR(INDEX(Kontenplan!$F$5:$F$90,MATCH($D8,Kontenplan!$A$5:$A$90,0)),""))</f>
        <v>0</v>
      </c>
      <c r="T8" s="35" t="str">
        <f aca="false">IF($D8="","",IFERROR(INDEX(Kontenplan!$C$5:$C$90,MATCH($D8,Kontenplan!$A$5:$A$90,0)),"?"))</f>
        <v>Aktiv</v>
      </c>
      <c r="U8" s="35" t="str">
        <f aca="false">IF($E8="","",IFERROR(INDEX(Kontenplan!$C$5:$C$90,MATCH($E8,Kontenplan!$A$5:$A$90,0)),"?"))</f>
        <v>Ertrag</v>
      </c>
      <c r="V8" s="35" t="str">
        <f aca="false">IF($F8="","",IF(OR($D8="",$E8="",$T8="?",$U8="?"),"Konto prüfen!",IF($A8="","Datum fehlt",IF(YEAR($A8)&lt;&gt;Einstellungen!$B$7,"anderes Jahr!",IF($G8="","MWST-Code fehlt","OK")))))</f>
        <v>OK</v>
      </c>
      <c r="W8" s="35" t="str">
        <f aca="false">IF($F8="","",IF(OR($D8=Kontoauszug!$C$4,$E8=Kontoauszug!$C$4),MAX(W$4:W7)+1,""))</f>
        <v/>
      </c>
    </row>
    <row r="9" customFormat="false" ht="15" hidden="false" customHeight="false" outlineLevel="0" collapsed="false">
      <c r="A9" s="33" t="n">
        <v>46047</v>
      </c>
      <c r="B9" s="32" t="s">
        <v>371</v>
      </c>
      <c r="C9" s="32" t="s">
        <v>372</v>
      </c>
      <c r="D9" s="32" t="n">
        <v>5000</v>
      </c>
      <c r="E9" s="32" t="n">
        <v>1020</v>
      </c>
      <c r="F9" s="30" t="n">
        <v>4650</v>
      </c>
      <c r="G9" s="32" t="s">
        <v>190</v>
      </c>
      <c r="H9" s="34" t="n">
        <f aca="false">IF($G9="",0,IFERROR(INDEX(Einstellungen!$G$5:$G$11,MATCH($G9,Einstellungen!$E$5:$E$11,0)),0))</f>
        <v>0</v>
      </c>
      <c r="I9" s="35" t="str">
        <f aca="false">IF($G9="","-",IFERROR(INDEX(Einstellungen!$H$5:$H$11,MATCH($G9,Einstellungen!$E$5:$E$11,0)),"-"))</f>
        <v>-</v>
      </c>
      <c r="J9" s="35" t="str">
        <f aca="false">IF(AND(Einstellungen!$B$8="Ja",Einstellungen!$B$9="Effektiv"),$I9,"-")</f>
        <v>-</v>
      </c>
      <c r="K9" s="31" t="n">
        <f aca="false">IF(OR($F9="",$J9="-"),0,ROUND($F9-$F9/(1+$H9),2))</f>
        <v>0</v>
      </c>
      <c r="L9" s="31" t="n">
        <f aca="false">IF($F9="",0,$F9-$K9)</f>
        <v>4650</v>
      </c>
      <c r="M9" s="31" t="n">
        <f aca="false">IF($F9="",0,IF($J9="V",$L9,$F9))</f>
        <v>4650</v>
      </c>
      <c r="N9" s="31" t="n">
        <f aca="false">IF($F9="",0,IF($J9="U",$L9,$F9))</f>
        <v>4650</v>
      </c>
      <c r="O9" s="35" t="n">
        <f aca="false">IF($A9="","",MONTH($A9))</f>
        <v>1</v>
      </c>
      <c r="P9" s="35" t="n">
        <f aca="false">IF($A9="","",ROUNDUP(MONTH($A9)/3,0))</f>
        <v>1</v>
      </c>
      <c r="Q9" s="35" t="n">
        <f aca="false">IF($A9="","",IF(MONTH($A9)&lt;=6,1,2))</f>
        <v>1</v>
      </c>
      <c r="R9" s="35" t="n">
        <f aca="false">IF($E9="","",IFERROR(INDEX(Kontenplan!$F$5:$F$90,MATCH($E9,Kontenplan!$A$5:$A$90,0)),""))</f>
        <v>0</v>
      </c>
      <c r="S9" s="35" t="n">
        <f aca="false">IF($D9="","",IFERROR(INDEX(Kontenplan!$F$5:$F$90,MATCH($D9,Kontenplan!$A$5:$A$90,0)),""))</f>
        <v>0</v>
      </c>
      <c r="T9" s="35" t="str">
        <f aca="false">IF($D9="","",IFERROR(INDEX(Kontenplan!$C$5:$C$90,MATCH($D9,Kontenplan!$A$5:$A$90,0)),"?"))</f>
        <v>Aufwand</v>
      </c>
      <c r="U9" s="35" t="str">
        <f aca="false">IF($E9="","",IFERROR(INDEX(Kontenplan!$C$5:$C$90,MATCH($E9,Kontenplan!$A$5:$A$90,0)),"?"))</f>
        <v>Aktiv</v>
      </c>
      <c r="V9" s="35" t="str">
        <f aca="false">IF($F9="","",IF(OR($D9="",$E9="",$T9="?",$U9="?"),"Konto prüfen!",IF($A9="","Datum fehlt",IF(YEAR($A9)&lt;&gt;Einstellungen!$B$7,"anderes Jahr!",IF($G9="","MWST-Code fehlt","OK")))))</f>
        <v>OK</v>
      </c>
      <c r="W9" s="35" t="n">
        <f aca="false">IF($F9="","",IF(OR($D9=Kontoauszug!$C$4,$E9=Kontoauszug!$C$4),MAX(W$4:W8)+1,""))</f>
        <v>1</v>
      </c>
    </row>
    <row r="10" customFormat="false" ht="15" hidden="false" customHeight="false" outlineLevel="0" collapsed="false">
      <c r="A10" s="33" t="n">
        <v>46047</v>
      </c>
      <c r="B10" s="32" t="s">
        <v>371</v>
      </c>
      <c r="C10" s="32" t="s">
        <v>373</v>
      </c>
      <c r="D10" s="32" t="n">
        <v>5000</v>
      </c>
      <c r="E10" s="32" t="n">
        <v>2270</v>
      </c>
      <c r="F10" s="30" t="n">
        <v>550</v>
      </c>
      <c r="G10" s="32" t="s">
        <v>190</v>
      </c>
      <c r="H10" s="34" t="n">
        <f aca="false">IF($G10="",0,IFERROR(INDEX(Einstellungen!$G$5:$G$11,MATCH($G10,Einstellungen!$E$5:$E$11,0)),0))</f>
        <v>0</v>
      </c>
      <c r="I10" s="35" t="str">
        <f aca="false">IF($G10="","-",IFERROR(INDEX(Einstellungen!$H$5:$H$11,MATCH($G10,Einstellungen!$E$5:$E$11,0)),"-"))</f>
        <v>-</v>
      </c>
      <c r="J10" s="35" t="str">
        <f aca="false">IF(AND(Einstellungen!$B$8="Ja",Einstellungen!$B$9="Effektiv"),$I10,"-")</f>
        <v>-</v>
      </c>
      <c r="K10" s="31" t="n">
        <f aca="false">IF(OR($F10="",$J10="-"),0,ROUND($F10-$F10/(1+$H10),2))</f>
        <v>0</v>
      </c>
      <c r="L10" s="31" t="n">
        <f aca="false">IF($F10="",0,$F10-$K10)</f>
        <v>550</v>
      </c>
      <c r="M10" s="31" t="n">
        <f aca="false">IF($F10="",0,IF($J10="V",$L10,$F10))</f>
        <v>550</v>
      </c>
      <c r="N10" s="31" t="n">
        <f aca="false">IF($F10="",0,IF($J10="U",$L10,$F10))</f>
        <v>550</v>
      </c>
      <c r="O10" s="35" t="n">
        <f aca="false">IF($A10="","",MONTH($A10))</f>
        <v>1</v>
      </c>
      <c r="P10" s="35" t="n">
        <f aca="false">IF($A10="","",ROUNDUP(MONTH($A10)/3,0))</f>
        <v>1</v>
      </c>
      <c r="Q10" s="35" t="n">
        <f aca="false">IF($A10="","",IF(MONTH($A10)&lt;=6,1,2))</f>
        <v>1</v>
      </c>
      <c r="R10" s="35" t="n">
        <f aca="false">IF($E10="","",IFERROR(INDEX(Kontenplan!$F$5:$F$90,MATCH($E10,Kontenplan!$A$5:$A$90,0)),""))</f>
        <v>0</v>
      </c>
      <c r="S10" s="35" t="n">
        <f aca="false">IF($D10="","",IFERROR(INDEX(Kontenplan!$F$5:$F$90,MATCH($D10,Kontenplan!$A$5:$A$90,0)),""))</f>
        <v>0</v>
      </c>
      <c r="T10" s="35" t="str">
        <f aca="false">IF($D10="","",IFERROR(INDEX(Kontenplan!$C$5:$C$90,MATCH($D10,Kontenplan!$A$5:$A$90,0)),"?"))</f>
        <v>Aufwand</v>
      </c>
      <c r="U10" s="35" t="str">
        <f aca="false">IF($E10="","",IFERROR(INDEX(Kontenplan!$C$5:$C$90,MATCH($E10,Kontenplan!$A$5:$A$90,0)),"?"))</f>
        <v>Passiv</v>
      </c>
      <c r="V10" s="35" t="str">
        <f aca="false">IF($F10="","",IF(OR($D10="",$E10="",$T10="?",$U10="?"),"Konto prüfen!",IF($A10="","Datum fehlt",IF(YEAR($A10)&lt;&gt;Einstellungen!$B$7,"anderes Jahr!",IF($G10="","MWST-Code fehlt","OK")))))</f>
        <v>OK</v>
      </c>
      <c r="W10" s="35" t="str">
        <f aca="false">IF($F10="","",IF(OR($D10=Kontoauszug!$C$4,$E10=Kontoauszug!$C$4),MAX(W$4:W9)+1,""))</f>
        <v/>
      </c>
    </row>
    <row r="11" customFormat="false" ht="15" hidden="false" customHeight="false" outlineLevel="0" collapsed="false">
      <c r="A11" s="33" t="n">
        <v>46047</v>
      </c>
      <c r="B11" s="32" t="s">
        <v>371</v>
      </c>
      <c r="C11" s="32" t="s">
        <v>374</v>
      </c>
      <c r="D11" s="32" t="n">
        <v>5700</v>
      </c>
      <c r="E11" s="32" t="n">
        <v>2270</v>
      </c>
      <c r="F11" s="30" t="n">
        <v>780</v>
      </c>
      <c r="G11" s="32" t="s">
        <v>190</v>
      </c>
      <c r="H11" s="34" t="n">
        <f aca="false">IF($G11="",0,IFERROR(INDEX(Einstellungen!$G$5:$G$11,MATCH($G11,Einstellungen!$E$5:$E$11,0)),0))</f>
        <v>0</v>
      </c>
      <c r="I11" s="35" t="str">
        <f aca="false">IF($G11="","-",IFERROR(INDEX(Einstellungen!$H$5:$H$11,MATCH($G11,Einstellungen!$E$5:$E$11,0)),"-"))</f>
        <v>-</v>
      </c>
      <c r="J11" s="35" t="str">
        <f aca="false">IF(AND(Einstellungen!$B$8="Ja",Einstellungen!$B$9="Effektiv"),$I11,"-")</f>
        <v>-</v>
      </c>
      <c r="K11" s="31" t="n">
        <f aca="false">IF(OR($F11="",$J11="-"),0,ROUND($F11-$F11/(1+$H11),2))</f>
        <v>0</v>
      </c>
      <c r="L11" s="31" t="n">
        <f aca="false">IF($F11="",0,$F11-$K11)</f>
        <v>780</v>
      </c>
      <c r="M11" s="31" t="n">
        <f aca="false">IF($F11="",0,IF($J11="V",$L11,$F11))</f>
        <v>780</v>
      </c>
      <c r="N11" s="31" t="n">
        <f aca="false">IF($F11="",0,IF($J11="U",$L11,$F11))</f>
        <v>780</v>
      </c>
      <c r="O11" s="35" t="n">
        <f aca="false">IF($A11="","",MONTH($A11))</f>
        <v>1</v>
      </c>
      <c r="P11" s="35" t="n">
        <f aca="false">IF($A11="","",ROUNDUP(MONTH($A11)/3,0))</f>
        <v>1</v>
      </c>
      <c r="Q11" s="35" t="n">
        <f aca="false">IF($A11="","",IF(MONTH($A11)&lt;=6,1,2))</f>
        <v>1</v>
      </c>
      <c r="R11" s="35" t="n">
        <f aca="false">IF($E11="","",IFERROR(INDEX(Kontenplan!$F$5:$F$90,MATCH($E11,Kontenplan!$A$5:$A$90,0)),""))</f>
        <v>0</v>
      </c>
      <c r="S11" s="35" t="n">
        <f aca="false">IF($D11="","",IFERROR(INDEX(Kontenplan!$F$5:$F$90,MATCH($D11,Kontenplan!$A$5:$A$90,0)),""))</f>
        <v>0</v>
      </c>
      <c r="T11" s="35" t="str">
        <f aca="false">IF($D11="","",IFERROR(INDEX(Kontenplan!$C$5:$C$90,MATCH($D11,Kontenplan!$A$5:$A$90,0)),"?"))</f>
        <v>Aufwand</v>
      </c>
      <c r="U11" s="35" t="str">
        <f aca="false">IF($E11="","",IFERROR(INDEX(Kontenplan!$C$5:$C$90,MATCH($E11,Kontenplan!$A$5:$A$90,0)),"?"))</f>
        <v>Passiv</v>
      </c>
      <c r="V11" s="35" t="str">
        <f aca="false">IF($F11="","",IF(OR($D11="",$E11="",$T11="?",$U11="?"),"Konto prüfen!",IF($A11="","Datum fehlt",IF(YEAR($A11)&lt;&gt;Einstellungen!$B$7,"anderes Jahr!",IF($G11="","MWST-Code fehlt","OK")))))</f>
        <v>OK</v>
      </c>
      <c r="W11" s="35" t="str">
        <f aca="false">IF($F11="","",IF(OR($D11=Kontoauszug!$C$4,$E11=Kontoauszug!$C$4),MAX(W$4:W10)+1,""))</f>
        <v/>
      </c>
    </row>
    <row r="12" customFormat="false" ht="15" hidden="false" customHeight="false" outlineLevel="0" collapsed="false">
      <c r="A12" s="33" t="n">
        <v>46053</v>
      </c>
      <c r="B12" s="32" t="s">
        <v>375</v>
      </c>
      <c r="C12" s="32" t="s">
        <v>376</v>
      </c>
      <c r="D12" s="32" t="n">
        <v>6000</v>
      </c>
      <c r="E12" s="32" t="n">
        <v>1020</v>
      </c>
      <c r="F12" s="30" t="n">
        <v>3500</v>
      </c>
      <c r="G12" s="32" t="s">
        <v>190</v>
      </c>
      <c r="H12" s="34" t="n">
        <f aca="false">IF($G12="",0,IFERROR(INDEX(Einstellungen!$G$5:$G$11,MATCH($G12,Einstellungen!$E$5:$E$11,0)),0))</f>
        <v>0</v>
      </c>
      <c r="I12" s="35" t="str">
        <f aca="false">IF($G12="","-",IFERROR(INDEX(Einstellungen!$H$5:$H$11,MATCH($G12,Einstellungen!$E$5:$E$11,0)),"-"))</f>
        <v>-</v>
      </c>
      <c r="J12" s="35" t="str">
        <f aca="false">IF(AND(Einstellungen!$B$8="Ja",Einstellungen!$B$9="Effektiv"),$I12,"-")</f>
        <v>-</v>
      </c>
      <c r="K12" s="31" t="n">
        <f aca="false">IF(OR($F12="",$J12="-"),0,ROUND($F12-$F12/(1+$H12),2))</f>
        <v>0</v>
      </c>
      <c r="L12" s="31" t="n">
        <f aca="false">IF($F12="",0,$F12-$K12)</f>
        <v>3500</v>
      </c>
      <c r="M12" s="31" t="n">
        <f aca="false">IF($F12="",0,IF($J12="V",$L12,$F12))</f>
        <v>3500</v>
      </c>
      <c r="N12" s="31" t="n">
        <f aca="false">IF($F12="",0,IF($J12="U",$L12,$F12))</f>
        <v>3500</v>
      </c>
      <c r="O12" s="35" t="n">
        <f aca="false">IF($A12="","",MONTH($A12))</f>
        <v>1</v>
      </c>
      <c r="P12" s="35" t="n">
        <f aca="false">IF($A12="","",ROUNDUP(MONTH($A12)/3,0))</f>
        <v>1</v>
      </c>
      <c r="Q12" s="35" t="n">
        <f aca="false">IF($A12="","",IF(MONTH($A12)&lt;=6,1,2))</f>
        <v>1</v>
      </c>
      <c r="R12" s="35" t="n">
        <f aca="false">IF($E12="","",IFERROR(INDEX(Kontenplan!$F$5:$F$90,MATCH($E12,Kontenplan!$A$5:$A$90,0)),""))</f>
        <v>0</v>
      </c>
      <c r="S12" s="35" t="n">
        <f aca="false">IF($D12="","",IFERROR(INDEX(Kontenplan!$F$5:$F$90,MATCH($D12,Kontenplan!$A$5:$A$90,0)),""))</f>
        <v>0</v>
      </c>
      <c r="T12" s="35" t="str">
        <f aca="false">IF($D12="","",IFERROR(INDEX(Kontenplan!$C$5:$C$90,MATCH($D12,Kontenplan!$A$5:$A$90,0)),"?"))</f>
        <v>Aufwand</v>
      </c>
      <c r="U12" s="35" t="str">
        <f aca="false">IF($E12="","",IFERROR(INDEX(Kontenplan!$C$5:$C$90,MATCH($E12,Kontenplan!$A$5:$A$90,0)),"?"))</f>
        <v>Aktiv</v>
      </c>
      <c r="V12" s="35" t="str">
        <f aca="false">IF($F12="","",IF(OR($D12="",$E12="",$T12="?",$U12="?"),"Konto prüfen!",IF($A12="","Datum fehlt",IF(YEAR($A12)&lt;&gt;Einstellungen!$B$7,"anderes Jahr!",IF($G12="","MWST-Code fehlt","OK")))))</f>
        <v>OK</v>
      </c>
      <c r="W12" s="35" t="n">
        <f aca="false">IF($F12="","",IF(OR($D12=Kontoauszug!$C$4,$E12=Kontoauszug!$C$4),MAX(W$4:W11)+1,""))</f>
        <v>2</v>
      </c>
    </row>
    <row r="13" customFormat="false" ht="15" hidden="false" customHeight="false" outlineLevel="0" collapsed="false">
      <c r="A13" s="33" t="n">
        <v>46056</v>
      </c>
      <c r="B13" s="32" t="s">
        <v>377</v>
      </c>
      <c r="C13" s="32" t="s">
        <v>378</v>
      </c>
      <c r="D13" s="32" t="n">
        <v>6400</v>
      </c>
      <c r="E13" s="32" t="n">
        <v>1020</v>
      </c>
      <c r="F13" s="30" t="n">
        <v>486.6</v>
      </c>
      <c r="G13" s="32" t="s">
        <v>176</v>
      </c>
      <c r="H13" s="34" t="n">
        <f aca="false">IF($G13="",0,IFERROR(INDEX(Einstellungen!$G$5:$G$11,MATCH($G13,Einstellungen!$E$5:$E$11,0)),0))</f>
        <v>0.081</v>
      </c>
      <c r="I13" s="35" t="str">
        <f aca="false">IF($G13="","-",IFERROR(INDEX(Einstellungen!$H$5:$H$11,MATCH($G13,Einstellungen!$E$5:$E$11,0)),"-"))</f>
        <v>V</v>
      </c>
      <c r="J13" s="35" t="str">
        <f aca="false">IF(AND(Einstellungen!$B$8="Ja",Einstellungen!$B$9="Effektiv"),$I13,"-")</f>
        <v>-</v>
      </c>
      <c r="K13" s="31" t="n">
        <f aca="false">IF(OR($F13="",$J13="-"),0,ROUND($F13-$F13/(1+$H13),2))</f>
        <v>0</v>
      </c>
      <c r="L13" s="31" t="n">
        <f aca="false">IF($F13="",0,$F13-$K13)</f>
        <v>486.6</v>
      </c>
      <c r="M13" s="31" t="n">
        <f aca="false">IF($F13="",0,IF($J13="V",$L13,$F13))</f>
        <v>486.6</v>
      </c>
      <c r="N13" s="31" t="n">
        <f aca="false">IF($F13="",0,IF($J13="U",$L13,$F13))</f>
        <v>486.6</v>
      </c>
      <c r="O13" s="35" t="n">
        <f aca="false">IF($A13="","",MONTH($A13))</f>
        <v>2</v>
      </c>
      <c r="P13" s="35" t="n">
        <f aca="false">IF($A13="","",ROUNDUP(MONTH($A13)/3,0))</f>
        <v>1</v>
      </c>
      <c r="Q13" s="35" t="n">
        <f aca="false">IF($A13="","",IF(MONTH($A13)&lt;=6,1,2))</f>
        <v>1</v>
      </c>
      <c r="R13" s="35" t="n">
        <f aca="false">IF($E13="","",IFERROR(INDEX(Kontenplan!$F$5:$F$90,MATCH($E13,Kontenplan!$A$5:$A$90,0)),""))</f>
        <v>0</v>
      </c>
      <c r="S13" s="35" t="n">
        <f aca="false">IF($D13="","",IFERROR(INDEX(Kontenplan!$F$5:$F$90,MATCH($D13,Kontenplan!$A$5:$A$90,0)),""))</f>
        <v>0</v>
      </c>
      <c r="T13" s="35" t="str">
        <f aca="false">IF($D13="","",IFERROR(INDEX(Kontenplan!$C$5:$C$90,MATCH($D13,Kontenplan!$A$5:$A$90,0)),"?"))</f>
        <v>Aufwand</v>
      </c>
      <c r="U13" s="35" t="str">
        <f aca="false">IF($E13="","",IFERROR(INDEX(Kontenplan!$C$5:$C$90,MATCH($E13,Kontenplan!$A$5:$A$90,0)),"?"))</f>
        <v>Aktiv</v>
      </c>
      <c r="V13" s="35" t="str">
        <f aca="false">IF($F13="","",IF(OR($D13="",$E13="",$T13="?",$U13="?"),"Konto prüfen!",IF($A13="","Datum fehlt",IF(YEAR($A13)&lt;&gt;Einstellungen!$B$7,"anderes Jahr!",IF($G13="","MWST-Code fehlt","OK")))))</f>
        <v>OK</v>
      </c>
      <c r="W13" s="35" t="n">
        <f aca="false">IF($F13="","",IF(OR($D13=Kontoauszug!$C$4,$E13=Kontoauszug!$C$4),MAX(W$4:W12)+1,""))</f>
        <v>3</v>
      </c>
    </row>
    <row r="14" customFormat="false" ht="15" hidden="false" customHeight="false" outlineLevel="0" collapsed="false">
      <c r="A14" s="33" t="n">
        <v>46058</v>
      </c>
      <c r="B14" s="32" t="s">
        <v>379</v>
      </c>
      <c r="C14" s="32" t="s">
        <v>380</v>
      </c>
      <c r="D14" s="32" t="n">
        <v>1020</v>
      </c>
      <c r="E14" s="32" t="n">
        <v>1100</v>
      </c>
      <c r="F14" s="30" t="n">
        <v>2486.3</v>
      </c>
      <c r="G14" s="32" t="s">
        <v>190</v>
      </c>
      <c r="H14" s="34" t="n">
        <f aca="false">IF($G14="",0,IFERROR(INDEX(Einstellungen!$G$5:$G$11,MATCH($G14,Einstellungen!$E$5:$E$11,0)),0))</f>
        <v>0</v>
      </c>
      <c r="I14" s="35" t="str">
        <f aca="false">IF($G14="","-",IFERROR(INDEX(Einstellungen!$H$5:$H$11,MATCH($G14,Einstellungen!$E$5:$E$11,0)),"-"))</f>
        <v>-</v>
      </c>
      <c r="J14" s="35" t="str">
        <f aca="false">IF(AND(Einstellungen!$B$8="Ja",Einstellungen!$B$9="Effektiv"),$I14,"-")</f>
        <v>-</v>
      </c>
      <c r="K14" s="31" t="n">
        <f aca="false">IF(OR($F14="",$J14="-"),0,ROUND($F14-$F14/(1+$H14),2))</f>
        <v>0</v>
      </c>
      <c r="L14" s="31" t="n">
        <f aca="false">IF($F14="",0,$F14-$K14)</f>
        <v>2486.3</v>
      </c>
      <c r="M14" s="31" t="n">
        <f aca="false">IF($F14="",0,IF($J14="V",$L14,$F14))</f>
        <v>2486.3</v>
      </c>
      <c r="N14" s="31" t="n">
        <f aca="false">IF($F14="",0,IF($J14="U",$L14,$F14))</f>
        <v>2486.3</v>
      </c>
      <c r="O14" s="35" t="n">
        <f aca="false">IF($A14="","",MONTH($A14))</f>
        <v>2</v>
      </c>
      <c r="P14" s="35" t="n">
        <f aca="false">IF($A14="","",ROUNDUP(MONTH($A14)/3,0))</f>
        <v>1</v>
      </c>
      <c r="Q14" s="35" t="n">
        <f aca="false">IF($A14="","",IF(MONTH($A14)&lt;=6,1,2))</f>
        <v>1</v>
      </c>
      <c r="R14" s="35" t="n">
        <f aca="false">IF($E14="","",IFERROR(INDEX(Kontenplan!$F$5:$F$90,MATCH($E14,Kontenplan!$A$5:$A$90,0)),""))</f>
        <v>0</v>
      </c>
      <c r="S14" s="35" t="n">
        <f aca="false">IF($D14="","",IFERROR(INDEX(Kontenplan!$F$5:$F$90,MATCH($D14,Kontenplan!$A$5:$A$90,0)),""))</f>
        <v>0</v>
      </c>
      <c r="T14" s="35" t="str">
        <f aca="false">IF($D14="","",IFERROR(INDEX(Kontenplan!$C$5:$C$90,MATCH($D14,Kontenplan!$A$5:$A$90,0)),"?"))</f>
        <v>Aktiv</v>
      </c>
      <c r="U14" s="35" t="str">
        <f aca="false">IF($E14="","",IFERROR(INDEX(Kontenplan!$C$5:$C$90,MATCH($E14,Kontenplan!$A$5:$A$90,0)),"?"))</f>
        <v>Aktiv</v>
      </c>
      <c r="V14" s="35" t="str">
        <f aca="false">IF($F14="","",IF(OR($D14="",$E14="",$T14="?",$U14="?"),"Konto prüfen!",IF($A14="","Datum fehlt",IF(YEAR($A14)&lt;&gt;Einstellungen!$B$7,"anderes Jahr!",IF($G14="","MWST-Code fehlt","OK")))))</f>
        <v>OK</v>
      </c>
      <c r="W14" s="35" t="n">
        <f aca="false">IF($F14="","",IF(OR($D14=Kontoauszug!$C$4,$E14=Kontoauszug!$C$4),MAX(W$4:W13)+1,""))</f>
        <v>4</v>
      </c>
    </row>
    <row r="15" customFormat="false" ht="15" hidden="false" customHeight="false" outlineLevel="0" collapsed="false">
      <c r="A15" s="33" t="n">
        <v>46063</v>
      </c>
      <c r="B15" s="32" t="s">
        <v>381</v>
      </c>
      <c r="C15" s="32" t="s">
        <v>382</v>
      </c>
      <c r="D15" s="32" t="n">
        <v>4200</v>
      </c>
      <c r="E15" s="32" t="n">
        <v>1020</v>
      </c>
      <c r="F15" s="30" t="n">
        <v>12000</v>
      </c>
      <c r="G15" s="32" t="s">
        <v>190</v>
      </c>
      <c r="H15" s="34" t="n">
        <f aca="false">IF($G15="",0,IFERROR(INDEX(Einstellungen!$G$5:$G$11,MATCH($G15,Einstellungen!$E$5:$E$11,0)),0))</f>
        <v>0</v>
      </c>
      <c r="I15" s="35" t="str">
        <f aca="false">IF($G15="","-",IFERROR(INDEX(Einstellungen!$H$5:$H$11,MATCH($G15,Einstellungen!$E$5:$E$11,0)),"-"))</f>
        <v>-</v>
      </c>
      <c r="J15" s="35" t="str">
        <f aca="false">IF(AND(Einstellungen!$B$8="Ja",Einstellungen!$B$9="Effektiv"),$I15,"-")</f>
        <v>-</v>
      </c>
      <c r="K15" s="31" t="n">
        <f aca="false">IF(OR($F15="",$J15="-"),0,ROUND($F15-$F15/(1+$H15),2))</f>
        <v>0</v>
      </c>
      <c r="L15" s="31" t="n">
        <f aca="false">IF($F15="",0,$F15-$K15)</f>
        <v>12000</v>
      </c>
      <c r="M15" s="31" t="n">
        <f aca="false">IF($F15="",0,IF($J15="V",$L15,$F15))</f>
        <v>12000</v>
      </c>
      <c r="N15" s="31" t="n">
        <f aca="false">IF($F15="",0,IF($J15="U",$L15,$F15))</f>
        <v>12000</v>
      </c>
      <c r="O15" s="35" t="n">
        <f aca="false">IF($A15="","",MONTH($A15))</f>
        <v>2</v>
      </c>
      <c r="P15" s="35" t="n">
        <f aca="false">IF($A15="","",ROUNDUP(MONTH($A15)/3,0))</f>
        <v>1</v>
      </c>
      <c r="Q15" s="35" t="n">
        <f aca="false">IF($A15="","",IF(MONTH($A15)&lt;=6,1,2))</f>
        <v>1</v>
      </c>
      <c r="R15" s="35" t="n">
        <f aca="false">IF($E15="","",IFERROR(INDEX(Kontenplan!$F$5:$F$90,MATCH($E15,Kontenplan!$A$5:$A$90,0)),""))</f>
        <v>0</v>
      </c>
      <c r="S15" s="35" t="n">
        <f aca="false">IF($D15="","",IFERROR(INDEX(Kontenplan!$F$5:$F$90,MATCH($D15,Kontenplan!$A$5:$A$90,0)),""))</f>
        <v>0</v>
      </c>
      <c r="T15" s="35" t="str">
        <f aca="false">IF($D15="","",IFERROR(INDEX(Kontenplan!$C$5:$C$90,MATCH($D15,Kontenplan!$A$5:$A$90,0)),"?"))</f>
        <v>Aufwand</v>
      </c>
      <c r="U15" s="35" t="str">
        <f aca="false">IF($E15="","",IFERROR(INDEX(Kontenplan!$C$5:$C$90,MATCH($E15,Kontenplan!$A$5:$A$90,0)),"?"))</f>
        <v>Aktiv</v>
      </c>
      <c r="V15" s="35" t="str">
        <f aca="false">IF($F15="","",IF(OR($D15="",$E15="",$T15="?",$U15="?"),"Konto prüfen!",IF($A15="","Datum fehlt",IF(YEAR($A15)&lt;&gt;Einstellungen!$B$7,"anderes Jahr!",IF($G15="","MWST-Code fehlt","OK")))))</f>
        <v>OK</v>
      </c>
      <c r="W15" s="35" t="n">
        <f aca="false">IF($F15="","",IF(OR($D15=Kontoauszug!$C$4,$E15=Kontoauszug!$C$4),MAX(W$4:W14)+1,""))</f>
        <v>5</v>
      </c>
    </row>
    <row r="16" customFormat="false" ht="15" hidden="false" customHeight="false" outlineLevel="0" collapsed="false">
      <c r="A16" s="33" t="n">
        <v>46073</v>
      </c>
      <c r="B16" s="32" t="s">
        <v>383</v>
      </c>
      <c r="C16" s="32" t="s">
        <v>384</v>
      </c>
      <c r="D16" s="32" t="n">
        <v>6300</v>
      </c>
      <c r="E16" s="32" t="n">
        <v>1020</v>
      </c>
      <c r="F16" s="30" t="n">
        <v>2400</v>
      </c>
      <c r="G16" s="32" t="s">
        <v>190</v>
      </c>
      <c r="H16" s="34" t="n">
        <f aca="false">IF($G16="",0,IFERROR(INDEX(Einstellungen!$G$5:$G$11,MATCH($G16,Einstellungen!$E$5:$E$11,0)),0))</f>
        <v>0</v>
      </c>
      <c r="I16" s="35" t="str">
        <f aca="false">IF($G16="","-",IFERROR(INDEX(Einstellungen!$H$5:$H$11,MATCH($G16,Einstellungen!$E$5:$E$11,0)),"-"))</f>
        <v>-</v>
      </c>
      <c r="J16" s="35" t="str">
        <f aca="false">IF(AND(Einstellungen!$B$8="Ja",Einstellungen!$B$9="Effektiv"),$I16,"-")</f>
        <v>-</v>
      </c>
      <c r="K16" s="31" t="n">
        <f aca="false">IF(OR($F16="",$J16="-"),0,ROUND($F16-$F16/(1+$H16),2))</f>
        <v>0</v>
      </c>
      <c r="L16" s="31" t="n">
        <f aca="false">IF($F16="",0,$F16-$K16)</f>
        <v>2400</v>
      </c>
      <c r="M16" s="31" t="n">
        <f aca="false">IF($F16="",0,IF($J16="V",$L16,$F16))</f>
        <v>2400</v>
      </c>
      <c r="N16" s="31" t="n">
        <f aca="false">IF($F16="",0,IF($J16="U",$L16,$F16))</f>
        <v>2400</v>
      </c>
      <c r="O16" s="35" t="n">
        <f aca="false">IF($A16="","",MONTH($A16))</f>
        <v>2</v>
      </c>
      <c r="P16" s="35" t="n">
        <f aca="false">IF($A16="","",ROUNDUP(MONTH($A16)/3,0))</f>
        <v>1</v>
      </c>
      <c r="Q16" s="35" t="n">
        <f aca="false">IF($A16="","",IF(MONTH($A16)&lt;=6,1,2))</f>
        <v>1</v>
      </c>
      <c r="R16" s="35" t="n">
        <f aca="false">IF($E16="","",IFERROR(INDEX(Kontenplan!$F$5:$F$90,MATCH($E16,Kontenplan!$A$5:$A$90,0)),""))</f>
        <v>0</v>
      </c>
      <c r="S16" s="35" t="n">
        <f aca="false">IF($D16="","",IFERROR(INDEX(Kontenplan!$F$5:$F$90,MATCH($D16,Kontenplan!$A$5:$A$90,0)),""))</f>
        <v>0</v>
      </c>
      <c r="T16" s="35" t="str">
        <f aca="false">IF($D16="","",IFERROR(INDEX(Kontenplan!$C$5:$C$90,MATCH($D16,Kontenplan!$A$5:$A$90,0)),"?"))</f>
        <v>Aufwand</v>
      </c>
      <c r="U16" s="35" t="str">
        <f aca="false">IF($E16="","",IFERROR(INDEX(Kontenplan!$C$5:$C$90,MATCH($E16,Kontenplan!$A$5:$A$90,0)),"?"))</f>
        <v>Aktiv</v>
      </c>
      <c r="V16" s="35" t="str">
        <f aca="false">IF($F16="","",IF(OR($D16="",$E16="",$T16="?",$U16="?"),"Konto prüfen!",IF($A16="","Datum fehlt",IF(YEAR($A16)&lt;&gt;Einstellungen!$B$7,"anderes Jahr!",IF($G16="","MWST-Code fehlt","OK")))))</f>
        <v>OK</v>
      </c>
      <c r="W16" s="35" t="n">
        <f aca="false">IF($F16="","",IF(OR($D16=Kontoauszug!$C$4,$E16=Kontoauszug!$C$4),MAX(W$4:W15)+1,""))</f>
        <v>6</v>
      </c>
    </row>
    <row r="17" customFormat="false" ht="15" hidden="false" customHeight="false" outlineLevel="0" collapsed="false">
      <c r="A17" s="33" t="n">
        <v>46099</v>
      </c>
      <c r="B17" s="32" t="s">
        <v>385</v>
      </c>
      <c r="C17" s="32" t="s">
        <v>386</v>
      </c>
      <c r="D17" s="32" t="n">
        <v>1020</v>
      </c>
      <c r="E17" s="32" t="n">
        <v>3400</v>
      </c>
      <c r="F17" s="30" t="n">
        <v>15900</v>
      </c>
      <c r="G17" s="32" t="s">
        <v>163</v>
      </c>
      <c r="H17" s="34" t="n">
        <f aca="false">IF($G17="",0,IFERROR(INDEX(Einstellungen!$G$5:$G$11,MATCH($G17,Einstellungen!$E$5:$E$11,0)),0))</f>
        <v>0.081</v>
      </c>
      <c r="I17" s="35" t="str">
        <f aca="false">IF($G17="","-",IFERROR(INDEX(Einstellungen!$H$5:$H$11,MATCH($G17,Einstellungen!$E$5:$E$11,0)),"-"))</f>
        <v>U</v>
      </c>
      <c r="J17" s="35" t="str">
        <f aca="false">IF(AND(Einstellungen!$B$8="Ja",Einstellungen!$B$9="Effektiv"),$I17,"-")</f>
        <v>-</v>
      </c>
      <c r="K17" s="31" t="n">
        <f aca="false">IF(OR($F17="",$J17="-"),0,ROUND($F17-$F17/(1+$H17),2))</f>
        <v>0</v>
      </c>
      <c r="L17" s="31" t="n">
        <f aca="false">IF($F17="",0,$F17-$K17)</f>
        <v>15900</v>
      </c>
      <c r="M17" s="31" t="n">
        <f aca="false">IF($F17="",0,IF($J17="V",$L17,$F17))</f>
        <v>15900</v>
      </c>
      <c r="N17" s="31" t="n">
        <f aca="false">IF($F17="",0,IF($J17="U",$L17,$F17))</f>
        <v>15900</v>
      </c>
      <c r="O17" s="35" t="n">
        <f aca="false">IF($A17="","",MONTH($A17))</f>
        <v>3</v>
      </c>
      <c r="P17" s="35" t="n">
        <f aca="false">IF($A17="","",ROUNDUP(MONTH($A17)/3,0))</f>
        <v>1</v>
      </c>
      <c r="Q17" s="35" t="n">
        <f aca="false">IF($A17="","",IF(MONTH($A17)&lt;=6,1,2))</f>
        <v>1</v>
      </c>
      <c r="R17" s="35" t="n">
        <f aca="false">IF($E17="","",IFERROR(INDEX(Kontenplan!$F$5:$F$90,MATCH($E17,Kontenplan!$A$5:$A$90,0)),""))</f>
        <v>2</v>
      </c>
      <c r="S17" s="35" t="n">
        <f aca="false">IF($D17="","",IFERROR(INDEX(Kontenplan!$F$5:$F$90,MATCH($D17,Kontenplan!$A$5:$A$90,0)),""))</f>
        <v>0</v>
      </c>
      <c r="T17" s="35" t="str">
        <f aca="false">IF($D17="","",IFERROR(INDEX(Kontenplan!$C$5:$C$90,MATCH($D17,Kontenplan!$A$5:$A$90,0)),"?"))</f>
        <v>Aktiv</v>
      </c>
      <c r="U17" s="35" t="str">
        <f aca="false">IF($E17="","",IFERROR(INDEX(Kontenplan!$C$5:$C$90,MATCH($E17,Kontenplan!$A$5:$A$90,0)),"?"))</f>
        <v>Ertrag</v>
      </c>
      <c r="V17" s="35" t="str">
        <f aca="false">IF($F17="","",IF(OR($D17="",$E17="",$T17="?",$U17="?"),"Konto prüfen!",IF($A17="","Datum fehlt",IF(YEAR($A17)&lt;&gt;Einstellungen!$B$7,"anderes Jahr!",IF($G17="","MWST-Code fehlt","OK")))))</f>
        <v>OK</v>
      </c>
      <c r="W17" s="35" t="n">
        <f aca="false">IF($F17="","",IF(OR($D17=Kontoauszug!$C$4,$E17=Kontoauszug!$C$4),MAX(W$4:W16)+1,""))</f>
        <v>7</v>
      </c>
    </row>
    <row r="18" customFormat="false" ht="15" hidden="false" customHeight="false" outlineLevel="0" collapsed="false">
      <c r="A18" s="33" t="n">
        <v>46101</v>
      </c>
      <c r="B18" s="32" t="s">
        <v>387</v>
      </c>
      <c r="C18" s="32" t="s">
        <v>388</v>
      </c>
      <c r="D18" s="32" t="n">
        <v>6600</v>
      </c>
      <c r="E18" s="32" t="n">
        <v>1020</v>
      </c>
      <c r="F18" s="30" t="n">
        <v>540</v>
      </c>
      <c r="G18" s="32" t="s">
        <v>176</v>
      </c>
      <c r="H18" s="34" t="n">
        <f aca="false">IF($G18="",0,IFERROR(INDEX(Einstellungen!$G$5:$G$11,MATCH($G18,Einstellungen!$E$5:$E$11,0)),0))</f>
        <v>0.081</v>
      </c>
      <c r="I18" s="35" t="str">
        <f aca="false">IF($G18="","-",IFERROR(INDEX(Einstellungen!$H$5:$H$11,MATCH($G18,Einstellungen!$E$5:$E$11,0)),"-"))</f>
        <v>V</v>
      </c>
      <c r="J18" s="35" t="str">
        <f aca="false">IF(AND(Einstellungen!$B$8="Ja",Einstellungen!$B$9="Effektiv"),$I18,"-")</f>
        <v>-</v>
      </c>
      <c r="K18" s="31" t="n">
        <f aca="false">IF(OR($F18="",$J18="-"),0,ROUND($F18-$F18/(1+$H18),2))</f>
        <v>0</v>
      </c>
      <c r="L18" s="31" t="n">
        <f aca="false">IF($F18="",0,$F18-$K18)</f>
        <v>540</v>
      </c>
      <c r="M18" s="31" t="n">
        <f aca="false">IF($F18="",0,IF($J18="V",$L18,$F18))</f>
        <v>540</v>
      </c>
      <c r="N18" s="31" t="n">
        <f aca="false">IF($F18="",0,IF($J18="U",$L18,$F18))</f>
        <v>540</v>
      </c>
      <c r="O18" s="35" t="n">
        <f aca="false">IF($A18="","",MONTH($A18))</f>
        <v>3</v>
      </c>
      <c r="P18" s="35" t="n">
        <f aca="false">IF($A18="","",ROUNDUP(MONTH($A18)/3,0))</f>
        <v>1</v>
      </c>
      <c r="Q18" s="35" t="n">
        <f aca="false">IF($A18="","",IF(MONTH($A18)&lt;=6,1,2))</f>
        <v>1</v>
      </c>
      <c r="R18" s="35" t="n">
        <f aca="false">IF($E18="","",IFERROR(INDEX(Kontenplan!$F$5:$F$90,MATCH($E18,Kontenplan!$A$5:$A$90,0)),""))</f>
        <v>0</v>
      </c>
      <c r="S18" s="35" t="n">
        <f aca="false">IF($D18="","",IFERROR(INDEX(Kontenplan!$F$5:$F$90,MATCH($D18,Kontenplan!$A$5:$A$90,0)),""))</f>
        <v>0</v>
      </c>
      <c r="T18" s="35" t="str">
        <f aca="false">IF($D18="","",IFERROR(INDEX(Kontenplan!$C$5:$C$90,MATCH($D18,Kontenplan!$A$5:$A$90,0)),"?"))</f>
        <v>Aufwand</v>
      </c>
      <c r="U18" s="35" t="str">
        <f aca="false">IF($E18="","",IFERROR(INDEX(Kontenplan!$C$5:$C$90,MATCH($E18,Kontenplan!$A$5:$A$90,0)),"?"))</f>
        <v>Aktiv</v>
      </c>
      <c r="V18" s="35" t="str">
        <f aca="false">IF($F18="","",IF(OR($D18="",$E18="",$T18="?",$U18="?"),"Konto prüfen!",IF($A18="","Datum fehlt",IF(YEAR($A18)&lt;&gt;Einstellungen!$B$7,"anderes Jahr!",IF($G18="","MWST-Code fehlt","OK")))))</f>
        <v>OK</v>
      </c>
      <c r="W18" s="35" t="n">
        <f aca="false">IF($F18="","",IF(OR($D18=Kontoauszug!$C$4,$E18=Kontoauszug!$C$4),MAX(W$4:W17)+1,""))</f>
        <v>8</v>
      </c>
    </row>
    <row r="19" customFormat="false" ht="15" hidden="false" customHeight="false" outlineLevel="0" collapsed="false">
      <c r="A19" s="33" t="n">
        <v>46112</v>
      </c>
      <c r="B19" s="32" t="s">
        <v>389</v>
      </c>
      <c r="C19" s="32" t="s">
        <v>390</v>
      </c>
      <c r="D19" s="32" t="n">
        <v>2850</v>
      </c>
      <c r="E19" s="32" t="n">
        <v>1020</v>
      </c>
      <c r="F19" s="30" t="n">
        <v>4000</v>
      </c>
      <c r="G19" s="32" t="s">
        <v>190</v>
      </c>
      <c r="H19" s="34" t="n">
        <f aca="false">IF($G19="",0,IFERROR(INDEX(Einstellungen!$G$5:$G$11,MATCH($G19,Einstellungen!$E$5:$E$11,0)),0))</f>
        <v>0</v>
      </c>
      <c r="I19" s="35" t="str">
        <f aca="false">IF($G19="","-",IFERROR(INDEX(Einstellungen!$H$5:$H$11,MATCH($G19,Einstellungen!$E$5:$E$11,0)),"-"))</f>
        <v>-</v>
      </c>
      <c r="J19" s="35" t="str">
        <f aca="false">IF(AND(Einstellungen!$B$8="Ja",Einstellungen!$B$9="Effektiv"),$I19,"-")</f>
        <v>-</v>
      </c>
      <c r="K19" s="31" t="n">
        <f aca="false">IF(OR($F19="",$J19="-"),0,ROUND($F19-$F19/(1+$H19),2))</f>
        <v>0</v>
      </c>
      <c r="L19" s="31" t="n">
        <f aca="false">IF($F19="",0,$F19-$K19)</f>
        <v>4000</v>
      </c>
      <c r="M19" s="31" t="n">
        <f aca="false">IF($F19="",0,IF($J19="V",$L19,$F19))</f>
        <v>4000</v>
      </c>
      <c r="N19" s="31" t="n">
        <f aca="false">IF($F19="",0,IF($J19="U",$L19,$F19))</f>
        <v>4000</v>
      </c>
      <c r="O19" s="35" t="n">
        <f aca="false">IF($A19="","",MONTH($A19))</f>
        <v>3</v>
      </c>
      <c r="P19" s="35" t="n">
        <f aca="false">IF($A19="","",ROUNDUP(MONTH($A19)/3,0))</f>
        <v>1</v>
      </c>
      <c r="Q19" s="35" t="n">
        <f aca="false">IF($A19="","",IF(MONTH($A19)&lt;=6,1,2))</f>
        <v>1</v>
      </c>
      <c r="R19" s="35" t="n">
        <f aca="false">IF($E19="","",IFERROR(INDEX(Kontenplan!$F$5:$F$90,MATCH($E19,Kontenplan!$A$5:$A$90,0)),""))</f>
        <v>0</v>
      </c>
      <c r="S19" s="35" t="n">
        <f aca="false">IF($D19="","",IFERROR(INDEX(Kontenplan!$F$5:$F$90,MATCH($D19,Kontenplan!$A$5:$A$90,0)),""))</f>
        <v>0</v>
      </c>
      <c r="T19" s="35" t="str">
        <f aca="false">IF($D19="","",IFERROR(INDEX(Kontenplan!$C$5:$C$90,MATCH($D19,Kontenplan!$A$5:$A$90,0)),"?"))</f>
        <v>Passiv</v>
      </c>
      <c r="U19" s="35" t="str">
        <f aca="false">IF($E19="","",IFERROR(INDEX(Kontenplan!$C$5:$C$90,MATCH($E19,Kontenplan!$A$5:$A$90,0)),"?"))</f>
        <v>Aktiv</v>
      </c>
      <c r="V19" s="35" t="str">
        <f aca="false">IF($F19="","",IF(OR($D19="",$E19="",$T19="?",$U19="?"),"Konto prüfen!",IF($A19="","Datum fehlt",IF(YEAR($A19)&lt;&gt;Einstellungen!$B$7,"anderes Jahr!",IF($G19="","MWST-Code fehlt","OK")))))</f>
        <v>OK</v>
      </c>
      <c r="W19" s="35" t="n">
        <f aca="false">IF($F19="","",IF(OR($D19=Kontoauszug!$C$4,$E19=Kontoauszug!$C$4),MAX(W$4:W18)+1,""))</f>
        <v>9</v>
      </c>
    </row>
    <row r="20" customFormat="false" ht="15" hidden="false" customHeight="false" outlineLevel="0" collapsed="false">
      <c r="A20" s="33" t="n">
        <v>46112</v>
      </c>
      <c r="B20" s="32" t="s">
        <v>391</v>
      </c>
      <c r="C20" s="32" t="s">
        <v>392</v>
      </c>
      <c r="D20" s="32" t="n">
        <v>6900</v>
      </c>
      <c r="E20" s="32" t="n">
        <v>1020</v>
      </c>
      <c r="F20" s="30" t="n">
        <v>85</v>
      </c>
      <c r="G20" s="32" t="s">
        <v>190</v>
      </c>
      <c r="H20" s="34" t="n">
        <f aca="false">IF($G20="",0,IFERROR(INDEX(Einstellungen!$G$5:$G$11,MATCH($G20,Einstellungen!$E$5:$E$11,0)),0))</f>
        <v>0</v>
      </c>
      <c r="I20" s="35" t="str">
        <f aca="false">IF($G20="","-",IFERROR(INDEX(Einstellungen!$H$5:$H$11,MATCH($G20,Einstellungen!$E$5:$E$11,0)),"-"))</f>
        <v>-</v>
      </c>
      <c r="J20" s="35" t="str">
        <f aca="false">IF(AND(Einstellungen!$B$8="Ja",Einstellungen!$B$9="Effektiv"),$I20,"-")</f>
        <v>-</v>
      </c>
      <c r="K20" s="31" t="n">
        <f aca="false">IF(OR($F20="",$J20="-"),0,ROUND($F20-$F20/(1+$H20),2))</f>
        <v>0</v>
      </c>
      <c r="L20" s="31" t="n">
        <f aca="false">IF($F20="",0,$F20-$K20)</f>
        <v>85</v>
      </c>
      <c r="M20" s="31" t="n">
        <f aca="false">IF($F20="",0,IF($J20="V",$L20,$F20))</f>
        <v>85</v>
      </c>
      <c r="N20" s="31" t="n">
        <f aca="false">IF($F20="",0,IF($J20="U",$L20,$F20))</f>
        <v>85</v>
      </c>
      <c r="O20" s="35" t="n">
        <f aca="false">IF($A20="","",MONTH($A20))</f>
        <v>3</v>
      </c>
      <c r="P20" s="35" t="n">
        <f aca="false">IF($A20="","",ROUNDUP(MONTH($A20)/3,0))</f>
        <v>1</v>
      </c>
      <c r="Q20" s="35" t="n">
        <f aca="false">IF($A20="","",IF(MONTH($A20)&lt;=6,1,2))</f>
        <v>1</v>
      </c>
      <c r="R20" s="35" t="n">
        <f aca="false">IF($E20="","",IFERROR(INDEX(Kontenplan!$F$5:$F$90,MATCH($E20,Kontenplan!$A$5:$A$90,0)),""))</f>
        <v>0</v>
      </c>
      <c r="S20" s="35" t="n">
        <f aca="false">IF($D20="","",IFERROR(INDEX(Kontenplan!$F$5:$F$90,MATCH($D20,Kontenplan!$A$5:$A$90,0)),""))</f>
        <v>0</v>
      </c>
      <c r="T20" s="35" t="str">
        <f aca="false">IF($D20="","",IFERROR(INDEX(Kontenplan!$C$5:$C$90,MATCH($D20,Kontenplan!$A$5:$A$90,0)),"?"))</f>
        <v>Aufwand</v>
      </c>
      <c r="U20" s="35" t="str">
        <f aca="false">IF($E20="","",IFERROR(INDEX(Kontenplan!$C$5:$C$90,MATCH($E20,Kontenplan!$A$5:$A$90,0)),"?"))</f>
        <v>Aktiv</v>
      </c>
      <c r="V20" s="35" t="str">
        <f aca="false">IF($F20="","",IF(OR($D20="",$E20="",$T20="?",$U20="?"),"Konto prüfen!",IF($A20="","Datum fehlt",IF(YEAR($A20)&lt;&gt;Einstellungen!$B$7,"anderes Jahr!",IF($G20="","MWST-Code fehlt","OK")))))</f>
        <v>OK</v>
      </c>
      <c r="W20" s="35" t="n">
        <f aca="false">IF($F20="","",IF(OR($D20=Kontoauszug!$C$4,$E20=Kontoauszug!$C$4),MAX(W$4:W19)+1,""))</f>
        <v>10</v>
      </c>
    </row>
    <row r="21" customFormat="false" ht="15" hidden="false" customHeight="false" outlineLevel="0" collapsed="false">
      <c r="A21" s="33"/>
      <c r="B21" s="32"/>
      <c r="C21" s="32"/>
      <c r="D21" s="32"/>
      <c r="E21" s="32"/>
      <c r="F21" s="30"/>
      <c r="G21" s="32"/>
      <c r="H21" s="34" t="n">
        <f aca="false">IF($G21="",0,IFERROR(INDEX(Einstellungen!$G$5:$G$11,MATCH($G21,Einstellungen!$E$5:$E$11,0)),0))</f>
        <v>0</v>
      </c>
      <c r="I21" s="35" t="str">
        <f aca="false">IF($G21="","-",IFERROR(INDEX(Einstellungen!$H$5:$H$11,MATCH($G21,Einstellungen!$E$5:$E$11,0)),"-"))</f>
        <v>-</v>
      </c>
      <c r="J21" s="35" t="str">
        <f aca="false">IF(AND(Einstellungen!$B$8="Ja",Einstellungen!$B$9="Effektiv"),$I21,"-")</f>
        <v>-</v>
      </c>
      <c r="K21" s="31" t="n">
        <f aca="false">IF(OR($F21="",$J21="-"),0,ROUND($F21-$F21/(1+$H21),2))</f>
        <v>0</v>
      </c>
      <c r="L21" s="31" t="n">
        <f aca="false">IF($F21="",0,$F21-$K21)</f>
        <v>0</v>
      </c>
      <c r="M21" s="31" t="n">
        <f aca="false">IF($F21="",0,IF($J21="V",$L21,$F21))</f>
        <v>0</v>
      </c>
      <c r="N21" s="31" t="n">
        <f aca="false">IF($F21="",0,IF($J21="U",$L21,$F21))</f>
        <v>0</v>
      </c>
      <c r="O21" s="35" t="str">
        <f aca="false">IF($A21="","",MONTH($A21))</f>
        <v/>
      </c>
      <c r="P21" s="35" t="str">
        <f aca="false">IF($A21="","",ROUNDUP(MONTH($A21)/3,0))</f>
        <v/>
      </c>
      <c r="Q21" s="35" t="str">
        <f aca="false">IF($A21="","",IF(MONTH($A21)&lt;=6,1,2))</f>
        <v/>
      </c>
      <c r="R21" s="35" t="str">
        <f aca="false">IF($E21="","",IFERROR(INDEX(Kontenplan!$F$5:$F$90,MATCH($E21,Kontenplan!$A$5:$A$90,0)),""))</f>
        <v/>
      </c>
      <c r="S21" s="35" t="str">
        <f aca="false">IF($D21="","",IFERROR(INDEX(Kontenplan!$F$5:$F$90,MATCH($D21,Kontenplan!$A$5:$A$90,0)),""))</f>
        <v/>
      </c>
      <c r="T21" s="35" t="str">
        <f aca="false">IF($D21="","",IFERROR(INDEX(Kontenplan!$C$5:$C$90,MATCH($D21,Kontenplan!$A$5:$A$90,0)),"?"))</f>
        <v/>
      </c>
      <c r="U21" s="35" t="str">
        <f aca="false">IF($E21="","",IFERROR(INDEX(Kontenplan!$C$5:$C$90,MATCH($E21,Kontenplan!$A$5:$A$90,0)),"?"))</f>
        <v/>
      </c>
      <c r="V21" s="35" t="str">
        <f aca="false">IF($F21="","",IF(OR($D21="",$E21="",$T21="?",$U21="?"),"Konto prüfen!",IF($A21="","Datum fehlt",IF(YEAR($A21)&lt;&gt;Einstellungen!$B$7,"anderes Jahr!",IF($G21="","MWST-Code fehlt","OK")))))</f>
        <v/>
      </c>
      <c r="W21" s="35" t="str">
        <f aca="false">IF($F21="","",IF(OR($D21=Kontoauszug!$C$4,$E21=Kontoauszug!$C$4),MAX(W$4:W20)+1,""))</f>
        <v/>
      </c>
    </row>
    <row r="22" customFormat="false" ht="15" hidden="false" customHeight="false" outlineLevel="0" collapsed="false">
      <c r="A22" s="33"/>
      <c r="B22" s="32"/>
      <c r="C22" s="32"/>
      <c r="D22" s="32"/>
      <c r="E22" s="32"/>
      <c r="F22" s="30"/>
      <c r="G22" s="32"/>
      <c r="H22" s="34" t="n">
        <f aca="false">IF($G22="",0,IFERROR(INDEX(Einstellungen!$G$5:$G$11,MATCH($G22,Einstellungen!$E$5:$E$11,0)),0))</f>
        <v>0</v>
      </c>
      <c r="I22" s="35" t="str">
        <f aca="false">IF($G22="","-",IFERROR(INDEX(Einstellungen!$H$5:$H$11,MATCH($G22,Einstellungen!$E$5:$E$11,0)),"-"))</f>
        <v>-</v>
      </c>
      <c r="J22" s="35" t="str">
        <f aca="false">IF(AND(Einstellungen!$B$8="Ja",Einstellungen!$B$9="Effektiv"),$I22,"-")</f>
        <v>-</v>
      </c>
      <c r="K22" s="31" t="n">
        <f aca="false">IF(OR($F22="",$J22="-"),0,ROUND($F22-$F22/(1+$H22),2))</f>
        <v>0</v>
      </c>
      <c r="L22" s="31" t="n">
        <f aca="false">IF($F22="",0,$F22-$K22)</f>
        <v>0</v>
      </c>
      <c r="M22" s="31" t="n">
        <f aca="false">IF($F22="",0,IF($J22="V",$L22,$F22))</f>
        <v>0</v>
      </c>
      <c r="N22" s="31" t="n">
        <f aca="false">IF($F22="",0,IF($J22="U",$L22,$F22))</f>
        <v>0</v>
      </c>
      <c r="O22" s="35" t="str">
        <f aca="false">IF($A22="","",MONTH($A22))</f>
        <v/>
      </c>
      <c r="P22" s="35" t="str">
        <f aca="false">IF($A22="","",ROUNDUP(MONTH($A22)/3,0))</f>
        <v/>
      </c>
      <c r="Q22" s="35" t="str">
        <f aca="false">IF($A22="","",IF(MONTH($A22)&lt;=6,1,2))</f>
        <v/>
      </c>
      <c r="R22" s="35" t="str">
        <f aca="false">IF($E22="","",IFERROR(INDEX(Kontenplan!$F$5:$F$90,MATCH($E22,Kontenplan!$A$5:$A$90,0)),""))</f>
        <v/>
      </c>
      <c r="S22" s="35" t="str">
        <f aca="false">IF($D22="","",IFERROR(INDEX(Kontenplan!$F$5:$F$90,MATCH($D22,Kontenplan!$A$5:$A$90,0)),""))</f>
        <v/>
      </c>
      <c r="T22" s="35" t="str">
        <f aca="false">IF($D22="","",IFERROR(INDEX(Kontenplan!$C$5:$C$90,MATCH($D22,Kontenplan!$A$5:$A$90,0)),"?"))</f>
        <v/>
      </c>
      <c r="U22" s="35" t="str">
        <f aca="false">IF($E22="","",IFERROR(INDEX(Kontenplan!$C$5:$C$90,MATCH($E22,Kontenplan!$A$5:$A$90,0)),"?"))</f>
        <v/>
      </c>
      <c r="V22" s="35" t="str">
        <f aca="false">IF($F22="","",IF(OR($D22="",$E22="",$T22="?",$U22="?"),"Konto prüfen!",IF($A22="","Datum fehlt",IF(YEAR($A22)&lt;&gt;Einstellungen!$B$7,"anderes Jahr!",IF($G22="","MWST-Code fehlt","OK")))))</f>
        <v/>
      </c>
      <c r="W22" s="35" t="str">
        <f aca="false">IF($F22="","",IF(OR($D22=Kontoauszug!$C$4,$E22=Kontoauszug!$C$4),MAX(W$4:W21)+1,""))</f>
        <v/>
      </c>
    </row>
    <row r="23" customFormat="false" ht="15" hidden="false" customHeight="false" outlineLevel="0" collapsed="false">
      <c r="A23" s="33"/>
      <c r="B23" s="32"/>
      <c r="C23" s="32"/>
      <c r="D23" s="32"/>
      <c r="E23" s="32"/>
      <c r="F23" s="30"/>
      <c r="G23" s="32"/>
      <c r="H23" s="34" t="n">
        <f aca="false">IF($G23="",0,IFERROR(INDEX(Einstellungen!$G$5:$G$11,MATCH($G23,Einstellungen!$E$5:$E$11,0)),0))</f>
        <v>0</v>
      </c>
      <c r="I23" s="35" t="str">
        <f aca="false">IF($G23="","-",IFERROR(INDEX(Einstellungen!$H$5:$H$11,MATCH($G23,Einstellungen!$E$5:$E$11,0)),"-"))</f>
        <v>-</v>
      </c>
      <c r="J23" s="35" t="str">
        <f aca="false">IF(AND(Einstellungen!$B$8="Ja",Einstellungen!$B$9="Effektiv"),$I23,"-")</f>
        <v>-</v>
      </c>
      <c r="K23" s="31" t="n">
        <f aca="false">IF(OR($F23="",$J23="-"),0,ROUND($F23-$F23/(1+$H23),2))</f>
        <v>0</v>
      </c>
      <c r="L23" s="31" t="n">
        <f aca="false">IF($F23="",0,$F23-$K23)</f>
        <v>0</v>
      </c>
      <c r="M23" s="31" t="n">
        <f aca="false">IF($F23="",0,IF($J23="V",$L23,$F23))</f>
        <v>0</v>
      </c>
      <c r="N23" s="31" t="n">
        <f aca="false">IF($F23="",0,IF($J23="U",$L23,$F23))</f>
        <v>0</v>
      </c>
      <c r="O23" s="35" t="str">
        <f aca="false">IF($A23="","",MONTH($A23))</f>
        <v/>
      </c>
      <c r="P23" s="35" t="str">
        <f aca="false">IF($A23="","",ROUNDUP(MONTH($A23)/3,0))</f>
        <v/>
      </c>
      <c r="Q23" s="35" t="str">
        <f aca="false">IF($A23="","",IF(MONTH($A23)&lt;=6,1,2))</f>
        <v/>
      </c>
      <c r="R23" s="35" t="str">
        <f aca="false">IF($E23="","",IFERROR(INDEX(Kontenplan!$F$5:$F$90,MATCH($E23,Kontenplan!$A$5:$A$90,0)),""))</f>
        <v/>
      </c>
      <c r="S23" s="35" t="str">
        <f aca="false">IF($D23="","",IFERROR(INDEX(Kontenplan!$F$5:$F$90,MATCH($D23,Kontenplan!$A$5:$A$90,0)),""))</f>
        <v/>
      </c>
      <c r="T23" s="35" t="str">
        <f aca="false">IF($D23="","",IFERROR(INDEX(Kontenplan!$C$5:$C$90,MATCH($D23,Kontenplan!$A$5:$A$90,0)),"?"))</f>
        <v/>
      </c>
      <c r="U23" s="35" t="str">
        <f aca="false">IF($E23="","",IFERROR(INDEX(Kontenplan!$C$5:$C$90,MATCH($E23,Kontenplan!$A$5:$A$90,0)),"?"))</f>
        <v/>
      </c>
      <c r="V23" s="35" t="str">
        <f aca="false">IF($F23="","",IF(OR($D23="",$E23="",$T23="?",$U23="?"),"Konto prüfen!",IF($A23="","Datum fehlt",IF(YEAR($A23)&lt;&gt;Einstellungen!$B$7,"anderes Jahr!",IF($G23="","MWST-Code fehlt","OK")))))</f>
        <v/>
      </c>
      <c r="W23" s="35" t="str">
        <f aca="false">IF($F23="","",IF(OR($D23=Kontoauszug!$C$4,$E23=Kontoauszug!$C$4),MAX(W$4:W22)+1,""))</f>
        <v/>
      </c>
    </row>
    <row r="24" customFormat="false" ht="15" hidden="false" customHeight="false" outlineLevel="0" collapsed="false">
      <c r="A24" s="33"/>
      <c r="B24" s="32"/>
      <c r="C24" s="32"/>
      <c r="D24" s="32"/>
      <c r="E24" s="32"/>
      <c r="F24" s="30"/>
      <c r="G24" s="32"/>
      <c r="H24" s="34" t="n">
        <f aca="false">IF($G24="",0,IFERROR(INDEX(Einstellungen!$G$5:$G$11,MATCH($G24,Einstellungen!$E$5:$E$11,0)),0))</f>
        <v>0</v>
      </c>
      <c r="I24" s="35" t="str">
        <f aca="false">IF($G24="","-",IFERROR(INDEX(Einstellungen!$H$5:$H$11,MATCH($G24,Einstellungen!$E$5:$E$11,0)),"-"))</f>
        <v>-</v>
      </c>
      <c r="J24" s="35" t="str">
        <f aca="false">IF(AND(Einstellungen!$B$8="Ja",Einstellungen!$B$9="Effektiv"),$I24,"-")</f>
        <v>-</v>
      </c>
      <c r="K24" s="31" t="n">
        <f aca="false">IF(OR($F24="",$J24="-"),0,ROUND($F24-$F24/(1+$H24),2))</f>
        <v>0</v>
      </c>
      <c r="L24" s="31" t="n">
        <f aca="false">IF($F24="",0,$F24-$K24)</f>
        <v>0</v>
      </c>
      <c r="M24" s="31" t="n">
        <f aca="false">IF($F24="",0,IF($J24="V",$L24,$F24))</f>
        <v>0</v>
      </c>
      <c r="N24" s="31" t="n">
        <f aca="false">IF($F24="",0,IF($J24="U",$L24,$F24))</f>
        <v>0</v>
      </c>
      <c r="O24" s="35" t="str">
        <f aca="false">IF($A24="","",MONTH($A24))</f>
        <v/>
      </c>
      <c r="P24" s="35" t="str">
        <f aca="false">IF($A24="","",ROUNDUP(MONTH($A24)/3,0))</f>
        <v/>
      </c>
      <c r="Q24" s="35" t="str">
        <f aca="false">IF($A24="","",IF(MONTH($A24)&lt;=6,1,2))</f>
        <v/>
      </c>
      <c r="R24" s="35" t="str">
        <f aca="false">IF($E24="","",IFERROR(INDEX(Kontenplan!$F$5:$F$90,MATCH($E24,Kontenplan!$A$5:$A$90,0)),""))</f>
        <v/>
      </c>
      <c r="S24" s="35" t="str">
        <f aca="false">IF($D24="","",IFERROR(INDEX(Kontenplan!$F$5:$F$90,MATCH($D24,Kontenplan!$A$5:$A$90,0)),""))</f>
        <v/>
      </c>
      <c r="T24" s="35" t="str">
        <f aca="false">IF($D24="","",IFERROR(INDEX(Kontenplan!$C$5:$C$90,MATCH($D24,Kontenplan!$A$5:$A$90,0)),"?"))</f>
        <v/>
      </c>
      <c r="U24" s="35" t="str">
        <f aca="false">IF($E24="","",IFERROR(INDEX(Kontenplan!$C$5:$C$90,MATCH($E24,Kontenplan!$A$5:$A$90,0)),"?"))</f>
        <v/>
      </c>
      <c r="V24" s="35" t="str">
        <f aca="false">IF($F24="","",IF(OR($D24="",$E24="",$T24="?",$U24="?"),"Konto prüfen!",IF($A24="","Datum fehlt",IF(YEAR($A24)&lt;&gt;Einstellungen!$B$7,"anderes Jahr!",IF($G24="","MWST-Code fehlt","OK")))))</f>
        <v/>
      </c>
      <c r="W24" s="35" t="str">
        <f aca="false">IF($F24="","",IF(OR($D24=Kontoauszug!$C$4,$E24=Kontoauszug!$C$4),MAX(W$4:W23)+1,""))</f>
        <v/>
      </c>
    </row>
    <row r="25" customFormat="false" ht="15" hidden="false" customHeight="false" outlineLevel="0" collapsed="false">
      <c r="A25" s="33"/>
      <c r="B25" s="32"/>
      <c r="C25" s="32"/>
      <c r="D25" s="32"/>
      <c r="E25" s="32"/>
      <c r="F25" s="30"/>
      <c r="G25" s="32"/>
      <c r="H25" s="34" t="n">
        <f aca="false">IF($G25="",0,IFERROR(INDEX(Einstellungen!$G$5:$G$11,MATCH($G25,Einstellungen!$E$5:$E$11,0)),0))</f>
        <v>0</v>
      </c>
      <c r="I25" s="35" t="str">
        <f aca="false">IF($G25="","-",IFERROR(INDEX(Einstellungen!$H$5:$H$11,MATCH($G25,Einstellungen!$E$5:$E$11,0)),"-"))</f>
        <v>-</v>
      </c>
      <c r="J25" s="35" t="str">
        <f aca="false">IF(AND(Einstellungen!$B$8="Ja",Einstellungen!$B$9="Effektiv"),$I25,"-")</f>
        <v>-</v>
      </c>
      <c r="K25" s="31" t="n">
        <f aca="false">IF(OR($F25="",$J25="-"),0,ROUND($F25-$F25/(1+$H25),2))</f>
        <v>0</v>
      </c>
      <c r="L25" s="31" t="n">
        <f aca="false">IF($F25="",0,$F25-$K25)</f>
        <v>0</v>
      </c>
      <c r="M25" s="31" t="n">
        <f aca="false">IF($F25="",0,IF($J25="V",$L25,$F25))</f>
        <v>0</v>
      </c>
      <c r="N25" s="31" t="n">
        <f aca="false">IF($F25="",0,IF($J25="U",$L25,$F25))</f>
        <v>0</v>
      </c>
      <c r="O25" s="35" t="str">
        <f aca="false">IF($A25="","",MONTH($A25))</f>
        <v/>
      </c>
      <c r="P25" s="35" t="str">
        <f aca="false">IF($A25="","",ROUNDUP(MONTH($A25)/3,0))</f>
        <v/>
      </c>
      <c r="Q25" s="35" t="str">
        <f aca="false">IF($A25="","",IF(MONTH($A25)&lt;=6,1,2))</f>
        <v/>
      </c>
      <c r="R25" s="35" t="str">
        <f aca="false">IF($E25="","",IFERROR(INDEX(Kontenplan!$F$5:$F$90,MATCH($E25,Kontenplan!$A$5:$A$90,0)),""))</f>
        <v/>
      </c>
      <c r="S25" s="35" t="str">
        <f aca="false">IF($D25="","",IFERROR(INDEX(Kontenplan!$F$5:$F$90,MATCH($D25,Kontenplan!$A$5:$A$90,0)),""))</f>
        <v/>
      </c>
      <c r="T25" s="35" t="str">
        <f aca="false">IF($D25="","",IFERROR(INDEX(Kontenplan!$C$5:$C$90,MATCH($D25,Kontenplan!$A$5:$A$90,0)),"?"))</f>
        <v/>
      </c>
      <c r="U25" s="35" t="str">
        <f aca="false">IF($E25="","",IFERROR(INDEX(Kontenplan!$C$5:$C$90,MATCH($E25,Kontenplan!$A$5:$A$90,0)),"?"))</f>
        <v/>
      </c>
      <c r="V25" s="35" t="str">
        <f aca="false">IF($F25="","",IF(OR($D25="",$E25="",$T25="?",$U25="?"),"Konto prüfen!",IF($A25="","Datum fehlt",IF(YEAR($A25)&lt;&gt;Einstellungen!$B$7,"anderes Jahr!",IF($G25="","MWST-Code fehlt","OK")))))</f>
        <v/>
      </c>
      <c r="W25" s="35" t="str">
        <f aca="false">IF($F25="","",IF(OR($D25=Kontoauszug!$C$4,$E25=Kontoauszug!$C$4),MAX(W$4:W24)+1,""))</f>
        <v/>
      </c>
    </row>
    <row r="26" customFormat="false" ht="15" hidden="false" customHeight="false" outlineLevel="0" collapsed="false">
      <c r="A26" s="33"/>
      <c r="B26" s="32"/>
      <c r="C26" s="32"/>
      <c r="D26" s="32"/>
      <c r="E26" s="32"/>
      <c r="F26" s="30"/>
      <c r="G26" s="32"/>
      <c r="H26" s="34" t="n">
        <f aca="false">IF($G26="",0,IFERROR(INDEX(Einstellungen!$G$5:$G$11,MATCH($G26,Einstellungen!$E$5:$E$11,0)),0))</f>
        <v>0</v>
      </c>
      <c r="I26" s="35" t="str">
        <f aca="false">IF($G26="","-",IFERROR(INDEX(Einstellungen!$H$5:$H$11,MATCH($G26,Einstellungen!$E$5:$E$11,0)),"-"))</f>
        <v>-</v>
      </c>
      <c r="J26" s="35" t="str">
        <f aca="false">IF(AND(Einstellungen!$B$8="Ja",Einstellungen!$B$9="Effektiv"),$I26,"-")</f>
        <v>-</v>
      </c>
      <c r="K26" s="31" t="n">
        <f aca="false">IF(OR($F26="",$J26="-"),0,ROUND($F26-$F26/(1+$H26),2))</f>
        <v>0</v>
      </c>
      <c r="L26" s="31" t="n">
        <f aca="false">IF($F26="",0,$F26-$K26)</f>
        <v>0</v>
      </c>
      <c r="M26" s="31" t="n">
        <f aca="false">IF($F26="",0,IF($J26="V",$L26,$F26))</f>
        <v>0</v>
      </c>
      <c r="N26" s="31" t="n">
        <f aca="false">IF($F26="",0,IF($J26="U",$L26,$F26))</f>
        <v>0</v>
      </c>
      <c r="O26" s="35" t="str">
        <f aca="false">IF($A26="","",MONTH($A26))</f>
        <v/>
      </c>
      <c r="P26" s="35" t="str">
        <f aca="false">IF($A26="","",ROUNDUP(MONTH($A26)/3,0))</f>
        <v/>
      </c>
      <c r="Q26" s="35" t="str">
        <f aca="false">IF($A26="","",IF(MONTH($A26)&lt;=6,1,2))</f>
        <v/>
      </c>
      <c r="R26" s="35" t="str">
        <f aca="false">IF($E26="","",IFERROR(INDEX(Kontenplan!$F$5:$F$90,MATCH($E26,Kontenplan!$A$5:$A$90,0)),""))</f>
        <v/>
      </c>
      <c r="S26" s="35" t="str">
        <f aca="false">IF($D26="","",IFERROR(INDEX(Kontenplan!$F$5:$F$90,MATCH($D26,Kontenplan!$A$5:$A$90,0)),""))</f>
        <v/>
      </c>
      <c r="T26" s="35" t="str">
        <f aca="false">IF($D26="","",IFERROR(INDEX(Kontenplan!$C$5:$C$90,MATCH($D26,Kontenplan!$A$5:$A$90,0)),"?"))</f>
        <v/>
      </c>
      <c r="U26" s="35" t="str">
        <f aca="false">IF($E26="","",IFERROR(INDEX(Kontenplan!$C$5:$C$90,MATCH($E26,Kontenplan!$A$5:$A$90,0)),"?"))</f>
        <v/>
      </c>
      <c r="V26" s="35" t="str">
        <f aca="false">IF($F26="","",IF(OR($D26="",$E26="",$T26="?",$U26="?"),"Konto prüfen!",IF($A26="","Datum fehlt",IF(YEAR($A26)&lt;&gt;Einstellungen!$B$7,"anderes Jahr!",IF($G26="","MWST-Code fehlt","OK")))))</f>
        <v/>
      </c>
      <c r="W26" s="35" t="str">
        <f aca="false">IF($F26="","",IF(OR($D26=Kontoauszug!$C$4,$E26=Kontoauszug!$C$4),MAX(W$4:W25)+1,""))</f>
        <v/>
      </c>
    </row>
    <row r="27" customFormat="false" ht="15" hidden="false" customHeight="false" outlineLevel="0" collapsed="false">
      <c r="A27" s="33"/>
      <c r="B27" s="32"/>
      <c r="C27" s="32"/>
      <c r="D27" s="32"/>
      <c r="E27" s="32"/>
      <c r="F27" s="30"/>
      <c r="G27" s="32"/>
      <c r="H27" s="34" t="n">
        <f aca="false">IF($G27="",0,IFERROR(INDEX(Einstellungen!$G$5:$G$11,MATCH($G27,Einstellungen!$E$5:$E$11,0)),0))</f>
        <v>0</v>
      </c>
      <c r="I27" s="35" t="str">
        <f aca="false">IF($G27="","-",IFERROR(INDEX(Einstellungen!$H$5:$H$11,MATCH($G27,Einstellungen!$E$5:$E$11,0)),"-"))</f>
        <v>-</v>
      </c>
      <c r="J27" s="35" t="str">
        <f aca="false">IF(AND(Einstellungen!$B$8="Ja",Einstellungen!$B$9="Effektiv"),$I27,"-")</f>
        <v>-</v>
      </c>
      <c r="K27" s="31" t="n">
        <f aca="false">IF(OR($F27="",$J27="-"),0,ROUND($F27-$F27/(1+$H27),2))</f>
        <v>0</v>
      </c>
      <c r="L27" s="31" t="n">
        <f aca="false">IF($F27="",0,$F27-$K27)</f>
        <v>0</v>
      </c>
      <c r="M27" s="31" t="n">
        <f aca="false">IF($F27="",0,IF($J27="V",$L27,$F27))</f>
        <v>0</v>
      </c>
      <c r="N27" s="31" t="n">
        <f aca="false">IF($F27="",0,IF($J27="U",$L27,$F27))</f>
        <v>0</v>
      </c>
      <c r="O27" s="35" t="str">
        <f aca="false">IF($A27="","",MONTH($A27))</f>
        <v/>
      </c>
      <c r="P27" s="35" t="str">
        <f aca="false">IF($A27="","",ROUNDUP(MONTH($A27)/3,0))</f>
        <v/>
      </c>
      <c r="Q27" s="35" t="str">
        <f aca="false">IF($A27="","",IF(MONTH($A27)&lt;=6,1,2))</f>
        <v/>
      </c>
      <c r="R27" s="35" t="str">
        <f aca="false">IF($E27="","",IFERROR(INDEX(Kontenplan!$F$5:$F$90,MATCH($E27,Kontenplan!$A$5:$A$90,0)),""))</f>
        <v/>
      </c>
      <c r="S27" s="35" t="str">
        <f aca="false">IF($D27="","",IFERROR(INDEX(Kontenplan!$F$5:$F$90,MATCH($D27,Kontenplan!$A$5:$A$90,0)),""))</f>
        <v/>
      </c>
      <c r="T27" s="35" t="str">
        <f aca="false">IF($D27="","",IFERROR(INDEX(Kontenplan!$C$5:$C$90,MATCH($D27,Kontenplan!$A$5:$A$90,0)),"?"))</f>
        <v/>
      </c>
      <c r="U27" s="35" t="str">
        <f aca="false">IF($E27="","",IFERROR(INDEX(Kontenplan!$C$5:$C$90,MATCH($E27,Kontenplan!$A$5:$A$90,0)),"?"))</f>
        <v/>
      </c>
      <c r="V27" s="35" t="str">
        <f aca="false">IF($F27="","",IF(OR($D27="",$E27="",$T27="?",$U27="?"),"Konto prüfen!",IF($A27="","Datum fehlt",IF(YEAR($A27)&lt;&gt;Einstellungen!$B$7,"anderes Jahr!",IF($G27="","MWST-Code fehlt","OK")))))</f>
        <v/>
      </c>
      <c r="W27" s="35" t="str">
        <f aca="false">IF($F27="","",IF(OR($D27=Kontoauszug!$C$4,$E27=Kontoauszug!$C$4),MAX(W$4:W26)+1,""))</f>
        <v/>
      </c>
    </row>
    <row r="28" customFormat="false" ht="15" hidden="false" customHeight="false" outlineLevel="0" collapsed="false">
      <c r="A28" s="33"/>
      <c r="B28" s="32"/>
      <c r="C28" s="32"/>
      <c r="D28" s="32"/>
      <c r="E28" s="32"/>
      <c r="F28" s="30"/>
      <c r="G28" s="32"/>
      <c r="H28" s="34" t="n">
        <f aca="false">IF($G28="",0,IFERROR(INDEX(Einstellungen!$G$5:$G$11,MATCH($G28,Einstellungen!$E$5:$E$11,0)),0))</f>
        <v>0</v>
      </c>
      <c r="I28" s="35" t="str">
        <f aca="false">IF($G28="","-",IFERROR(INDEX(Einstellungen!$H$5:$H$11,MATCH($G28,Einstellungen!$E$5:$E$11,0)),"-"))</f>
        <v>-</v>
      </c>
      <c r="J28" s="35" t="str">
        <f aca="false">IF(AND(Einstellungen!$B$8="Ja",Einstellungen!$B$9="Effektiv"),$I28,"-")</f>
        <v>-</v>
      </c>
      <c r="K28" s="31" t="n">
        <f aca="false">IF(OR($F28="",$J28="-"),0,ROUND($F28-$F28/(1+$H28),2))</f>
        <v>0</v>
      </c>
      <c r="L28" s="31" t="n">
        <f aca="false">IF($F28="",0,$F28-$K28)</f>
        <v>0</v>
      </c>
      <c r="M28" s="31" t="n">
        <f aca="false">IF($F28="",0,IF($J28="V",$L28,$F28))</f>
        <v>0</v>
      </c>
      <c r="N28" s="31" t="n">
        <f aca="false">IF($F28="",0,IF($J28="U",$L28,$F28))</f>
        <v>0</v>
      </c>
      <c r="O28" s="35" t="str">
        <f aca="false">IF($A28="","",MONTH($A28))</f>
        <v/>
      </c>
      <c r="P28" s="35" t="str">
        <f aca="false">IF($A28="","",ROUNDUP(MONTH($A28)/3,0))</f>
        <v/>
      </c>
      <c r="Q28" s="35" t="str">
        <f aca="false">IF($A28="","",IF(MONTH($A28)&lt;=6,1,2))</f>
        <v/>
      </c>
      <c r="R28" s="35" t="str">
        <f aca="false">IF($E28="","",IFERROR(INDEX(Kontenplan!$F$5:$F$90,MATCH($E28,Kontenplan!$A$5:$A$90,0)),""))</f>
        <v/>
      </c>
      <c r="S28" s="35" t="str">
        <f aca="false">IF($D28="","",IFERROR(INDEX(Kontenplan!$F$5:$F$90,MATCH($D28,Kontenplan!$A$5:$A$90,0)),""))</f>
        <v/>
      </c>
      <c r="T28" s="35" t="str">
        <f aca="false">IF($D28="","",IFERROR(INDEX(Kontenplan!$C$5:$C$90,MATCH($D28,Kontenplan!$A$5:$A$90,0)),"?"))</f>
        <v/>
      </c>
      <c r="U28" s="35" t="str">
        <f aca="false">IF($E28="","",IFERROR(INDEX(Kontenplan!$C$5:$C$90,MATCH($E28,Kontenplan!$A$5:$A$90,0)),"?"))</f>
        <v/>
      </c>
      <c r="V28" s="35" t="str">
        <f aca="false">IF($F28="","",IF(OR($D28="",$E28="",$T28="?",$U28="?"),"Konto prüfen!",IF($A28="","Datum fehlt",IF(YEAR($A28)&lt;&gt;Einstellungen!$B$7,"anderes Jahr!",IF($G28="","MWST-Code fehlt","OK")))))</f>
        <v/>
      </c>
      <c r="W28" s="35" t="str">
        <f aca="false">IF($F28="","",IF(OR($D28=Kontoauszug!$C$4,$E28=Kontoauszug!$C$4),MAX(W$4:W27)+1,""))</f>
        <v/>
      </c>
    </row>
    <row r="29" customFormat="false" ht="15" hidden="false" customHeight="false" outlineLevel="0" collapsed="false">
      <c r="A29" s="33"/>
      <c r="B29" s="32"/>
      <c r="C29" s="32"/>
      <c r="D29" s="32"/>
      <c r="E29" s="32"/>
      <c r="F29" s="30"/>
      <c r="G29" s="32"/>
      <c r="H29" s="34" t="n">
        <f aca="false">IF($G29="",0,IFERROR(INDEX(Einstellungen!$G$5:$G$11,MATCH($G29,Einstellungen!$E$5:$E$11,0)),0))</f>
        <v>0</v>
      </c>
      <c r="I29" s="35" t="str">
        <f aca="false">IF($G29="","-",IFERROR(INDEX(Einstellungen!$H$5:$H$11,MATCH($G29,Einstellungen!$E$5:$E$11,0)),"-"))</f>
        <v>-</v>
      </c>
      <c r="J29" s="35" t="str">
        <f aca="false">IF(AND(Einstellungen!$B$8="Ja",Einstellungen!$B$9="Effektiv"),$I29,"-")</f>
        <v>-</v>
      </c>
      <c r="K29" s="31" t="n">
        <f aca="false">IF(OR($F29="",$J29="-"),0,ROUND($F29-$F29/(1+$H29),2))</f>
        <v>0</v>
      </c>
      <c r="L29" s="31" t="n">
        <f aca="false">IF($F29="",0,$F29-$K29)</f>
        <v>0</v>
      </c>
      <c r="M29" s="31" t="n">
        <f aca="false">IF($F29="",0,IF($J29="V",$L29,$F29))</f>
        <v>0</v>
      </c>
      <c r="N29" s="31" t="n">
        <f aca="false">IF($F29="",0,IF($J29="U",$L29,$F29))</f>
        <v>0</v>
      </c>
      <c r="O29" s="35" t="str">
        <f aca="false">IF($A29="","",MONTH($A29))</f>
        <v/>
      </c>
      <c r="P29" s="35" t="str">
        <f aca="false">IF($A29="","",ROUNDUP(MONTH($A29)/3,0))</f>
        <v/>
      </c>
      <c r="Q29" s="35" t="str">
        <f aca="false">IF($A29="","",IF(MONTH($A29)&lt;=6,1,2))</f>
        <v/>
      </c>
      <c r="R29" s="35" t="str">
        <f aca="false">IF($E29="","",IFERROR(INDEX(Kontenplan!$F$5:$F$90,MATCH($E29,Kontenplan!$A$5:$A$90,0)),""))</f>
        <v/>
      </c>
      <c r="S29" s="35" t="str">
        <f aca="false">IF($D29="","",IFERROR(INDEX(Kontenplan!$F$5:$F$90,MATCH($D29,Kontenplan!$A$5:$A$90,0)),""))</f>
        <v/>
      </c>
      <c r="T29" s="35" t="str">
        <f aca="false">IF($D29="","",IFERROR(INDEX(Kontenplan!$C$5:$C$90,MATCH($D29,Kontenplan!$A$5:$A$90,0)),"?"))</f>
        <v/>
      </c>
      <c r="U29" s="35" t="str">
        <f aca="false">IF($E29="","",IFERROR(INDEX(Kontenplan!$C$5:$C$90,MATCH($E29,Kontenplan!$A$5:$A$90,0)),"?"))</f>
        <v/>
      </c>
      <c r="V29" s="35" t="str">
        <f aca="false">IF($F29="","",IF(OR($D29="",$E29="",$T29="?",$U29="?"),"Konto prüfen!",IF($A29="","Datum fehlt",IF(YEAR($A29)&lt;&gt;Einstellungen!$B$7,"anderes Jahr!",IF($G29="","MWST-Code fehlt","OK")))))</f>
        <v/>
      </c>
      <c r="W29" s="35" t="str">
        <f aca="false">IF($F29="","",IF(OR($D29=Kontoauszug!$C$4,$E29=Kontoauszug!$C$4),MAX(W$4:W28)+1,""))</f>
        <v/>
      </c>
    </row>
    <row r="30" customFormat="false" ht="15" hidden="false" customHeight="false" outlineLevel="0" collapsed="false">
      <c r="A30" s="33"/>
      <c r="B30" s="32"/>
      <c r="C30" s="32"/>
      <c r="D30" s="32"/>
      <c r="E30" s="32"/>
      <c r="F30" s="30"/>
      <c r="G30" s="32"/>
      <c r="H30" s="34" t="n">
        <f aca="false">IF($G30="",0,IFERROR(INDEX(Einstellungen!$G$5:$G$11,MATCH($G30,Einstellungen!$E$5:$E$11,0)),0))</f>
        <v>0</v>
      </c>
      <c r="I30" s="35" t="str">
        <f aca="false">IF($G30="","-",IFERROR(INDEX(Einstellungen!$H$5:$H$11,MATCH($G30,Einstellungen!$E$5:$E$11,0)),"-"))</f>
        <v>-</v>
      </c>
      <c r="J30" s="35" t="str">
        <f aca="false">IF(AND(Einstellungen!$B$8="Ja",Einstellungen!$B$9="Effektiv"),$I30,"-")</f>
        <v>-</v>
      </c>
      <c r="K30" s="31" t="n">
        <f aca="false">IF(OR($F30="",$J30="-"),0,ROUND($F30-$F30/(1+$H30),2))</f>
        <v>0</v>
      </c>
      <c r="L30" s="31" t="n">
        <f aca="false">IF($F30="",0,$F30-$K30)</f>
        <v>0</v>
      </c>
      <c r="M30" s="31" t="n">
        <f aca="false">IF($F30="",0,IF($J30="V",$L30,$F30))</f>
        <v>0</v>
      </c>
      <c r="N30" s="31" t="n">
        <f aca="false">IF($F30="",0,IF($J30="U",$L30,$F30))</f>
        <v>0</v>
      </c>
      <c r="O30" s="35" t="str">
        <f aca="false">IF($A30="","",MONTH($A30))</f>
        <v/>
      </c>
      <c r="P30" s="35" t="str">
        <f aca="false">IF($A30="","",ROUNDUP(MONTH($A30)/3,0))</f>
        <v/>
      </c>
      <c r="Q30" s="35" t="str">
        <f aca="false">IF($A30="","",IF(MONTH($A30)&lt;=6,1,2))</f>
        <v/>
      </c>
      <c r="R30" s="35" t="str">
        <f aca="false">IF($E30="","",IFERROR(INDEX(Kontenplan!$F$5:$F$90,MATCH($E30,Kontenplan!$A$5:$A$90,0)),""))</f>
        <v/>
      </c>
      <c r="S30" s="35" t="str">
        <f aca="false">IF($D30="","",IFERROR(INDEX(Kontenplan!$F$5:$F$90,MATCH($D30,Kontenplan!$A$5:$A$90,0)),""))</f>
        <v/>
      </c>
      <c r="T30" s="35" t="str">
        <f aca="false">IF($D30="","",IFERROR(INDEX(Kontenplan!$C$5:$C$90,MATCH($D30,Kontenplan!$A$5:$A$90,0)),"?"))</f>
        <v/>
      </c>
      <c r="U30" s="35" t="str">
        <f aca="false">IF($E30="","",IFERROR(INDEX(Kontenplan!$C$5:$C$90,MATCH($E30,Kontenplan!$A$5:$A$90,0)),"?"))</f>
        <v/>
      </c>
      <c r="V30" s="35" t="str">
        <f aca="false">IF($F30="","",IF(OR($D30="",$E30="",$T30="?",$U30="?"),"Konto prüfen!",IF($A30="","Datum fehlt",IF(YEAR($A30)&lt;&gt;Einstellungen!$B$7,"anderes Jahr!",IF($G30="","MWST-Code fehlt","OK")))))</f>
        <v/>
      </c>
      <c r="W30" s="35" t="str">
        <f aca="false">IF($F30="","",IF(OR($D30=Kontoauszug!$C$4,$E30=Kontoauszug!$C$4),MAX(W$4:W29)+1,""))</f>
        <v/>
      </c>
    </row>
    <row r="31" customFormat="false" ht="15" hidden="false" customHeight="false" outlineLevel="0" collapsed="false">
      <c r="A31" s="33"/>
      <c r="B31" s="32"/>
      <c r="C31" s="32"/>
      <c r="D31" s="32"/>
      <c r="E31" s="32"/>
      <c r="F31" s="30"/>
      <c r="G31" s="32"/>
      <c r="H31" s="34" t="n">
        <f aca="false">IF($G31="",0,IFERROR(INDEX(Einstellungen!$G$5:$G$11,MATCH($G31,Einstellungen!$E$5:$E$11,0)),0))</f>
        <v>0</v>
      </c>
      <c r="I31" s="35" t="str">
        <f aca="false">IF($G31="","-",IFERROR(INDEX(Einstellungen!$H$5:$H$11,MATCH($G31,Einstellungen!$E$5:$E$11,0)),"-"))</f>
        <v>-</v>
      </c>
      <c r="J31" s="35" t="str">
        <f aca="false">IF(AND(Einstellungen!$B$8="Ja",Einstellungen!$B$9="Effektiv"),$I31,"-")</f>
        <v>-</v>
      </c>
      <c r="K31" s="31" t="n">
        <f aca="false">IF(OR($F31="",$J31="-"),0,ROUND($F31-$F31/(1+$H31),2))</f>
        <v>0</v>
      </c>
      <c r="L31" s="31" t="n">
        <f aca="false">IF($F31="",0,$F31-$K31)</f>
        <v>0</v>
      </c>
      <c r="M31" s="31" t="n">
        <f aca="false">IF($F31="",0,IF($J31="V",$L31,$F31))</f>
        <v>0</v>
      </c>
      <c r="N31" s="31" t="n">
        <f aca="false">IF($F31="",0,IF($J31="U",$L31,$F31))</f>
        <v>0</v>
      </c>
      <c r="O31" s="35" t="str">
        <f aca="false">IF($A31="","",MONTH($A31))</f>
        <v/>
      </c>
      <c r="P31" s="35" t="str">
        <f aca="false">IF($A31="","",ROUNDUP(MONTH($A31)/3,0))</f>
        <v/>
      </c>
      <c r="Q31" s="35" t="str">
        <f aca="false">IF($A31="","",IF(MONTH($A31)&lt;=6,1,2))</f>
        <v/>
      </c>
      <c r="R31" s="35" t="str">
        <f aca="false">IF($E31="","",IFERROR(INDEX(Kontenplan!$F$5:$F$90,MATCH($E31,Kontenplan!$A$5:$A$90,0)),""))</f>
        <v/>
      </c>
      <c r="S31" s="35" t="str">
        <f aca="false">IF($D31="","",IFERROR(INDEX(Kontenplan!$F$5:$F$90,MATCH($D31,Kontenplan!$A$5:$A$90,0)),""))</f>
        <v/>
      </c>
      <c r="T31" s="35" t="str">
        <f aca="false">IF($D31="","",IFERROR(INDEX(Kontenplan!$C$5:$C$90,MATCH($D31,Kontenplan!$A$5:$A$90,0)),"?"))</f>
        <v/>
      </c>
      <c r="U31" s="35" t="str">
        <f aca="false">IF($E31="","",IFERROR(INDEX(Kontenplan!$C$5:$C$90,MATCH($E31,Kontenplan!$A$5:$A$90,0)),"?"))</f>
        <v/>
      </c>
      <c r="V31" s="35" t="str">
        <f aca="false">IF($F31="","",IF(OR($D31="",$E31="",$T31="?",$U31="?"),"Konto prüfen!",IF($A31="","Datum fehlt",IF(YEAR($A31)&lt;&gt;Einstellungen!$B$7,"anderes Jahr!",IF($G31="","MWST-Code fehlt","OK")))))</f>
        <v/>
      </c>
      <c r="W31" s="35" t="str">
        <f aca="false">IF($F31="","",IF(OR($D31=Kontoauszug!$C$4,$E31=Kontoauszug!$C$4),MAX(W$4:W30)+1,""))</f>
        <v/>
      </c>
    </row>
    <row r="32" customFormat="false" ht="15" hidden="false" customHeight="false" outlineLevel="0" collapsed="false">
      <c r="A32" s="33"/>
      <c r="B32" s="32"/>
      <c r="C32" s="32"/>
      <c r="D32" s="32"/>
      <c r="E32" s="32"/>
      <c r="F32" s="30"/>
      <c r="G32" s="32"/>
      <c r="H32" s="34" t="n">
        <f aca="false">IF($G32="",0,IFERROR(INDEX(Einstellungen!$G$5:$G$11,MATCH($G32,Einstellungen!$E$5:$E$11,0)),0))</f>
        <v>0</v>
      </c>
      <c r="I32" s="35" t="str">
        <f aca="false">IF($G32="","-",IFERROR(INDEX(Einstellungen!$H$5:$H$11,MATCH($G32,Einstellungen!$E$5:$E$11,0)),"-"))</f>
        <v>-</v>
      </c>
      <c r="J32" s="35" t="str">
        <f aca="false">IF(AND(Einstellungen!$B$8="Ja",Einstellungen!$B$9="Effektiv"),$I32,"-")</f>
        <v>-</v>
      </c>
      <c r="K32" s="31" t="n">
        <f aca="false">IF(OR($F32="",$J32="-"),0,ROUND($F32-$F32/(1+$H32),2))</f>
        <v>0</v>
      </c>
      <c r="L32" s="31" t="n">
        <f aca="false">IF($F32="",0,$F32-$K32)</f>
        <v>0</v>
      </c>
      <c r="M32" s="31" t="n">
        <f aca="false">IF($F32="",0,IF($J32="V",$L32,$F32))</f>
        <v>0</v>
      </c>
      <c r="N32" s="31" t="n">
        <f aca="false">IF($F32="",0,IF($J32="U",$L32,$F32))</f>
        <v>0</v>
      </c>
      <c r="O32" s="35" t="str">
        <f aca="false">IF($A32="","",MONTH($A32))</f>
        <v/>
      </c>
      <c r="P32" s="35" t="str">
        <f aca="false">IF($A32="","",ROUNDUP(MONTH($A32)/3,0))</f>
        <v/>
      </c>
      <c r="Q32" s="35" t="str">
        <f aca="false">IF($A32="","",IF(MONTH($A32)&lt;=6,1,2))</f>
        <v/>
      </c>
      <c r="R32" s="35" t="str">
        <f aca="false">IF($E32="","",IFERROR(INDEX(Kontenplan!$F$5:$F$90,MATCH($E32,Kontenplan!$A$5:$A$90,0)),""))</f>
        <v/>
      </c>
      <c r="S32" s="35" t="str">
        <f aca="false">IF($D32="","",IFERROR(INDEX(Kontenplan!$F$5:$F$90,MATCH($D32,Kontenplan!$A$5:$A$90,0)),""))</f>
        <v/>
      </c>
      <c r="T32" s="35" t="str">
        <f aca="false">IF($D32="","",IFERROR(INDEX(Kontenplan!$C$5:$C$90,MATCH($D32,Kontenplan!$A$5:$A$90,0)),"?"))</f>
        <v/>
      </c>
      <c r="U32" s="35" t="str">
        <f aca="false">IF($E32="","",IFERROR(INDEX(Kontenplan!$C$5:$C$90,MATCH($E32,Kontenplan!$A$5:$A$90,0)),"?"))</f>
        <v/>
      </c>
      <c r="V32" s="35" t="str">
        <f aca="false">IF($F32="","",IF(OR($D32="",$E32="",$T32="?",$U32="?"),"Konto prüfen!",IF($A32="","Datum fehlt",IF(YEAR($A32)&lt;&gt;Einstellungen!$B$7,"anderes Jahr!",IF($G32="","MWST-Code fehlt","OK")))))</f>
        <v/>
      </c>
      <c r="W32" s="35" t="str">
        <f aca="false">IF($F32="","",IF(OR($D32=Kontoauszug!$C$4,$E32=Kontoauszug!$C$4),MAX(W$4:W31)+1,""))</f>
        <v/>
      </c>
    </row>
    <row r="33" customFormat="false" ht="15" hidden="false" customHeight="false" outlineLevel="0" collapsed="false">
      <c r="A33" s="33"/>
      <c r="B33" s="32"/>
      <c r="C33" s="32"/>
      <c r="D33" s="32"/>
      <c r="E33" s="32"/>
      <c r="F33" s="30"/>
      <c r="G33" s="32"/>
      <c r="H33" s="34" t="n">
        <f aca="false">IF($G33="",0,IFERROR(INDEX(Einstellungen!$G$5:$G$11,MATCH($G33,Einstellungen!$E$5:$E$11,0)),0))</f>
        <v>0</v>
      </c>
      <c r="I33" s="35" t="str">
        <f aca="false">IF($G33="","-",IFERROR(INDEX(Einstellungen!$H$5:$H$11,MATCH($G33,Einstellungen!$E$5:$E$11,0)),"-"))</f>
        <v>-</v>
      </c>
      <c r="J33" s="35" t="str">
        <f aca="false">IF(AND(Einstellungen!$B$8="Ja",Einstellungen!$B$9="Effektiv"),$I33,"-")</f>
        <v>-</v>
      </c>
      <c r="K33" s="31" t="n">
        <f aca="false">IF(OR($F33="",$J33="-"),0,ROUND($F33-$F33/(1+$H33),2))</f>
        <v>0</v>
      </c>
      <c r="L33" s="31" t="n">
        <f aca="false">IF($F33="",0,$F33-$K33)</f>
        <v>0</v>
      </c>
      <c r="M33" s="31" t="n">
        <f aca="false">IF($F33="",0,IF($J33="V",$L33,$F33))</f>
        <v>0</v>
      </c>
      <c r="N33" s="31" t="n">
        <f aca="false">IF($F33="",0,IF($J33="U",$L33,$F33))</f>
        <v>0</v>
      </c>
      <c r="O33" s="35" t="str">
        <f aca="false">IF($A33="","",MONTH($A33))</f>
        <v/>
      </c>
      <c r="P33" s="35" t="str">
        <f aca="false">IF($A33="","",ROUNDUP(MONTH($A33)/3,0))</f>
        <v/>
      </c>
      <c r="Q33" s="35" t="str">
        <f aca="false">IF($A33="","",IF(MONTH($A33)&lt;=6,1,2))</f>
        <v/>
      </c>
      <c r="R33" s="35" t="str">
        <f aca="false">IF($E33="","",IFERROR(INDEX(Kontenplan!$F$5:$F$90,MATCH($E33,Kontenplan!$A$5:$A$90,0)),""))</f>
        <v/>
      </c>
      <c r="S33" s="35" t="str">
        <f aca="false">IF($D33="","",IFERROR(INDEX(Kontenplan!$F$5:$F$90,MATCH($D33,Kontenplan!$A$5:$A$90,0)),""))</f>
        <v/>
      </c>
      <c r="T33" s="35" t="str">
        <f aca="false">IF($D33="","",IFERROR(INDEX(Kontenplan!$C$5:$C$90,MATCH($D33,Kontenplan!$A$5:$A$90,0)),"?"))</f>
        <v/>
      </c>
      <c r="U33" s="35" t="str">
        <f aca="false">IF($E33="","",IFERROR(INDEX(Kontenplan!$C$5:$C$90,MATCH($E33,Kontenplan!$A$5:$A$90,0)),"?"))</f>
        <v/>
      </c>
      <c r="V33" s="35" t="str">
        <f aca="false">IF($F33="","",IF(OR($D33="",$E33="",$T33="?",$U33="?"),"Konto prüfen!",IF($A33="","Datum fehlt",IF(YEAR($A33)&lt;&gt;Einstellungen!$B$7,"anderes Jahr!",IF($G33="","MWST-Code fehlt","OK")))))</f>
        <v/>
      </c>
      <c r="W33" s="35" t="str">
        <f aca="false">IF($F33="","",IF(OR($D33=Kontoauszug!$C$4,$E33=Kontoauszug!$C$4),MAX(W$4:W32)+1,""))</f>
        <v/>
      </c>
    </row>
    <row r="34" customFormat="false" ht="15" hidden="false" customHeight="false" outlineLevel="0" collapsed="false">
      <c r="A34" s="33"/>
      <c r="B34" s="32"/>
      <c r="C34" s="32"/>
      <c r="D34" s="32"/>
      <c r="E34" s="32"/>
      <c r="F34" s="30"/>
      <c r="G34" s="32"/>
      <c r="H34" s="34" t="n">
        <f aca="false">IF($G34="",0,IFERROR(INDEX(Einstellungen!$G$5:$G$11,MATCH($G34,Einstellungen!$E$5:$E$11,0)),0))</f>
        <v>0</v>
      </c>
      <c r="I34" s="35" t="str">
        <f aca="false">IF($G34="","-",IFERROR(INDEX(Einstellungen!$H$5:$H$11,MATCH($G34,Einstellungen!$E$5:$E$11,0)),"-"))</f>
        <v>-</v>
      </c>
      <c r="J34" s="35" t="str">
        <f aca="false">IF(AND(Einstellungen!$B$8="Ja",Einstellungen!$B$9="Effektiv"),$I34,"-")</f>
        <v>-</v>
      </c>
      <c r="K34" s="31" t="n">
        <f aca="false">IF(OR($F34="",$J34="-"),0,ROUND($F34-$F34/(1+$H34),2))</f>
        <v>0</v>
      </c>
      <c r="L34" s="31" t="n">
        <f aca="false">IF($F34="",0,$F34-$K34)</f>
        <v>0</v>
      </c>
      <c r="M34" s="31" t="n">
        <f aca="false">IF($F34="",0,IF($J34="V",$L34,$F34))</f>
        <v>0</v>
      </c>
      <c r="N34" s="31" t="n">
        <f aca="false">IF($F34="",0,IF($J34="U",$L34,$F34))</f>
        <v>0</v>
      </c>
      <c r="O34" s="35" t="str">
        <f aca="false">IF($A34="","",MONTH($A34))</f>
        <v/>
      </c>
      <c r="P34" s="35" t="str">
        <f aca="false">IF($A34="","",ROUNDUP(MONTH($A34)/3,0))</f>
        <v/>
      </c>
      <c r="Q34" s="35" t="str">
        <f aca="false">IF($A34="","",IF(MONTH($A34)&lt;=6,1,2))</f>
        <v/>
      </c>
      <c r="R34" s="35" t="str">
        <f aca="false">IF($E34="","",IFERROR(INDEX(Kontenplan!$F$5:$F$90,MATCH($E34,Kontenplan!$A$5:$A$90,0)),""))</f>
        <v/>
      </c>
      <c r="S34" s="35" t="str">
        <f aca="false">IF($D34="","",IFERROR(INDEX(Kontenplan!$F$5:$F$90,MATCH($D34,Kontenplan!$A$5:$A$90,0)),""))</f>
        <v/>
      </c>
      <c r="T34" s="35" t="str">
        <f aca="false">IF($D34="","",IFERROR(INDEX(Kontenplan!$C$5:$C$90,MATCH($D34,Kontenplan!$A$5:$A$90,0)),"?"))</f>
        <v/>
      </c>
      <c r="U34" s="35" t="str">
        <f aca="false">IF($E34="","",IFERROR(INDEX(Kontenplan!$C$5:$C$90,MATCH($E34,Kontenplan!$A$5:$A$90,0)),"?"))</f>
        <v/>
      </c>
      <c r="V34" s="35" t="str">
        <f aca="false">IF($F34="","",IF(OR($D34="",$E34="",$T34="?",$U34="?"),"Konto prüfen!",IF($A34="","Datum fehlt",IF(YEAR($A34)&lt;&gt;Einstellungen!$B$7,"anderes Jahr!",IF($G34="","MWST-Code fehlt","OK")))))</f>
        <v/>
      </c>
      <c r="W34" s="35" t="str">
        <f aca="false">IF($F34="","",IF(OR($D34=Kontoauszug!$C$4,$E34=Kontoauszug!$C$4),MAX(W$4:W33)+1,""))</f>
        <v/>
      </c>
    </row>
    <row r="35" customFormat="false" ht="15" hidden="false" customHeight="false" outlineLevel="0" collapsed="false">
      <c r="A35" s="33"/>
      <c r="B35" s="32"/>
      <c r="C35" s="32"/>
      <c r="D35" s="32"/>
      <c r="E35" s="32"/>
      <c r="F35" s="30"/>
      <c r="G35" s="32"/>
      <c r="H35" s="34" t="n">
        <f aca="false">IF($G35="",0,IFERROR(INDEX(Einstellungen!$G$5:$G$11,MATCH($G35,Einstellungen!$E$5:$E$11,0)),0))</f>
        <v>0</v>
      </c>
      <c r="I35" s="35" t="str">
        <f aca="false">IF($G35="","-",IFERROR(INDEX(Einstellungen!$H$5:$H$11,MATCH($G35,Einstellungen!$E$5:$E$11,0)),"-"))</f>
        <v>-</v>
      </c>
      <c r="J35" s="35" t="str">
        <f aca="false">IF(AND(Einstellungen!$B$8="Ja",Einstellungen!$B$9="Effektiv"),$I35,"-")</f>
        <v>-</v>
      </c>
      <c r="K35" s="31" t="n">
        <f aca="false">IF(OR($F35="",$J35="-"),0,ROUND($F35-$F35/(1+$H35),2))</f>
        <v>0</v>
      </c>
      <c r="L35" s="31" t="n">
        <f aca="false">IF($F35="",0,$F35-$K35)</f>
        <v>0</v>
      </c>
      <c r="M35" s="31" t="n">
        <f aca="false">IF($F35="",0,IF($J35="V",$L35,$F35))</f>
        <v>0</v>
      </c>
      <c r="N35" s="31" t="n">
        <f aca="false">IF($F35="",0,IF($J35="U",$L35,$F35))</f>
        <v>0</v>
      </c>
      <c r="O35" s="35" t="str">
        <f aca="false">IF($A35="","",MONTH($A35))</f>
        <v/>
      </c>
      <c r="P35" s="35" t="str">
        <f aca="false">IF($A35="","",ROUNDUP(MONTH($A35)/3,0))</f>
        <v/>
      </c>
      <c r="Q35" s="35" t="str">
        <f aca="false">IF($A35="","",IF(MONTH($A35)&lt;=6,1,2))</f>
        <v/>
      </c>
      <c r="R35" s="35" t="str">
        <f aca="false">IF($E35="","",IFERROR(INDEX(Kontenplan!$F$5:$F$90,MATCH($E35,Kontenplan!$A$5:$A$90,0)),""))</f>
        <v/>
      </c>
      <c r="S35" s="35" t="str">
        <f aca="false">IF($D35="","",IFERROR(INDEX(Kontenplan!$F$5:$F$90,MATCH($D35,Kontenplan!$A$5:$A$90,0)),""))</f>
        <v/>
      </c>
      <c r="T35" s="35" t="str">
        <f aca="false">IF($D35="","",IFERROR(INDEX(Kontenplan!$C$5:$C$90,MATCH($D35,Kontenplan!$A$5:$A$90,0)),"?"))</f>
        <v/>
      </c>
      <c r="U35" s="35" t="str">
        <f aca="false">IF($E35="","",IFERROR(INDEX(Kontenplan!$C$5:$C$90,MATCH($E35,Kontenplan!$A$5:$A$90,0)),"?"))</f>
        <v/>
      </c>
      <c r="V35" s="35" t="str">
        <f aca="false">IF($F35="","",IF(OR($D35="",$E35="",$T35="?",$U35="?"),"Konto prüfen!",IF($A35="","Datum fehlt",IF(YEAR($A35)&lt;&gt;Einstellungen!$B$7,"anderes Jahr!",IF($G35="","MWST-Code fehlt","OK")))))</f>
        <v/>
      </c>
      <c r="W35" s="35" t="str">
        <f aca="false">IF($F35="","",IF(OR($D35=Kontoauszug!$C$4,$E35=Kontoauszug!$C$4),MAX(W$4:W34)+1,""))</f>
        <v/>
      </c>
    </row>
    <row r="36" customFormat="false" ht="15" hidden="false" customHeight="false" outlineLevel="0" collapsed="false">
      <c r="A36" s="33"/>
      <c r="B36" s="32"/>
      <c r="C36" s="32"/>
      <c r="D36" s="32"/>
      <c r="E36" s="32"/>
      <c r="F36" s="30"/>
      <c r="G36" s="32"/>
      <c r="H36" s="34" t="n">
        <f aca="false">IF($G36="",0,IFERROR(INDEX(Einstellungen!$G$5:$G$11,MATCH($G36,Einstellungen!$E$5:$E$11,0)),0))</f>
        <v>0</v>
      </c>
      <c r="I36" s="35" t="str">
        <f aca="false">IF($G36="","-",IFERROR(INDEX(Einstellungen!$H$5:$H$11,MATCH($G36,Einstellungen!$E$5:$E$11,0)),"-"))</f>
        <v>-</v>
      </c>
      <c r="J36" s="35" t="str">
        <f aca="false">IF(AND(Einstellungen!$B$8="Ja",Einstellungen!$B$9="Effektiv"),$I36,"-")</f>
        <v>-</v>
      </c>
      <c r="K36" s="31" t="n">
        <f aca="false">IF(OR($F36="",$J36="-"),0,ROUND($F36-$F36/(1+$H36),2))</f>
        <v>0</v>
      </c>
      <c r="L36" s="31" t="n">
        <f aca="false">IF($F36="",0,$F36-$K36)</f>
        <v>0</v>
      </c>
      <c r="M36" s="31" t="n">
        <f aca="false">IF($F36="",0,IF($J36="V",$L36,$F36))</f>
        <v>0</v>
      </c>
      <c r="N36" s="31" t="n">
        <f aca="false">IF($F36="",0,IF($J36="U",$L36,$F36))</f>
        <v>0</v>
      </c>
      <c r="O36" s="35" t="str">
        <f aca="false">IF($A36="","",MONTH($A36))</f>
        <v/>
      </c>
      <c r="P36" s="35" t="str">
        <f aca="false">IF($A36="","",ROUNDUP(MONTH($A36)/3,0))</f>
        <v/>
      </c>
      <c r="Q36" s="35" t="str">
        <f aca="false">IF($A36="","",IF(MONTH($A36)&lt;=6,1,2))</f>
        <v/>
      </c>
      <c r="R36" s="35" t="str">
        <f aca="false">IF($E36="","",IFERROR(INDEX(Kontenplan!$F$5:$F$90,MATCH($E36,Kontenplan!$A$5:$A$90,0)),""))</f>
        <v/>
      </c>
      <c r="S36" s="35" t="str">
        <f aca="false">IF($D36="","",IFERROR(INDEX(Kontenplan!$F$5:$F$90,MATCH($D36,Kontenplan!$A$5:$A$90,0)),""))</f>
        <v/>
      </c>
      <c r="T36" s="35" t="str">
        <f aca="false">IF($D36="","",IFERROR(INDEX(Kontenplan!$C$5:$C$90,MATCH($D36,Kontenplan!$A$5:$A$90,0)),"?"))</f>
        <v/>
      </c>
      <c r="U36" s="35" t="str">
        <f aca="false">IF($E36="","",IFERROR(INDEX(Kontenplan!$C$5:$C$90,MATCH($E36,Kontenplan!$A$5:$A$90,0)),"?"))</f>
        <v/>
      </c>
      <c r="V36" s="35" t="str">
        <f aca="false">IF($F36="","",IF(OR($D36="",$E36="",$T36="?",$U36="?"),"Konto prüfen!",IF($A36="","Datum fehlt",IF(YEAR($A36)&lt;&gt;Einstellungen!$B$7,"anderes Jahr!",IF($G36="","MWST-Code fehlt","OK")))))</f>
        <v/>
      </c>
      <c r="W36" s="35" t="str">
        <f aca="false">IF($F36="","",IF(OR($D36=Kontoauszug!$C$4,$E36=Kontoauszug!$C$4),MAX(W$4:W35)+1,""))</f>
        <v/>
      </c>
    </row>
    <row r="37" customFormat="false" ht="15" hidden="false" customHeight="false" outlineLevel="0" collapsed="false">
      <c r="A37" s="33"/>
      <c r="B37" s="32"/>
      <c r="C37" s="32"/>
      <c r="D37" s="32"/>
      <c r="E37" s="32"/>
      <c r="F37" s="30"/>
      <c r="G37" s="32"/>
      <c r="H37" s="34" t="n">
        <f aca="false">IF($G37="",0,IFERROR(INDEX(Einstellungen!$G$5:$G$11,MATCH($G37,Einstellungen!$E$5:$E$11,0)),0))</f>
        <v>0</v>
      </c>
      <c r="I37" s="35" t="str">
        <f aca="false">IF($G37="","-",IFERROR(INDEX(Einstellungen!$H$5:$H$11,MATCH($G37,Einstellungen!$E$5:$E$11,0)),"-"))</f>
        <v>-</v>
      </c>
      <c r="J37" s="35" t="str">
        <f aca="false">IF(AND(Einstellungen!$B$8="Ja",Einstellungen!$B$9="Effektiv"),$I37,"-")</f>
        <v>-</v>
      </c>
      <c r="K37" s="31" t="n">
        <f aca="false">IF(OR($F37="",$J37="-"),0,ROUND($F37-$F37/(1+$H37),2))</f>
        <v>0</v>
      </c>
      <c r="L37" s="31" t="n">
        <f aca="false">IF($F37="",0,$F37-$K37)</f>
        <v>0</v>
      </c>
      <c r="M37" s="31" t="n">
        <f aca="false">IF($F37="",0,IF($J37="V",$L37,$F37))</f>
        <v>0</v>
      </c>
      <c r="N37" s="31" t="n">
        <f aca="false">IF($F37="",0,IF($J37="U",$L37,$F37))</f>
        <v>0</v>
      </c>
      <c r="O37" s="35" t="str">
        <f aca="false">IF($A37="","",MONTH($A37))</f>
        <v/>
      </c>
      <c r="P37" s="35" t="str">
        <f aca="false">IF($A37="","",ROUNDUP(MONTH($A37)/3,0))</f>
        <v/>
      </c>
      <c r="Q37" s="35" t="str">
        <f aca="false">IF($A37="","",IF(MONTH($A37)&lt;=6,1,2))</f>
        <v/>
      </c>
      <c r="R37" s="35" t="str">
        <f aca="false">IF($E37="","",IFERROR(INDEX(Kontenplan!$F$5:$F$90,MATCH($E37,Kontenplan!$A$5:$A$90,0)),""))</f>
        <v/>
      </c>
      <c r="S37" s="35" t="str">
        <f aca="false">IF($D37="","",IFERROR(INDEX(Kontenplan!$F$5:$F$90,MATCH($D37,Kontenplan!$A$5:$A$90,0)),""))</f>
        <v/>
      </c>
      <c r="T37" s="35" t="str">
        <f aca="false">IF($D37="","",IFERROR(INDEX(Kontenplan!$C$5:$C$90,MATCH($D37,Kontenplan!$A$5:$A$90,0)),"?"))</f>
        <v/>
      </c>
      <c r="U37" s="35" t="str">
        <f aca="false">IF($E37="","",IFERROR(INDEX(Kontenplan!$C$5:$C$90,MATCH($E37,Kontenplan!$A$5:$A$90,0)),"?"))</f>
        <v/>
      </c>
      <c r="V37" s="35" t="str">
        <f aca="false">IF($F37="","",IF(OR($D37="",$E37="",$T37="?",$U37="?"),"Konto prüfen!",IF($A37="","Datum fehlt",IF(YEAR($A37)&lt;&gt;Einstellungen!$B$7,"anderes Jahr!",IF($G37="","MWST-Code fehlt","OK")))))</f>
        <v/>
      </c>
      <c r="W37" s="35" t="str">
        <f aca="false">IF($F37="","",IF(OR($D37=Kontoauszug!$C$4,$E37=Kontoauszug!$C$4),MAX(W$4:W36)+1,""))</f>
        <v/>
      </c>
    </row>
    <row r="38" customFormat="false" ht="15" hidden="false" customHeight="false" outlineLevel="0" collapsed="false">
      <c r="A38" s="33"/>
      <c r="B38" s="32"/>
      <c r="C38" s="32"/>
      <c r="D38" s="32"/>
      <c r="E38" s="32"/>
      <c r="F38" s="30"/>
      <c r="G38" s="32"/>
      <c r="H38" s="34" t="n">
        <f aca="false">IF($G38="",0,IFERROR(INDEX(Einstellungen!$G$5:$G$11,MATCH($G38,Einstellungen!$E$5:$E$11,0)),0))</f>
        <v>0</v>
      </c>
      <c r="I38" s="35" t="str">
        <f aca="false">IF($G38="","-",IFERROR(INDEX(Einstellungen!$H$5:$H$11,MATCH($G38,Einstellungen!$E$5:$E$11,0)),"-"))</f>
        <v>-</v>
      </c>
      <c r="J38" s="35" t="str">
        <f aca="false">IF(AND(Einstellungen!$B$8="Ja",Einstellungen!$B$9="Effektiv"),$I38,"-")</f>
        <v>-</v>
      </c>
      <c r="K38" s="31" t="n">
        <f aca="false">IF(OR($F38="",$J38="-"),0,ROUND($F38-$F38/(1+$H38),2))</f>
        <v>0</v>
      </c>
      <c r="L38" s="31" t="n">
        <f aca="false">IF($F38="",0,$F38-$K38)</f>
        <v>0</v>
      </c>
      <c r="M38" s="31" t="n">
        <f aca="false">IF($F38="",0,IF($J38="V",$L38,$F38))</f>
        <v>0</v>
      </c>
      <c r="N38" s="31" t="n">
        <f aca="false">IF($F38="",0,IF($J38="U",$L38,$F38))</f>
        <v>0</v>
      </c>
      <c r="O38" s="35" t="str">
        <f aca="false">IF($A38="","",MONTH($A38))</f>
        <v/>
      </c>
      <c r="P38" s="35" t="str">
        <f aca="false">IF($A38="","",ROUNDUP(MONTH($A38)/3,0))</f>
        <v/>
      </c>
      <c r="Q38" s="35" t="str">
        <f aca="false">IF($A38="","",IF(MONTH($A38)&lt;=6,1,2))</f>
        <v/>
      </c>
      <c r="R38" s="35" t="str">
        <f aca="false">IF($E38="","",IFERROR(INDEX(Kontenplan!$F$5:$F$90,MATCH($E38,Kontenplan!$A$5:$A$90,0)),""))</f>
        <v/>
      </c>
      <c r="S38" s="35" t="str">
        <f aca="false">IF($D38="","",IFERROR(INDEX(Kontenplan!$F$5:$F$90,MATCH($D38,Kontenplan!$A$5:$A$90,0)),""))</f>
        <v/>
      </c>
      <c r="T38" s="35" t="str">
        <f aca="false">IF($D38="","",IFERROR(INDEX(Kontenplan!$C$5:$C$90,MATCH($D38,Kontenplan!$A$5:$A$90,0)),"?"))</f>
        <v/>
      </c>
      <c r="U38" s="35" t="str">
        <f aca="false">IF($E38="","",IFERROR(INDEX(Kontenplan!$C$5:$C$90,MATCH($E38,Kontenplan!$A$5:$A$90,0)),"?"))</f>
        <v/>
      </c>
      <c r="V38" s="35" t="str">
        <f aca="false">IF($F38="","",IF(OR($D38="",$E38="",$T38="?",$U38="?"),"Konto prüfen!",IF($A38="","Datum fehlt",IF(YEAR($A38)&lt;&gt;Einstellungen!$B$7,"anderes Jahr!",IF($G38="","MWST-Code fehlt","OK")))))</f>
        <v/>
      </c>
      <c r="W38" s="35" t="str">
        <f aca="false">IF($F38="","",IF(OR($D38=Kontoauszug!$C$4,$E38=Kontoauszug!$C$4),MAX(W$4:W37)+1,""))</f>
        <v/>
      </c>
    </row>
    <row r="39" customFormat="false" ht="15" hidden="false" customHeight="false" outlineLevel="0" collapsed="false">
      <c r="A39" s="33"/>
      <c r="B39" s="32"/>
      <c r="C39" s="32"/>
      <c r="D39" s="32"/>
      <c r="E39" s="32"/>
      <c r="F39" s="30"/>
      <c r="G39" s="32"/>
      <c r="H39" s="34" t="n">
        <f aca="false">IF($G39="",0,IFERROR(INDEX(Einstellungen!$G$5:$G$11,MATCH($G39,Einstellungen!$E$5:$E$11,0)),0))</f>
        <v>0</v>
      </c>
      <c r="I39" s="35" t="str">
        <f aca="false">IF($G39="","-",IFERROR(INDEX(Einstellungen!$H$5:$H$11,MATCH($G39,Einstellungen!$E$5:$E$11,0)),"-"))</f>
        <v>-</v>
      </c>
      <c r="J39" s="35" t="str">
        <f aca="false">IF(AND(Einstellungen!$B$8="Ja",Einstellungen!$B$9="Effektiv"),$I39,"-")</f>
        <v>-</v>
      </c>
      <c r="K39" s="31" t="n">
        <f aca="false">IF(OR($F39="",$J39="-"),0,ROUND($F39-$F39/(1+$H39),2))</f>
        <v>0</v>
      </c>
      <c r="L39" s="31" t="n">
        <f aca="false">IF($F39="",0,$F39-$K39)</f>
        <v>0</v>
      </c>
      <c r="M39" s="31" t="n">
        <f aca="false">IF($F39="",0,IF($J39="V",$L39,$F39))</f>
        <v>0</v>
      </c>
      <c r="N39" s="31" t="n">
        <f aca="false">IF($F39="",0,IF($J39="U",$L39,$F39))</f>
        <v>0</v>
      </c>
      <c r="O39" s="35" t="str">
        <f aca="false">IF($A39="","",MONTH($A39))</f>
        <v/>
      </c>
      <c r="P39" s="35" t="str">
        <f aca="false">IF($A39="","",ROUNDUP(MONTH($A39)/3,0))</f>
        <v/>
      </c>
      <c r="Q39" s="35" t="str">
        <f aca="false">IF($A39="","",IF(MONTH($A39)&lt;=6,1,2))</f>
        <v/>
      </c>
      <c r="R39" s="35" t="str">
        <f aca="false">IF($E39="","",IFERROR(INDEX(Kontenplan!$F$5:$F$90,MATCH($E39,Kontenplan!$A$5:$A$90,0)),""))</f>
        <v/>
      </c>
      <c r="S39" s="35" t="str">
        <f aca="false">IF($D39="","",IFERROR(INDEX(Kontenplan!$F$5:$F$90,MATCH($D39,Kontenplan!$A$5:$A$90,0)),""))</f>
        <v/>
      </c>
      <c r="T39" s="35" t="str">
        <f aca="false">IF($D39="","",IFERROR(INDEX(Kontenplan!$C$5:$C$90,MATCH($D39,Kontenplan!$A$5:$A$90,0)),"?"))</f>
        <v/>
      </c>
      <c r="U39" s="35" t="str">
        <f aca="false">IF($E39="","",IFERROR(INDEX(Kontenplan!$C$5:$C$90,MATCH($E39,Kontenplan!$A$5:$A$90,0)),"?"))</f>
        <v/>
      </c>
      <c r="V39" s="35" t="str">
        <f aca="false">IF($F39="","",IF(OR($D39="",$E39="",$T39="?",$U39="?"),"Konto prüfen!",IF($A39="","Datum fehlt",IF(YEAR($A39)&lt;&gt;Einstellungen!$B$7,"anderes Jahr!",IF($G39="","MWST-Code fehlt","OK")))))</f>
        <v/>
      </c>
      <c r="W39" s="35" t="str">
        <f aca="false">IF($F39="","",IF(OR($D39=Kontoauszug!$C$4,$E39=Kontoauszug!$C$4),MAX(W$4:W38)+1,""))</f>
        <v/>
      </c>
    </row>
    <row r="40" customFormat="false" ht="15" hidden="false" customHeight="false" outlineLevel="0" collapsed="false">
      <c r="A40" s="33"/>
      <c r="B40" s="32"/>
      <c r="C40" s="32"/>
      <c r="D40" s="32"/>
      <c r="E40" s="32"/>
      <c r="F40" s="30"/>
      <c r="G40" s="32"/>
      <c r="H40" s="34" t="n">
        <f aca="false">IF($G40="",0,IFERROR(INDEX(Einstellungen!$G$5:$G$11,MATCH($G40,Einstellungen!$E$5:$E$11,0)),0))</f>
        <v>0</v>
      </c>
      <c r="I40" s="35" t="str">
        <f aca="false">IF($G40="","-",IFERROR(INDEX(Einstellungen!$H$5:$H$11,MATCH($G40,Einstellungen!$E$5:$E$11,0)),"-"))</f>
        <v>-</v>
      </c>
      <c r="J40" s="35" t="str">
        <f aca="false">IF(AND(Einstellungen!$B$8="Ja",Einstellungen!$B$9="Effektiv"),$I40,"-")</f>
        <v>-</v>
      </c>
      <c r="K40" s="31" t="n">
        <f aca="false">IF(OR($F40="",$J40="-"),0,ROUND($F40-$F40/(1+$H40),2))</f>
        <v>0</v>
      </c>
      <c r="L40" s="31" t="n">
        <f aca="false">IF($F40="",0,$F40-$K40)</f>
        <v>0</v>
      </c>
      <c r="M40" s="31" t="n">
        <f aca="false">IF($F40="",0,IF($J40="V",$L40,$F40))</f>
        <v>0</v>
      </c>
      <c r="N40" s="31" t="n">
        <f aca="false">IF($F40="",0,IF($J40="U",$L40,$F40))</f>
        <v>0</v>
      </c>
      <c r="O40" s="35" t="str">
        <f aca="false">IF($A40="","",MONTH($A40))</f>
        <v/>
      </c>
      <c r="P40" s="35" t="str">
        <f aca="false">IF($A40="","",ROUNDUP(MONTH($A40)/3,0))</f>
        <v/>
      </c>
      <c r="Q40" s="35" t="str">
        <f aca="false">IF($A40="","",IF(MONTH($A40)&lt;=6,1,2))</f>
        <v/>
      </c>
      <c r="R40" s="35" t="str">
        <f aca="false">IF($E40="","",IFERROR(INDEX(Kontenplan!$F$5:$F$90,MATCH($E40,Kontenplan!$A$5:$A$90,0)),""))</f>
        <v/>
      </c>
      <c r="S40" s="35" t="str">
        <f aca="false">IF($D40="","",IFERROR(INDEX(Kontenplan!$F$5:$F$90,MATCH($D40,Kontenplan!$A$5:$A$90,0)),""))</f>
        <v/>
      </c>
      <c r="T40" s="35" t="str">
        <f aca="false">IF($D40="","",IFERROR(INDEX(Kontenplan!$C$5:$C$90,MATCH($D40,Kontenplan!$A$5:$A$90,0)),"?"))</f>
        <v/>
      </c>
      <c r="U40" s="35" t="str">
        <f aca="false">IF($E40="","",IFERROR(INDEX(Kontenplan!$C$5:$C$90,MATCH($E40,Kontenplan!$A$5:$A$90,0)),"?"))</f>
        <v/>
      </c>
      <c r="V40" s="35" t="str">
        <f aca="false">IF($F40="","",IF(OR($D40="",$E40="",$T40="?",$U40="?"),"Konto prüfen!",IF($A40="","Datum fehlt",IF(YEAR($A40)&lt;&gt;Einstellungen!$B$7,"anderes Jahr!",IF($G40="","MWST-Code fehlt","OK")))))</f>
        <v/>
      </c>
      <c r="W40" s="35" t="str">
        <f aca="false">IF($F40="","",IF(OR($D40=Kontoauszug!$C$4,$E40=Kontoauszug!$C$4),MAX(W$4:W39)+1,""))</f>
        <v/>
      </c>
    </row>
    <row r="41" customFormat="false" ht="15" hidden="false" customHeight="false" outlineLevel="0" collapsed="false">
      <c r="A41" s="33"/>
      <c r="B41" s="32"/>
      <c r="C41" s="32"/>
      <c r="D41" s="32"/>
      <c r="E41" s="32"/>
      <c r="F41" s="30"/>
      <c r="G41" s="32"/>
      <c r="H41" s="34" t="n">
        <f aca="false">IF($G41="",0,IFERROR(INDEX(Einstellungen!$G$5:$G$11,MATCH($G41,Einstellungen!$E$5:$E$11,0)),0))</f>
        <v>0</v>
      </c>
      <c r="I41" s="35" t="str">
        <f aca="false">IF($G41="","-",IFERROR(INDEX(Einstellungen!$H$5:$H$11,MATCH($G41,Einstellungen!$E$5:$E$11,0)),"-"))</f>
        <v>-</v>
      </c>
      <c r="J41" s="35" t="str">
        <f aca="false">IF(AND(Einstellungen!$B$8="Ja",Einstellungen!$B$9="Effektiv"),$I41,"-")</f>
        <v>-</v>
      </c>
      <c r="K41" s="31" t="n">
        <f aca="false">IF(OR($F41="",$J41="-"),0,ROUND($F41-$F41/(1+$H41),2))</f>
        <v>0</v>
      </c>
      <c r="L41" s="31" t="n">
        <f aca="false">IF($F41="",0,$F41-$K41)</f>
        <v>0</v>
      </c>
      <c r="M41" s="31" t="n">
        <f aca="false">IF($F41="",0,IF($J41="V",$L41,$F41))</f>
        <v>0</v>
      </c>
      <c r="N41" s="31" t="n">
        <f aca="false">IF($F41="",0,IF($J41="U",$L41,$F41))</f>
        <v>0</v>
      </c>
      <c r="O41" s="35" t="str">
        <f aca="false">IF($A41="","",MONTH($A41))</f>
        <v/>
      </c>
      <c r="P41" s="35" t="str">
        <f aca="false">IF($A41="","",ROUNDUP(MONTH($A41)/3,0))</f>
        <v/>
      </c>
      <c r="Q41" s="35" t="str">
        <f aca="false">IF($A41="","",IF(MONTH($A41)&lt;=6,1,2))</f>
        <v/>
      </c>
      <c r="R41" s="35" t="str">
        <f aca="false">IF($E41="","",IFERROR(INDEX(Kontenplan!$F$5:$F$90,MATCH($E41,Kontenplan!$A$5:$A$90,0)),""))</f>
        <v/>
      </c>
      <c r="S41" s="35" t="str">
        <f aca="false">IF($D41="","",IFERROR(INDEX(Kontenplan!$F$5:$F$90,MATCH($D41,Kontenplan!$A$5:$A$90,0)),""))</f>
        <v/>
      </c>
      <c r="T41" s="35" t="str">
        <f aca="false">IF($D41="","",IFERROR(INDEX(Kontenplan!$C$5:$C$90,MATCH($D41,Kontenplan!$A$5:$A$90,0)),"?"))</f>
        <v/>
      </c>
      <c r="U41" s="35" t="str">
        <f aca="false">IF($E41="","",IFERROR(INDEX(Kontenplan!$C$5:$C$90,MATCH($E41,Kontenplan!$A$5:$A$90,0)),"?"))</f>
        <v/>
      </c>
      <c r="V41" s="35" t="str">
        <f aca="false">IF($F41="","",IF(OR($D41="",$E41="",$T41="?",$U41="?"),"Konto prüfen!",IF($A41="","Datum fehlt",IF(YEAR($A41)&lt;&gt;Einstellungen!$B$7,"anderes Jahr!",IF($G41="","MWST-Code fehlt","OK")))))</f>
        <v/>
      </c>
      <c r="W41" s="35" t="str">
        <f aca="false">IF($F41="","",IF(OR($D41=Kontoauszug!$C$4,$E41=Kontoauszug!$C$4),MAX(W$4:W40)+1,""))</f>
        <v/>
      </c>
    </row>
    <row r="42" customFormat="false" ht="15" hidden="false" customHeight="false" outlineLevel="0" collapsed="false">
      <c r="A42" s="33"/>
      <c r="B42" s="32"/>
      <c r="C42" s="32"/>
      <c r="D42" s="32"/>
      <c r="E42" s="32"/>
      <c r="F42" s="30"/>
      <c r="G42" s="32"/>
      <c r="H42" s="34" t="n">
        <f aca="false">IF($G42="",0,IFERROR(INDEX(Einstellungen!$G$5:$G$11,MATCH($G42,Einstellungen!$E$5:$E$11,0)),0))</f>
        <v>0</v>
      </c>
      <c r="I42" s="35" t="str">
        <f aca="false">IF($G42="","-",IFERROR(INDEX(Einstellungen!$H$5:$H$11,MATCH($G42,Einstellungen!$E$5:$E$11,0)),"-"))</f>
        <v>-</v>
      </c>
      <c r="J42" s="35" t="str">
        <f aca="false">IF(AND(Einstellungen!$B$8="Ja",Einstellungen!$B$9="Effektiv"),$I42,"-")</f>
        <v>-</v>
      </c>
      <c r="K42" s="31" t="n">
        <f aca="false">IF(OR($F42="",$J42="-"),0,ROUND($F42-$F42/(1+$H42),2))</f>
        <v>0</v>
      </c>
      <c r="L42" s="31" t="n">
        <f aca="false">IF($F42="",0,$F42-$K42)</f>
        <v>0</v>
      </c>
      <c r="M42" s="31" t="n">
        <f aca="false">IF($F42="",0,IF($J42="V",$L42,$F42))</f>
        <v>0</v>
      </c>
      <c r="N42" s="31" t="n">
        <f aca="false">IF($F42="",0,IF($J42="U",$L42,$F42))</f>
        <v>0</v>
      </c>
      <c r="O42" s="35" t="str">
        <f aca="false">IF($A42="","",MONTH($A42))</f>
        <v/>
      </c>
      <c r="P42" s="35" t="str">
        <f aca="false">IF($A42="","",ROUNDUP(MONTH($A42)/3,0))</f>
        <v/>
      </c>
      <c r="Q42" s="35" t="str">
        <f aca="false">IF($A42="","",IF(MONTH($A42)&lt;=6,1,2))</f>
        <v/>
      </c>
      <c r="R42" s="35" t="str">
        <f aca="false">IF($E42="","",IFERROR(INDEX(Kontenplan!$F$5:$F$90,MATCH($E42,Kontenplan!$A$5:$A$90,0)),""))</f>
        <v/>
      </c>
      <c r="S42" s="35" t="str">
        <f aca="false">IF($D42="","",IFERROR(INDEX(Kontenplan!$F$5:$F$90,MATCH($D42,Kontenplan!$A$5:$A$90,0)),""))</f>
        <v/>
      </c>
      <c r="T42" s="35" t="str">
        <f aca="false">IF($D42="","",IFERROR(INDEX(Kontenplan!$C$5:$C$90,MATCH($D42,Kontenplan!$A$5:$A$90,0)),"?"))</f>
        <v/>
      </c>
      <c r="U42" s="35" t="str">
        <f aca="false">IF($E42="","",IFERROR(INDEX(Kontenplan!$C$5:$C$90,MATCH($E42,Kontenplan!$A$5:$A$90,0)),"?"))</f>
        <v/>
      </c>
      <c r="V42" s="35" t="str">
        <f aca="false">IF($F42="","",IF(OR($D42="",$E42="",$T42="?",$U42="?"),"Konto prüfen!",IF($A42="","Datum fehlt",IF(YEAR($A42)&lt;&gt;Einstellungen!$B$7,"anderes Jahr!",IF($G42="","MWST-Code fehlt","OK")))))</f>
        <v/>
      </c>
      <c r="W42" s="35" t="str">
        <f aca="false">IF($F42="","",IF(OR($D42=Kontoauszug!$C$4,$E42=Kontoauszug!$C$4),MAX(W$4:W41)+1,""))</f>
        <v/>
      </c>
    </row>
    <row r="43" customFormat="false" ht="15" hidden="false" customHeight="false" outlineLevel="0" collapsed="false">
      <c r="A43" s="33"/>
      <c r="B43" s="32"/>
      <c r="C43" s="32"/>
      <c r="D43" s="32"/>
      <c r="E43" s="32"/>
      <c r="F43" s="30"/>
      <c r="G43" s="32"/>
      <c r="H43" s="34" t="n">
        <f aca="false">IF($G43="",0,IFERROR(INDEX(Einstellungen!$G$5:$G$11,MATCH($G43,Einstellungen!$E$5:$E$11,0)),0))</f>
        <v>0</v>
      </c>
      <c r="I43" s="35" t="str">
        <f aca="false">IF($G43="","-",IFERROR(INDEX(Einstellungen!$H$5:$H$11,MATCH($G43,Einstellungen!$E$5:$E$11,0)),"-"))</f>
        <v>-</v>
      </c>
      <c r="J43" s="35" t="str">
        <f aca="false">IF(AND(Einstellungen!$B$8="Ja",Einstellungen!$B$9="Effektiv"),$I43,"-")</f>
        <v>-</v>
      </c>
      <c r="K43" s="31" t="n">
        <f aca="false">IF(OR($F43="",$J43="-"),0,ROUND($F43-$F43/(1+$H43),2))</f>
        <v>0</v>
      </c>
      <c r="L43" s="31" t="n">
        <f aca="false">IF($F43="",0,$F43-$K43)</f>
        <v>0</v>
      </c>
      <c r="M43" s="31" t="n">
        <f aca="false">IF($F43="",0,IF($J43="V",$L43,$F43))</f>
        <v>0</v>
      </c>
      <c r="N43" s="31" t="n">
        <f aca="false">IF($F43="",0,IF($J43="U",$L43,$F43))</f>
        <v>0</v>
      </c>
      <c r="O43" s="35" t="str">
        <f aca="false">IF($A43="","",MONTH($A43))</f>
        <v/>
      </c>
      <c r="P43" s="35" t="str">
        <f aca="false">IF($A43="","",ROUNDUP(MONTH($A43)/3,0))</f>
        <v/>
      </c>
      <c r="Q43" s="35" t="str">
        <f aca="false">IF($A43="","",IF(MONTH($A43)&lt;=6,1,2))</f>
        <v/>
      </c>
      <c r="R43" s="35" t="str">
        <f aca="false">IF($E43="","",IFERROR(INDEX(Kontenplan!$F$5:$F$90,MATCH($E43,Kontenplan!$A$5:$A$90,0)),""))</f>
        <v/>
      </c>
      <c r="S43" s="35" t="str">
        <f aca="false">IF($D43="","",IFERROR(INDEX(Kontenplan!$F$5:$F$90,MATCH($D43,Kontenplan!$A$5:$A$90,0)),""))</f>
        <v/>
      </c>
      <c r="T43" s="35" t="str">
        <f aca="false">IF($D43="","",IFERROR(INDEX(Kontenplan!$C$5:$C$90,MATCH($D43,Kontenplan!$A$5:$A$90,0)),"?"))</f>
        <v/>
      </c>
      <c r="U43" s="35" t="str">
        <f aca="false">IF($E43="","",IFERROR(INDEX(Kontenplan!$C$5:$C$90,MATCH($E43,Kontenplan!$A$5:$A$90,0)),"?"))</f>
        <v/>
      </c>
      <c r="V43" s="35" t="str">
        <f aca="false">IF($F43="","",IF(OR($D43="",$E43="",$T43="?",$U43="?"),"Konto prüfen!",IF($A43="","Datum fehlt",IF(YEAR($A43)&lt;&gt;Einstellungen!$B$7,"anderes Jahr!",IF($G43="","MWST-Code fehlt","OK")))))</f>
        <v/>
      </c>
      <c r="W43" s="35" t="str">
        <f aca="false">IF($F43="","",IF(OR($D43=Kontoauszug!$C$4,$E43=Kontoauszug!$C$4),MAX(W$4:W42)+1,""))</f>
        <v/>
      </c>
    </row>
    <row r="44" customFormat="false" ht="15" hidden="false" customHeight="false" outlineLevel="0" collapsed="false">
      <c r="A44" s="33"/>
      <c r="B44" s="32"/>
      <c r="C44" s="32"/>
      <c r="D44" s="32"/>
      <c r="E44" s="32"/>
      <c r="F44" s="30"/>
      <c r="G44" s="32"/>
      <c r="H44" s="34" t="n">
        <f aca="false">IF($G44="",0,IFERROR(INDEX(Einstellungen!$G$5:$G$11,MATCH($G44,Einstellungen!$E$5:$E$11,0)),0))</f>
        <v>0</v>
      </c>
      <c r="I44" s="35" t="str">
        <f aca="false">IF($G44="","-",IFERROR(INDEX(Einstellungen!$H$5:$H$11,MATCH($G44,Einstellungen!$E$5:$E$11,0)),"-"))</f>
        <v>-</v>
      </c>
      <c r="J44" s="35" t="str">
        <f aca="false">IF(AND(Einstellungen!$B$8="Ja",Einstellungen!$B$9="Effektiv"),$I44,"-")</f>
        <v>-</v>
      </c>
      <c r="K44" s="31" t="n">
        <f aca="false">IF(OR($F44="",$J44="-"),0,ROUND($F44-$F44/(1+$H44),2))</f>
        <v>0</v>
      </c>
      <c r="L44" s="31" t="n">
        <f aca="false">IF($F44="",0,$F44-$K44)</f>
        <v>0</v>
      </c>
      <c r="M44" s="31" t="n">
        <f aca="false">IF($F44="",0,IF($J44="V",$L44,$F44))</f>
        <v>0</v>
      </c>
      <c r="N44" s="31" t="n">
        <f aca="false">IF($F44="",0,IF($J44="U",$L44,$F44))</f>
        <v>0</v>
      </c>
      <c r="O44" s="35" t="str">
        <f aca="false">IF($A44="","",MONTH($A44))</f>
        <v/>
      </c>
      <c r="P44" s="35" t="str">
        <f aca="false">IF($A44="","",ROUNDUP(MONTH($A44)/3,0))</f>
        <v/>
      </c>
      <c r="Q44" s="35" t="str">
        <f aca="false">IF($A44="","",IF(MONTH($A44)&lt;=6,1,2))</f>
        <v/>
      </c>
      <c r="R44" s="35" t="str">
        <f aca="false">IF($E44="","",IFERROR(INDEX(Kontenplan!$F$5:$F$90,MATCH($E44,Kontenplan!$A$5:$A$90,0)),""))</f>
        <v/>
      </c>
      <c r="S44" s="35" t="str">
        <f aca="false">IF($D44="","",IFERROR(INDEX(Kontenplan!$F$5:$F$90,MATCH($D44,Kontenplan!$A$5:$A$90,0)),""))</f>
        <v/>
      </c>
      <c r="T44" s="35" t="str">
        <f aca="false">IF($D44="","",IFERROR(INDEX(Kontenplan!$C$5:$C$90,MATCH($D44,Kontenplan!$A$5:$A$90,0)),"?"))</f>
        <v/>
      </c>
      <c r="U44" s="35" t="str">
        <f aca="false">IF($E44="","",IFERROR(INDEX(Kontenplan!$C$5:$C$90,MATCH($E44,Kontenplan!$A$5:$A$90,0)),"?"))</f>
        <v/>
      </c>
      <c r="V44" s="35" t="str">
        <f aca="false">IF($F44="","",IF(OR($D44="",$E44="",$T44="?",$U44="?"),"Konto prüfen!",IF($A44="","Datum fehlt",IF(YEAR($A44)&lt;&gt;Einstellungen!$B$7,"anderes Jahr!",IF($G44="","MWST-Code fehlt","OK")))))</f>
        <v/>
      </c>
      <c r="W44" s="35" t="str">
        <f aca="false">IF($F44="","",IF(OR($D44=Kontoauszug!$C$4,$E44=Kontoauszug!$C$4),MAX(W$4:W43)+1,""))</f>
        <v/>
      </c>
    </row>
    <row r="45" customFormat="false" ht="15" hidden="false" customHeight="false" outlineLevel="0" collapsed="false">
      <c r="A45" s="33"/>
      <c r="B45" s="32"/>
      <c r="C45" s="32"/>
      <c r="D45" s="32"/>
      <c r="E45" s="32"/>
      <c r="F45" s="30"/>
      <c r="G45" s="32"/>
      <c r="H45" s="34" t="n">
        <f aca="false">IF($G45="",0,IFERROR(INDEX(Einstellungen!$G$5:$G$11,MATCH($G45,Einstellungen!$E$5:$E$11,0)),0))</f>
        <v>0</v>
      </c>
      <c r="I45" s="35" t="str">
        <f aca="false">IF($G45="","-",IFERROR(INDEX(Einstellungen!$H$5:$H$11,MATCH($G45,Einstellungen!$E$5:$E$11,0)),"-"))</f>
        <v>-</v>
      </c>
      <c r="J45" s="35" t="str">
        <f aca="false">IF(AND(Einstellungen!$B$8="Ja",Einstellungen!$B$9="Effektiv"),$I45,"-")</f>
        <v>-</v>
      </c>
      <c r="K45" s="31" t="n">
        <f aca="false">IF(OR($F45="",$J45="-"),0,ROUND($F45-$F45/(1+$H45),2))</f>
        <v>0</v>
      </c>
      <c r="L45" s="31" t="n">
        <f aca="false">IF($F45="",0,$F45-$K45)</f>
        <v>0</v>
      </c>
      <c r="M45" s="31" t="n">
        <f aca="false">IF($F45="",0,IF($J45="V",$L45,$F45))</f>
        <v>0</v>
      </c>
      <c r="N45" s="31" t="n">
        <f aca="false">IF($F45="",0,IF($J45="U",$L45,$F45))</f>
        <v>0</v>
      </c>
      <c r="O45" s="35" t="str">
        <f aca="false">IF($A45="","",MONTH($A45))</f>
        <v/>
      </c>
      <c r="P45" s="35" t="str">
        <f aca="false">IF($A45="","",ROUNDUP(MONTH($A45)/3,0))</f>
        <v/>
      </c>
      <c r="Q45" s="35" t="str">
        <f aca="false">IF($A45="","",IF(MONTH($A45)&lt;=6,1,2))</f>
        <v/>
      </c>
      <c r="R45" s="35" t="str">
        <f aca="false">IF($E45="","",IFERROR(INDEX(Kontenplan!$F$5:$F$90,MATCH($E45,Kontenplan!$A$5:$A$90,0)),""))</f>
        <v/>
      </c>
      <c r="S45" s="35" t="str">
        <f aca="false">IF($D45="","",IFERROR(INDEX(Kontenplan!$F$5:$F$90,MATCH($D45,Kontenplan!$A$5:$A$90,0)),""))</f>
        <v/>
      </c>
      <c r="T45" s="35" t="str">
        <f aca="false">IF($D45="","",IFERROR(INDEX(Kontenplan!$C$5:$C$90,MATCH($D45,Kontenplan!$A$5:$A$90,0)),"?"))</f>
        <v/>
      </c>
      <c r="U45" s="35" t="str">
        <f aca="false">IF($E45="","",IFERROR(INDEX(Kontenplan!$C$5:$C$90,MATCH($E45,Kontenplan!$A$5:$A$90,0)),"?"))</f>
        <v/>
      </c>
      <c r="V45" s="35" t="str">
        <f aca="false">IF($F45="","",IF(OR($D45="",$E45="",$T45="?",$U45="?"),"Konto prüfen!",IF($A45="","Datum fehlt",IF(YEAR($A45)&lt;&gt;Einstellungen!$B$7,"anderes Jahr!",IF($G45="","MWST-Code fehlt","OK")))))</f>
        <v/>
      </c>
      <c r="W45" s="35" t="str">
        <f aca="false">IF($F45="","",IF(OR($D45=Kontoauszug!$C$4,$E45=Kontoauszug!$C$4),MAX(W$4:W44)+1,""))</f>
        <v/>
      </c>
    </row>
    <row r="46" customFormat="false" ht="15" hidden="false" customHeight="false" outlineLevel="0" collapsed="false">
      <c r="A46" s="33"/>
      <c r="B46" s="32"/>
      <c r="C46" s="32"/>
      <c r="D46" s="32"/>
      <c r="E46" s="32"/>
      <c r="F46" s="30"/>
      <c r="G46" s="32"/>
      <c r="H46" s="34" t="n">
        <f aca="false">IF($G46="",0,IFERROR(INDEX(Einstellungen!$G$5:$G$11,MATCH($G46,Einstellungen!$E$5:$E$11,0)),0))</f>
        <v>0</v>
      </c>
      <c r="I46" s="35" t="str">
        <f aca="false">IF($G46="","-",IFERROR(INDEX(Einstellungen!$H$5:$H$11,MATCH($G46,Einstellungen!$E$5:$E$11,0)),"-"))</f>
        <v>-</v>
      </c>
      <c r="J46" s="35" t="str">
        <f aca="false">IF(AND(Einstellungen!$B$8="Ja",Einstellungen!$B$9="Effektiv"),$I46,"-")</f>
        <v>-</v>
      </c>
      <c r="K46" s="31" t="n">
        <f aca="false">IF(OR($F46="",$J46="-"),0,ROUND($F46-$F46/(1+$H46),2))</f>
        <v>0</v>
      </c>
      <c r="L46" s="31" t="n">
        <f aca="false">IF($F46="",0,$F46-$K46)</f>
        <v>0</v>
      </c>
      <c r="M46" s="31" t="n">
        <f aca="false">IF($F46="",0,IF($J46="V",$L46,$F46))</f>
        <v>0</v>
      </c>
      <c r="N46" s="31" t="n">
        <f aca="false">IF($F46="",0,IF($J46="U",$L46,$F46))</f>
        <v>0</v>
      </c>
      <c r="O46" s="35" t="str">
        <f aca="false">IF($A46="","",MONTH($A46))</f>
        <v/>
      </c>
      <c r="P46" s="35" t="str">
        <f aca="false">IF($A46="","",ROUNDUP(MONTH($A46)/3,0))</f>
        <v/>
      </c>
      <c r="Q46" s="35" t="str">
        <f aca="false">IF($A46="","",IF(MONTH($A46)&lt;=6,1,2))</f>
        <v/>
      </c>
      <c r="R46" s="35" t="str">
        <f aca="false">IF($E46="","",IFERROR(INDEX(Kontenplan!$F$5:$F$90,MATCH($E46,Kontenplan!$A$5:$A$90,0)),""))</f>
        <v/>
      </c>
      <c r="S46" s="35" t="str">
        <f aca="false">IF($D46="","",IFERROR(INDEX(Kontenplan!$F$5:$F$90,MATCH($D46,Kontenplan!$A$5:$A$90,0)),""))</f>
        <v/>
      </c>
      <c r="T46" s="35" t="str">
        <f aca="false">IF($D46="","",IFERROR(INDEX(Kontenplan!$C$5:$C$90,MATCH($D46,Kontenplan!$A$5:$A$90,0)),"?"))</f>
        <v/>
      </c>
      <c r="U46" s="35" t="str">
        <f aca="false">IF($E46="","",IFERROR(INDEX(Kontenplan!$C$5:$C$90,MATCH($E46,Kontenplan!$A$5:$A$90,0)),"?"))</f>
        <v/>
      </c>
      <c r="V46" s="35" t="str">
        <f aca="false">IF($F46="","",IF(OR($D46="",$E46="",$T46="?",$U46="?"),"Konto prüfen!",IF($A46="","Datum fehlt",IF(YEAR($A46)&lt;&gt;Einstellungen!$B$7,"anderes Jahr!",IF($G46="","MWST-Code fehlt","OK")))))</f>
        <v/>
      </c>
      <c r="W46" s="35" t="str">
        <f aca="false">IF($F46="","",IF(OR($D46=Kontoauszug!$C$4,$E46=Kontoauszug!$C$4),MAX(W$4:W45)+1,""))</f>
        <v/>
      </c>
    </row>
    <row r="47" customFormat="false" ht="15" hidden="false" customHeight="false" outlineLevel="0" collapsed="false">
      <c r="A47" s="33"/>
      <c r="B47" s="32"/>
      <c r="C47" s="32"/>
      <c r="D47" s="32"/>
      <c r="E47" s="32"/>
      <c r="F47" s="30"/>
      <c r="G47" s="32"/>
      <c r="H47" s="34" t="n">
        <f aca="false">IF($G47="",0,IFERROR(INDEX(Einstellungen!$G$5:$G$11,MATCH($G47,Einstellungen!$E$5:$E$11,0)),0))</f>
        <v>0</v>
      </c>
      <c r="I47" s="35" t="str">
        <f aca="false">IF($G47="","-",IFERROR(INDEX(Einstellungen!$H$5:$H$11,MATCH($G47,Einstellungen!$E$5:$E$11,0)),"-"))</f>
        <v>-</v>
      </c>
      <c r="J47" s="35" t="str">
        <f aca="false">IF(AND(Einstellungen!$B$8="Ja",Einstellungen!$B$9="Effektiv"),$I47,"-")</f>
        <v>-</v>
      </c>
      <c r="K47" s="31" t="n">
        <f aca="false">IF(OR($F47="",$J47="-"),0,ROUND($F47-$F47/(1+$H47),2))</f>
        <v>0</v>
      </c>
      <c r="L47" s="31" t="n">
        <f aca="false">IF($F47="",0,$F47-$K47)</f>
        <v>0</v>
      </c>
      <c r="M47" s="31" t="n">
        <f aca="false">IF($F47="",0,IF($J47="V",$L47,$F47))</f>
        <v>0</v>
      </c>
      <c r="N47" s="31" t="n">
        <f aca="false">IF($F47="",0,IF($J47="U",$L47,$F47))</f>
        <v>0</v>
      </c>
      <c r="O47" s="35" t="str">
        <f aca="false">IF($A47="","",MONTH($A47))</f>
        <v/>
      </c>
      <c r="P47" s="35" t="str">
        <f aca="false">IF($A47="","",ROUNDUP(MONTH($A47)/3,0))</f>
        <v/>
      </c>
      <c r="Q47" s="35" t="str">
        <f aca="false">IF($A47="","",IF(MONTH($A47)&lt;=6,1,2))</f>
        <v/>
      </c>
      <c r="R47" s="35" t="str">
        <f aca="false">IF($E47="","",IFERROR(INDEX(Kontenplan!$F$5:$F$90,MATCH($E47,Kontenplan!$A$5:$A$90,0)),""))</f>
        <v/>
      </c>
      <c r="S47" s="35" t="str">
        <f aca="false">IF($D47="","",IFERROR(INDEX(Kontenplan!$F$5:$F$90,MATCH($D47,Kontenplan!$A$5:$A$90,0)),""))</f>
        <v/>
      </c>
      <c r="T47" s="35" t="str">
        <f aca="false">IF($D47="","",IFERROR(INDEX(Kontenplan!$C$5:$C$90,MATCH($D47,Kontenplan!$A$5:$A$90,0)),"?"))</f>
        <v/>
      </c>
      <c r="U47" s="35" t="str">
        <f aca="false">IF($E47="","",IFERROR(INDEX(Kontenplan!$C$5:$C$90,MATCH($E47,Kontenplan!$A$5:$A$90,0)),"?"))</f>
        <v/>
      </c>
      <c r="V47" s="35" t="str">
        <f aca="false">IF($F47="","",IF(OR($D47="",$E47="",$T47="?",$U47="?"),"Konto prüfen!",IF($A47="","Datum fehlt",IF(YEAR($A47)&lt;&gt;Einstellungen!$B$7,"anderes Jahr!",IF($G47="","MWST-Code fehlt","OK")))))</f>
        <v/>
      </c>
      <c r="W47" s="35" t="str">
        <f aca="false">IF($F47="","",IF(OR($D47=Kontoauszug!$C$4,$E47=Kontoauszug!$C$4),MAX(W$4:W46)+1,""))</f>
        <v/>
      </c>
    </row>
    <row r="48" customFormat="false" ht="15" hidden="false" customHeight="false" outlineLevel="0" collapsed="false">
      <c r="A48" s="33"/>
      <c r="B48" s="32"/>
      <c r="C48" s="32"/>
      <c r="D48" s="32"/>
      <c r="E48" s="32"/>
      <c r="F48" s="30"/>
      <c r="G48" s="32"/>
      <c r="H48" s="34" t="n">
        <f aca="false">IF($G48="",0,IFERROR(INDEX(Einstellungen!$G$5:$G$11,MATCH($G48,Einstellungen!$E$5:$E$11,0)),0))</f>
        <v>0</v>
      </c>
      <c r="I48" s="35" t="str">
        <f aca="false">IF($G48="","-",IFERROR(INDEX(Einstellungen!$H$5:$H$11,MATCH($G48,Einstellungen!$E$5:$E$11,0)),"-"))</f>
        <v>-</v>
      </c>
      <c r="J48" s="35" t="str">
        <f aca="false">IF(AND(Einstellungen!$B$8="Ja",Einstellungen!$B$9="Effektiv"),$I48,"-")</f>
        <v>-</v>
      </c>
      <c r="K48" s="31" t="n">
        <f aca="false">IF(OR($F48="",$J48="-"),0,ROUND($F48-$F48/(1+$H48),2))</f>
        <v>0</v>
      </c>
      <c r="L48" s="31" t="n">
        <f aca="false">IF($F48="",0,$F48-$K48)</f>
        <v>0</v>
      </c>
      <c r="M48" s="31" t="n">
        <f aca="false">IF($F48="",0,IF($J48="V",$L48,$F48))</f>
        <v>0</v>
      </c>
      <c r="N48" s="31" t="n">
        <f aca="false">IF($F48="",0,IF($J48="U",$L48,$F48))</f>
        <v>0</v>
      </c>
      <c r="O48" s="35" t="str">
        <f aca="false">IF($A48="","",MONTH($A48))</f>
        <v/>
      </c>
      <c r="P48" s="35" t="str">
        <f aca="false">IF($A48="","",ROUNDUP(MONTH($A48)/3,0))</f>
        <v/>
      </c>
      <c r="Q48" s="35" t="str">
        <f aca="false">IF($A48="","",IF(MONTH($A48)&lt;=6,1,2))</f>
        <v/>
      </c>
      <c r="R48" s="35" t="str">
        <f aca="false">IF($E48="","",IFERROR(INDEX(Kontenplan!$F$5:$F$90,MATCH($E48,Kontenplan!$A$5:$A$90,0)),""))</f>
        <v/>
      </c>
      <c r="S48" s="35" t="str">
        <f aca="false">IF($D48="","",IFERROR(INDEX(Kontenplan!$F$5:$F$90,MATCH($D48,Kontenplan!$A$5:$A$90,0)),""))</f>
        <v/>
      </c>
      <c r="T48" s="35" t="str">
        <f aca="false">IF($D48="","",IFERROR(INDEX(Kontenplan!$C$5:$C$90,MATCH($D48,Kontenplan!$A$5:$A$90,0)),"?"))</f>
        <v/>
      </c>
      <c r="U48" s="35" t="str">
        <f aca="false">IF($E48="","",IFERROR(INDEX(Kontenplan!$C$5:$C$90,MATCH($E48,Kontenplan!$A$5:$A$90,0)),"?"))</f>
        <v/>
      </c>
      <c r="V48" s="35" t="str">
        <f aca="false">IF($F48="","",IF(OR($D48="",$E48="",$T48="?",$U48="?"),"Konto prüfen!",IF($A48="","Datum fehlt",IF(YEAR($A48)&lt;&gt;Einstellungen!$B$7,"anderes Jahr!",IF($G48="","MWST-Code fehlt","OK")))))</f>
        <v/>
      </c>
      <c r="W48" s="35" t="str">
        <f aca="false">IF($F48="","",IF(OR($D48=Kontoauszug!$C$4,$E48=Kontoauszug!$C$4),MAX(W$4:W47)+1,""))</f>
        <v/>
      </c>
    </row>
    <row r="49" customFormat="false" ht="15" hidden="false" customHeight="false" outlineLevel="0" collapsed="false">
      <c r="A49" s="33"/>
      <c r="B49" s="32"/>
      <c r="C49" s="32"/>
      <c r="D49" s="32"/>
      <c r="E49" s="32"/>
      <c r="F49" s="30"/>
      <c r="G49" s="32"/>
      <c r="H49" s="34" t="n">
        <f aca="false">IF($G49="",0,IFERROR(INDEX(Einstellungen!$G$5:$G$11,MATCH($G49,Einstellungen!$E$5:$E$11,0)),0))</f>
        <v>0</v>
      </c>
      <c r="I49" s="35" t="str">
        <f aca="false">IF($G49="","-",IFERROR(INDEX(Einstellungen!$H$5:$H$11,MATCH($G49,Einstellungen!$E$5:$E$11,0)),"-"))</f>
        <v>-</v>
      </c>
      <c r="J49" s="35" t="str">
        <f aca="false">IF(AND(Einstellungen!$B$8="Ja",Einstellungen!$B$9="Effektiv"),$I49,"-")</f>
        <v>-</v>
      </c>
      <c r="K49" s="31" t="n">
        <f aca="false">IF(OR($F49="",$J49="-"),0,ROUND($F49-$F49/(1+$H49),2))</f>
        <v>0</v>
      </c>
      <c r="L49" s="31" t="n">
        <f aca="false">IF($F49="",0,$F49-$K49)</f>
        <v>0</v>
      </c>
      <c r="M49" s="31" t="n">
        <f aca="false">IF($F49="",0,IF($J49="V",$L49,$F49))</f>
        <v>0</v>
      </c>
      <c r="N49" s="31" t="n">
        <f aca="false">IF($F49="",0,IF($J49="U",$L49,$F49))</f>
        <v>0</v>
      </c>
      <c r="O49" s="35" t="str">
        <f aca="false">IF($A49="","",MONTH($A49))</f>
        <v/>
      </c>
      <c r="P49" s="35" t="str">
        <f aca="false">IF($A49="","",ROUNDUP(MONTH($A49)/3,0))</f>
        <v/>
      </c>
      <c r="Q49" s="35" t="str">
        <f aca="false">IF($A49="","",IF(MONTH($A49)&lt;=6,1,2))</f>
        <v/>
      </c>
      <c r="R49" s="35" t="str">
        <f aca="false">IF($E49="","",IFERROR(INDEX(Kontenplan!$F$5:$F$90,MATCH($E49,Kontenplan!$A$5:$A$90,0)),""))</f>
        <v/>
      </c>
      <c r="S49" s="35" t="str">
        <f aca="false">IF($D49="","",IFERROR(INDEX(Kontenplan!$F$5:$F$90,MATCH($D49,Kontenplan!$A$5:$A$90,0)),""))</f>
        <v/>
      </c>
      <c r="T49" s="35" t="str">
        <f aca="false">IF($D49="","",IFERROR(INDEX(Kontenplan!$C$5:$C$90,MATCH($D49,Kontenplan!$A$5:$A$90,0)),"?"))</f>
        <v/>
      </c>
      <c r="U49" s="35" t="str">
        <f aca="false">IF($E49="","",IFERROR(INDEX(Kontenplan!$C$5:$C$90,MATCH($E49,Kontenplan!$A$5:$A$90,0)),"?"))</f>
        <v/>
      </c>
      <c r="V49" s="35" t="str">
        <f aca="false">IF($F49="","",IF(OR($D49="",$E49="",$T49="?",$U49="?"),"Konto prüfen!",IF($A49="","Datum fehlt",IF(YEAR($A49)&lt;&gt;Einstellungen!$B$7,"anderes Jahr!",IF($G49="","MWST-Code fehlt","OK")))))</f>
        <v/>
      </c>
      <c r="W49" s="35" t="str">
        <f aca="false">IF($F49="","",IF(OR($D49=Kontoauszug!$C$4,$E49=Kontoauszug!$C$4),MAX(W$4:W48)+1,""))</f>
        <v/>
      </c>
    </row>
    <row r="50" customFormat="false" ht="15" hidden="false" customHeight="false" outlineLevel="0" collapsed="false">
      <c r="A50" s="33"/>
      <c r="B50" s="32"/>
      <c r="C50" s="32"/>
      <c r="D50" s="32"/>
      <c r="E50" s="32"/>
      <c r="F50" s="30"/>
      <c r="G50" s="32"/>
      <c r="H50" s="34" t="n">
        <f aca="false">IF($G50="",0,IFERROR(INDEX(Einstellungen!$G$5:$G$11,MATCH($G50,Einstellungen!$E$5:$E$11,0)),0))</f>
        <v>0</v>
      </c>
      <c r="I50" s="35" t="str">
        <f aca="false">IF($G50="","-",IFERROR(INDEX(Einstellungen!$H$5:$H$11,MATCH($G50,Einstellungen!$E$5:$E$11,0)),"-"))</f>
        <v>-</v>
      </c>
      <c r="J50" s="35" t="str">
        <f aca="false">IF(AND(Einstellungen!$B$8="Ja",Einstellungen!$B$9="Effektiv"),$I50,"-")</f>
        <v>-</v>
      </c>
      <c r="K50" s="31" t="n">
        <f aca="false">IF(OR($F50="",$J50="-"),0,ROUND($F50-$F50/(1+$H50),2))</f>
        <v>0</v>
      </c>
      <c r="L50" s="31" t="n">
        <f aca="false">IF($F50="",0,$F50-$K50)</f>
        <v>0</v>
      </c>
      <c r="M50" s="31" t="n">
        <f aca="false">IF($F50="",0,IF($J50="V",$L50,$F50))</f>
        <v>0</v>
      </c>
      <c r="N50" s="31" t="n">
        <f aca="false">IF($F50="",0,IF($J50="U",$L50,$F50))</f>
        <v>0</v>
      </c>
      <c r="O50" s="35" t="str">
        <f aca="false">IF($A50="","",MONTH($A50))</f>
        <v/>
      </c>
      <c r="P50" s="35" t="str">
        <f aca="false">IF($A50="","",ROUNDUP(MONTH($A50)/3,0))</f>
        <v/>
      </c>
      <c r="Q50" s="35" t="str">
        <f aca="false">IF($A50="","",IF(MONTH($A50)&lt;=6,1,2))</f>
        <v/>
      </c>
      <c r="R50" s="35" t="str">
        <f aca="false">IF($E50="","",IFERROR(INDEX(Kontenplan!$F$5:$F$90,MATCH($E50,Kontenplan!$A$5:$A$90,0)),""))</f>
        <v/>
      </c>
      <c r="S50" s="35" t="str">
        <f aca="false">IF($D50="","",IFERROR(INDEX(Kontenplan!$F$5:$F$90,MATCH($D50,Kontenplan!$A$5:$A$90,0)),""))</f>
        <v/>
      </c>
      <c r="T50" s="35" t="str">
        <f aca="false">IF($D50="","",IFERROR(INDEX(Kontenplan!$C$5:$C$90,MATCH($D50,Kontenplan!$A$5:$A$90,0)),"?"))</f>
        <v/>
      </c>
      <c r="U50" s="35" t="str">
        <f aca="false">IF($E50="","",IFERROR(INDEX(Kontenplan!$C$5:$C$90,MATCH($E50,Kontenplan!$A$5:$A$90,0)),"?"))</f>
        <v/>
      </c>
      <c r="V50" s="35" t="str">
        <f aca="false">IF($F50="","",IF(OR($D50="",$E50="",$T50="?",$U50="?"),"Konto prüfen!",IF($A50="","Datum fehlt",IF(YEAR($A50)&lt;&gt;Einstellungen!$B$7,"anderes Jahr!",IF($G50="","MWST-Code fehlt","OK")))))</f>
        <v/>
      </c>
      <c r="W50" s="35" t="str">
        <f aca="false">IF($F50="","",IF(OR($D50=Kontoauszug!$C$4,$E50=Kontoauszug!$C$4),MAX(W$4:W49)+1,""))</f>
        <v/>
      </c>
    </row>
    <row r="51" customFormat="false" ht="15" hidden="false" customHeight="false" outlineLevel="0" collapsed="false">
      <c r="A51" s="33"/>
      <c r="B51" s="32"/>
      <c r="C51" s="32"/>
      <c r="D51" s="32"/>
      <c r="E51" s="32"/>
      <c r="F51" s="30"/>
      <c r="G51" s="32"/>
      <c r="H51" s="34" t="n">
        <f aca="false">IF($G51="",0,IFERROR(INDEX(Einstellungen!$G$5:$G$11,MATCH($G51,Einstellungen!$E$5:$E$11,0)),0))</f>
        <v>0</v>
      </c>
      <c r="I51" s="35" t="str">
        <f aca="false">IF($G51="","-",IFERROR(INDEX(Einstellungen!$H$5:$H$11,MATCH($G51,Einstellungen!$E$5:$E$11,0)),"-"))</f>
        <v>-</v>
      </c>
      <c r="J51" s="35" t="str">
        <f aca="false">IF(AND(Einstellungen!$B$8="Ja",Einstellungen!$B$9="Effektiv"),$I51,"-")</f>
        <v>-</v>
      </c>
      <c r="K51" s="31" t="n">
        <f aca="false">IF(OR($F51="",$J51="-"),0,ROUND($F51-$F51/(1+$H51),2))</f>
        <v>0</v>
      </c>
      <c r="L51" s="31" t="n">
        <f aca="false">IF($F51="",0,$F51-$K51)</f>
        <v>0</v>
      </c>
      <c r="M51" s="31" t="n">
        <f aca="false">IF($F51="",0,IF($J51="V",$L51,$F51))</f>
        <v>0</v>
      </c>
      <c r="N51" s="31" t="n">
        <f aca="false">IF($F51="",0,IF($J51="U",$L51,$F51))</f>
        <v>0</v>
      </c>
      <c r="O51" s="35" t="str">
        <f aca="false">IF($A51="","",MONTH($A51))</f>
        <v/>
      </c>
      <c r="P51" s="35" t="str">
        <f aca="false">IF($A51="","",ROUNDUP(MONTH($A51)/3,0))</f>
        <v/>
      </c>
      <c r="Q51" s="35" t="str">
        <f aca="false">IF($A51="","",IF(MONTH($A51)&lt;=6,1,2))</f>
        <v/>
      </c>
      <c r="R51" s="35" t="str">
        <f aca="false">IF($E51="","",IFERROR(INDEX(Kontenplan!$F$5:$F$90,MATCH($E51,Kontenplan!$A$5:$A$90,0)),""))</f>
        <v/>
      </c>
      <c r="S51" s="35" t="str">
        <f aca="false">IF($D51="","",IFERROR(INDEX(Kontenplan!$F$5:$F$90,MATCH($D51,Kontenplan!$A$5:$A$90,0)),""))</f>
        <v/>
      </c>
      <c r="T51" s="35" t="str">
        <f aca="false">IF($D51="","",IFERROR(INDEX(Kontenplan!$C$5:$C$90,MATCH($D51,Kontenplan!$A$5:$A$90,0)),"?"))</f>
        <v/>
      </c>
      <c r="U51" s="35" t="str">
        <f aca="false">IF($E51="","",IFERROR(INDEX(Kontenplan!$C$5:$C$90,MATCH($E51,Kontenplan!$A$5:$A$90,0)),"?"))</f>
        <v/>
      </c>
      <c r="V51" s="35" t="str">
        <f aca="false">IF($F51="","",IF(OR($D51="",$E51="",$T51="?",$U51="?"),"Konto prüfen!",IF($A51="","Datum fehlt",IF(YEAR($A51)&lt;&gt;Einstellungen!$B$7,"anderes Jahr!",IF($G51="","MWST-Code fehlt","OK")))))</f>
        <v/>
      </c>
      <c r="W51" s="35" t="str">
        <f aca="false">IF($F51="","",IF(OR($D51=Kontoauszug!$C$4,$E51=Kontoauszug!$C$4),MAX(W$4:W50)+1,""))</f>
        <v/>
      </c>
    </row>
    <row r="52" customFormat="false" ht="15" hidden="false" customHeight="false" outlineLevel="0" collapsed="false">
      <c r="A52" s="33"/>
      <c r="B52" s="32"/>
      <c r="C52" s="32"/>
      <c r="D52" s="32"/>
      <c r="E52" s="32"/>
      <c r="F52" s="30"/>
      <c r="G52" s="32"/>
      <c r="H52" s="34" t="n">
        <f aca="false">IF($G52="",0,IFERROR(INDEX(Einstellungen!$G$5:$G$11,MATCH($G52,Einstellungen!$E$5:$E$11,0)),0))</f>
        <v>0</v>
      </c>
      <c r="I52" s="35" t="str">
        <f aca="false">IF($G52="","-",IFERROR(INDEX(Einstellungen!$H$5:$H$11,MATCH($G52,Einstellungen!$E$5:$E$11,0)),"-"))</f>
        <v>-</v>
      </c>
      <c r="J52" s="35" t="str">
        <f aca="false">IF(AND(Einstellungen!$B$8="Ja",Einstellungen!$B$9="Effektiv"),$I52,"-")</f>
        <v>-</v>
      </c>
      <c r="K52" s="31" t="n">
        <f aca="false">IF(OR($F52="",$J52="-"),0,ROUND($F52-$F52/(1+$H52),2))</f>
        <v>0</v>
      </c>
      <c r="L52" s="31" t="n">
        <f aca="false">IF($F52="",0,$F52-$K52)</f>
        <v>0</v>
      </c>
      <c r="M52" s="31" t="n">
        <f aca="false">IF($F52="",0,IF($J52="V",$L52,$F52))</f>
        <v>0</v>
      </c>
      <c r="N52" s="31" t="n">
        <f aca="false">IF($F52="",0,IF($J52="U",$L52,$F52))</f>
        <v>0</v>
      </c>
      <c r="O52" s="35" t="str">
        <f aca="false">IF($A52="","",MONTH($A52))</f>
        <v/>
      </c>
      <c r="P52" s="35" t="str">
        <f aca="false">IF($A52="","",ROUNDUP(MONTH($A52)/3,0))</f>
        <v/>
      </c>
      <c r="Q52" s="35" t="str">
        <f aca="false">IF($A52="","",IF(MONTH($A52)&lt;=6,1,2))</f>
        <v/>
      </c>
      <c r="R52" s="35" t="str">
        <f aca="false">IF($E52="","",IFERROR(INDEX(Kontenplan!$F$5:$F$90,MATCH($E52,Kontenplan!$A$5:$A$90,0)),""))</f>
        <v/>
      </c>
      <c r="S52" s="35" t="str">
        <f aca="false">IF($D52="","",IFERROR(INDEX(Kontenplan!$F$5:$F$90,MATCH($D52,Kontenplan!$A$5:$A$90,0)),""))</f>
        <v/>
      </c>
      <c r="T52" s="35" t="str">
        <f aca="false">IF($D52="","",IFERROR(INDEX(Kontenplan!$C$5:$C$90,MATCH($D52,Kontenplan!$A$5:$A$90,0)),"?"))</f>
        <v/>
      </c>
      <c r="U52" s="35" t="str">
        <f aca="false">IF($E52="","",IFERROR(INDEX(Kontenplan!$C$5:$C$90,MATCH($E52,Kontenplan!$A$5:$A$90,0)),"?"))</f>
        <v/>
      </c>
      <c r="V52" s="35" t="str">
        <f aca="false">IF($F52="","",IF(OR($D52="",$E52="",$T52="?",$U52="?"),"Konto prüfen!",IF($A52="","Datum fehlt",IF(YEAR($A52)&lt;&gt;Einstellungen!$B$7,"anderes Jahr!",IF($G52="","MWST-Code fehlt","OK")))))</f>
        <v/>
      </c>
      <c r="W52" s="35" t="str">
        <f aca="false">IF($F52="","",IF(OR($D52=Kontoauszug!$C$4,$E52=Kontoauszug!$C$4),MAX(W$4:W51)+1,""))</f>
        <v/>
      </c>
    </row>
    <row r="53" customFormat="false" ht="15" hidden="false" customHeight="false" outlineLevel="0" collapsed="false">
      <c r="A53" s="33"/>
      <c r="B53" s="32"/>
      <c r="C53" s="32"/>
      <c r="D53" s="32"/>
      <c r="E53" s="32"/>
      <c r="F53" s="30"/>
      <c r="G53" s="32"/>
      <c r="H53" s="34" t="n">
        <f aca="false">IF($G53="",0,IFERROR(INDEX(Einstellungen!$G$5:$G$11,MATCH($G53,Einstellungen!$E$5:$E$11,0)),0))</f>
        <v>0</v>
      </c>
      <c r="I53" s="35" t="str">
        <f aca="false">IF($G53="","-",IFERROR(INDEX(Einstellungen!$H$5:$H$11,MATCH($G53,Einstellungen!$E$5:$E$11,0)),"-"))</f>
        <v>-</v>
      </c>
      <c r="J53" s="35" t="str">
        <f aca="false">IF(AND(Einstellungen!$B$8="Ja",Einstellungen!$B$9="Effektiv"),$I53,"-")</f>
        <v>-</v>
      </c>
      <c r="K53" s="31" t="n">
        <f aca="false">IF(OR($F53="",$J53="-"),0,ROUND($F53-$F53/(1+$H53),2))</f>
        <v>0</v>
      </c>
      <c r="L53" s="31" t="n">
        <f aca="false">IF($F53="",0,$F53-$K53)</f>
        <v>0</v>
      </c>
      <c r="M53" s="31" t="n">
        <f aca="false">IF($F53="",0,IF($J53="V",$L53,$F53))</f>
        <v>0</v>
      </c>
      <c r="N53" s="31" t="n">
        <f aca="false">IF($F53="",0,IF($J53="U",$L53,$F53))</f>
        <v>0</v>
      </c>
      <c r="O53" s="35" t="str">
        <f aca="false">IF($A53="","",MONTH($A53))</f>
        <v/>
      </c>
      <c r="P53" s="35" t="str">
        <f aca="false">IF($A53="","",ROUNDUP(MONTH($A53)/3,0))</f>
        <v/>
      </c>
      <c r="Q53" s="35" t="str">
        <f aca="false">IF($A53="","",IF(MONTH($A53)&lt;=6,1,2))</f>
        <v/>
      </c>
      <c r="R53" s="35" t="str">
        <f aca="false">IF($E53="","",IFERROR(INDEX(Kontenplan!$F$5:$F$90,MATCH($E53,Kontenplan!$A$5:$A$90,0)),""))</f>
        <v/>
      </c>
      <c r="S53" s="35" t="str">
        <f aca="false">IF($D53="","",IFERROR(INDEX(Kontenplan!$F$5:$F$90,MATCH($D53,Kontenplan!$A$5:$A$90,0)),""))</f>
        <v/>
      </c>
      <c r="T53" s="35" t="str">
        <f aca="false">IF($D53="","",IFERROR(INDEX(Kontenplan!$C$5:$C$90,MATCH($D53,Kontenplan!$A$5:$A$90,0)),"?"))</f>
        <v/>
      </c>
      <c r="U53" s="35" t="str">
        <f aca="false">IF($E53="","",IFERROR(INDEX(Kontenplan!$C$5:$C$90,MATCH($E53,Kontenplan!$A$5:$A$90,0)),"?"))</f>
        <v/>
      </c>
      <c r="V53" s="35" t="str">
        <f aca="false">IF($F53="","",IF(OR($D53="",$E53="",$T53="?",$U53="?"),"Konto prüfen!",IF($A53="","Datum fehlt",IF(YEAR($A53)&lt;&gt;Einstellungen!$B$7,"anderes Jahr!",IF($G53="","MWST-Code fehlt","OK")))))</f>
        <v/>
      </c>
      <c r="W53" s="35" t="str">
        <f aca="false">IF($F53="","",IF(OR($D53=Kontoauszug!$C$4,$E53=Kontoauszug!$C$4),MAX(W$4:W52)+1,""))</f>
        <v/>
      </c>
    </row>
    <row r="54" customFormat="false" ht="15" hidden="false" customHeight="false" outlineLevel="0" collapsed="false">
      <c r="A54" s="33"/>
      <c r="B54" s="32"/>
      <c r="C54" s="32"/>
      <c r="D54" s="32"/>
      <c r="E54" s="32"/>
      <c r="F54" s="30"/>
      <c r="G54" s="32"/>
      <c r="H54" s="34" t="n">
        <f aca="false">IF($G54="",0,IFERROR(INDEX(Einstellungen!$G$5:$G$11,MATCH($G54,Einstellungen!$E$5:$E$11,0)),0))</f>
        <v>0</v>
      </c>
      <c r="I54" s="35" t="str">
        <f aca="false">IF($G54="","-",IFERROR(INDEX(Einstellungen!$H$5:$H$11,MATCH($G54,Einstellungen!$E$5:$E$11,0)),"-"))</f>
        <v>-</v>
      </c>
      <c r="J54" s="35" t="str">
        <f aca="false">IF(AND(Einstellungen!$B$8="Ja",Einstellungen!$B$9="Effektiv"),$I54,"-")</f>
        <v>-</v>
      </c>
      <c r="K54" s="31" t="n">
        <f aca="false">IF(OR($F54="",$J54="-"),0,ROUND($F54-$F54/(1+$H54),2))</f>
        <v>0</v>
      </c>
      <c r="L54" s="31" t="n">
        <f aca="false">IF($F54="",0,$F54-$K54)</f>
        <v>0</v>
      </c>
      <c r="M54" s="31" t="n">
        <f aca="false">IF($F54="",0,IF($J54="V",$L54,$F54))</f>
        <v>0</v>
      </c>
      <c r="N54" s="31" t="n">
        <f aca="false">IF($F54="",0,IF($J54="U",$L54,$F54))</f>
        <v>0</v>
      </c>
      <c r="O54" s="35" t="str">
        <f aca="false">IF($A54="","",MONTH($A54))</f>
        <v/>
      </c>
      <c r="P54" s="35" t="str">
        <f aca="false">IF($A54="","",ROUNDUP(MONTH($A54)/3,0))</f>
        <v/>
      </c>
      <c r="Q54" s="35" t="str">
        <f aca="false">IF($A54="","",IF(MONTH($A54)&lt;=6,1,2))</f>
        <v/>
      </c>
      <c r="R54" s="35" t="str">
        <f aca="false">IF($E54="","",IFERROR(INDEX(Kontenplan!$F$5:$F$90,MATCH($E54,Kontenplan!$A$5:$A$90,0)),""))</f>
        <v/>
      </c>
      <c r="S54" s="35" t="str">
        <f aca="false">IF($D54="","",IFERROR(INDEX(Kontenplan!$F$5:$F$90,MATCH($D54,Kontenplan!$A$5:$A$90,0)),""))</f>
        <v/>
      </c>
      <c r="T54" s="35" t="str">
        <f aca="false">IF($D54="","",IFERROR(INDEX(Kontenplan!$C$5:$C$90,MATCH($D54,Kontenplan!$A$5:$A$90,0)),"?"))</f>
        <v/>
      </c>
      <c r="U54" s="35" t="str">
        <f aca="false">IF($E54="","",IFERROR(INDEX(Kontenplan!$C$5:$C$90,MATCH($E54,Kontenplan!$A$5:$A$90,0)),"?"))</f>
        <v/>
      </c>
      <c r="V54" s="35" t="str">
        <f aca="false">IF($F54="","",IF(OR($D54="",$E54="",$T54="?",$U54="?"),"Konto prüfen!",IF($A54="","Datum fehlt",IF(YEAR($A54)&lt;&gt;Einstellungen!$B$7,"anderes Jahr!",IF($G54="","MWST-Code fehlt","OK")))))</f>
        <v/>
      </c>
      <c r="W54" s="35" t="str">
        <f aca="false">IF($F54="","",IF(OR($D54=Kontoauszug!$C$4,$E54=Kontoauszug!$C$4),MAX(W$4:W53)+1,""))</f>
        <v/>
      </c>
    </row>
    <row r="55" customFormat="false" ht="15" hidden="false" customHeight="false" outlineLevel="0" collapsed="false">
      <c r="A55" s="33"/>
      <c r="B55" s="32"/>
      <c r="C55" s="32"/>
      <c r="D55" s="32"/>
      <c r="E55" s="32"/>
      <c r="F55" s="30"/>
      <c r="G55" s="32"/>
      <c r="H55" s="34" t="n">
        <f aca="false">IF($G55="",0,IFERROR(INDEX(Einstellungen!$G$5:$G$11,MATCH($G55,Einstellungen!$E$5:$E$11,0)),0))</f>
        <v>0</v>
      </c>
      <c r="I55" s="35" t="str">
        <f aca="false">IF($G55="","-",IFERROR(INDEX(Einstellungen!$H$5:$H$11,MATCH($G55,Einstellungen!$E$5:$E$11,0)),"-"))</f>
        <v>-</v>
      </c>
      <c r="J55" s="35" t="str">
        <f aca="false">IF(AND(Einstellungen!$B$8="Ja",Einstellungen!$B$9="Effektiv"),$I55,"-")</f>
        <v>-</v>
      </c>
      <c r="K55" s="31" t="n">
        <f aca="false">IF(OR($F55="",$J55="-"),0,ROUND($F55-$F55/(1+$H55),2))</f>
        <v>0</v>
      </c>
      <c r="L55" s="31" t="n">
        <f aca="false">IF($F55="",0,$F55-$K55)</f>
        <v>0</v>
      </c>
      <c r="M55" s="31" t="n">
        <f aca="false">IF($F55="",0,IF($J55="V",$L55,$F55))</f>
        <v>0</v>
      </c>
      <c r="N55" s="31" t="n">
        <f aca="false">IF($F55="",0,IF($J55="U",$L55,$F55))</f>
        <v>0</v>
      </c>
      <c r="O55" s="35" t="str">
        <f aca="false">IF($A55="","",MONTH($A55))</f>
        <v/>
      </c>
      <c r="P55" s="35" t="str">
        <f aca="false">IF($A55="","",ROUNDUP(MONTH($A55)/3,0))</f>
        <v/>
      </c>
      <c r="Q55" s="35" t="str">
        <f aca="false">IF($A55="","",IF(MONTH($A55)&lt;=6,1,2))</f>
        <v/>
      </c>
      <c r="R55" s="35" t="str">
        <f aca="false">IF($E55="","",IFERROR(INDEX(Kontenplan!$F$5:$F$90,MATCH($E55,Kontenplan!$A$5:$A$90,0)),""))</f>
        <v/>
      </c>
      <c r="S55" s="35" t="str">
        <f aca="false">IF($D55="","",IFERROR(INDEX(Kontenplan!$F$5:$F$90,MATCH($D55,Kontenplan!$A$5:$A$90,0)),""))</f>
        <v/>
      </c>
      <c r="T55" s="35" t="str">
        <f aca="false">IF($D55="","",IFERROR(INDEX(Kontenplan!$C$5:$C$90,MATCH($D55,Kontenplan!$A$5:$A$90,0)),"?"))</f>
        <v/>
      </c>
      <c r="U55" s="35" t="str">
        <f aca="false">IF($E55="","",IFERROR(INDEX(Kontenplan!$C$5:$C$90,MATCH($E55,Kontenplan!$A$5:$A$90,0)),"?"))</f>
        <v/>
      </c>
      <c r="V55" s="35" t="str">
        <f aca="false">IF($F55="","",IF(OR($D55="",$E55="",$T55="?",$U55="?"),"Konto prüfen!",IF($A55="","Datum fehlt",IF(YEAR($A55)&lt;&gt;Einstellungen!$B$7,"anderes Jahr!",IF($G55="","MWST-Code fehlt","OK")))))</f>
        <v/>
      </c>
      <c r="W55" s="35" t="str">
        <f aca="false">IF($F55="","",IF(OR($D55=Kontoauszug!$C$4,$E55=Kontoauszug!$C$4),MAX(W$4:W54)+1,""))</f>
        <v/>
      </c>
    </row>
    <row r="56" customFormat="false" ht="15" hidden="false" customHeight="false" outlineLevel="0" collapsed="false">
      <c r="A56" s="33"/>
      <c r="B56" s="32"/>
      <c r="C56" s="32"/>
      <c r="D56" s="32"/>
      <c r="E56" s="32"/>
      <c r="F56" s="30"/>
      <c r="G56" s="32"/>
      <c r="H56" s="34" t="n">
        <f aca="false">IF($G56="",0,IFERROR(INDEX(Einstellungen!$G$5:$G$11,MATCH($G56,Einstellungen!$E$5:$E$11,0)),0))</f>
        <v>0</v>
      </c>
      <c r="I56" s="35" t="str">
        <f aca="false">IF($G56="","-",IFERROR(INDEX(Einstellungen!$H$5:$H$11,MATCH($G56,Einstellungen!$E$5:$E$11,0)),"-"))</f>
        <v>-</v>
      </c>
      <c r="J56" s="35" t="str">
        <f aca="false">IF(AND(Einstellungen!$B$8="Ja",Einstellungen!$B$9="Effektiv"),$I56,"-")</f>
        <v>-</v>
      </c>
      <c r="K56" s="31" t="n">
        <f aca="false">IF(OR($F56="",$J56="-"),0,ROUND($F56-$F56/(1+$H56),2))</f>
        <v>0</v>
      </c>
      <c r="L56" s="31" t="n">
        <f aca="false">IF($F56="",0,$F56-$K56)</f>
        <v>0</v>
      </c>
      <c r="M56" s="31" t="n">
        <f aca="false">IF($F56="",0,IF($J56="V",$L56,$F56))</f>
        <v>0</v>
      </c>
      <c r="N56" s="31" t="n">
        <f aca="false">IF($F56="",0,IF($J56="U",$L56,$F56))</f>
        <v>0</v>
      </c>
      <c r="O56" s="35" t="str">
        <f aca="false">IF($A56="","",MONTH($A56))</f>
        <v/>
      </c>
      <c r="P56" s="35" t="str">
        <f aca="false">IF($A56="","",ROUNDUP(MONTH($A56)/3,0))</f>
        <v/>
      </c>
      <c r="Q56" s="35" t="str">
        <f aca="false">IF($A56="","",IF(MONTH($A56)&lt;=6,1,2))</f>
        <v/>
      </c>
      <c r="R56" s="35" t="str">
        <f aca="false">IF($E56="","",IFERROR(INDEX(Kontenplan!$F$5:$F$90,MATCH($E56,Kontenplan!$A$5:$A$90,0)),""))</f>
        <v/>
      </c>
      <c r="S56" s="35" t="str">
        <f aca="false">IF($D56="","",IFERROR(INDEX(Kontenplan!$F$5:$F$90,MATCH($D56,Kontenplan!$A$5:$A$90,0)),""))</f>
        <v/>
      </c>
      <c r="T56" s="35" t="str">
        <f aca="false">IF($D56="","",IFERROR(INDEX(Kontenplan!$C$5:$C$90,MATCH($D56,Kontenplan!$A$5:$A$90,0)),"?"))</f>
        <v/>
      </c>
      <c r="U56" s="35" t="str">
        <f aca="false">IF($E56="","",IFERROR(INDEX(Kontenplan!$C$5:$C$90,MATCH($E56,Kontenplan!$A$5:$A$90,0)),"?"))</f>
        <v/>
      </c>
      <c r="V56" s="35" t="str">
        <f aca="false">IF($F56="","",IF(OR($D56="",$E56="",$T56="?",$U56="?"),"Konto prüfen!",IF($A56="","Datum fehlt",IF(YEAR($A56)&lt;&gt;Einstellungen!$B$7,"anderes Jahr!",IF($G56="","MWST-Code fehlt","OK")))))</f>
        <v/>
      </c>
      <c r="W56" s="35" t="str">
        <f aca="false">IF($F56="","",IF(OR($D56=Kontoauszug!$C$4,$E56=Kontoauszug!$C$4),MAX(W$4:W55)+1,""))</f>
        <v/>
      </c>
    </row>
    <row r="57" customFormat="false" ht="15" hidden="false" customHeight="false" outlineLevel="0" collapsed="false">
      <c r="A57" s="33"/>
      <c r="B57" s="32"/>
      <c r="C57" s="32"/>
      <c r="D57" s="32"/>
      <c r="E57" s="32"/>
      <c r="F57" s="30"/>
      <c r="G57" s="32"/>
      <c r="H57" s="34" t="n">
        <f aca="false">IF($G57="",0,IFERROR(INDEX(Einstellungen!$G$5:$G$11,MATCH($G57,Einstellungen!$E$5:$E$11,0)),0))</f>
        <v>0</v>
      </c>
      <c r="I57" s="35" t="str">
        <f aca="false">IF($G57="","-",IFERROR(INDEX(Einstellungen!$H$5:$H$11,MATCH($G57,Einstellungen!$E$5:$E$11,0)),"-"))</f>
        <v>-</v>
      </c>
      <c r="J57" s="35" t="str">
        <f aca="false">IF(AND(Einstellungen!$B$8="Ja",Einstellungen!$B$9="Effektiv"),$I57,"-")</f>
        <v>-</v>
      </c>
      <c r="K57" s="31" t="n">
        <f aca="false">IF(OR($F57="",$J57="-"),0,ROUND($F57-$F57/(1+$H57),2))</f>
        <v>0</v>
      </c>
      <c r="L57" s="31" t="n">
        <f aca="false">IF($F57="",0,$F57-$K57)</f>
        <v>0</v>
      </c>
      <c r="M57" s="31" t="n">
        <f aca="false">IF($F57="",0,IF($J57="V",$L57,$F57))</f>
        <v>0</v>
      </c>
      <c r="N57" s="31" t="n">
        <f aca="false">IF($F57="",0,IF($J57="U",$L57,$F57))</f>
        <v>0</v>
      </c>
      <c r="O57" s="35" t="str">
        <f aca="false">IF($A57="","",MONTH($A57))</f>
        <v/>
      </c>
      <c r="P57" s="35" t="str">
        <f aca="false">IF($A57="","",ROUNDUP(MONTH($A57)/3,0))</f>
        <v/>
      </c>
      <c r="Q57" s="35" t="str">
        <f aca="false">IF($A57="","",IF(MONTH($A57)&lt;=6,1,2))</f>
        <v/>
      </c>
      <c r="R57" s="35" t="str">
        <f aca="false">IF($E57="","",IFERROR(INDEX(Kontenplan!$F$5:$F$90,MATCH($E57,Kontenplan!$A$5:$A$90,0)),""))</f>
        <v/>
      </c>
      <c r="S57" s="35" t="str">
        <f aca="false">IF($D57="","",IFERROR(INDEX(Kontenplan!$F$5:$F$90,MATCH($D57,Kontenplan!$A$5:$A$90,0)),""))</f>
        <v/>
      </c>
      <c r="T57" s="35" t="str">
        <f aca="false">IF($D57="","",IFERROR(INDEX(Kontenplan!$C$5:$C$90,MATCH($D57,Kontenplan!$A$5:$A$90,0)),"?"))</f>
        <v/>
      </c>
      <c r="U57" s="35" t="str">
        <f aca="false">IF($E57="","",IFERROR(INDEX(Kontenplan!$C$5:$C$90,MATCH($E57,Kontenplan!$A$5:$A$90,0)),"?"))</f>
        <v/>
      </c>
      <c r="V57" s="35" t="str">
        <f aca="false">IF($F57="","",IF(OR($D57="",$E57="",$T57="?",$U57="?"),"Konto prüfen!",IF($A57="","Datum fehlt",IF(YEAR($A57)&lt;&gt;Einstellungen!$B$7,"anderes Jahr!",IF($G57="","MWST-Code fehlt","OK")))))</f>
        <v/>
      </c>
      <c r="W57" s="35" t="str">
        <f aca="false">IF($F57="","",IF(OR($D57=Kontoauszug!$C$4,$E57=Kontoauszug!$C$4),MAX(W$4:W56)+1,""))</f>
        <v/>
      </c>
    </row>
    <row r="58" customFormat="false" ht="15" hidden="false" customHeight="false" outlineLevel="0" collapsed="false">
      <c r="A58" s="33"/>
      <c r="B58" s="32"/>
      <c r="C58" s="32"/>
      <c r="D58" s="32"/>
      <c r="E58" s="32"/>
      <c r="F58" s="30"/>
      <c r="G58" s="32"/>
      <c r="H58" s="34" t="n">
        <f aca="false">IF($G58="",0,IFERROR(INDEX(Einstellungen!$G$5:$G$11,MATCH($G58,Einstellungen!$E$5:$E$11,0)),0))</f>
        <v>0</v>
      </c>
      <c r="I58" s="35" t="str">
        <f aca="false">IF($G58="","-",IFERROR(INDEX(Einstellungen!$H$5:$H$11,MATCH($G58,Einstellungen!$E$5:$E$11,0)),"-"))</f>
        <v>-</v>
      </c>
      <c r="J58" s="35" t="str">
        <f aca="false">IF(AND(Einstellungen!$B$8="Ja",Einstellungen!$B$9="Effektiv"),$I58,"-")</f>
        <v>-</v>
      </c>
      <c r="K58" s="31" t="n">
        <f aca="false">IF(OR($F58="",$J58="-"),0,ROUND($F58-$F58/(1+$H58),2))</f>
        <v>0</v>
      </c>
      <c r="L58" s="31" t="n">
        <f aca="false">IF($F58="",0,$F58-$K58)</f>
        <v>0</v>
      </c>
      <c r="M58" s="31" t="n">
        <f aca="false">IF($F58="",0,IF($J58="V",$L58,$F58))</f>
        <v>0</v>
      </c>
      <c r="N58" s="31" t="n">
        <f aca="false">IF($F58="",0,IF($J58="U",$L58,$F58))</f>
        <v>0</v>
      </c>
      <c r="O58" s="35" t="str">
        <f aca="false">IF($A58="","",MONTH($A58))</f>
        <v/>
      </c>
      <c r="P58" s="35" t="str">
        <f aca="false">IF($A58="","",ROUNDUP(MONTH($A58)/3,0))</f>
        <v/>
      </c>
      <c r="Q58" s="35" t="str">
        <f aca="false">IF($A58="","",IF(MONTH($A58)&lt;=6,1,2))</f>
        <v/>
      </c>
      <c r="R58" s="35" t="str">
        <f aca="false">IF($E58="","",IFERROR(INDEX(Kontenplan!$F$5:$F$90,MATCH($E58,Kontenplan!$A$5:$A$90,0)),""))</f>
        <v/>
      </c>
      <c r="S58" s="35" t="str">
        <f aca="false">IF($D58="","",IFERROR(INDEX(Kontenplan!$F$5:$F$90,MATCH($D58,Kontenplan!$A$5:$A$90,0)),""))</f>
        <v/>
      </c>
      <c r="T58" s="35" t="str">
        <f aca="false">IF($D58="","",IFERROR(INDEX(Kontenplan!$C$5:$C$90,MATCH($D58,Kontenplan!$A$5:$A$90,0)),"?"))</f>
        <v/>
      </c>
      <c r="U58" s="35" t="str">
        <f aca="false">IF($E58="","",IFERROR(INDEX(Kontenplan!$C$5:$C$90,MATCH($E58,Kontenplan!$A$5:$A$90,0)),"?"))</f>
        <v/>
      </c>
      <c r="V58" s="35" t="str">
        <f aca="false">IF($F58="","",IF(OR($D58="",$E58="",$T58="?",$U58="?"),"Konto prüfen!",IF($A58="","Datum fehlt",IF(YEAR($A58)&lt;&gt;Einstellungen!$B$7,"anderes Jahr!",IF($G58="","MWST-Code fehlt","OK")))))</f>
        <v/>
      </c>
      <c r="W58" s="35" t="str">
        <f aca="false">IF($F58="","",IF(OR($D58=Kontoauszug!$C$4,$E58=Kontoauszug!$C$4),MAX(W$4:W57)+1,""))</f>
        <v/>
      </c>
    </row>
    <row r="59" customFormat="false" ht="15" hidden="false" customHeight="false" outlineLevel="0" collapsed="false">
      <c r="A59" s="33"/>
      <c r="B59" s="32"/>
      <c r="C59" s="32"/>
      <c r="D59" s="32"/>
      <c r="E59" s="32"/>
      <c r="F59" s="30"/>
      <c r="G59" s="32"/>
      <c r="H59" s="34" t="n">
        <f aca="false">IF($G59="",0,IFERROR(INDEX(Einstellungen!$G$5:$G$11,MATCH($G59,Einstellungen!$E$5:$E$11,0)),0))</f>
        <v>0</v>
      </c>
      <c r="I59" s="35" t="str">
        <f aca="false">IF($G59="","-",IFERROR(INDEX(Einstellungen!$H$5:$H$11,MATCH($G59,Einstellungen!$E$5:$E$11,0)),"-"))</f>
        <v>-</v>
      </c>
      <c r="J59" s="35" t="str">
        <f aca="false">IF(AND(Einstellungen!$B$8="Ja",Einstellungen!$B$9="Effektiv"),$I59,"-")</f>
        <v>-</v>
      </c>
      <c r="K59" s="31" t="n">
        <f aca="false">IF(OR($F59="",$J59="-"),0,ROUND($F59-$F59/(1+$H59),2))</f>
        <v>0</v>
      </c>
      <c r="L59" s="31" t="n">
        <f aca="false">IF($F59="",0,$F59-$K59)</f>
        <v>0</v>
      </c>
      <c r="M59" s="31" t="n">
        <f aca="false">IF($F59="",0,IF($J59="V",$L59,$F59))</f>
        <v>0</v>
      </c>
      <c r="N59" s="31" t="n">
        <f aca="false">IF($F59="",0,IF($J59="U",$L59,$F59))</f>
        <v>0</v>
      </c>
      <c r="O59" s="35" t="str">
        <f aca="false">IF($A59="","",MONTH($A59))</f>
        <v/>
      </c>
      <c r="P59" s="35" t="str">
        <f aca="false">IF($A59="","",ROUNDUP(MONTH($A59)/3,0))</f>
        <v/>
      </c>
      <c r="Q59" s="35" t="str">
        <f aca="false">IF($A59="","",IF(MONTH($A59)&lt;=6,1,2))</f>
        <v/>
      </c>
      <c r="R59" s="35" t="str">
        <f aca="false">IF($E59="","",IFERROR(INDEX(Kontenplan!$F$5:$F$90,MATCH($E59,Kontenplan!$A$5:$A$90,0)),""))</f>
        <v/>
      </c>
      <c r="S59" s="35" t="str">
        <f aca="false">IF($D59="","",IFERROR(INDEX(Kontenplan!$F$5:$F$90,MATCH($D59,Kontenplan!$A$5:$A$90,0)),""))</f>
        <v/>
      </c>
      <c r="T59" s="35" t="str">
        <f aca="false">IF($D59="","",IFERROR(INDEX(Kontenplan!$C$5:$C$90,MATCH($D59,Kontenplan!$A$5:$A$90,0)),"?"))</f>
        <v/>
      </c>
      <c r="U59" s="35" t="str">
        <f aca="false">IF($E59="","",IFERROR(INDEX(Kontenplan!$C$5:$C$90,MATCH($E59,Kontenplan!$A$5:$A$90,0)),"?"))</f>
        <v/>
      </c>
      <c r="V59" s="35" t="str">
        <f aca="false">IF($F59="","",IF(OR($D59="",$E59="",$T59="?",$U59="?"),"Konto prüfen!",IF($A59="","Datum fehlt",IF(YEAR($A59)&lt;&gt;Einstellungen!$B$7,"anderes Jahr!",IF($G59="","MWST-Code fehlt","OK")))))</f>
        <v/>
      </c>
      <c r="W59" s="35" t="str">
        <f aca="false">IF($F59="","",IF(OR($D59=Kontoauszug!$C$4,$E59=Kontoauszug!$C$4),MAX(W$4:W58)+1,""))</f>
        <v/>
      </c>
    </row>
    <row r="60" customFormat="false" ht="15" hidden="false" customHeight="false" outlineLevel="0" collapsed="false">
      <c r="A60" s="33"/>
      <c r="B60" s="32"/>
      <c r="C60" s="32"/>
      <c r="D60" s="32"/>
      <c r="E60" s="32"/>
      <c r="F60" s="30"/>
      <c r="G60" s="32"/>
      <c r="H60" s="34" t="n">
        <f aca="false">IF($G60="",0,IFERROR(INDEX(Einstellungen!$G$5:$G$11,MATCH($G60,Einstellungen!$E$5:$E$11,0)),0))</f>
        <v>0</v>
      </c>
      <c r="I60" s="35" t="str">
        <f aca="false">IF($G60="","-",IFERROR(INDEX(Einstellungen!$H$5:$H$11,MATCH($G60,Einstellungen!$E$5:$E$11,0)),"-"))</f>
        <v>-</v>
      </c>
      <c r="J60" s="35" t="str">
        <f aca="false">IF(AND(Einstellungen!$B$8="Ja",Einstellungen!$B$9="Effektiv"),$I60,"-")</f>
        <v>-</v>
      </c>
      <c r="K60" s="31" t="n">
        <f aca="false">IF(OR($F60="",$J60="-"),0,ROUND($F60-$F60/(1+$H60),2))</f>
        <v>0</v>
      </c>
      <c r="L60" s="31" t="n">
        <f aca="false">IF($F60="",0,$F60-$K60)</f>
        <v>0</v>
      </c>
      <c r="M60" s="31" t="n">
        <f aca="false">IF($F60="",0,IF($J60="V",$L60,$F60))</f>
        <v>0</v>
      </c>
      <c r="N60" s="31" t="n">
        <f aca="false">IF($F60="",0,IF($J60="U",$L60,$F60))</f>
        <v>0</v>
      </c>
      <c r="O60" s="35" t="str">
        <f aca="false">IF($A60="","",MONTH($A60))</f>
        <v/>
      </c>
      <c r="P60" s="35" t="str">
        <f aca="false">IF($A60="","",ROUNDUP(MONTH($A60)/3,0))</f>
        <v/>
      </c>
      <c r="Q60" s="35" t="str">
        <f aca="false">IF($A60="","",IF(MONTH($A60)&lt;=6,1,2))</f>
        <v/>
      </c>
      <c r="R60" s="35" t="str">
        <f aca="false">IF($E60="","",IFERROR(INDEX(Kontenplan!$F$5:$F$90,MATCH($E60,Kontenplan!$A$5:$A$90,0)),""))</f>
        <v/>
      </c>
      <c r="S60" s="35" t="str">
        <f aca="false">IF($D60="","",IFERROR(INDEX(Kontenplan!$F$5:$F$90,MATCH($D60,Kontenplan!$A$5:$A$90,0)),""))</f>
        <v/>
      </c>
      <c r="T60" s="35" t="str">
        <f aca="false">IF($D60="","",IFERROR(INDEX(Kontenplan!$C$5:$C$90,MATCH($D60,Kontenplan!$A$5:$A$90,0)),"?"))</f>
        <v/>
      </c>
      <c r="U60" s="35" t="str">
        <f aca="false">IF($E60="","",IFERROR(INDEX(Kontenplan!$C$5:$C$90,MATCH($E60,Kontenplan!$A$5:$A$90,0)),"?"))</f>
        <v/>
      </c>
      <c r="V60" s="35" t="str">
        <f aca="false">IF($F60="","",IF(OR($D60="",$E60="",$T60="?",$U60="?"),"Konto prüfen!",IF($A60="","Datum fehlt",IF(YEAR($A60)&lt;&gt;Einstellungen!$B$7,"anderes Jahr!",IF($G60="","MWST-Code fehlt","OK")))))</f>
        <v/>
      </c>
      <c r="W60" s="35" t="str">
        <f aca="false">IF($F60="","",IF(OR($D60=Kontoauszug!$C$4,$E60=Kontoauszug!$C$4),MAX(W$4:W59)+1,""))</f>
        <v/>
      </c>
    </row>
    <row r="61" customFormat="false" ht="15" hidden="false" customHeight="false" outlineLevel="0" collapsed="false">
      <c r="A61" s="33"/>
      <c r="B61" s="32"/>
      <c r="C61" s="32"/>
      <c r="D61" s="32"/>
      <c r="E61" s="32"/>
      <c r="F61" s="30"/>
      <c r="G61" s="32"/>
      <c r="H61" s="34" t="n">
        <f aca="false">IF($G61="",0,IFERROR(INDEX(Einstellungen!$G$5:$G$11,MATCH($G61,Einstellungen!$E$5:$E$11,0)),0))</f>
        <v>0</v>
      </c>
      <c r="I61" s="35" t="str">
        <f aca="false">IF($G61="","-",IFERROR(INDEX(Einstellungen!$H$5:$H$11,MATCH($G61,Einstellungen!$E$5:$E$11,0)),"-"))</f>
        <v>-</v>
      </c>
      <c r="J61" s="35" t="str">
        <f aca="false">IF(AND(Einstellungen!$B$8="Ja",Einstellungen!$B$9="Effektiv"),$I61,"-")</f>
        <v>-</v>
      </c>
      <c r="K61" s="31" t="n">
        <f aca="false">IF(OR($F61="",$J61="-"),0,ROUND($F61-$F61/(1+$H61),2))</f>
        <v>0</v>
      </c>
      <c r="L61" s="31" t="n">
        <f aca="false">IF($F61="",0,$F61-$K61)</f>
        <v>0</v>
      </c>
      <c r="M61" s="31" t="n">
        <f aca="false">IF($F61="",0,IF($J61="V",$L61,$F61))</f>
        <v>0</v>
      </c>
      <c r="N61" s="31" t="n">
        <f aca="false">IF($F61="",0,IF($J61="U",$L61,$F61))</f>
        <v>0</v>
      </c>
      <c r="O61" s="35" t="str">
        <f aca="false">IF($A61="","",MONTH($A61))</f>
        <v/>
      </c>
      <c r="P61" s="35" t="str">
        <f aca="false">IF($A61="","",ROUNDUP(MONTH($A61)/3,0))</f>
        <v/>
      </c>
      <c r="Q61" s="35" t="str">
        <f aca="false">IF($A61="","",IF(MONTH($A61)&lt;=6,1,2))</f>
        <v/>
      </c>
      <c r="R61" s="35" t="str">
        <f aca="false">IF($E61="","",IFERROR(INDEX(Kontenplan!$F$5:$F$90,MATCH($E61,Kontenplan!$A$5:$A$90,0)),""))</f>
        <v/>
      </c>
      <c r="S61" s="35" t="str">
        <f aca="false">IF($D61="","",IFERROR(INDEX(Kontenplan!$F$5:$F$90,MATCH($D61,Kontenplan!$A$5:$A$90,0)),""))</f>
        <v/>
      </c>
      <c r="T61" s="35" t="str">
        <f aca="false">IF($D61="","",IFERROR(INDEX(Kontenplan!$C$5:$C$90,MATCH($D61,Kontenplan!$A$5:$A$90,0)),"?"))</f>
        <v/>
      </c>
      <c r="U61" s="35" t="str">
        <f aca="false">IF($E61="","",IFERROR(INDEX(Kontenplan!$C$5:$C$90,MATCH($E61,Kontenplan!$A$5:$A$90,0)),"?"))</f>
        <v/>
      </c>
      <c r="V61" s="35" t="str">
        <f aca="false">IF($F61="","",IF(OR($D61="",$E61="",$T61="?",$U61="?"),"Konto prüfen!",IF($A61="","Datum fehlt",IF(YEAR($A61)&lt;&gt;Einstellungen!$B$7,"anderes Jahr!",IF($G61="","MWST-Code fehlt","OK")))))</f>
        <v/>
      </c>
      <c r="W61" s="35" t="str">
        <f aca="false">IF($F61="","",IF(OR($D61=Kontoauszug!$C$4,$E61=Kontoauszug!$C$4),MAX(W$4:W60)+1,""))</f>
        <v/>
      </c>
    </row>
    <row r="62" customFormat="false" ht="15" hidden="false" customHeight="false" outlineLevel="0" collapsed="false">
      <c r="A62" s="33"/>
      <c r="B62" s="32"/>
      <c r="C62" s="32"/>
      <c r="D62" s="32"/>
      <c r="E62" s="32"/>
      <c r="F62" s="30"/>
      <c r="G62" s="32"/>
      <c r="H62" s="34" t="n">
        <f aca="false">IF($G62="",0,IFERROR(INDEX(Einstellungen!$G$5:$G$11,MATCH($G62,Einstellungen!$E$5:$E$11,0)),0))</f>
        <v>0</v>
      </c>
      <c r="I62" s="35" t="str">
        <f aca="false">IF($G62="","-",IFERROR(INDEX(Einstellungen!$H$5:$H$11,MATCH($G62,Einstellungen!$E$5:$E$11,0)),"-"))</f>
        <v>-</v>
      </c>
      <c r="J62" s="35" t="str">
        <f aca="false">IF(AND(Einstellungen!$B$8="Ja",Einstellungen!$B$9="Effektiv"),$I62,"-")</f>
        <v>-</v>
      </c>
      <c r="K62" s="31" t="n">
        <f aca="false">IF(OR($F62="",$J62="-"),0,ROUND($F62-$F62/(1+$H62),2))</f>
        <v>0</v>
      </c>
      <c r="L62" s="31" t="n">
        <f aca="false">IF($F62="",0,$F62-$K62)</f>
        <v>0</v>
      </c>
      <c r="M62" s="31" t="n">
        <f aca="false">IF($F62="",0,IF($J62="V",$L62,$F62))</f>
        <v>0</v>
      </c>
      <c r="N62" s="31" t="n">
        <f aca="false">IF($F62="",0,IF($J62="U",$L62,$F62))</f>
        <v>0</v>
      </c>
      <c r="O62" s="35" t="str">
        <f aca="false">IF($A62="","",MONTH($A62))</f>
        <v/>
      </c>
      <c r="P62" s="35" t="str">
        <f aca="false">IF($A62="","",ROUNDUP(MONTH($A62)/3,0))</f>
        <v/>
      </c>
      <c r="Q62" s="35" t="str">
        <f aca="false">IF($A62="","",IF(MONTH($A62)&lt;=6,1,2))</f>
        <v/>
      </c>
      <c r="R62" s="35" t="str">
        <f aca="false">IF($E62="","",IFERROR(INDEX(Kontenplan!$F$5:$F$90,MATCH($E62,Kontenplan!$A$5:$A$90,0)),""))</f>
        <v/>
      </c>
      <c r="S62" s="35" t="str">
        <f aca="false">IF($D62="","",IFERROR(INDEX(Kontenplan!$F$5:$F$90,MATCH($D62,Kontenplan!$A$5:$A$90,0)),""))</f>
        <v/>
      </c>
      <c r="T62" s="35" t="str">
        <f aca="false">IF($D62="","",IFERROR(INDEX(Kontenplan!$C$5:$C$90,MATCH($D62,Kontenplan!$A$5:$A$90,0)),"?"))</f>
        <v/>
      </c>
      <c r="U62" s="35" t="str">
        <f aca="false">IF($E62="","",IFERROR(INDEX(Kontenplan!$C$5:$C$90,MATCH($E62,Kontenplan!$A$5:$A$90,0)),"?"))</f>
        <v/>
      </c>
      <c r="V62" s="35" t="str">
        <f aca="false">IF($F62="","",IF(OR($D62="",$E62="",$T62="?",$U62="?"),"Konto prüfen!",IF($A62="","Datum fehlt",IF(YEAR($A62)&lt;&gt;Einstellungen!$B$7,"anderes Jahr!",IF($G62="","MWST-Code fehlt","OK")))))</f>
        <v/>
      </c>
      <c r="W62" s="35" t="str">
        <f aca="false">IF($F62="","",IF(OR($D62=Kontoauszug!$C$4,$E62=Kontoauszug!$C$4),MAX(W$4:W61)+1,""))</f>
        <v/>
      </c>
    </row>
    <row r="63" customFormat="false" ht="15" hidden="false" customHeight="false" outlineLevel="0" collapsed="false">
      <c r="A63" s="33"/>
      <c r="B63" s="32"/>
      <c r="C63" s="32"/>
      <c r="D63" s="32"/>
      <c r="E63" s="32"/>
      <c r="F63" s="30"/>
      <c r="G63" s="32"/>
      <c r="H63" s="34" t="n">
        <f aca="false">IF($G63="",0,IFERROR(INDEX(Einstellungen!$G$5:$G$11,MATCH($G63,Einstellungen!$E$5:$E$11,0)),0))</f>
        <v>0</v>
      </c>
      <c r="I63" s="35" t="str">
        <f aca="false">IF($G63="","-",IFERROR(INDEX(Einstellungen!$H$5:$H$11,MATCH($G63,Einstellungen!$E$5:$E$11,0)),"-"))</f>
        <v>-</v>
      </c>
      <c r="J63" s="35" t="str">
        <f aca="false">IF(AND(Einstellungen!$B$8="Ja",Einstellungen!$B$9="Effektiv"),$I63,"-")</f>
        <v>-</v>
      </c>
      <c r="K63" s="31" t="n">
        <f aca="false">IF(OR($F63="",$J63="-"),0,ROUND($F63-$F63/(1+$H63),2))</f>
        <v>0</v>
      </c>
      <c r="L63" s="31" t="n">
        <f aca="false">IF($F63="",0,$F63-$K63)</f>
        <v>0</v>
      </c>
      <c r="M63" s="31" t="n">
        <f aca="false">IF($F63="",0,IF($J63="V",$L63,$F63))</f>
        <v>0</v>
      </c>
      <c r="N63" s="31" t="n">
        <f aca="false">IF($F63="",0,IF($J63="U",$L63,$F63))</f>
        <v>0</v>
      </c>
      <c r="O63" s="35" t="str">
        <f aca="false">IF($A63="","",MONTH($A63))</f>
        <v/>
      </c>
      <c r="P63" s="35" t="str">
        <f aca="false">IF($A63="","",ROUNDUP(MONTH($A63)/3,0))</f>
        <v/>
      </c>
      <c r="Q63" s="35" t="str">
        <f aca="false">IF($A63="","",IF(MONTH($A63)&lt;=6,1,2))</f>
        <v/>
      </c>
      <c r="R63" s="35" t="str">
        <f aca="false">IF($E63="","",IFERROR(INDEX(Kontenplan!$F$5:$F$90,MATCH($E63,Kontenplan!$A$5:$A$90,0)),""))</f>
        <v/>
      </c>
      <c r="S63" s="35" t="str">
        <f aca="false">IF($D63="","",IFERROR(INDEX(Kontenplan!$F$5:$F$90,MATCH($D63,Kontenplan!$A$5:$A$90,0)),""))</f>
        <v/>
      </c>
      <c r="T63" s="35" t="str">
        <f aca="false">IF($D63="","",IFERROR(INDEX(Kontenplan!$C$5:$C$90,MATCH($D63,Kontenplan!$A$5:$A$90,0)),"?"))</f>
        <v/>
      </c>
      <c r="U63" s="35" t="str">
        <f aca="false">IF($E63="","",IFERROR(INDEX(Kontenplan!$C$5:$C$90,MATCH($E63,Kontenplan!$A$5:$A$90,0)),"?"))</f>
        <v/>
      </c>
      <c r="V63" s="35" t="str">
        <f aca="false">IF($F63="","",IF(OR($D63="",$E63="",$T63="?",$U63="?"),"Konto prüfen!",IF($A63="","Datum fehlt",IF(YEAR($A63)&lt;&gt;Einstellungen!$B$7,"anderes Jahr!",IF($G63="","MWST-Code fehlt","OK")))))</f>
        <v/>
      </c>
      <c r="W63" s="35" t="str">
        <f aca="false">IF($F63="","",IF(OR($D63=Kontoauszug!$C$4,$E63=Kontoauszug!$C$4),MAX(W$4:W62)+1,""))</f>
        <v/>
      </c>
    </row>
    <row r="64" customFormat="false" ht="15" hidden="false" customHeight="false" outlineLevel="0" collapsed="false">
      <c r="A64" s="33"/>
      <c r="B64" s="32"/>
      <c r="C64" s="32"/>
      <c r="D64" s="32"/>
      <c r="E64" s="32"/>
      <c r="F64" s="30"/>
      <c r="G64" s="32"/>
      <c r="H64" s="34" t="n">
        <f aca="false">IF($G64="",0,IFERROR(INDEX(Einstellungen!$G$5:$G$11,MATCH($G64,Einstellungen!$E$5:$E$11,0)),0))</f>
        <v>0</v>
      </c>
      <c r="I64" s="35" t="str">
        <f aca="false">IF($G64="","-",IFERROR(INDEX(Einstellungen!$H$5:$H$11,MATCH($G64,Einstellungen!$E$5:$E$11,0)),"-"))</f>
        <v>-</v>
      </c>
      <c r="J64" s="35" t="str">
        <f aca="false">IF(AND(Einstellungen!$B$8="Ja",Einstellungen!$B$9="Effektiv"),$I64,"-")</f>
        <v>-</v>
      </c>
      <c r="K64" s="31" t="n">
        <f aca="false">IF(OR($F64="",$J64="-"),0,ROUND($F64-$F64/(1+$H64),2))</f>
        <v>0</v>
      </c>
      <c r="L64" s="31" t="n">
        <f aca="false">IF($F64="",0,$F64-$K64)</f>
        <v>0</v>
      </c>
      <c r="M64" s="31" t="n">
        <f aca="false">IF($F64="",0,IF($J64="V",$L64,$F64))</f>
        <v>0</v>
      </c>
      <c r="N64" s="31" t="n">
        <f aca="false">IF($F64="",0,IF($J64="U",$L64,$F64))</f>
        <v>0</v>
      </c>
      <c r="O64" s="35" t="str">
        <f aca="false">IF($A64="","",MONTH($A64))</f>
        <v/>
      </c>
      <c r="P64" s="35" t="str">
        <f aca="false">IF($A64="","",ROUNDUP(MONTH($A64)/3,0))</f>
        <v/>
      </c>
      <c r="Q64" s="35" t="str">
        <f aca="false">IF($A64="","",IF(MONTH($A64)&lt;=6,1,2))</f>
        <v/>
      </c>
      <c r="R64" s="35" t="str">
        <f aca="false">IF($E64="","",IFERROR(INDEX(Kontenplan!$F$5:$F$90,MATCH($E64,Kontenplan!$A$5:$A$90,0)),""))</f>
        <v/>
      </c>
      <c r="S64" s="35" t="str">
        <f aca="false">IF($D64="","",IFERROR(INDEX(Kontenplan!$F$5:$F$90,MATCH($D64,Kontenplan!$A$5:$A$90,0)),""))</f>
        <v/>
      </c>
      <c r="T64" s="35" t="str">
        <f aca="false">IF($D64="","",IFERROR(INDEX(Kontenplan!$C$5:$C$90,MATCH($D64,Kontenplan!$A$5:$A$90,0)),"?"))</f>
        <v/>
      </c>
      <c r="U64" s="35" t="str">
        <f aca="false">IF($E64="","",IFERROR(INDEX(Kontenplan!$C$5:$C$90,MATCH($E64,Kontenplan!$A$5:$A$90,0)),"?"))</f>
        <v/>
      </c>
      <c r="V64" s="35" t="str">
        <f aca="false">IF($F64="","",IF(OR($D64="",$E64="",$T64="?",$U64="?"),"Konto prüfen!",IF($A64="","Datum fehlt",IF(YEAR($A64)&lt;&gt;Einstellungen!$B$7,"anderes Jahr!",IF($G64="","MWST-Code fehlt","OK")))))</f>
        <v/>
      </c>
      <c r="W64" s="35" t="str">
        <f aca="false">IF($F64="","",IF(OR($D64=Kontoauszug!$C$4,$E64=Kontoauszug!$C$4),MAX(W$4:W63)+1,""))</f>
        <v/>
      </c>
    </row>
    <row r="65" customFormat="false" ht="15" hidden="false" customHeight="false" outlineLevel="0" collapsed="false">
      <c r="A65" s="33"/>
      <c r="B65" s="32"/>
      <c r="C65" s="32"/>
      <c r="D65" s="32"/>
      <c r="E65" s="32"/>
      <c r="F65" s="30"/>
      <c r="G65" s="32"/>
      <c r="H65" s="34" t="n">
        <f aca="false">IF($G65="",0,IFERROR(INDEX(Einstellungen!$G$5:$G$11,MATCH($G65,Einstellungen!$E$5:$E$11,0)),0))</f>
        <v>0</v>
      </c>
      <c r="I65" s="35" t="str">
        <f aca="false">IF($G65="","-",IFERROR(INDEX(Einstellungen!$H$5:$H$11,MATCH($G65,Einstellungen!$E$5:$E$11,0)),"-"))</f>
        <v>-</v>
      </c>
      <c r="J65" s="35" t="str">
        <f aca="false">IF(AND(Einstellungen!$B$8="Ja",Einstellungen!$B$9="Effektiv"),$I65,"-")</f>
        <v>-</v>
      </c>
      <c r="K65" s="31" t="n">
        <f aca="false">IF(OR($F65="",$J65="-"),0,ROUND($F65-$F65/(1+$H65),2))</f>
        <v>0</v>
      </c>
      <c r="L65" s="31" t="n">
        <f aca="false">IF($F65="",0,$F65-$K65)</f>
        <v>0</v>
      </c>
      <c r="M65" s="31" t="n">
        <f aca="false">IF($F65="",0,IF($J65="V",$L65,$F65))</f>
        <v>0</v>
      </c>
      <c r="N65" s="31" t="n">
        <f aca="false">IF($F65="",0,IF($J65="U",$L65,$F65))</f>
        <v>0</v>
      </c>
      <c r="O65" s="35" t="str">
        <f aca="false">IF($A65="","",MONTH($A65))</f>
        <v/>
      </c>
      <c r="P65" s="35" t="str">
        <f aca="false">IF($A65="","",ROUNDUP(MONTH($A65)/3,0))</f>
        <v/>
      </c>
      <c r="Q65" s="35" t="str">
        <f aca="false">IF($A65="","",IF(MONTH($A65)&lt;=6,1,2))</f>
        <v/>
      </c>
      <c r="R65" s="35" t="str">
        <f aca="false">IF($E65="","",IFERROR(INDEX(Kontenplan!$F$5:$F$90,MATCH($E65,Kontenplan!$A$5:$A$90,0)),""))</f>
        <v/>
      </c>
      <c r="S65" s="35" t="str">
        <f aca="false">IF($D65="","",IFERROR(INDEX(Kontenplan!$F$5:$F$90,MATCH($D65,Kontenplan!$A$5:$A$90,0)),""))</f>
        <v/>
      </c>
      <c r="T65" s="35" t="str">
        <f aca="false">IF($D65="","",IFERROR(INDEX(Kontenplan!$C$5:$C$90,MATCH($D65,Kontenplan!$A$5:$A$90,0)),"?"))</f>
        <v/>
      </c>
      <c r="U65" s="35" t="str">
        <f aca="false">IF($E65="","",IFERROR(INDEX(Kontenplan!$C$5:$C$90,MATCH($E65,Kontenplan!$A$5:$A$90,0)),"?"))</f>
        <v/>
      </c>
      <c r="V65" s="35" t="str">
        <f aca="false">IF($F65="","",IF(OR($D65="",$E65="",$T65="?",$U65="?"),"Konto prüfen!",IF($A65="","Datum fehlt",IF(YEAR($A65)&lt;&gt;Einstellungen!$B$7,"anderes Jahr!",IF($G65="","MWST-Code fehlt","OK")))))</f>
        <v/>
      </c>
      <c r="W65" s="35" t="str">
        <f aca="false">IF($F65="","",IF(OR($D65=Kontoauszug!$C$4,$E65=Kontoauszug!$C$4),MAX(W$4:W64)+1,""))</f>
        <v/>
      </c>
    </row>
    <row r="66" customFormat="false" ht="15" hidden="false" customHeight="false" outlineLevel="0" collapsed="false">
      <c r="A66" s="33"/>
      <c r="B66" s="32"/>
      <c r="C66" s="32"/>
      <c r="D66" s="32"/>
      <c r="E66" s="32"/>
      <c r="F66" s="30"/>
      <c r="G66" s="32"/>
      <c r="H66" s="34" t="n">
        <f aca="false">IF($G66="",0,IFERROR(INDEX(Einstellungen!$G$5:$G$11,MATCH($G66,Einstellungen!$E$5:$E$11,0)),0))</f>
        <v>0</v>
      </c>
      <c r="I66" s="35" t="str">
        <f aca="false">IF($G66="","-",IFERROR(INDEX(Einstellungen!$H$5:$H$11,MATCH($G66,Einstellungen!$E$5:$E$11,0)),"-"))</f>
        <v>-</v>
      </c>
      <c r="J66" s="35" t="str">
        <f aca="false">IF(AND(Einstellungen!$B$8="Ja",Einstellungen!$B$9="Effektiv"),$I66,"-")</f>
        <v>-</v>
      </c>
      <c r="K66" s="31" t="n">
        <f aca="false">IF(OR($F66="",$J66="-"),0,ROUND($F66-$F66/(1+$H66),2))</f>
        <v>0</v>
      </c>
      <c r="L66" s="31" t="n">
        <f aca="false">IF($F66="",0,$F66-$K66)</f>
        <v>0</v>
      </c>
      <c r="M66" s="31" t="n">
        <f aca="false">IF($F66="",0,IF($J66="V",$L66,$F66))</f>
        <v>0</v>
      </c>
      <c r="N66" s="31" t="n">
        <f aca="false">IF($F66="",0,IF($J66="U",$L66,$F66))</f>
        <v>0</v>
      </c>
      <c r="O66" s="35" t="str">
        <f aca="false">IF($A66="","",MONTH($A66))</f>
        <v/>
      </c>
      <c r="P66" s="35" t="str">
        <f aca="false">IF($A66="","",ROUNDUP(MONTH($A66)/3,0))</f>
        <v/>
      </c>
      <c r="Q66" s="35" t="str">
        <f aca="false">IF($A66="","",IF(MONTH($A66)&lt;=6,1,2))</f>
        <v/>
      </c>
      <c r="R66" s="35" t="str">
        <f aca="false">IF($E66="","",IFERROR(INDEX(Kontenplan!$F$5:$F$90,MATCH($E66,Kontenplan!$A$5:$A$90,0)),""))</f>
        <v/>
      </c>
      <c r="S66" s="35" t="str">
        <f aca="false">IF($D66="","",IFERROR(INDEX(Kontenplan!$F$5:$F$90,MATCH($D66,Kontenplan!$A$5:$A$90,0)),""))</f>
        <v/>
      </c>
      <c r="T66" s="35" t="str">
        <f aca="false">IF($D66="","",IFERROR(INDEX(Kontenplan!$C$5:$C$90,MATCH($D66,Kontenplan!$A$5:$A$90,0)),"?"))</f>
        <v/>
      </c>
      <c r="U66" s="35" t="str">
        <f aca="false">IF($E66="","",IFERROR(INDEX(Kontenplan!$C$5:$C$90,MATCH($E66,Kontenplan!$A$5:$A$90,0)),"?"))</f>
        <v/>
      </c>
      <c r="V66" s="35" t="str">
        <f aca="false">IF($F66="","",IF(OR($D66="",$E66="",$T66="?",$U66="?"),"Konto prüfen!",IF($A66="","Datum fehlt",IF(YEAR($A66)&lt;&gt;Einstellungen!$B$7,"anderes Jahr!",IF($G66="","MWST-Code fehlt","OK")))))</f>
        <v/>
      </c>
      <c r="W66" s="35" t="str">
        <f aca="false">IF($F66="","",IF(OR($D66=Kontoauszug!$C$4,$E66=Kontoauszug!$C$4),MAX(W$4:W65)+1,""))</f>
        <v/>
      </c>
    </row>
    <row r="67" customFormat="false" ht="15" hidden="false" customHeight="false" outlineLevel="0" collapsed="false">
      <c r="A67" s="33"/>
      <c r="B67" s="32"/>
      <c r="C67" s="32"/>
      <c r="D67" s="32"/>
      <c r="E67" s="32"/>
      <c r="F67" s="30"/>
      <c r="G67" s="32"/>
      <c r="H67" s="34" t="n">
        <f aca="false">IF($G67="",0,IFERROR(INDEX(Einstellungen!$G$5:$G$11,MATCH($G67,Einstellungen!$E$5:$E$11,0)),0))</f>
        <v>0</v>
      </c>
      <c r="I67" s="35" t="str">
        <f aca="false">IF($G67="","-",IFERROR(INDEX(Einstellungen!$H$5:$H$11,MATCH($G67,Einstellungen!$E$5:$E$11,0)),"-"))</f>
        <v>-</v>
      </c>
      <c r="J67" s="35" t="str">
        <f aca="false">IF(AND(Einstellungen!$B$8="Ja",Einstellungen!$B$9="Effektiv"),$I67,"-")</f>
        <v>-</v>
      </c>
      <c r="K67" s="31" t="n">
        <f aca="false">IF(OR($F67="",$J67="-"),0,ROUND($F67-$F67/(1+$H67),2))</f>
        <v>0</v>
      </c>
      <c r="L67" s="31" t="n">
        <f aca="false">IF($F67="",0,$F67-$K67)</f>
        <v>0</v>
      </c>
      <c r="M67" s="31" t="n">
        <f aca="false">IF($F67="",0,IF($J67="V",$L67,$F67))</f>
        <v>0</v>
      </c>
      <c r="N67" s="31" t="n">
        <f aca="false">IF($F67="",0,IF($J67="U",$L67,$F67))</f>
        <v>0</v>
      </c>
      <c r="O67" s="35" t="str">
        <f aca="false">IF($A67="","",MONTH($A67))</f>
        <v/>
      </c>
      <c r="P67" s="35" t="str">
        <f aca="false">IF($A67="","",ROUNDUP(MONTH($A67)/3,0))</f>
        <v/>
      </c>
      <c r="Q67" s="35" t="str">
        <f aca="false">IF($A67="","",IF(MONTH($A67)&lt;=6,1,2))</f>
        <v/>
      </c>
      <c r="R67" s="35" t="str">
        <f aca="false">IF($E67="","",IFERROR(INDEX(Kontenplan!$F$5:$F$90,MATCH($E67,Kontenplan!$A$5:$A$90,0)),""))</f>
        <v/>
      </c>
      <c r="S67" s="35" t="str">
        <f aca="false">IF($D67="","",IFERROR(INDEX(Kontenplan!$F$5:$F$90,MATCH($D67,Kontenplan!$A$5:$A$90,0)),""))</f>
        <v/>
      </c>
      <c r="T67" s="35" t="str">
        <f aca="false">IF($D67="","",IFERROR(INDEX(Kontenplan!$C$5:$C$90,MATCH($D67,Kontenplan!$A$5:$A$90,0)),"?"))</f>
        <v/>
      </c>
      <c r="U67" s="35" t="str">
        <f aca="false">IF($E67="","",IFERROR(INDEX(Kontenplan!$C$5:$C$90,MATCH($E67,Kontenplan!$A$5:$A$90,0)),"?"))</f>
        <v/>
      </c>
      <c r="V67" s="35" t="str">
        <f aca="false">IF($F67="","",IF(OR($D67="",$E67="",$T67="?",$U67="?"),"Konto prüfen!",IF($A67="","Datum fehlt",IF(YEAR($A67)&lt;&gt;Einstellungen!$B$7,"anderes Jahr!",IF($G67="","MWST-Code fehlt","OK")))))</f>
        <v/>
      </c>
      <c r="W67" s="35" t="str">
        <f aca="false">IF($F67="","",IF(OR($D67=Kontoauszug!$C$4,$E67=Kontoauszug!$C$4),MAX(W$4:W66)+1,""))</f>
        <v/>
      </c>
    </row>
    <row r="68" customFormat="false" ht="15" hidden="false" customHeight="false" outlineLevel="0" collapsed="false">
      <c r="A68" s="33"/>
      <c r="B68" s="32"/>
      <c r="C68" s="32"/>
      <c r="D68" s="32"/>
      <c r="E68" s="32"/>
      <c r="F68" s="30"/>
      <c r="G68" s="32"/>
      <c r="H68" s="34" t="n">
        <f aca="false">IF($G68="",0,IFERROR(INDEX(Einstellungen!$G$5:$G$11,MATCH($G68,Einstellungen!$E$5:$E$11,0)),0))</f>
        <v>0</v>
      </c>
      <c r="I68" s="35" t="str">
        <f aca="false">IF($G68="","-",IFERROR(INDEX(Einstellungen!$H$5:$H$11,MATCH($G68,Einstellungen!$E$5:$E$11,0)),"-"))</f>
        <v>-</v>
      </c>
      <c r="J68" s="35" t="str">
        <f aca="false">IF(AND(Einstellungen!$B$8="Ja",Einstellungen!$B$9="Effektiv"),$I68,"-")</f>
        <v>-</v>
      </c>
      <c r="K68" s="31" t="n">
        <f aca="false">IF(OR($F68="",$J68="-"),0,ROUND($F68-$F68/(1+$H68),2))</f>
        <v>0</v>
      </c>
      <c r="L68" s="31" t="n">
        <f aca="false">IF($F68="",0,$F68-$K68)</f>
        <v>0</v>
      </c>
      <c r="M68" s="31" t="n">
        <f aca="false">IF($F68="",0,IF($J68="V",$L68,$F68))</f>
        <v>0</v>
      </c>
      <c r="N68" s="31" t="n">
        <f aca="false">IF($F68="",0,IF($J68="U",$L68,$F68))</f>
        <v>0</v>
      </c>
      <c r="O68" s="35" t="str">
        <f aca="false">IF($A68="","",MONTH($A68))</f>
        <v/>
      </c>
      <c r="P68" s="35" t="str">
        <f aca="false">IF($A68="","",ROUNDUP(MONTH($A68)/3,0))</f>
        <v/>
      </c>
      <c r="Q68" s="35" t="str">
        <f aca="false">IF($A68="","",IF(MONTH($A68)&lt;=6,1,2))</f>
        <v/>
      </c>
      <c r="R68" s="35" t="str">
        <f aca="false">IF($E68="","",IFERROR(INDEX(Kontenplan!$F$5:$F$90,MATCH($E68,Kontenplan!$A$5:$A$90,0)),""))</f>
        <v/>
      </c>
      <c r="S68" s="35" t="str">
        <f aca="false">IF($D68="","",IFERROR(INDEX(Kontenplan!$F$5:$F$90,MATCH($D68,Kontenplan!$A$5:$A$90,0)),""))</f>
        <v/>
      </c>
      <c r="T68" s="35" t="str">
        <f aca="false">IF($D68="","",IFERROR(INDEX(Kontenplan!$C$5:$C$90,MATCH($D68,Kontenplan!$A$5:$A$90,0)),"?"))</f>
        <v/>
      </c>
      <c r="U68" s="35" t="str">
        <f aca="false">IF($E68="","",IFERROR(INDEX(Kontenplan!$C$5:$C$90,MATCH($E68,Kontenplan!$A$5:$A$90,0)),"?"))</f>
        <v/>
      </c>
      <c r="V68" s="35" t="str">
        <f aca="false">IF($F68="","",IF(OR($D68="",$E68="",$T68="?",$U68="?"),"Konto prüfen!",IF($A68="","Datum fehlt",IF(YEAR($A68)&lt;&gt;Einstellungen!$B$7,"anderes Jahr!",IF($G68="","MWST-Code fehlt","OK")))))</f>
        <v/>
      </c>
      <c r="W68" s="35" t="str">
        <f aca="false">IF($F68="","",IF(OR($D68=Kontoauszug!$C$4,$E68=Kontoauszug!$C$4),MAX(W$4:W67)+1,""))</f>
        <v/>
      </c>
    </row>
    <row r="69" customFormat="false" ht="15" hidden="false" customHeight="false" outlineLevel="0" collapsed="false">
      <c r="A69" s="33"/>
      <c r="B69" s="32"/>
      <c r="C69" s="32"/>
      <c r="D69" s="32"/>
      <c r="E69" s="32"/>
      <c r="F69" s="30"/>
      <c r="G69" s="32"/>
      <c r="H69" s="34" t="n">
        <f aca="false">IF($G69="",0,IFERROR(INDEX(Einstellungen!$G$5:$G$11,MATCH($G69,Einstellungen!$E$5:$E$11,0)),0))</f>
        <v>0</v>
      </c>
      <c r="I69" s="35" t="str">
        <f aca="false">IF($G69="","-",IFERROR(INDEX(Einstellungen!$H$5:$H$11,MATCH($G69,Einstellungen!$E$5:$E$11,0)),"-"))</f>
        <v>-</v>
      </c>
      <c r="J69" s="35" t="str">
        <f aca="false">IF(AND(Einstellungen!$B$8="Ja",Einstellungen!$B$9="Effektiv"),$I69,"-")</f>
        <v>-</v>
      </c>
      <c r="K69" s="31" t="n">
        <f aca="false">IF(OR($F69="",$J69="-"),0,ROUND($F69-$F69/(1+$H69),2))</f>
        <v>0</v>
      </c>
      <c r="L69" s="31" t="n">
        <f aca="false">IF($F69="",0,$F69-$K69)</f>
        <v>0</v>
      </c>
      <c r="M69" s="31" t="n">
        <f aca="false">IF($F69="",0,IF($J69="V",$L69,$F69))</f>
        <v>0</v>
      </c>
      <c r="N69" s="31" t="n">
        <f aca="false">IF($F69="",0,IF($J69="U",$L69,$F69))</f>
        <v>0</v>
      </c>
      <c r="O69" s="35" t="str">
        <f aca="false">IF($A69="","",MONTH($A69))</f>
        <v/>
      </c>
      <c r="P69" s="35" t="str">
        <f aca="false">IF($A69="","",ROUNDUP(MONTH($A69)/3,0))</f>
        <v/>
      </c>
      <c r="Q69" s="35" t="str">
        <f aca="false">IF($A69="","",IF(MONTH($A69)&lt;=6,1,2))</f>
        <v/>
      </c>
      <c r="R69" s="35" t="str">
        <f aca="false">IF($E69="","",IFERROR(INDEX(Kontenplan!$F$5:$F$90,MATCH($E69,Kontenplan!$A$5:$A$90,0)),""))</f>
        <v/>
      </c>
      <c r="S69" s="35" t="str">
        <f aca="false">IF($D69="","",IFERROR(INDEX(Kontenplan!$F$5:$F$90,MATCH($D69,Kontenplan!$A$5:$A$90,0)),""))</f>
        <v/>
      </c>
      <c r="T69" s="35" t="str">
        <f aca="false">IF($D69="","",IFERROR(INDEX(Kontenplan!$C$5:$C$90,MATCH($D69,Kontenplan!$A$5:$A$90,0)),"?"))</f>
        <v/>
      </c>
      <c r="U69" s="35" t="str">
        <f aca="false">IF($E69="","",IFERROR(INDEX(Kontenplan!$C$5:$C$90,MATCH($E69,Kontenplan!$A$5:$A$90,0)),"?"))</f>
        <v/>
      </c>
      <c r="V69" s="35" t="str">
        <f aca="false">IF($F69="","",IF(OR($D69="",$E69="",$T69="?",$U69="?"),"Konto prüfen!",IF($A69="","Datum fehlt",IF(YEAR($A69)&lt;&gt;Einstellungen!$B$7,"anderes Jahr!",IF($G69="","MWST-Code fehlt","OK")))))</f>
        <v/>
      </c>
      <c r="W69" s="35" t="str">
        <f aca="false">IF($F69="","",IF(OR($D69=Kontoauszug!$C$4,$E69=Kontoauszug!$C$4),MAX(W$4:W68)+1,""))</f>
        <v/>
      </c>
    </row>
    <row r="70" customFormat="false" ht="15" hidden="false" customHeight="false" outlineLevel="0" collapsed="false">
      <c r="A70" s="33"/>
      <c r="B70" s="32"/>
      <c r="C70" s="32"/>
      <c r="D70" s="32"/>
      <c r="E70" s="32"/>
      <c r="F70" s="30"/>
      <c r="G70" s="32"/>
      <c r="H70" s="34" t="n">
        <f aca="false">IF($G70="",0,IFERROR(INDEX(Einstellungen!$G$5:$G$11,MATCH($G70,Einstellungen!$E$5:$E$11,0)),0))</f>
        <v>0</v>
      </c>
      <c r="I70" s="35" t="str">
        <f aca="false">IF($G70="","-",IFERROR(INDEX(Einstellungen!$H$5:$H$11,MATCH($G70,Einstellungen!$E$5:$E$11,0)),"-"))</f>
        <v>-</v>
      </c>
      <c r="J70" s="35" t="str">
        <f aca="false">IF(AND(Einstellungen!$B$8="Ja",Einstellungen!$B$9="Effektiv"),$I70,"-")</f>
        <v>-</v>
      </c>
      <c r="K70" s="31" t="n">
        <f aca="false">IF(OR($F70="",$J70="-"),0,ROUND($F70-$F70/(1+$H70),2))</f>
        <v>0</v>
      </c>
      <c r="L70" s="31" t="n">
        <f aca="false">IF($F70="",0,$F70-$K70)</f>
        <v>0</v>
      </c>
      <c r="M70" s="31" t="n">
        <f aca="false">IF($F70="",0,IF($J70="V",$L70,$F70))</f>
        <v>0</v>
      </c>
      <c r="N70" s="31" t="n">
        <f aca="false">IF($F70="",0,IF($J70="U",$L70,$F70))</f>
        <v>0</v>
      </c>
      <c r="O70" s="35" t="str">
        <f aca="false">IF($A70="","",MONTH($A70))</f>
        <v/>
      </c>
      <c r="P70" s="35" t="str">
        <f aca="false">IF($A70="","",ROUNDUP(MONTH($A70)/3,0))</f>
        <v/>
      </c>
      <c r="Q70" s="35" t="str">
        <f aca="false">IF($A70="","",IF(MONTH($A70)&lt;=6,1,2))</f>
        <v/>
      </c>
      <c r="R70" s="35" t="str">
        <f aca="false">IF($E70="","",IFERROR(INDEX(Kontenplan!$F$5:$F$90,MATCH($E70,Kontenplan!$A$5:$A$90,0)),""))</f>
        <v/>
      </c>
      <c r="S70" s="35" t="str">
        <f aca="false">IF($D70="","",IFERROR(INDEX(Kontenplan!$F$5:$F$90,MATCH($D70,Kontenplan!$A$5:$A$90,0)),""))</f>
        <v/>
      </c>
      <c r="T70" s="35" t="str">
        <f aca="false">IF($D70="","",IFERROR(INDEX(Kontenplan!$C$5:$C$90,MATCH($D70,Kontenplan!$A$5:$A$90,0)),"?"))</f>
        <v/>
      </c>
      <c r="U70" s="35" t="str">
        <f aca="false">IF($E70="","",IFERROR(INDEX(Kontenplan!$C$5:$C$90,MATCH($E70,Kontenplan!$A$5:$A$90,0)),"?"))</f>
        <v/>
      </c>
      <c r="V70" s="35" t="str">
        <f aca="false">IF($F70="","",IF(OR($D70="",$E70="",$T70="?",$U70="?"),"Konto prüfen!",IF($A70="","Datum fehlt",IF(YEAR($A70)&lt;&gt;Einstellungen!$B$7,"anderes Jahr!",IF($G70="","MWST-Code fehlt","OK")))))</f>
        <v/>
      </c>
      <c r="W70" s="35" t="str">
        <f aca="false">IF($F70="","",IF(OR($D70=Kontoauszug!$C$4,$E70=Kontoauszug!$C$4),MAX(W$4:W69)+1,""))</f>
        <v/>
      </c>
    </row>
    <row r="71" customFormat="false" ht="15" hidden="false" customHeight="false" outlineLevel="0" collapsed="false">
      <c r="A71" s="33"/>
      <c r="B71" s="32"/>
      <c r="C71" s="32"/>
      <c r="D71" s="32"/>
      <c r="E71" s="32"/>
      <c r="F71" s="30"/>
      <c r="G71" s="32"/>
      <c r="H71" s="34" t="n">
        <f aca="false">IF($G71="",0,IFERROR(INDEX(Einstellungen!$G$5:$G$11,MATCH($G71,Einstellungen!$E$5:$E$11,0)),0))</f>
        <v>0</v>
      </c>
      <c r="I71" s="35" t="str">
        <f aca="false">IF($G71="","-",IFERROR(INDEX(Einstellungen!$H$5:$H$11,MATCH($G71,Einstellungen!$E$5:$E$11,0)),"-"))</f>
        <v>-</v>
      </c>
      <c r="J71" s="35" t="str">
        <f aca="false">IF(AND(Einstellungen!$B$8="Ja",Einstellungen!$B$9="Effektiv"),$I71,"-")</f>
        <v>-</v>
      </c>
      <c r="K71" s="31" t="n">
        <f aca="false">IF(OR($F71="",$J71="-"),0,ROUND($F71-$F71/(1+$H71),2))</f>
        <v>0</v>
      </c>
      <c r="L71" s="31" t="n">
        <f aca="false">IF($F71="",0,$F71-$K71)</f>
        <v>0</v>
      </c>
      <c r="M71" s="31" t="n">
        <f aca="false">IF($F71="",0,IF($J71="V",$L71,$F71))</f>
        <v>0</v>
      </c>
      <c r="N71" s="31" t="n">
        <f aca="false">IF($F71="",0,IF($J71="U",$L71,$F71))</f>
        <v>0</v>
      </c>
      <c r="O71" s="35" t="str">
        <f aca="false">IF($A71="","",MONTH($A71))</f>
        <v/>
      </c>
      <c r="P71" s="35" t="str">
        <f aca="false">IF($A71="","",ROUNDUP(MONTH($A71)/3,0))</f>
        <v/>
      </c>
      <c r="Q71" s="35" t="str">
        <f aca="false">IF($A71="","",IF(MONTH($A71)&lt;=6,1,2))</f>
        <v/>
      </c>
      <c r="R71" s="35" t="str">
        <f aca="false">IF($E71="","",IFERROR(INDEX(Kontenplan!$F$5:$F$90,MATCH($E71,Kontenplan!$A$5:$A$90,0)),""))</f>
        <v/>
      </c>
      <c r="S71" s="35" t="str">
        <f aca="false">IF($D71="","",IFERROR(INDEX(Kontenplan!$F$5:$F$90,MATCH($D71,Kontenplan!$A$5:$A$90,0)),""))</f>
        <v/>
      </c>
      <c r="T71" s="35" t="str">
        <f aca="false">IF($D71="","",IFERROR(INDEX(Kontenplan!$C$5:$C$90,MATCH($D71,Kontenplan!$A$5:$A$90,0)),"?"))</f>
        <v/>
      </c>
      <c r="U71" s="35" t="str">
        <f aca="false">IF($E71="","",IFERROR(INDEX(Kontenplan!$C$5:$C$90,MATCH($E71,Kontenplan!$A$5:$A$90,0)),"?"))</f>
        <v/>
      </c>
      <c r="V71" s="35" t="str">
        <f aca="false">IF($F71="","",IF(OR($D71="",$E71="",$T71="?",$U71="?"),"Konto prüfen!",IF($A71="","Datum fehlt",IF(YEAR($A71)&lt;&gt;Einstellungen!$B$7,"anderes Jahr!",IF($G71="","MWST-Code fehlt","OK")))))</f>
        <v/>
      </c>
      <c r="W71" s="35" t="str">
        <f aca="false">IF($F71="","",IF(OR($D71=Kontoauszug!$C$4,$E71=Kontoauszug!$C$4),MAX(W$4:W70)+1,""))</f>
        <v/>
      </c>
    </row>
    <row r="72" customFormat="false" ht="15" hidden="false" customHeight="false" outlineLevel="0" collapsed="false">
      <c r="A72" s="33"/>
      <c r="B72" s="32"/>
      <c r="C72" s="32"/>
      <c r="D72" s="32"/>
      <c r="E72" s="32"/>
      <c r="F72" s="30"/>
      <c r="G72" s="32"/>
      <c r="H72" s="34" t="n">
        <f aca="false">IF($G72="",0,IFERROR(INDEX(Einstellungen!$G$5:$G$11,MATCH($G72,Einstellungen!$E$5:$E$11,0)),0))</f>
        <v>0</v>
      </c>
      <c r="I72" s="35" t="str">
        <f aca="false">IF($G72="","-",IFERROR(INDEX(Einstellungen!$H$5:$H$11,MATCH($G72,Einstellungen!$E$5:$E$11,0)),"-"))</f>
        <v>-</v>
      </c>
      <c r="J72" s="35" t="str">
        <f aca="false">IF(AND(Einstellungen!$B$8="Ja",Einstellungen!$B$9="Effektiv"),$I72,"-")</f>
        <v>-</v>
      </c>
      <c r="K72" s="31" t="n">
        <f aca="false">IF(OR($F72="",$J72="-"),0,ROUND($F72-$F72/(1+$H72),2))</f>
        <v>0</v>
      </c>
      <c r="L72" s="31" t="n">
        <f aca="false">IF($F72="",0,$F72-$K72)</f>
        <v>0</v>
      </c>
      <c r="M72" s="31" t="n">
        <f aca="false">IF($F72="",0,IF($J72="V",$L72,$F72))</f>
        <v>0</v>
      </c>
      <c r="N72" s="31" t="n">
        <f aca="false">IF($F72="",0,IF($J72="U",$L72,$F72))</f>
        <v>0</v>
      </c>
      <c r="O72" s="35" t="str">
        <f aca="false">IF($A72="","",MONTH($A72))</f>
        <v/>
      </c>
      <c r="P72" s="35" t="str">
        <f aca="false">IF($A72="","",ROUNDUP(MONTH($A72)/3,0))</f>
        <v/>
      </c>
      <c r="Q72" s="35" t="str">
        <f aca="false">IF($A72="","",IF(MONTH($A72)&lt;=6,1,2))</f>
        <v/>
      </c>
      <c r="R72" s="35" t="str">
        <f aca="false">IF($E72="","",IFERROR(INDEX(Kontenplan!$F$5:$F$90,MATCH($E72,Kontenplan!$A$5:$A$90,0)),""))</f>
        <v/>
      </c>
      <c r="S72" s="35" t="str">
        <f aca="false">IF($D72="","",IFERROR(INDEX(Kontenplan!$F$5:$F$90,MATCH($D72,Kontenplan!$A$5:$A$90,0)),""))</f>
        <v/>
      </c>
      <c r="T72" s="35" t="str">
        <f aca="false">IF($D72="","",IFERROR(INDEX(Kontenplan!$C$5:$C$90,MATCH($D72,Kontenplan!$A$5:$A$90,0)),"?"))</f>
        <v/>
      </c>
      <c r="U72" s="35" t="str">
        <f aca="false">IF($E72="","",IFERROR(INDEX(Kontenplan!$C$5:$C$90,MATCH($E72,Kontenplan!$A$5:$A$90,0)),"?"))</f>
        <v/>
      </c>
      <c r="V72" s="35" t="str">
        <f aca="false">IF($F72="","",IF(OR($D72="",$E72="",$T72="?",$U72="?"),"Konto prüfen!",IF($A72="","Datum fehlt",IF(YEAR($A72)&lt;&gt;Einstellungen!$B$7,"anderes Jahr!",IF($G72="","MWST-Code fehlt","OK")))))</f>
        <v/>
      </c>
      <c r="W72" s="35" t="str">
        <f aca="false">IF($F72="","",IF(OR($D72=Kontoauszug!$C$4,$E72=Kontoauszug!$C$4),MAX(W$4:W71)+1,""))</f>
        <v/>
      </c>
    </row>
    <row r="73" customFormat="false" ht="15" hidden="false" customHeight="false" outlineLevel="0" collapsed="false">
      <c r="A73" s="33"/>
      <c r="B73" s="32"/>
      <c r="C73" s="32"/>
      <c r="D73" s="32"/>
      <c r="E73" s="32"/>
      <c r="F73" s="30"/>
      <c r="G73" s="32"/>
      <c r="H73" s="34" t="n">
        <f aca="false">IF($G73="",0,IFERROR(INDEX(Einstellungen!$G$5:$G$11,MATCH($G73,Einstellungen!$E$5:$E$11,0)),0))</f>
        <v>0</v>
      </c>
      <c r="I73" s="35" t="str">
        <f aca="false">IF($G73="","-",IFERROR(INDEX(Einstellungen!$H$5:$H$11,MATCH($G73,Einstellungen!$E$5:$E$11,0)),"-"))</f>
        <v>-</v>
      </c>
      <c r="J73" s="35" t="str">
        <f aca="false">IF(AND(Einstellungen!$B$8="Ja",Einstellungen!$B$9="Effektiv"),$I73,"-")</f>
        <v>-</v>
      </c>
      <c r="K73" s="31" t="n">
        <f aca="false">IF(OR($F73="",$J73="-"),0,ROUND($F73-$F73/(1+$H73),2))</f>
        <v>0</v>
      </c>
      <c r="L73" s="31" t="n">
        <f aca="false">IF($F73="",0,$F73-$K73)</f>
        <v>0</v>
      </c>
      <c r="M73" s="31" t="n">
        <f aca="false">IF($F73="",0,IF($J73="V",$L73,$F73))</f>
        <v>0</v>
      </c>
      <c r="N73" s="31" t="n">
        <f aca="false">IF($F73="",0,IF($J73="U",$L73,$F73))</f>
        <v>0</v>
      </c>
      <c r="O73" s="35" t="str">
        <f aca="false">IF($A73="","",MONTH($A73))</f>
        <v/>
      </c>
      <c r="P73" s="35" t="str">
        <f aca="false">IF($A73="","",ROUNDUP(MONTH($A73)/3,0))</f>
        <v/>
      </c>
      <c r="Q73" s="35" t="str">
        <f aca="false">IF($A73="","",IF(MONTH($A73)&lt;=6,1,2))</f>
        <v/>
      </c>
      <c r="R73" s="35" t="str">
        <f aca="false">IF($E73="","",IFERROR(INDEX(Kontenplan!$F$5:$F$90,MATCH($E73,Kontenplan!$A$5:$A$90,0)),""))</f>
        <v/>
      </c>
      <c r="S73" s="35" t="str">
        <f aca="false">IF($D73="","",IFERROR(INDEX(Kontenplan!$F$5:$F$90,MATCH($D73,Kontenplan!$A$5:$A$90,0)),""))</f>
        <v/>
      </c>
      <c r="T73" s="35" t="str">
        <f aca="false">IF($D73="","",IFERROR(INDEX(Kontenplan!$C$5:$C$90,MATCH($D73,Kontenplan!$A$5:$A$90,0)),"?"))</f>
        <v/>
      </c>
      <c r="U73" s="35" t="str">
        <f aca="false">IF($E73="","",IFERROR(INDEX(Kontenplan!$C$5:$C$90,MATCH($E73,Kontenplan!$A$5:$A$90,0)),"?"))</f>
        <v/>
      </c>
      <c r="V73" s="35" t="str">
        <f aca="false">IF($F73="","",IF(OR($D73="",$E73="",$T73="?",$U73="?"),"Konto prüfen!",IF($A73="","Datum fehlt",IF(YEAR($A73)&lt;&gt;Einstellungen!$B$7,"anderes Jahr!",IF($G73="","MWST-Code fehlt","OK")))))</f>
        <v/>
      </c>
      <c r="W73" s="35" t="str">
        <f aca="false">IF($F73="","",IF(OR($D73=Kontoauszug!$C$4,$E73=Kontoauszug!$C$4),MAX(W$4:W72)+1,""))</f>
        <v/>
      </c>
    </row>
    <row r="74" customFormat="false" ht="15" hidden="false" customHeight="false" outlineLevel="0" collapsed="false">
      <c r="A74" s="33"/>
      <c r="B74" s="32"/>
      <c r="C74" s="32"/>
      <c r="D74" s="32"/>
      <c r="E74" s="32"/>
      <c r="F74" s="30"/>
      <c r="G74" s="32"/>
      <c r="H74" s="34" t="n">
        <f aca="false">IF($G74="",0,IFERROR(INDEX(Einstellungen!$G$5:$G$11,MATCH($G74,Einstellungen!$E$5:$E$11,0)),0))</f>
        <v>0</v>
      </c>
      <c r="I74" s="35" t="str">
        <f aca="false">IF($G74="","-",IFERROR(INDEX(Einstellungen!$H$5:$H$11,MATCH($G74,Einstellungen!$E$5:$E$11,0)),"-"))</f>
        <v>-</v>
      </c>
      <c r="J74" s="35" t="str">
        <f aca="false">IF(AND(Einstellungen!$B$8="Ja",Einstellungen!$B$9="Effektiv"),$I74,"-")</f>
        <v>-</v>
      </c>
      <c r="K74" s="31" t="n">
        <f aca="false">IF(OR($F74="",$J74="-"),0,ROUND($F74-$F74/(1+$H74),2))</f>
        <v>0</v>
      </c>
      <c r="L74" s="31" t="n">
        <f aca="false">IF($F74="",0,$F74-$K74)</f>
        <v>0</v>
      </c>
      <c r="M74" s="31" t="n">
        <f aca="false">IF($F74="",0,IF($J74="V",$L74,$F74))</f>
        <v>0</v>
      </c>
      <c r="N74" s="31" t="n">
        <f aca="false">IF($F74="",0,IF($J74="U",$L74,$F74))</f>
        <v>0</v>
      </c>
      <c r="O74" s="35" t="str">
        <f aca="false">IF($A74="","",MONTH($A74))</f>
        <v/>
      </c>
      <c r="P74" s="35" t="str">
        <f aca="false">IF($A74="","",ROUNDUP(MONTH($A74)/3,0))</f>
        <v/>
      </c>
      <c r="Q74" s="35" t="str">
        <f aca="false">IF($A74="","",IF(MONTH($A74)&lt;=6,1,2))</f>
        <v/>
      </c>
      <c r="R74" s="35" t="str">
        <f aca="false">IF($E74="","",IFERROR(INDEX(Kontenplan!$F$5:$F$90,MATCH($E74,Kontenplan!$A$5:$A$90,0)),""))</f>
        <v/>
      </c>
      <c r="S74" s="35" t="str">
        <f aca="false">IF($D74="","",IFERROR(INDEX(Kontenplan!$F$5:$F$90,MATCH($D74,Kontenplan!$A$5:$A$90,0)),""))</f>
        <v/>
      </c>
      <c r="T74" s="35" t="str">
        <f aca="false">IF($D74="","",IFERROR(INDEX(Kontenplan!$C$5:$C$90,MATCH($D74,Kontenplan!$A$5:$A$90,0)),"?"))</f>
        <v/>
      </c>
      <c r="U74" s="35" t="str">
        <f aca="false">IF($E74="","",IFERROR(INDEX(Kontenplan!$C$5:$C$90,MATCH($E74,Kontenplan!$A$5:$A$90,0)),"?"))</f>
        <v/>
      </c>
      <c r="V74" s="35" t="str">
        <f aca="false">IF($F74="","",IF(OR($D74="",$E74="",$T74="?",$U74="?"),"Konto prüfen!",IF($A74="","Datum fehlt",IF(YEAR($A74)&lt;&gt;Einstellungen!$B$7,"anderes Jahr!",IF($G74="","MWST-Code fehlt","OK")))))</f>
        <v/>
      </c>
      <c r="W74" s="35" t="str">
        <f aca="false">IF($F74="","",IF(OR($D74=Kontoauszug!$C$4,$E74=Kontoauszug!$C$4),MAX(W$4:W73)+1,""))</f>
        <v/>
      </c>
    </row>
    <row r="75" customFormat="false" ht="15" hidden="false" customHeight="false" outlineLevel="0" collapsed="false">
      <c r="A75" s="33"/>
      <c r="B75" s="32"/>
      <c r="C75" s="32"/>
      <c r="D75" s="32"/>
      <c r="E75" s="32"/>
      <c r="F75" s="30"/>
      <c r="G75" s="32"/>
      <c r="H75" s="34" t="n">
        <f aca="false">IF($G75="",0,IFERROR(INDEX(Einstellungen!$G$5:$G$11,MATCH($G75,Einstellungen!$E$5:$E$11,0)),0))</f>
        <v>0</v>
      </c>
      <c r="I75" s="35" t="str">
        <f aca="false">IF($G75="","-",IFERROR(INDEX(Einstellungen!$H$5:$H$11,MATCH($G75,Einstellungen!$E$5:$E$11,0)),"-"))</f>
        <v>-</v>
      </c>
      <c r="J75" s="35" t="str">
        <f aca="false">IF(AND(Einstellungen!$B$8="Ja",Einstellungen!$B$9="Effektiv"),$I75,"-")</f>
        <v>-</v>
      </c>
      <c r="K75" s="31" t="n">
        <f aca="false">IF(OR($F75="",$J75="-"),0,ROUND($F75-$F75/(1+$H75),2))</f>
        <v>0</v>
      </c>
      <c r="L75" s="31" t="n">
        <f aca="false">IF($F75="",0,$F75-$K75)</f>
        <v>0</v>
      </c>
      <c r="M75" s="31" t="n">
        <f aca="false">IF($F75="",0,IF($J75="V",$L75,$F75))</f>
        <v>0</v>
      </c>
      <c r="N75" s="31" t="n">
        <f aca="false">IF($F75="",0,IF($J75="U",$L75,$F75))</f>
        <v>0</v>
      </c>
      <c r="O75" s="35" t="str">
        <f aca="false">IF($A75="","",MONTH($A75))</f>
        <v/>
      </c>
      <c r="P75" s="35" t="str">
        <f aca="false">IF($A75="","",ROUNDUP(MONTH($A75)/3,0))</f>
        <v/>
      </c>
      <c r="Q75" s="35" t="str">
        <f aca="false">IF($A75="","",IF(MONTH($A75)&lt;=6,1,2))</f>
        <v/>
      </c>
      <c r="R75" s="35" t="str">
        <f aca="false">IF($E75="","",IFERROR(INDEX(Kontenplan!$F$5:$F$90,MATCH($E75,Kontenplan!$A$5:$A$90,0)),""))</f>
        <v/>
      </c>
      <c r="S75" s="35" t="str">
        <f aca="false">IF($D75="","",IFERROR(INDEX(Kontenplan!$F$5:$F$90,MATCH($D75,Kontenplan!$A$5:$A$90,0)),""))</f>
        <v/>
      </c>
      <c r="T75" s="35" t="str">
        <f aca="false">IF($D75="","",IFERROR(INDEX(Kontenplan!$C$5:$C$90,MATCH($D75,Kontenplan!$A$5:$A$90,0)),"?"))</f>
        <v/>
      </c>
      <c r="U75" s="35" t="str">
        <f aca="false">IF($E75="","",IFERROR(INDEX(Kontenplan!$C$5:$C$90,MATCH($E75,Kontenplan!$A$5:$A$90,0)),"?"))</f>
        <v/>
      </c>
      <c r="V75" s="35" t="str">
        <f aca="false">IF($F75="","",IF(OR($D75="",$E75="",$T75="?",$U75="?"),"Konto prüfen!",IF($A75="","Datum fehlt",IF(YEAR($A75)&lt;&gt;Einstellungen!$B$7,"anderes Jahr!",IF($G75="","MWST-Code fehlt","OK")))))</f>
        <v/>
      </c>
      <c r="W75" s="35" t="str">
        <f aca="false">IF($F75="","",IF(OR($D75=Kontoauszug!$C$4,$E75=Kontoauszug!$C$4),MAX(W$4:W74)+1,""))</f>
        <v/>
      </c>
    </row>
    <row r="76" customFormat="false" ht="15" hidden="false" customHeight="false" outlineLevel="0" collapsed="false">
      <c r="A76" s="33"/>
      <c r="B76" s="32"/>
      <c r="C76" s="32"/>
      <c r="D76" s="32"/>
      <c r="E76" s="32"/>
      <c r="F76" s="30"/>
      <c r="G76" s="32"/>
      <c r="H76" s="34" t="n">
        <f aca="false">IF($G76="",0,IFERROR(INDEX(Einstellungen!$G$5:$G$11,MATCH($G76,Einstellungen!$E$5:$E$11,0)),0))</f>
        <v>0</v>
      </c>
      <c r="I76" s="35" t="str">
        <f aca="false">IF($G76="","-",IFERROR(INDEX(Einstellungen!$H$5:$H$11,MATCH($G76,Einstellungen!$E$5:$E$11,0)),"-"))</f>
        <v>-</v>
      </c>
      <c r="J76" s="35" t="str">
        <f aca="false">IF(AND(Einstellungen!$B$8="Ja",Einstellungen!$B$9="Effektiv"),$I76,"-")</f>
        <v>-</v>
      </c>
      <c r="K76" s="31" t="n">
        <f aca="false">IF(OR($F76="",$J76="-"),0,ROUND($F76-$F76/(1+$H76),2))</f>
        <v>0</v>
      </c>
      <c r="L76" s="31" t="n">
        <f aca="false">IF($F76="",0,$F76-$K76)</f>
        <v>0</v>
      </c>
      <c r="M76" s="31" t="n">
        <f aca="false">IF($F76="",0,IF($J76="V",$L76,$F76))</f>
        <v>0</v>
      </c>
      <c r="N76" s="31" t="n">
        <f aca="false">IF($F76="",0,IF($J76="U",$L76,$F76))</f>
        <v>0</v>
      </c>
      <c r="O76" s="35" t="str">
        <f aca="false">IF($A76="","",MONTH($A76))</f>
        <v/>
      </c>
      <c r="P76" s="35" t="str">
        <f aca="false">IF($A76="","",ROUNDUP(MONTH($A76)/3,0))</f>
        <v/>
      </c>
      <c r="Q76" s="35" t="str">
        <f aca="false">IF($A76="","",IF(MONTH($A76)&lt;=6,1,2))</f>
        <v/>
      </c>
      <c r="R76" s="35" t="str">
        <f aca="false">IF($E76="","",IFERROR(INDEX(Kontenplan!$F$5:$F$90,MATCH($E76,Kontenplan!$A$5:$A$90,0)),""))</f>
        <v/>
      </c>
      <c r="S76" s="35" t="str">
        <f aca="false">IF($D76="","",IFERROR(INDEX(Kontenplan!$F$5:$F$90,MATCH($D76,Kontenplan!$A$5:$A$90,0)),""))</f>
        <v/>
      </c>
      <c r="T76" s="35" t="str">
        <f aca="false">IF($D76="","",IFERROR(INDEX(Kontenplan!$C$5:$C$90,MATCH($D76,Kontenplan!$A$5:$A$90,0)),"?"))</f>
        <v/>
      </c>
      <c r="U76" s="35" t="str">
        <f aca="false">IF($E76="","",IFERROR(INDEX(Kontenplan!$C$5:$C$90,MATCH($E76,Kontenplan!$A$5:$A$90,0)),"?"))</f>
        <v/>
      </c>
      <c r="V76" s="35" t="str">
        <f aca="false">IF($F76="","",IF(OR($D76="",$E76="",$T76="?",$U76="?"),"Konto prüfen!",IF($A76="","Datum fehlt",IF(YEAR($A76)&lt;&gt;Einstellungen!$B$7,"anderes Jahr!",IF($G76="","MWST-Code fehlt","OK")))))</f>
        <v/>
      </c>
      <c r="W76" s="35" t="str">
        <f aca="false">IF($F76="","",IF(OR($D76=Kontoauszug!$C$4,$E76=Kontoauszug!$C$4),MAX(W$4:W75)+1,""))</f>
        <v/>
      </c>
    </row>
    <row r="77" customFormat="false" ht="15" hidden="false" customHeight="false" outlineLevel="0" collapsed="false">
      <c r="A77" s="33"/>
      <c r="B77" s="32"/>
      <c r="C77" s="32"/>
      <c r="D77" s="32"/>
      <c r="E77" s="32"/>
      <c r="F77" s="30"/>
      <c r="G77" s="32"/>
      <c r="H77" s="34" t="n">
        <f aca="false">IF($G77="",0,IFERROR(INDEX(Einstellungen!$G$5:$G$11,MATCH($G77,Einstellungen!$E$5:$E$11,0)),0))</f>
        <v>0</v>
      </c>
      <c r="I77" s="35" t="str">
        <f aca="false">IF($G77="","-",IFERROR(INDEX(Einstellungen!$H$5:$H$11,MATCH($G77,Einstellungen!$E$5:$E$11,0)),"-"))</f>
        <v>-</v>
      </c>
      <c r="J77" s="35" t="str">
        <f aca="false">IF(AND(Einstellungen!$B$8="Ja",Einstellungen!$B$9="Effektiv"),$I77,"-")</f>
        <v>-</v>
      </c>
      <c r="K77" s="31" t="n">
        <f aca="false">IF(OR($F77="",$J77="-"),0,ROUND($F77-$F77/(1+$H77),2))</f>
        <v>0</v>
      </c>
      <c r="L77" s="31" t="n">
        <f aca="false">IF($F77="",0,$F77-$K77)</f>
        <v>0</v>
      </c>
      <c r="M77" s="31" t="n">
        <f aca="false">IF($F77="",0,IF($J77="V",$L77,$F77))</f>
        <v>0</v>
      </c>
      <c r="N77" s="31" t="n">
        <f aca="false">IF($F77="",0,IF($J77="U",$L77,$F77))</f>
        <v>0</v>
      </c>
      <c r="O77" s="35" t="str">
        <f aca="false">IF($A77="","",MONTH($A77))</f>
        <v/>
      </c>
      <c r="P77" s="35" t="str">
        <f aca="false">IF($A77="","",ROUNDUP(MONTH($A77)/3,0))</f>
        <v/>
      </c>
      <c r="Q77" s="35" t="str">
        <f aca="false">IF($A77="","",IF(MONTH($A77)&lt;=6,1,2))</f>
        <v/>
      </c>
      <c r="R77" s="35" t="str">
        <f aca="false">IF($E77="","",IFERROR(INDEX(Kontenplan!$F$5:$F$90,MATCH($E77,Kontenplan!$A$5:$A$90,0)),""))</f>
        <v/>
      </c>
      <c r="S77" s="35" t="str">
        <f aca="false">IF($D77="","",IFERROR(INDEX(Kontenplan!$F$5:$F$90,MATCH($D77,Kontenplan!$A$5:$A$90,0)),""))</f>
        <v/>
      </c>
      <c r="T77" s="35" t="str">
        <f aca="false">IF($D77="","",IFERROR(INDEX(Kontenplan!$C$5:$C$90,MATCH($D77,Kontenplan!$A$5:$A$90,0)),"?"))</f>
        <v/>
      </c>
      <c r="U77" s="35" t="str">
        <f aca="false">IF($E77="","",IFERROR(INDEX(Kontenplan!$C$5:$C$90,MATCH($E77,Kontenplan!$A$5:$A$90,0)),"?"))</f>
        <v/>
      </c>
      <c r="V77" s="35" t="str">
        <f aca="false">IF($F77="","",IF(OR($D77="",$E77="",$T77="?",$U77="?"),"Konto prüfen!",IF($A77="","Datum fehlt",IF(YEAR($A77)&lt;&gt;Einstellungen!$B$7,"anderes Jahr!",IF($G77="","MWST-Code fehlt","OK")))))</f>
        <v/>
      </c>
      <c r="W77" s="35" t="str">
        <f aca="false">IF($F77="","",IF(OR($D77=Kontoauszug!$C$4,$E77=Kontoauszug!$C$4),MAX(W$4:W76)+1,""))</f>
        <v/>
      </c>
    </row>
    <row r="78" customFormat="false" ht="15" hidden="false" customHeight="false" outlineLevel="0" collapsed="false">
      <c r="A78" s="33"/>
      <c r="B78" s="32"/>
      <c r="C78" s="32"/>
      <c r="D78" s="32"/>
      <c r="E78" s="32"/>
      <c r="F78" s="30"/>
      <c r="G78" s="32"/>
      <c r="H78" s="34" t="n">
        <f aca="false">IF($G78="",0,IFERROR(INDEX(Einstellungen!$G$5:$G$11,MATCH($G78,Einstellungen!$E$5:$E$11,0)),0))</f>
        <v>0</v>
      </c>
      <c r="I78" s="35" t="str">
        <f aca="false">IF($G78="","-",IFERROR(INDEX(Einstellungen!$H$5:$H$11,MATCH($G78,Einstellungen!$E$5:$E$11,0)),"-"))</f>
        <v>-</v>
      </c>
      <c r="J78" s="35" t="str">
        <f aca="false">IF(AND(Einstellungen!$B$8="Ja",Einstellungen!$B$9="Effektiv"),$I78,"-")</f>
        <v>-</v>
      </c>
      <c r="K78" s="31" t="n">
        <f aca="false">IF(OR($F78="",$J78="-"),0,ROUND($F78-$F78/(1+$H78),2))</f>
        <v>0</v>
      </c>
      <c r="L78" s="31" t="n">
        <f aca="false">IF($F78="",0,$F78-$K78)</f>
        <v>0</v>
      </c>
      <c r="M78" s="31" t="n">
        <f aca="false">IF($F78="",0,IF($J78="V",$L78,$F78))</f>
        <v>0</v>
      </c>
      <c r="N78" s="31" t="n">
        <f aca="false">IF($F78="",0,IF($J78="U",$L78,$F78))</f>
        <v>0</v>
      </c>
      <c r="O78" s="35" t="str">
        <f aca="false">IF($A78="","",MONTH($A78))</f>
        <v/>
      </c>
      <c r="P78" s="35" t="str">
        <f aca="false">IF($A78="","",ROUNDUP(MONTH($A78)/3,0))</f>
        <v/>
      </c>
      <c r="Q78" s="35" t="str">
        <f aca="false">IF($A78="","",IF(MONTH($A78)&lt;=6,1,2))</f>
        <v/>
      </c>
      <c r="R78" s="35" t="str">
        <f aca="false">IF($E78="","",IFERROR(INDEX(Kontenplan!$F$5:$F$90,MATCH($E78,Kontenplan!$A$5:$A$90,0)),""))</f>
        <v/>
      </c>
      <c r="S78" s="35" t="str">
        <f aca="false">IF($D78="","",IFERROR(INDEX(Kontenplan!$F$5:$F$90,MATCH($D78,Kontenplan!$A$5:$A$90,0)),""))</f>
        <v/>
      </c>
      <c r="T78" s="35" t="str">
        <f aca="false">IF($D78="","",IFERROR(INDEX(Kontenplan!$C$5:$C$90,MATCH($D78,Kontenplan!$A$5:$A$90,0)),"?"))</f>
        <v/>
      </c>
      <c r="U78" s="35" t="str">
        <f aca="false">IF($E78="","",IFERROR(INDEX(Kontenplan!$C$5:$C$90,MATCH($E78,Kontenplan!$A$5:$A$90,0)),"?"))</f>
        <v/>
      </c>
      <c r="V78" s="35" t="str">
        <f aca="false">IF($F78="","",IF(OR($D78="",$E78="",$T78="?",$U78="?"),"Konto prüfen!",IF($A78="","Datum fehlt",IF(YEAR($A78)&lt;&gt;Einstellungen!$B$7,"anderes Jahr!",IF($G78="","MWST-Code fehlt","OK")))))</f>
        <v/>
      </c>
      <c r="W78" s="35" t="str">
        <f aca="false">IF($F78="","",IF(OR($D78=Kontoauszug!$C$4,$E78=Kontoauszug!$C$4),MAX(W$4:W77)+1,""))</f>
        <v/>
      </c>
    </row>
    <row r="79" customFormat="false" ht="15" hidden="false" customHeight="false" outlineLevel="0" collapsed="false">
      <c r="A79" s="33"/>
      <c r="B79" s="32"/>
      <c r="C79" s="32"/>
      <c r="D79" s="32"/>
      <c r="E79" s="32"/>
      <c r="F79" s="30"/>
      <c r="G79" s="32"/>
      <c r="H79" s="34" t="n">
        <f aca="false">IF($G79="",0,IFERROR(INDEX(Einstellungen!$G$5:$G$11,MATCH($G79,Einstellungen!$E$5:$E$11,0)),0))</f>
        <v>0</v>
      </c>
      <c r="I79" s="35" t="str">
        <f aca="false">IF($G79="","-",IFERROR(INDEX(Einstellungen!$H$5:$H$11,MATCH($G79,Einstellungen!$E$5:$E$11,0)),"-"))</f>
        <v>-</v>
      </c>
      <c r="J79" s="35" t="str">
        <f aca="false">IF(AND(Einstellungen!$B$8="Ja",Einstellungen!$B$9="Effektiv"),$I79,"-")</f>
        <v>-</v>
      </c>
      <c r="K79" s="31" t="n">
        <f aca="false">IF(OR($F79="",$J79="-"),0,ROUND($F79-$F79/(1+$H79),2))</f>
        <v>0</v>
      </c>
      <c r="L79" s="31" t="n">
        <f aca="false">IF($F79="",0,$F79-$K79)</f>
        <v>0</v>
      </c>
      <c r="M79" s="31" t="n">
        <f aca="false">IF($F79="",0,IF($J79="V",$L79,$F79))</f>
        <v>0</v>
      </c>
      <c r="N79" s="31" t="n">
        <f aca="false">IF($F79="",0,IF($J79="U",$L79,$F79))</f>
        <v>0</v>
      </c>
      <c r="O79" s="35" t="str">
        <f aca="false">IF($A79="","",MONTH($A79))</f>
        <v/>
      </c>
      <c r="P79" s="35" t="str">
        <f aca="false">IF($A79="","",ROUNDUP(MONTH($A79)/3,0))</f>
        <v/>
      </c>
      <c r="Q79" s="35" t="str">
        <f aca="false">IF($A79="","",IF(MONTH($A79)&lt;=6,1,2))</f>
        <v/>
      </c>
      <c r="R79" s="35" t="str">
        <f aca="false">IF($E79="","",IFERROR(INDEX(Kontenplan!$F$5:$F$90,MATCH($E79,Kontenplan!$A$5:$A$90,0)),""))</f>
        <v/>
      </c>
      <c r="S79" s="35" t="str">
        <f aca="false">IF($D79="","",IFERROR(INDEX(Kontenplan!$F$5:$F$90,MATCH($D79,Kontenplan!$A$5:$A$90,0)),""))</f>
        <v/>
      </c>
      <c r="T79" s="35" t="str">
        <f aca="false">IF($D79="","",IFERROR(INDEX(Kontenplan!$C$5:$C$90,MATCH($D79,Kontenplan!$A$5:$A$90,0)),"?"))</f>
        <v/>
      </c>
      <c r="U79" s="35" t="str">
        <f aca="false">IF($E79="","",IFERROR(INDEX(Kontenplan!$C$5:$C$90,MATCH($E79,Kontenplan!$A$5:$A$90,0)),"?"))</f>
        <v/>
      </c>
      <c r="V79" s="35" t="str">
        <f aca="false">IF($F79="","",IF(OR($D79="",$E79="",$T79="?",$U79="?"),"Konto prüfen!",IF($A79="","Datum fehlt",IF(YEAR($A79)&lt;&gt;Einstellungen!$B$7,"anderes Jahr!",IF($G79="","MWST-Code fehlt","OK")))))</f>
        <v/>
      </c>
      <c r="W79" s="35" t="str">
        <f aca="false">IF($F79="","",IF(OR($D79=Kontoauszug!$C$4,$E79=Kontoauszug!$C$4),MAX(W$4:W78)+1,""))</f>
        <v/>
      </c>
    </row>
    <row r="80" customFormat="false" ht="15" hidden="false" customHeight="false" outlineLevel="0" collapsed="false">
      <c r="A80" s="33"/>
      <c r="B80" s="32"/>
      <c r="C80" s="32"/>
      <c r="D80" s="32"/>
      <c r="E80" s="32"/>
      <c r="F80" s="30"/>
      <c r="G80" s="32"/>
      <c r="H80" s="34" t="n">
        <f aca="false">IF($G80="",0,IFERROR(INDEX(Einstellungen!$G$5:$G$11,MATCH($G80,Einstellungen!$E$5:$E$11,0)),0))</f>
        <v>0</v>
      </c>
      <c r="I80" s="35" t="str">
        <f aca="false">IF($G80="","-",IFERROR(INDEX(Einstellungen!$H$5:$H$11,MATCH($G80,Einstellungen!$E$5:$E$11,0)),"-"))</f>
        <v>-</v>
      </c>
      <c r="J80" s="35" t="str">
        <f aca="false">IF(AND(Einstellungen!$B$8="Ja",Einstellungen!$B$9="Effektiv"),$I80,"-")</f>
        <v>-</v>
      </c>
      <c r="K80" s="31" t="n">
        <f aca="false">IF(OR($F80="",$J80="-"),0,ROUND($F80-$F80/(1+$H80),2))</f>
        <v>0</v>
      </c>
      <c r="L80" s="31" t="n">
        <f aca="false">IF($F80="",0,$F80-$K80)</f>
        <v>0</v>
      </c>
      <c r="M80" s="31" t="n">
        <f aca="false">IF($F80="",0,IF($J80="V",$L80,$F80))</f>
        <v>0</v>
      </c>
      <c r="N80" s="31" t="n">
        <f aca="false">IF($F80="",0,IF($J80="U",$L80,$F80))</f>
        <v>0</v>
      </c>
      <c r="O80" s="35" t="str">
        <f aca="false">IF($A80="","",MONTH($A80))</f>
        <v/>
      </c>
      <c r="P80" s="35" t="str">
        <f aca="false">IF($A80="","",ROUNDUP(MONTH($A80)/3,0))</f>
        <v/>
      </c>
      <c r="Q80" s="35" t="str">
        <f aca="false">IF($A80="","",IF(MONTH($A80)&lt;=6,1,2))</f>
        <v/>
      </c>
      <c r="R80" s="35" t="str">
        <f aca="false">IF($E80="","",IFERROR(INDEX(Kontenplan!$F$5:$F$90,MATCH($E80,Kontenplan!$A$5:$A$90,0)),""))</f>
        <v/>
      </c>
      <c r="S80" s="35" t="str">
        <f aca="false">IF($D80="","",IFERROR(INDEX(Kontenplan!$F$5:$F$90,MATCH($D80,Kontenplan!$A$5:$A$90,0)),""))</f>
        <v/>
      </c>
      <c r="T80" s="35" t="str">
        <f aca="false">IF($D80="","",IFERROR(INDEX(Kontenplan!$C$5:$C$90,MATCH($D80,Kontenplan!$A$5:$A$90,0)),"?"))</f>
        <v/>
      </c>
      <c r="U80" s="35" t="str">
        <f aca="false">IF($E80="","",IFERROR(INDEX(Kontenplan!$C$5:$C$90,MATCH($E80,Kontenplan!$A$5:$A$90,0)),"?"))</f>
        <v/>
      </c>
      <c r="V80" s="35" t="str">
        <f aca="false">IF($F80="","",IF(OR($D80="",$E80="",$T80="?",$U80="?"),"Konto prüfen!",IF($A80="","Datum fehlt",IF(YEAR($A80)&lt;&gt;Einstellungen!$B$7,"anderes Jahr!",IF($G80="","MWST-Code fehlt","OK")))))</f>
        <v/>
      </c>
      <c r="W80" s="35" t="str">
        <f aca="false">IF($F80="","",IF(OR($D80=Kontoauszug!$C$4,$E80=Kontoauszug!$C$4),MAX(W$4:W79)+1,""))</f>
        <v/>
      </c>
    </row>
    <row r="81" customFormat="false" ht="15" hidden="false" customHeight="false" outlineLevel="0" collapsed="false">
      <c r="A81" s="33"/>
      <c r="B81" s="32"/>
      <c r="C81" s="32"/>
      <c r="D81" s="32"/>
      <c r="E81" s="32"/>
      <c r="F81" s="30"/>
      <c r="G81" s="32"/>
      <c r="H81" s="34" t="n">
        <f aca="false">IF($G81="",0,IFERROR(INDEX(Einstellungen!$G$5:$G$11,MATCH($G81,Einstellungen!$E$5:$E$11,0)),0))</f>
        <v>0</v>
      </c>
      <c r="I81" s="35" t="str">
        <f aca="false">IF($G81="","-",IFERROR(INDEX(Einstellungen!$H$5:$H$11,MATCH($G81,Einstellungen!$E$5:$E$11,0)),"-"))</f>
        <v>-</v>
      </c>
      <c r="J81" s="35" t="str">
        <f aca="false">IF(AND(Einstellungen!$B$8="Ja",Einstellungen!$B$9="Effektiv"),$I81,"-")</f>
        <v>-</v>
      </c>
      <c r="K81" s="31" t="n">
        <f aca="false">IF(OR($F81="",$J81="-"),0,ROUND($F81-$F81/(1+$H81),2))</f>
        <v>0</v>
      </c>
      <c r="L81" s="31" t="n">
        <f aca="false">IF($F81="",0,$F81-$K81)</f>
        <v>0</v>
      </c>
      <c r="M81" s="31" t="n">
        <f aca="false">IF($F81="",0,IF($J81="V",$L81,$F81))</f>
        <v>0</v>
      </c>
      <c r="N81" s="31" t="n">
        <f aca="false">IF($F81="",0,IF($J81="U",$L81,$F81))</f>
        <v>0</v>
      </c>
      <c r="O81" s="35" t="str">
        <f aca="false">IF($A81="","",MONTH($A81))</f>
        <v/>
      </c>
      <c r="P81" s="35" t="str">
        <f aca="false">IF($A81="","",ROUNDUP(MONTH($A81)/3,0))</f>
        <v/>
      </c>
      <c r="Q81" s="35" t="str">
        <f aca="false">IF($A81="","",IF(MONTH($A81)&lt;=6,1,2))</f>
        <v/>
      </c>
      <c r="R81" s="35" t="str">
        <f aca="false">IF($E81="","",IFERROR(INDEX(Kontenplan!$F$5:$F$90,MATCH($E81,Kontenplan!$A$5:$A$90,0)),""))</f>
        <v/>
      </c>
      <c r="S81" s="35" t="str">
        <f aca="false">IF($D81="","",IFERROR(INDEX(Kontenplan!$F$5:$F$90,MATCH($D81,Kontenplan!$A$5:$A$90,0)),""))</f>
        <v/>
      </c>
      <c r="T81" s="35" t="str">
        <f aca="false">IF($D81="","",IFERROR(INDEX(Kontenplan!$C$5:$C$90,MATCH($D81,Kontenplan!$A$5:$A$90,0)),"?"))</f>
        <v/>
      </c>
      <c r="U81" s="35" t="str">
        <f aca="false">IF($E81="","",IFERROR(INDEX(Kontenplan!$C$5:$C$90,MATCH($E81,Kontenplan!$A$5:$A$90,0)),"?"))</f>
        <v/>
      </c>
      <c r="V81" s="35" t="str">
        <f aca="false">IF($F81="","",IF(OR($D81="",$E81="",$T81="?",$U81="?"),"Konto prüfen!",IF($A81="","Datum fehlt",IF(YEAR($A81)&lt;&gt;Einstellungen!$B$7,"anderes Jahr!",IF($G81="","MWST-Code fehlt","OK")))))</f>
        <v/>
      </c>
      <c r="W81" s="35" t="str">
        <f aca="false">IF($F81="","",IF(OR($D81=Kontoauszug!$C$4,$E81=Kontoauszug!$C$4),MAX(W$4:W80)+1,""))</f>
        <v/>
      </c>
    </row>
    <row r="82" customFormat="false" ht="15" hidden="false" customHeight="false" outlineLevel="0" collapsed="false">
      <c r="A82" s="33"/>
      <c r="B82" s="32"/>
      <c r="C82" s="32"/>
      <c r="D82" s="32"/>
      <c r="E82" s="32"/>
      <c r="F82" s="30"/>
      <c r="G82" s="32"/>
      <c r="H82" s="34" t="n">
        <f aca="false">IF($G82="",0,IFERROR(INDEX(Einstellungen!$G$5:$G$11,MATCH($G82,Einstellungen!$E$5:$E$11,0)),0))</f>
        <v>0</v>
      </c>
      <c r="I82" s="35" t="str">
        <f aca="false">IF($G82="","-",IFERROR(INDEX(Einstellungen!$H$5:$H$11,MATCH($G82,Einstellungen!$E$5:$E$11,0)),"-"))</f>
        <v>-</v>
      </c>
      <c r="J82" s="35" t="str">
        <f aca="false">IF(AND(Einstellungen!$B$8="Ja",Einstellungen!$B$9="Effektiv"),$I82,"-")</f>
        <v>-</v>
      </c>
      <c r="K82" s="31" t="n">
        <f aca="false">IF(OR($F82="",$J82="-"),0,ROUND($F82-$F82/(1+$H82),2))</f>
        <v>0</v>
      </c>
      <c r="L82" s="31" t="n">
        <f aca="false">IF($F82="",0,$F82-$K82)</f>
        <v>0</v>
      </c>
      <c r="M82" s="31" t="n">
        <f aca="false">IF($F82="",0,IF($J82="V",$L82,$F82))</f>
        <v>0</v>
      </c>
      <c r="N82" s="31" t="n">
        <f aca="false">IF($F82="",0,IF($J82="U",$L82,$F82))</f>
        <v>0</v>
      </c>
      <c r="O82" s="35" t="str">
        <f aca="false">IF($A82="","",MONTH($A82))</f>
        <v/>
      </c>
      <c r="P82" s="35" t="str">
        <f aca="false">IF($A82="","",ROUNDUP(MONTH($A82)/3,0))</f>
        <v/>
      </c>
      <c r="Q82" s="35" t="str">
        <f aca="false">IF($A82="","",IF(MONTH($A82)&lt;=6,1,2))</f>
        <v/>
      </c>
      <c r="R82" s="35" t="str">
        <f aca="false">IF($E82="","",IFERROR(INDEX(Kontenplan!$F$5:$F$90,MATCH($E82,Kontenplan!$A$5:$A$90,0)),""))</f>
        <v/>
      </c>
      <c r="S82" s="35" t="str">
        <f aca="false">IF($D82="","",IFERROR(INDEX(Kontenplan!$F$5:$F$90,MATCH($D82,Kontenplan!$A$5:$A$90,0)),""))</f>
        <v/>
      </c>
      <c r="T82" s="35" t="str">
        <f aca="false">IF($D82="","",IFERROR(INDEX(Kontenplan!$C$5:$C$90,MATCH($D82,Kontenplan!$A$5:$A$90,0)),"?"))</f>
        <v/>
      </c>
      <c r="U82" s="35" t="str">
        <f aca="false">IF($E82="","",IFERROR(INDEX(Kontenplan!$C$5:$C$90,MATCH($E82,Kontenplan!$A$5:$A$90,0)),"?"))</f>
        <v/>
      </c>
      <c r="V82" s="35" t="str">
        <f aca="false">IF($F82="","",IF(OR($D82="",$E82="",$T82="?",$U82="?"),"Konto prüfen!",IF($A82="","Datum fehlt",IF(YEAR($A82)&lt;&gt;Einstellungen!$B$7,"anderes Jahr!",IF($G82="","MWST-Code fehlt","OK")))))</f>
        <v/>
      </c>
      <c r="W82" s="35" t="str">
        <f aca="false">IF($F82="","",IF(OR($D82=Kontoauszug!$C$4,$E82=Kontoauszug!$C$4),MAX(W$4:W81)+1,""))</f>
        <v/>
      </c>
    </row>
    <row r="83" customFormat="false" ht="15" hidden="false" customHeight="false" outlineLevel="0" collapsed="false">
      <c r="A83" s="33"/>
      <c r="B83" s="32"/>
      <c r="C83" s="32"/>
      <c r="D83" s="32"/>
      <c r="E83" s="32"/>
      <c r="F83" s="30"/>
      <c r="G83" s="32"/>
      <c r="H83" s="34" t="n">
        <f aca="false">IF($G83="",0,IFERROR(INDEX(Einstellungen!$G$5:$G$11,MATCH($G83,Einstellungen!$E$5:$E$11,0)),0))</f>
        <v>0</v>
      </c>
      <c r="I83" s="35" t="str">
        <f aca="false">IF($G83="","-",IFERROR(INDEX(Einstellungen!$H$5:$H$11,MATCH($G83,Einstellungen!$E$5:$E$11,0)),"-"))</f>
        <v>-</v>
      </c>
      <c r="J83" s="35" t="str">
        <f aca="false">IF(AND(Einstellungen!$B$8="Ja",Einstellungen!$B$9="Effektiv"),$I83,"-")</f>
        <v>-</v>
      </c>
      <c r="K83" s="31" t="n">
        <f aca="false">IF(OR($F83="",$J83="-"),0,ROUND($F83-$F83/(1+$H83),2))</f>
        <v>0</v>
      </c>
      <c r="L83" s="31" t="n">
        <f aca="false">IF($F83="",0,$F83-$K83)</f>
        <v>0</v>
      </c>
      <c r="M83" s="31" t="n">
        <f aca="false">IF($F83="",0,IF($J83="V",$L83,$F83))</f>
        <v>0</v>
      </c>
      <c r="N83" s="31" t="n">
        <f aca="false">IF($F83="",0,IF($J83="U",$L83,$F83))</f>
        <v>0</v>
      </c>
      <c r="O83" s="35" t="str">
        <f aca="false">IF($A83="","",MONTH($A83))</f>
        <v/>
      </c>
      <c r="P83" s="35" t="str">
        <f aca="false">IF($A83="","",ROUNDUP(MONTH($A83)/3,0))</f>
        <v/>
      </c>
      <c r="Q83" s="35" t="str">
        <f aca="false">IF($A83="","",IF(MONTH($A83)&lt;=6,1,2))</f>
        <v/>
      </c>
      <c r="R83" s="35" t="str">
        <f aca="false">IF($E83="","",IFERROR(INDEX(Kontenplan!$F$5:$F$90,MATCH($E83,Kontenplan!$A$5:$A$90,0)),""))</f>
        <v/>
      </c>
      <c r="S83" s="35" t="str">
        <f aca="false">IF($D83="","",IFERROR(INDEX(Kontenplan!$F$5:$F$90,MATCH($D83,Kontenplan!$A$5:$A$90,0)),""))</f>
        <v/>
      </c>
      <c r="T83" s="35" t="str">
        <f aca="false">IF($D83="","",IFERROR(INDEX(Kontenplan!$C$5:$C$90,MATCH($D83,Kontenplan!$A$5:$A$90,0)),"?"))</f>
        <v/>
      </c>
      <c r="U83" s="35" t="str">
        <f aca="false">IF($E83="","",IFERROR(INDEX(Kontenplan!$C$5:$C$90,MATCH($E83,Kontenplan!$A$5:$A$90,0)),"?"))</f>
        <v/>
      </c>
      <c r="V83" s="35" t="str">
        <f aca="false">IF($F83="","",IF(OR($D83="",$E83="",$T83="?",$U83="?"),"Konto prüfen!",IF($A83="","Datum fehlt",IF(YEAR($A83)&lt;&gt;Einstellungen!$B$7,"anderes Jahr!",IF($G83="","MWST-Code fehlt","OK")))))</f>
        <v/>
      </c>
      <c r="W83" s="35" t="str">
        <f aca="false">IF($F83="","",IF(OR($D83=Kontoauszug!$C$4,$E83=Kontoauszug!$C$4),MAX(W$4:W82)+1,""))</f>
        <v/>
      </c>
    </row>
    <row r="84" customFormat="false" ht="15" hidden="false" customHeight="false" outlineLevel="0" collapsed="false">
      <c r="A84" s="33"/>
      <c r="B84" s="32"/>
      <c r="C84" s="32"/>
      <c r="D84" s="32"/>
      <c r="E84" s="32"/>
      <c r="F84" s="30"/>
      <c r="G84" s="32"/>
      <c r="H84" s="34" t="n">
        <f aca="false">IF($G84="",0,IFERROR(INDEX(Einstellungen!$G$5:$G$11,MATCH($G84,Einstellungen!$E$5:$E$11,0)),0))</f>
        <v>0</v>
      </c>
      <c r="I84" s="35" t="str">
        <f aca="false">IF($G84="","-",IFERROR(INDEX(Einstellungen!$H$5:$H$11,MATCH($G84,Einstellungen!$E$5:$E$11,0)),"-"))</f>
        <v>-</v>
      </c>
      <c r="J84" s="35" t="str">
        <f aca="false">IF(AND(Einstellungen!$B$8="Ja",Einstellungen!$B$9="Effektiv"),$I84,"-")</f>
        <v>-</v>
      </c>
      <c r="K84" s="31" t="n">
        <f aca="false">IF(OR($F84="",$J84="-"),0,ROUND($F84-$F84/(1+$H84),2))</f>
        <v>0</v>
      </c>
      <c r="L84" s="31" t="n">
        <f aca="false">IF($F84="",0,$F84-$K84)</f>
        <v>0</v>
      </c>
      <c r="M84" s="31" t="n">
        <f aca="false">IF($F84="",0,IF($J84="V",$L84,$F84))</f>
        <v>0</v>
      </c>
      <c r="N84" s="31" t="n">
        <f aca="false">IF($F84="",0,IF($J84="U",$L84,$F84))</f>
        <v>0</v>
      </c>
      <c r="O84" s="35" t="str">
        <f aca="false">IF($A84="","",MONTH($A84))</f>
        <v/>
      </c>
      <c r="P84" s="35" t="str">
        <f aca="false">IF($A84="","",ROUNDUP(MONTH($A84)/3,0))</f>
        <v/>
      </c>
      <c r="Q84" s="35" t="str">
        <f aca="false">IF($A84="","",IF(MONTH($A84)&lt;=6,1,2))</f>
        <v/>
      </c>
      <c r="R84" s="35" t="str">
        <f aca="false">IF($E84="","",IFERROR(INDEX(Kontenplan!$F$5:$F$90,MATCH($E84,Kontenplan!$A$5:$A$90,0)),""))</f>
        <v/>
      </c>
      <c r="S84" s="35" t="str">
        <f aca="false">IF($D84="","",IFERROR(INDEX(Kontenplan!$F$5:$F$90,MATCH($D84,Kontenplan!$A$5:$A$90,0)),""))</f>
        <v/>
      </c>
      <c r="T84" s="35" t="str">
        <f aca="false">IF($D84="","",IFERROR(INDEX(Kontenplan!$C$5:$C$90,MATCH($D84,Kontenplan!$A$5:$A$90,0)),"?"))</f>
        <v/>
      </c>
      <c r="U84" s="35" t="str">
        <f aca="false">IF($E84="","",IFERROR(INDEX(Kontenplan!$C$5:$C$90,MATCH($E84,Kontenplan!$A$5:$A$90,0)),"?"))</f>
        <v/>
      </c>
      <c r="V84" s="35" t="str">
        <f aca="false">IF($F84="","",IF(OR($D84="",$E84="",$T84="?",$U84="?"),"Konto prüfen!",IF($A84="","Datum fehlt",IF(YEAR($A84)&lt;&gt;Einstellungen!$B$7,"anderes Jahr!",IF($G84="","MWST-Code fehlt","OK")))))</f>
        <v/>
      </c>
      <c r="W84" s="35" t="str">
        <f aca="false">IF($F84="","",IF(OR($D84=Kontoauszug!$C$4,$E84=Kontoauszug!$C$4),MAX(W$4:W83)+1,""))</f>
        <v/>
      </c>
    </row>
    <row r="85" customFormat="false" ht="15" hidden="false" customHeight="false" outlineLevel="0" collapsed="false">
      <c r="A85" s="33"/>
      <c r="B85" s="32"/>
      <c r="C85" s="32"/>
      <c r="D85" s="32"/>
      <c r="E85" s="32"/>
      <c r="F85" s="30"/>
      <c r="G85" s="32"/>
      <c r="H85" s="34" t="n">
        <f aca="false">IF($G85="",0,IFERROR(INDEX(Einstellungen!$G$5:$G$11,MATCH($G85,Einstellungen!$E$5:$E$11,0)),0))</f>
        <v>0</v>
      </c>
      <c r="I85" s="35" t="str">
        <f aca="false">IF($G85="","-",IFERROR(INDEX(Einstellungen!$H$5:$H$11,MATCH($G85,Einstellungen!$E$5:$E$11,0)),"-"))</f>
        <v>-</v>
      </c>
      <c r="J85" s="35" t="str">
        <f aca="false">IF(AND(Einstellungen!$B$8="Ja",Einstellungen!$B$9="Effektiv"),$I85,"-")</f>
        <v>-</v>
      </c>
      <c r="K85" s="31" t="n">
        <f aca="false">IF(OR($F85="",$J85="-"),0,ROUND($F85-$F85/(1+$H85),2))</f>
        <v>0</v>
      </c>
      <c r="L85" s="31" t="n">
        <f aca="false">IF($F85="",0,$F85-$K85)</f>
        <v>0</v>
      </c>
      <c r="M85" s="31" t="n">
        <f aca="false">IF($F85="",0,IF($J85="V",$L85,$F85))</f>
        <v>0</v>
      </c>
      <c r="N85" s="31" t="n">
        <f aca="false">IF($F85="",0,IF($J85="U",$L85,$F85))</f>
        <v>0</v>
      </c>
      <c r="O85" s="35" t="str">
        <f aca="false">IF($A85="","",MONTH($A85))</f>
        <v/>
      </c>
      <c r="P85" s="35" t="str">
        <f aca="false">IF($A85="","",ROUNDUP(MONTH($A85)/3,0))</f>
        <v/>
      </c>
      <c r="Q85" s="35" t="str">
        <f aca="false">IF($A85="","",IF(MONTH($A85)&lt;=6,1,2))</f>
        <v/>
      </c>
      <c r="R85" s="35" t="str">
        <f aca="false">IF($E85="","",IFERROR(INDEX(Kontenplan!$F$5:$F$90,MATCH($E85,Kontenplan!$A$5:$A$90,0)),""))</f>
        <v/>
      </c>
      <c r="S85" s="35" t="str">
        <f aca="false">IF($D85="","",IFERROR(INDEX(Kontenplan!$F$5:$F$90,MATCH($D85,Kontenplan!$A$5:$A$90,0)),""))</f>
        <v/>
      </c>
      <c r="T85" s="35" t="str">
        <f aca="false">IF($D85="","",IFERROR(INDEX(Kontenplan!$C$5:$C$90,MATCH($D85,Kontenplan!$A$5:$A$90,0)),"?"))</f>
        <v/>
      </c>
      <c r="U85" s="35" t="str">
        <f aca="false">IF($E85="","",IFERROR(INDEX(Kontenplan!$C$5:$C$90,MATCH($E85,Kontenplan!$A$5:$A$90,0)),"?"))</f>
        <v/>
      </c>
      <c r="V85" s="35" t="str">
        <f aca="false">IF($F85="","",IF(OR($D85="",$E85="",$T85="?",$U85="?"),"Konto prüfen!",IF($A85="","Datum fehlt",IF(YEAR($A85)&lt;&gt;Einstellungen!$B$7,"anderes Jahr!",IF($G85="","MWST-Code fehlt","OK")))))</f>
        <v/>
      </c>
      <c r="W85" s="35" t="str">
        <f aca="false">IF($F85="","",IF(OR($D85=Kontoauszug!$C$4,$E85=Kontoauszug!$C$4),MAX(W$4:W84)+1,""))</f>
        <v/>
      </c>
    </row>
    <row r="86" customFormat="false" ht="15" hidden="false" customHeight="false" outlineLevel="0" collapsed="false">
      <c r="A86" s="33"/>
      <c r="B86" s="32"/>
      <c r="C86" s="32"/>
      <c r="D86" s="32"/>
      <c r="E86" s="32"/>
      <c r="F86" s="30"/>
      <c r="G86" s="32"/>
      <c r="H86" s="34" t="n">
        <f aca="false">IF($G86="",0,IFERROR(INDEX(Einstellungen!$G$5:$G$11,MATCH($G86,Einstellungen!$E$5:$E$11,0)),0))</f>
        <v>0</v>
      </c>
      <c r="I86" s="35" t="str">
        <f aca="false">IF($G86="","-",IFERROR(INDEX(Einstellungen!$H$5:$H$11,MATCH($G86,Einstellungen!$E$5:$E$11,0)),"-"))</f>
        <v>-</v>
      </c>
      <c r="J86" s="35" t="str">
        <f aca="false">IF(AND(Einstellungen!$B$8="Ja",Einstellungen!$B$9="Effektiv"),$I86,"-")</f>
        <v>-</v>
      </c>
      <c r="K86" s="31" t="n">
        <f aca="false">IF(OR($F86="",$J86="-"),0,ROUND($F86-$F86/(1+$H86),2))</f>
        <v>0</v>
      </c>
      <c r="L86" s="31" t="n">
        <f aca="false">IF($F86="",0,$F86-$K86)</f>
        <v>0</v>
      </c>
      <c r="M86" s="31" t="n">
        <f aca="false">IF($F86="",0,IF($J86="V",$L86,$F86))</f>
        <v>0</v>
      </c>
      <c r="N86" s="31" t="n">
        <f aca="false">IF($F86="",0,IF($J86="U",$L86,$F86))</f>
        <v>0</v>
      </c>
      <c r="O86" s="35" t="str">
        <f aca="false">IF($A86="","",MONTH($A86))</f>
        <v/>
      </c>
      <c r="P86" s="35" t="str">
        <f aca="false">IF($A86="","",ROUNDUP(MONTH($A86)/3,0))</f>
        <v/>
      </c>
      <c r="Q86" s="35" t="str">
        <f aca="false">IF($A86="","",IF(MONTH($A86)&lt;=6,1,2))</f>
        <v/>
      </c>
      <c r="R86" s="35" t="str">
        <f aca="false">IF($E86="","",IFERROR(INDEX(Kontenplan!$F$5:$F$90,MATCH($E86,Kontenplan!$A$5:$A$90,0)),""))</f>
        <v/>
      </c>
      <c r="S86" s="35" t="str">
        <f aca="false">IF($D86="","",IFERROR(INDEX(Kontenplan!$F$5:$F$90,MATCH($D86,Kontenplan!$A$5:$A$90,0)),""))</f>
        <v/>
      </c>
      <c r="T86" s="35" t="str">
        <f aca="false">IF($D86="","",IFERROR(INDEX(Kontenplan!$C$5:$C$90,MATCH($D86,Kontenplan!$A$5:$A$90,0)),"?"))</f>
        <v/>
      </c>
      <c r="U86" s="35" t="str">
        <f aca="false">IF($E86="","",IFERROR(INDEX(Kontenplan!$C$5:$C$90,MATCH($E86,Kontenplan!$A$5:$A$90,0)),"?"))</f>
        <v/>
      </c>
      <c r="V86" s="35" t="str">
        <f aca="false">IF($F86="","",IF(OR($D86="",$E86="",$T86="?",$U86="?"),"Konto prüfen!",IF($A86="","Datum fehlt",IF(YEAR($A86)&lt;&gt;Einstellungen!$B$7,"anderes Jahr!",IF($G86="","MWST-Code fehlt","OK")))))</f>
        <v/>
      </c>
      <c r="W86" s="35" t="str">
        <f aca="false">IF($F86="","",IF(OR($D86=Kontoauszug!$C$4,$E86=Kontoauszug!$C$4),MAX(W$4:W85)+1,""))</f>
        <v/>
      </c>
    </row>
    <row r="87" customFormat="false" ht="15" hidden="false" customHeight="false" outlineLevel="0" collapsed="false">
      <c r="A87" s="33"/>
      <c r="B87" s="32"/>
      <c r="C87" s="32"/>
      <c r="D87" s="32"/>
      <c r="E87" s="32"/>
      <c r="F87" s="30"/>
      <c r="G87" s="32"/>
      <c r="H87" s="34" t="n">
        <f aca="false">IF($G87="",0,IFERROR(INDEX(Einstellungen!$G$5:$G$11,MATCH($G87,Einstellungen!$E$5:$E$11,0)),0))</f>
        <v>0</v>
      </c>
      <c r="I87" s="35" t="str">
        <f aca="false">IF($G87="","-",IFERROR(INDEX(Einstellungen!$H$5:$H$11,MATCH($G87,Einstellungen!$E$5:$E$11,0)),"-"))</f>
        <v>-</v>
      </c>
      <c r="J87" s="35" t="str">
        <f aca="false">IF(AND(Einstellungen!$B$8="Ja",Einstellungen!$B$9="Effektiv"),$I87,"-")</f>
        <v>-</v>
      </c>
      <c r="K87" s="31" t="n">
        <f aca="false">IF(OR($F87="",$J87="-"),0,ROUND($F87-$F87/(1+$H87),2))</f>
        <v>0</v>
      </c>
      <c r="L87" s="31" t="n">
        <f aca="false">IF($F87="",0,$F87-$K87)</f>
        <v>0</v>
      </c>
      <c r="M87" s="31" t="n">
        <f aca="false">IF($F87="",0,IF($J87="V",$L87,$F87))</f>
        <v>0</v>
      </c>
      <c r="N87" s="31" t="n">
        <f aca="false">IF($F87="",0,IF($J87="U",$L87,$F87))</f>
        <v>0</v>
      </c>
      <c r="O87" s="35" t="str">
        <f aca="false">IF($A87="","",MONTH($A87))</f>
        <v/>
      </c>
      <c r="P87" s="35" t="str">
        <f aca="false">IF($A87="","",ROUNDUP(MONTH($A87)/3,0))</f>
        <v/>
      </c>
      <c r="Q87" s="35" t="str">
        <f aca="false">IF($A87="","",IF(MONTH($A87)&lt;=6,1,2))</f>
        <v/>
      </c>
      <c r="R87" s="35" t="str">
        <f aca="false">IF($E87="","",IFERROR(INDEX(Kontenplan!$F$5:$F$90,MATCH($E87,Kontenplan!$A$5:$A$90,0)),""))</f>
        <v/>
      </c>
      <c r="S87" s="35" t="str">
        <f aca="false">IF($D87="","",IFERROR(INDEX(Kontenplan!$F$5:$F$90,MATCH($D87,Kontenplan!$A$5:$A$90,0)),""))</f>
        <v/>
      </c>
      <c r="T87" s="35" t="str">
        <f aca="false">IF($D87="","",IFERROR(INDEX(Kontenplan!$C$5:$C$90,MATCH($D87,Kontenplan!$A$5:$A$90,0)),"?"))</f>
        <v/>
      </c>
      <c r="U87" s="35" t="str">
        <f aca="false">IF($E87="","",IFERROR(INDEX(Kontenplan!$C$5:$C$90,MATCH($E87,Kontenplan!$A$5:$A$90,0)),"?"))</f>
        <v/>
      </c>
      <c r="V87" s="35" t="str">
        <f aca="false">IF($F87="","",IF(OR($D87="",$E87="",$T87="?",$U87="?"),"Konto prüfen!",IF($A87="","Datum fehlt",IF(YEAR($A87)&lt;&gt;Einstellungen!$B$7,"anderes Jahr!",IF($G87="","MWST-Code fehlt","OK")))))</f>
        <v/>
      </c>
      <c r="W87" s="35" t="str">
        <f aca="false">IF($F87="","",IF(OR($D87=Kontoauszug!$C$4,$E87=Kontoauszug!$C$4),MAX(W$4:W86)+1,""))</f>
        <v/>
      </c>
    </row>
    <row r="88" customFormat="false" ht="15" hidden="false" customHeight="false" outlineLevel="0" collapsed="false">
      <c r="A88" s="33"/>
      <c r="B88" s="32"/>
      <c r="C88" s="32"/>
      <c r="D88" s="32"/>
      <c r="E88" s="32"/>
      <c r="F88" s="30"/>
      <c r="G88" s="32"/>
      <c r="H88" s="34" t="n">
        <f aca="false">IF($G88="",0,IFERROR(INDEX(Einstellungen!$G$5:$G$11,MATCH($G88,Einstellungen!$E$5:$E$11,0)),0))</f>
        <v>0</v>
      </c>
      <c r="I88" s="35" t="str">
        <f aca="false">IF($G88="","-",IFERROR(INDEX(Einstellungen!$H$5:$H$11,MATCH($G88,Einstellungen!$E$5:$E$11,0)),"-"))</f>
        <v>-</v>
      </c>
      <c r="J88" s="35" t="str">
        <f aca="false">IF(AND(Einstellungen!$B$8="Ja",Einstellungen!$B$9="Effektiv"),$I88,"-")</f>
        <v>-</v>
      </c>
      <c r="K88" s="31" t="n">
        <f aca="false">IF(OR($F88="",$J88="-"),0,ROUND($F88-$F88/(1+$H88),2))</f>
        <v>0</v>
      </c>
      <c r="L88" s="31" t="n">
        <f aca="false">IF($F88="",0,$F88-$K88)</f>
        <v>0</v>
      </c>
      <c r="M88" s="31" t="n">
        <f aca="false">IF($F88="",0,IF($J88="V",$L88,$F88))</f>
        <v>0</v>
      </c>
      <c r="N88" s="31" t="n">
        <f aca="false">IF($F88="",0,IF($J88="U",$L88,$F88))</f>
        <v>0</v>
      </c>
      <c r="O88" s="35" t="str">
        <f aca="false">IF($A88="","",MONTH($A88))</f>
        <v/>
      </c>
      <c r="P88" s="35" t="str">
        <f aca="false">IF($A88="","",ROUNDUP(MONTH($A88)/3,0))</f>
        <v/>
      </c>
      <c r="Q88" s="35" t="str">
        <f aca="false">IF($A88="","",IF(MONTH($A88)&lt;=6,1,2))</f>
        <v/>
      </c>
      <c r="R88" s="35" t="str">
        <f aca="false">IF($E88="","",IFERROR(INDEX(Kontenplan!$F$5:$F$90,MATCH($E88,Kontenplan!$A$5:$A$90,0)),""))</f>
        <v/>
      </c>
      <c r="S88" s="35" t="str">
        <f aca="false">IF($D88="","",IFERROR(INDEX(Kontenplan!$F$5:$F$90,MATCH($D88,Kontenplan!$A$5:$A$90,0)),""))</f>
        <v/>
      </c>
      <c r="T88" s="35" t="str">
        <f aca="false">IF($D88="","",IFERROR(INDEX(Kontenplan!$C$5:$C$90,MATCH($D88,Kontenplan!$A$5:$A$90,0)),"?"))</f>
        <v/>
      </c>
      <c r="U88" s="35" t="str">
        <f aca="false">IF($E88="","",IFERROR(INDEX(Kontenplan!$C$5:$C$90,MATCH($E88,Kontenplan!$A$5:$A$90,0)),"?"))</f>
        <v/>
      </c>
      <c r="V88" s="35" t="str">
        <f aca="false">IF($F88="","",IF(OR($D88="",$E88="",$T88="?",$U88="?"),"Konto prüfen!",IF($A88="","Datum fehlt",IF(YEAR($A88)&lt;&gt;Einstellungen!$B$7,"anderes Jahr!",IF($G88="","MWST-Code fehlt","OK")))))</f>
        <v/>
      </c>
      <c r="W88" s="35" t="str">
        <f aca="false">IF($F88="","",IF(OR($D88=Kontoauszug!$C$4,$E88=Kontoauszug!$C$4),MAX(W$4:W87)+1,""))</f>
        <v/>
      </c>
    </row>
    <row r="89" customFormat="false" ht="15" hidden="false" customHeight="false" outlineLevel="0" collapsed="false">
      <c r="A89" s="33"/>
      <c r="B89" s="32"/>
      <c r="C89" s="32"/>
      <c r="D89" s="32"/>
      <c r="E89" s="32"/>
      <c r="F89" s="30"/>
      <c r="G89" s="32"/>
      <c r="H89" s="34" t="n">
        <f aca="false">IF($G89="",0,IFERROR(INDEX(Einstellungen!$G$5:$G$11,MATCH($G89,Einstellungen!$E$5:$E$11,0)),0))</f>
        <v>0</v>
      </c>
      <c r="I89" s="35" t="str">
        <f aca="false">IF($G89="","-",IFERROR(INDEX(Einstellungen!$H$5:$H$11,MATCH($G89,Einstellungen!$E$5:$E$11,0)),"-"))</f>
        <v>-</v>
      </c>
      <c r="J89" s="35" t="str">
        <f aca="false">IF(AND(Einstellungen!$B$8="Ja",Einstellungen!$B$9="Effektiv"),$I89,"-")</f>
        <v>-</v>
      </c>
      <c r="K89" s="31" t="n">
        <f aca="false">IF(OR($F89="",$J89="-"),0,ROUND($F89-$F89/(1+$H89),2))</f>
        <v>0</v>
      </c>
      <c r="L89" s="31" t="n">
        <f aca="false">IF($F89="",0,$F89-$K89)</f>
        <v>0</v>
      </c>
      <c r="M89" s="31" t="n">
        <f aca="false">IF($F89="",0,IF($J89="V",$L89,$F89))</f>
        <v>0</v>
      </c>
      <c r="N89" s="31" t="n">
        <f aca="false">IF($F89="",0,IF($J89="U",$L89,$F89))</f>
        <v>0</v>
      </c>
      <c r="O89" s="35" t="str">
        <f aca="false">IF($A89="","",MONTH($A89))</f>
        <v/>
      </c>
      <c r="P89" s="35" t="str">
        <f aca="false">IF($A89="","",ROUNDUP(MONTH($A89)/3,0))</f>
        <v/>
      </c>
      <c r="Q89" s="35" t="str">
        <f aca="false">IF($A89="","",IF(MONTH($A89)&lt;=6,1,2))</f>
        <v/>
      </c>
      <c r="R89" s="35" t="str">
        <f aca="false">IF($E89="","",IFERROR(INDEX(Kontenplan!$F$5:$F$90,MATCH($E89,Kontenplan!$A$5:$A$90,0)),""))</f>
        <v/>
      </c>
      <c r="S89" s="35" t="str">
        <f aca="false">IF($D89="","",IFERROR(INDEX(Kontenplan!$F$5:$F$90,MATCH($D89,Kontenplan!$A$5:$A$90,0)),""))</f>
        <v/>
      </c>
      <c r="T89" s="35" t="str">
        <f aca="false">IF($D89="","",IFERROR(INDEX(Kontenplan!$C$5:$C$90,MATCH($D89,Kontenplan!$A$5:$A$90,0)),"?"))</f>
        <v/>
      </c>
      <c r="U89" s="35" t="str">
        <f aca="false">IF($E89="","",IFERROR(INDEX(Kontenplan!$C$5:$C$90,MATCH($E89,Kontenplan!$A$5:$A$90,0)),"?"))</f>
        <v/>
      </c>
      <c r="V89" s="35" t="str">
        <f aca="false">IF($F89="","",IF(OR($D89="",$E89="",$T89="?",$U89="?"),"Konto prüfen!",IF($A89="","Datum fehlt",IF(YEAR($A89)&lt;&gt;Einstellungen!$B$7,"anderes Jahr!",IF($G89="","MWST-Code fehlt","OK")))))</f>
        <v/>
      </c>
      <c r="W89" s="35" t="str">
        <f aca="false">IF($F89="","",IF(OR($D89=Kontoauszug!$C$4,$E89=Kontoauszug!$C$4),MAX(W$4:W88)+1,""))</f>
        <v/>
      </c>
    </row>
    <row r="90" customFormat="false" ht="15" hidden="false" customHeight="false" outlineLevel="0" collapsed="false">
      <c r="A90" s="33"/>
      <c r="B90" s="32"/>
      <c r="C90" s="32"/>
      <c r="D90" s="32"/>
      <c r="E90" s="32"/>
      <c r="F90" s="30"/>
      <c r="G90" s="32"/>
      <c r="H90" s="34" t="n">
        <f aca="false">IF($G90="",0,IFERROR(INDEX(Einstellungen!$G$5:$G$11,MATCH($G90,Einstellungen!$E$5:$E$11,0)),0))</f>
        <v>0</v>
      </c>
      <c r="I90" s="35" t="str">
        <f aca="false">IF($G90="","-",IFERROR(INDEX(Einstellungen!$H$5:$H$11,MATCH($G90,Einstellungen!$E$5:$E$11,0)),"-"))</f>
        <v>-</v>
      </c>
      <c r="J90" s="35" t="str">
        <f aca="false">IF(AND(Einstellungen!$B$8="Ja",Einstellungen!$B$9="Effektiv"),$I90,"-")</f>
        <v>-</v>
      </c>
      <c r="K90" s="31" t="n">
        <f aca="false">IF(OR($F90="",$J90="-"),0,ROUND($F90-$F90/(1+$H90),2))</f>
        <v>0</v>
      </c>
      <c r="L90" s="31" t="n">
        <f aca="false">IF($F90="",0,$F90-$K90)</f>
        <v>0</v>
      </c>
      <c r="M90" s="31" t="n">
        <f aca="false">IF($F90="",0,IF($J90="V",$L90,$F90))</f>
        <v>0</v>
      </c>
      <c r="N90" s="31" t="n">
        <f aca="false">IF($F90="",0,IF($J90="U",$L90,$F90))</f>
        <v>0</v>
      </c>
      <c r="O90" s="35" t="str">
        <f aca="false">IF($A90="","",MONTH($A90))</f>
        <v/>
      </c>
      <c r="P90" s="35" t="str">
        <f aca="false">IF($A90="","",ROUNDUP(MONTH($A90)/3,0))</f>
        <v/>
      </c>
      <c r="Q90" s="35" t="str">
        <f aca="false">IF($A90="","",IF(MONTH($A90)&lt;=6,1,2))</f>
        <v/>
      </c>
      <c r="R90" s="35" t="str">
        <f aca="false">IF($E90="","",IFERROR(INDEX(Kontenplan!$F$5:$F$90,MATCH($E90,Kontenplan!$A$5:$A$90,0)),""))</f>
        <v/>
      </c>
      <c r="S90" s="35" t="str">
        <f aca="false">IF($D90="","",IFERROR(INDEX(Kontenplan!$F$5:$F$90,MATCH($D90,Kontenplan!$A$5:$A$90,0)),""))</f>
        <v/>
      </c>
      <c r="T90" s="35" t="str">
        <f aca="false">IF($D90="","",IFERROR(INDEX(Kontenplan!$C$5:$C$90,MATCH($D90,Kontenplan!$A$5:$A$90,0)),"?"))</f>
        <v/>
      </c>
      <c r="U90" s="35" t="str">
        <f aca="false">IF($E90="","",IFERROR(INDEX(Kontenplan!$C$5:$C$90,MATCH($E90,Kontenplan!$A$5:$A$90,0)),"?"))</f>
        <v/>
      </c>
      <c r="V90" s="35" t="str">
        <f aca="false">IF($F90="","",IF(OR($D90="",$E90="",$T90="?",$U90="?"),"Konto prüfen!",IF($A90="","Datum fehlt",IF(YEAR($A90)&lt;&gt;Einstellungen!$B$7,"anderes Jahr!",IF($G90="","MWST-Code fehlt","OK")))))</f>
        <v/>
      </c>
      <c r="W90" s="35" t="str">
        <f aca="false">IF($F90="","",IF(OR($D90=Kontoauszug!$C$4,$E90=Kontoauszug!$C$4),MAX(W$4:W89)+1,""))</f>
        <v/>
      </c>
    </row>
    <row r="91" customFormat="false" ht="15" hidden="false" customHeight="false" outlineLevel="0" collapsed="false">
      <c r="A91" s="33"/>
      <c r="B91" s="32"/>
      <c r="C91" s="32"/>
      <c r="D91" s="32"/>
      <c r="E91" s="32"/>
      <c r="F91" s="30"/>
      <c r="G91" s="32"/>
      <c r="H91" s="34" t="n">
        <f aca="false">IF($G91="",0,IFERROR(INDEX(Einstellungen!$G$5:$G$11,MATCH($G91,Einstellungen!$E$5:$E$11,0)),0))</f>
        <v>0</v>
      </c>
      <c r="I91" s="35" t="str">
        <f aca="false">IF($G91="","-",IFERROR(INDEX(Einstellungen!$H$5:$H$11,MATCH($G91,Einstellungen!$E$5:$E$11,0)),"-"))</f>
        <v>-</v>
      </c>
      <c r="J91" s="35" t="str">
        <f aca="false">IF(AND(Einstellungen!$B$8="Ja",Einstellungen!$B$9="Effektiv"),$I91,"-")</f>
        <v>-</v>
      </c>
      <c r="K91" s="31" t="n">
        <f aca="false">IF(OR($F91="",$J91="-"),0,ROUND($F91-$F91/(1+$H91),2))</f>
        <v>0</v>
      </c>
      <c r="L91" s="31" t="n">
        <f aca="false">IF($F91="",0,$F91-$K91)</f>
        <v>0</v>
      </c>
      <c r="M91" s="31" t="n">
        <f aca="false">IF($F91="",0,IF($J91="V",$L91,$F91))</f>
        <v>0</v>
      </c>
      <c r="N91" s="31" t="n">
        <f aca="false">IF($F91="",0,IF($J91="U",$L91,$F91))</f>
        <v>0</v>
      </c>
      <c r="O91" s="35" t="str">
        <f aca="false">IF($A91="","",MONTH($A91))</f>
        <v/>
      </c>
      <c r="P91" s="35" t="str">
        <f aca="false">IF($A91="","",ROUNDUP(MONTH($A91)/3,0))</f>
        <v/>
      </c>
      <c r="Q91" s="35" t="str">
        <f aca="false">IF($A91="","",IF(MONTH($A91)&lt;=6,1,2))</f>
        <v/>
      </c>
      <c r="R91" s="35" t="str">
        <f aca="false">IF($E91="","",IFERROR(INDEX(Kontenplan!$F$5:$F$90,MATCH($E91,Kontenplan!$A$5:$A$90,0)),""))</f>
        <v/>
      </c>
      <c r="S91" s="35" t="str">
        <f aca="false">IF($D91="","",IFERROR(INDEX(Kontenplan!$F$5:$F$90,MATCH($D91,Kontenplan!$A$5:$A$90,0)),""))</f>
        <v/>
      </c>
      <c r="T91" s="35" t="str">
        <f aca="false">IF($D91="","",IFERROR(INDEX(Kontenplan!$C$5:$C$90,MATCH($D91,Kontenplan!$A$5:$A$90,0)),"?"))</f>
        <v/>
      </c>
      <c r="U91" s="35" t="str">
        <f aca="false">IF($E91="","",IFERROR(INDEX(Kontenplan!$C$5:$C$90,MATCH($E91,Kontenplan!$A$5:$A$90,0)),"?"))</f>
        <v/>
      </c>
      <c r="V91" s="35" t="str">
        <f aca="false">IF($F91="","",IF(OR($D91="",$E91="",$T91="?",$U91="?"),"Konto prüfen!",IF($A91="","Datum fehlt",IF(YEAR($A91)&lt;&gt;Einstellungen!$B$7,"anderes Jahr!",IF($G91="","MWST-Code fehlt","OK")))))</f>
        <v/>
      </c>
      <c r="W91" s="35" t="str">
        <f aca="false">IF($F91="","",IF(OR($D91=Kontoauszug!$C$4,$E91=Kontoauszug!$C$4),MAX(W$4:W90)+1,""))</f>
        <v/>
      </c>
    </row>
    <row r="92" customFormat="false" ht="15" hidden="false" customHeight="false" outlineLevel="0" collapsed="false">
      <c r="A92" s="33"/>
      <c r="B92" s="32"/>
      <c r="C92" s="32"/>
      <c r="D92" s="32"/>
      <c r="E92" s="32"/>
      <c r="F92" s="30"/>
      <c r="G92" s="32"/>
      <c r="H92" s="34" t="n">
        <f aca="false">IF($G92="",0,IFERROR(INDEX(Einstellungen!$G$5:$G$11,MATCH($G92,Einstellungen!$E$5:$E$11,0)),0))</f>
        <v>0</v>
      </c>
      <c r="I92" s="35" t="str">
        <f aca="false">IF($G92="","-",IFERROR(INDEX(Einstellungen!$H$5:$H$11,MATCH($G92,Einstellungen!$E$5:$E$11,0)),"-"))</f>
        <v>-</v>
      </c>
      <c r="J92" s="35" t="str">
        <f aca="false">IF(AND(Einstellungen!$B$8="Ja",Einstellungen!$B$9="Effektiv"),$I92,"-")</f>
        <v>-</v>
      </c>
      <c r="K92" s="31" t="n">
        <f aca="false">IF(OR($F92="",$J92="-"),0,ROUND($F92-$F92/(1+$H92),2))</f>
        <v>0</v>
      </c>
      <c r="L92" s="31" t="n">
        <f aca="false">IF($F92="",0,$F92-$K92)</f>
        <v>0</v>
      </c>
      <c r="M92" s="31" t="n">
        <f aca="false">IF($F92="",0,IF($J92="V",$L92,$F92))</f>
        <v>0</v>
      </c>
      <c r="N92" s="31" t="n">
        <f aca="false">IF($F92="",0,IF($J92="U",$L92,$F92))</f>
        <v>0</v>
      </c>
      <c r="O92" s="35" t="str">
        <f aca="false">IF($A92="","",MONTH($A92))</f>
        <v/>
      </c>
      <c r="P92" s="35" t="str">
        <f aca="false">IF($A92="","",ROUNDUP(MONTH($A92)/3,0))</f>
        <v/>
      </c>
      <c r="Q92" s="35" t="str">
        <f aca="false">IF($A92="","",IF(MONTH($A92)&lt;=6,1,2))</f>
        <v/>
      </c>
      <c r="R92" s="35" t="str">
        <f aca="false">IF($E92="","",IFERROR(INDEX(Kontenplan!$F$5:$F$90,MATCH($E92,Kontenplan!$A$5:$A$90,0)),""))</f>
        <v/>
      </c>
      <c r="S92" s="35" t="str">
        <f aca="false">IF($D92="","",IFERROR(INDEX(Kontenplan!$F$5:$F$90,MATCH($D92,Kontenplan!$A$5:$A$90,0)),""))</f>
        <v/>
      </c>
      <c r="T92" s="35" t="str">
        <f aca="false">IF($D92="","",IFERROR(INDEX(Kontenplan!$C$5:$C$90,MATCH($D92,Kontenplan!$A$5:$A$90,0)),"?"))</f>
        <v/>
      </c>
      <c r="U92" s="35" t="str">
        <f aca="false">IF($E92="","",IFERROR(INDEX(Kontenplan!$C$5:$C$90,MATCH($E92,Kontenplan!$A$5:$A$90,0)),"?"))</f>
        <v/>
      </c>
      <c r="V92" s="35" t="str">
        <f aca="false">IF($F92="","",IF(OR($D92="",$E92="",$T92="?",$U92="?"),"Konto prüfen!",IF($A92="","Datum fehlt",IF(YEAR($A92)&lt;&gt;Einstellungen!$B$7,"anderes Jahr!",IF($G92="","MWST-Code fehlt","OK")))))</f>
        <v/>
      </c>
      <c r="W92" s="35" t="str">
        <f aca="false">IF($F92="","",IF(OR($D92=Kontoauszug!$C$4,$E92=Kontoauszug!$C$4),MAX(W$4:W91)+1,""))</f>
        <v/>
      </c>
    </row>
    <row r="93" customFormat="false" ht="15" hidden="false" customHeight="false" outlineLevel="0" collapsed="false">
      <c r="A93" s="33"/>
      <c r="B93" s="32"/>
      <c r="C93" s="32"/>
      <c r="D93" s="32"/>
      <c r="E93" s="32"/>
      <c r="F93" s="30"/>
      <c r="G93" s="32"/>
      <c r="H93" s="34" t="n">
        <f aca="false">IF($G93="",0,IFERROR(INDEX(Einstellungen!$G$5:$G$11,MATCH($G93,Einstellungen!$E$5:$E$11,0)),0))</f>
        <v>0</v>
      </c>
      <c r="I93" s="35" t="str">
        <f aca="false">IF($G93="","-",IFERROR(INDEX(Einstellungen!$H$5:$H$11,MATCH($G93,Einstellungen!$E$5:$E$11,0)),"-"))</f>
        <v>-</v>
      </c>
      <c r="J93" s="35" t="str">
        <f aca="false">IF(AND(Einstellungen!$B$8="Ja",Einstellungen!$B$9="Effektiv"),$I93,"-")</f>
        <v>-</v>
      </c>
      <c r="K93" s="31" t="n">
        <f aca="false">IF(OR($F93="",$J93="-"),0,ROUND($F93-$F93/(1+$H93),2))</f>
        <v>0</v>
      </c>
      <c r="L93" s="31" t="n">
        <f aca="false">IF($F93="",0,$F93-$K93)</f>
        <v>0</v>
      </c>
      <c r="M93" s="31" t="n">
        <f aca="false">IF($F93="",0,IF($J93="V",$L93,$F93))</f>
        <v>0</v>
      </c>
      <c r="N93" s="31" t="n">
        <f aca="false">IF($F93="",0,IF($J93="U",$L93,$F93))</f>
        <v>0</v>
      </c>
      <c r="O93" s="35" t="str">
        <f aca="false">IF($A93="","",MONTH($A93))</f>
        <v/>
      </c>
      <c r="P93" s="35" t="str">
        <f aca="false">IF($A93="","",ROUNDUP(MONTH($A93)/3,0))</f>
        <v/>
      </c>
      <c r="Q93" s="35" t="str">
        <f aca="false">IF($A93="","",IF(MONTH($A93)&lt;=6,1,2))</f>
        <v/>
      </c>
      <c r="R93" s="35" t="str">
        <f aca="false">IF($E93="","",IFERROR(INDEX(Kontenplan!$F$5:$F$90,MATCH($E93,Kontenplan!$A$5:$A$90,0)),""))</f>
        <v/>
      </c>
      <c r="S93" s="35" t="str">
        <f aca="false">IF($D93="","",IFERROR(INDEX(Kontenplan!$F$5:$F$90,MATCH($D93,Kontenplan!$A$5:$A$90,0)),""))</f>
        <v/>
      </c>
      <c r="T93" s="35" t="str">
        <f aca="false">IF($D93="","",IFERROR(INDEX(Kontenplan!$C$5:$C$90,MATCH($D93,Kontenplan!$A$5:$A$90,0)),"?"))</f>
        <v/>
      </c>
      <c r="U93" s="35" t="str">
        <f aca="false">IF($E93="","",IFERROR(INDEX(Kontenplan!$C$5:$C$90,MATCH($E93,Kontenplan!$A$5:$A$90,0)),"?"))</f>
        <v/>
      </c>
      <c r="V93" s="35" t="str">
        <f aca="false">IF($F93="","",IF(OR($D93="",$E93="",$T93="?",$U93="?"),"Konto prüfen!",IF($A93="","Datum fehlt",IF(YEAR($A93)&lt;&gt;Einstellungen!$B$7,"anderes Jahr!",IF($G93="","MWST-Code fehlt","OK")))))</f>
        <v/>
      </c>
      <c r="W93" s="35" t="str">
        <f aca="false">IF($F93="","",IF(OR($D93=Kontoauszug!$C$4,$E93=Kontoauszug!$C$4),MAX(W$4:W92)+1,""))</f>
        <v/>
      </c>
    </row>
    <row r="94" customFormat="false" ht="15" hidden="false" customHeight="false" outlineLevel="0" collapsed="false">
      <c r="A94" s="33"/>
      <c r="B94" s="32"/>
      <c r="C94" s="32"/>
      <c r="D94" s="32"/>
      <c r="E94" s="32"/>
      <c r="F94" s="30"/>
      <c r="G94" s="32"/>
      <c r="H94" s="34" t="n">
        <f aca="false">IF($G94="",0,IFERROR(INDEX(Einstellungen!$G$5:$G$11,MATCH($G94,Einstellungen!$E$5:$E$11,0)),0))</f>
        <v>0</v>
      </c>
      <c r="I94" s="35" t="str">
        <f aca="false">IF($G94="","-",IFERROR(INDEX(Einstellungen!$H$5:$H$11,MATCH($G94,Einstellungen!$E$5:$E$11,0)),"-"))</f>
        <v>-</v>
      </c>
      <c r="J94" s="35" t="str">
        <f aca="false">IF(AND(Einstellungen!$B$8="Ja",Einstellungen!$B$9="Effektiv"),$I94,"-")</f>
        <v>-</v>
      </c>
      <c r="K94" s="31" t="n">
        <f aca="false">IF(OR($F94="",$J94="-"),0,ROUND($F94-$F94/(1+$H94),2))</f>
        <v>0</v>
      </c>
      <c r="L94" s="31" t="n">
        <f aca="false">IF($F94="",0,$F94-$K94)</f>
        <v>0</v>
      </c>
      <c r="M94" s="31" t="n">
        <f aca="false">IF($F94="",0,IF($J94="V",$L94,$F94))</f>
        <v>0</v>
      </c>
      <c r="N94" s="31" t="n">
        <f aca="false">IF($F94="",0,IF($J94="U",$L94,$F94))</f>
        <v>0</v>
      </c>
      <c r="O94" s="35" t="str">
        <f aca="false">IF($A94="","",MONTH($A94))</f>
        <v/>
      </c>
      <c r="P94" s="35" t="str">
        <f aca="false">IF($A94="","",ROUNDUP(MONTH($A94)/3,0))</f>
        <v/>
      </c>
      <c r="Q94" s="35" t="str">
        <f aca="false">IF($A94="","",IF(MONTH($A94)&lt;=6,1,2))</f>
        <v/>
      </c>
      <c r="R94" s="35" t="str">
        <f aca="false">IF($E94="","",IFERROR(INDEX(Kontenplan!$F$5:$F$90,MATCH($E94,Kontenplan!$A$5:$A$90,0)),""))</f>
        <v/>
      </c>
      <c r="S94" s="35" t="str">
        <f aca="false">IF($D94="","",IFERROR(INDEX(Kontenplan!$F$5:$F$90,MATCH($D94,Kontenplan!$A$5:$A$90,0)),""))</f>
        <v/>
      </c>
      <c r="T94" s="35" t="str">
        <f aca="false">IF($D94="","",IFERROR(INDEX(Kontenplan!$C$5:$C$90,MATCH($D94,Kontenplan!$A$5:$A$90,0)),"?"))</f>
        <v/>
      </c>
      <c r="U94" s="35" t="str">
        <f aca="false">IF($E94="","",IFERROR(INDEX(Kontenplan!$C$5:$C$90,MATCH($E94,Kontenplan!$A$5:$A$90,0)),"?"))</f>
        <v/>
      </c>
      <c r="V94" s="35" t="str">
        <f aca="false">IF($F94="","",IF(OR($D94="",$E94="",$T94="?",$U94="?"),"Konto prüfen!",IF($A94="","Datum fehlt",IF(YEAR($A94)&lt;&gt;Einstellungen!$B$7,"anderes Jahr!",IF($G94="","MWST-Code fehlt","OK")))))</f>
        <v/>
      </c>
      <c r="W94" s="35" t="str">
        <f aca="false">IF($F94="","",IF(OR($D94=Kontoauszug!$C$4,$E94=Kontoauszug!$C$4),MAX(W$4:W93)+1,""))</f>
        <v/>
      </c>
    </row>
    <row r="95" customFormat="false" ht="15" hidden="false" customHeight="false" outlineLevel="0" collapsed="false">
      <c r="A95" s="33"/>
      <c r="B95" s="32"/>
      <c r="C95" s="32"/>
      <c r="D95" s="32"/>
      <c r="E95" s="32"/>
      <c r="F95" s="30"/>
      <c r="G95" s="32"/>
      <c r="H95" s="34" t="n">
        <f aca="false">IF($G95="",0,IFERROR(INDEX(Einstellungen!$G$5:$G$11,MATCH($G95,Einstellungen!$E$5:$E$11,0)),0))</f>
        <v>0</v>
      </c>
      <c r="I95" s="35" t="str">
        <f aca="false">IF($G95="","-",IFERROR(INDEX(Einstellungen!$H$5:$H$11,MATCH($G95,Einstellungen!$E$5:$E$11,0)),"-"))</f>
        <v>-</v>
      </c>
      <c r="J95" s="35" t="str">
        <f aca="false">IF(AND(Einstellungen!$B$8="Ja",Einstellungen!$B$9="Effektiv"),$I95,"-")</f>
        <v>-</v>
      </c>
      <c r="K95" s="31" t="n">
        <f aca="false">IF(OR($F95="",$J95="-"),0,ROUND($F95-$F95/(1+$H95),2))</f>
        <v>0</v>
      </c>
      <c r="L95" s="31" t="n">
        <f aca="false">IF($F95="",0,$F95-$K95)</f>
        <v>0</v>
      </c>
      <c r="M95" s="31" t="n">
        <f aca="false">IF($F95="",0,IF($J95="V",$L95,$F95))</f>
        <v>0</v>
      </c>
      <c r="N95" s="31" t="n">
        <f aca="false">IF($F95="",0,IF($J95="U",$L95,$F95))</f>
        <v>0</v>
      </c>
      <c r="O95" s="35" t="str">
        <f aca="false">IF($A95="","",MONTH($A95))</f>
        <v/>
      </c>
      <c r="P95" s="35" t="str">
        <f aca="false">IF($A95="","",ROUNDUP(MONTH($A95)/3,0))</f>
        <v/>
      </c>
      <c r="Q95" s="35" t="str">
        <f aca="false">IF($A95="","",IF(MONTH($A95)&lt;=6,1,2))</f>
        <v/>
      </c>
      <c r="R95" s="35" t="str">
        <f aca="false">IF($E95="","",IFERROR(INDEX(Kontenplan!$F$5:$F$90,MATCH($E95,Kontenplan!$A$5:$A$90,0)),""))</f>
        <v/>
      </c>
      <c r="S95" s="35" t="str">
        <f aca="false">IF($D95="","",IFERROR(INDEX(Kontenplan!$F$5:$F$90,MATCH($D95,Kontenplan!$A$5:$A$90,0)),""))</f>
        <v/>
      </c>
      <c r="T95" s="35" t="str">
        <f aca="false">IF($D95="","",IFERROR(INDEX(Kontenplan!$C$5:$C$90,MATCH($D95,Kontenplan!$A$5:$A$90,0)),"?"))</f>
        <v/>
      </c>
      <c r="U95" s="35" t="str">
        <f aca="false">IF($E95="","",IFERROR(INDEX(Kontenplan!$C$5:$C$90,MATCH($E95,Kontenplan!$A$5:$A$90,0)),"?"))</f>
        <v/>
      </c>
      <c r="V95" s="35" t="str">
        <f aca="false">IF($F95="","",IF(OR($D95="",$E95="",$T95="?",$U95="?"),"Konto prüfen!",IF($A95="","Datum fehlt",IF(YEAR($A95)&lt;&gt;Einstellungen!$B$7,"anderes Jahr!",IF($G95="","MWST-Code fehlt","OK")))))</f>
        <v/>
      </c>
      <c r="W95" s="35" t="str">
        <f aca="false">IF($F95="","",IF(OR($D95=Kontoauszug!$C$4,$E95=Kontoauszug!$C$4),MAX(W$4:W94)+1,""))</f>
        <v/>
      </c>
    </row>
    <row r="96" customFormat="false" ht="15" hidden="false" customHeight="false" outlineLevel="0" collapsed="false">
      <c r="A96" s="33"/>
      <c r="B96" s="32"/>
      <c r="C96" s="32"/>
      <c r="D96" s="32"/>
      <c r="E96" s="32"/>
      <c r="F96" s="30"/>
      <c r="G96" s="32"/>
      <c r="H96" s="34" t="n">
        <f aca="false">IF($G96="",0,IFERROR(INDEX(Einstellungen!$G$5:$G$11,MATCH($G96,Einstellungen!$E$5:$E$11,0)),0))</f>
        <v>0</v>
      </c>
      <c r="I96" s="35" t="str">
        <f aca="false">IF($G96="","-",IFERROR(INDEX(Einstellungen!$H$5:$H$11,MATCH($G96,Einstellungen!$E$5:$E$11,0)),"-"))</f>
        <v>-</v>
      </c>
      <c r="J96" s="35" t="str">
        <f aca="false">IF(AND(Einstellungen!$B$8="Ja",Einstellungen!$B$9="Effektiv"),$I96,"-")</f>
        <v>-</v>
      </c>
      <c r="K96" s="31" t="n">
        <f aca="false">IF(OR($F96="",$J96="-"),0,ROUND($F96-$F96/(1+$H96),2))</f>
        <v>0</v>
      </c>
      <c r="L96" s="31" t="n">
        <f aca="false">IF($F96="",0,$F96-$K96)</f>
        <v>0</v>
      </c>
      <c r="M96" s="31" t="n">
        <f aca="false">IF($F96="",0,IF($J96="V",$L96,$F96))</f>
        <v>0</v>
      </c>
      <c r="N96" s="31" t="n">
        <f aca="false">IF($F96="",0,IF($J96="U",$L96,$F96))</f>
        <v>0</v>
      </c>
      <c r="O96" s="35" t="str">
        <f aca="false">IF($A96="","",MONTH($A96))</f>
        <v/>
      </c>
      <c r="P96" s="35" t="str">
        <f aca="false">IF($A96="","",ROUNDUP(MONTH($A96)/3,0))</f>
        <v/>
      </c>
      <c r="Q96" s="35" t="str">
        <f aca="false">IF($A96="","",IF(MONTH($A96)&lt;=6,1,2))</f>
        <v/>
      </c>
      <c r="R96" s="35" t="str">
        <f aca="false">IF($E96="","",IFERROR(INDEX(Kontenplan!$F$5:$F$90,MATCH($E96,Kontenplan!$A$5:$A$90,0)),""))</f>
        <v/>
      </c>
      <c r="S96" s="35" t="str">
        <f aca="false">IF($D96="","",IFERROR(INDEX(Kontenplan!$F$5:$F$90,MATCH($D96,Kontenplan!$A$5:$A$90,0)),""))</f>
        <v/>
      </c>
      <c r="T96" s="35" t="str">
        <f aca="false">IF($D96="","",IFERROR(INDEX(Kontenplan!$C$5:$C$90,MATCH($D96,Kontenplan!$A$5:$A$90,0)),"?"))</f>
        <v/>
      </c>
      <c r="U96" s="35" t="str">
        <f aca="false">IF($E96="","",IFERROR(INDEX(Kontenplan!$C$5:$C$90,MATCH($E96,Kontenplan!$A$5:$A$90,0)),"?"))</f>
        <v/>
      </c>
      <c r="V96" s="35" t="str">
        <f aca="false">IF($F96="","",IF(OR($D96="",$E96="",$T96="?",$U96="?"),"Konto prüfen!",IF($A96="","Datum fehlt",IF(YEAR($A96)&lt;&gt;Einstellungen!$B$7,"anderes Jahr!",IF($G96="","MWST-Code fehlt","OK")))))</f>
        <v/>
      </c>
      <c r="W96" s="35" t="str">
        <f aca="false">IF($F96="","",IF(OR($D96=Kontoauszug!$C$4,$E96=Kontoauszug!$C$4),MAX(W$4:W95)+1,""))</f>
        <v/>
      </c>
    </row>
    <row r="97" customFormat="false" ht="15" hidden="false" customHeight="false" outlineLevel="0" collapsed="false">
      <c r="A97" s="33"/>
      <c r="B97" s="32"/>
      <c r="C97" s="32"/>
      <c r="D97" s="32"/>
      <c r="E97" s="32"/>
      <c r="F97" s="30"/>
      <c r="G97" s="32"/>
      <c r="H97" s="34" t="n">
        <f aca="false">IF($G97="",0,IFERROR(INDEX(Einstellungen!$G$5:$G$11,MATCH($G97,Einstellungen!$E$5:$E$11,0)),0))</f>
        <v>0</v>
      </c>
      <c r="I97" s="35" t="str">
        <f aca="false">IF($G97="","-",IFERROR(INDEX(Einstellungen!$H$5:$H$11,MATCH($G97,Einstellungen!$E$5:$E$11,0)),"-"))</f>
        <v>-</v>
      </c>
      <c r="J97" s="35" t="str">
        <f aca="false">IF(AND(Einstellungen!$B$8="Ja",Einstellungen!$B$9="Effektiv"),$I97,"-")</f>
        <v>-</v>
      </c>
      <c r="K97" s="31" t="n">
        <f aca="false">IF(OR($F97="",$J97="-"),0,ROUND($F97-$F97/(1+$H97),2))</f>
        <v>0</v>
      </c>
      <c r="L97" s="31" t="n">
        <f aca="false">IF($F97="",0,$F97-$K97)</f>
        <v>0</v>
      </c>
      <c r="M97" s="31" t="n">
        <f aca="false">IF($F97="",0,IF($J97="V",$L97,$F97))</f>
        <v>0</v>
      </c>
      <c r="N97" s="31" t="n">
        <f aca="false">IF($F97="",0,IF($J97="U",$L97,$F97))</f>
        <v>0</v>
      </c>
      <c r="O97" s="35" t="str">
        <f aca="false">IF($A97="","",MONTH($A97))</f>
        <v/>
      </c>
      <c r="P97" s="35" t="str">
        <f aca="false">IF($A97="","",ROUNDUP(MONTH($A97)/3,0))</f>
        <v/>
      </c>
      <c r="Q97" s="35" t="str">
        <f aca="false">IF($A97="","",IF(MONTH($A97)&lt;=6,1,2))</f>
        <v/>
      </c>
      <c r="R97" s="35" t="str">
        <f aca="false">IF($E97="","",IFERROR(INDEX(Kontenplan!$F$5:$F$90,MATCH($E97,Kontenplan!$A$5:$A$90,0)),""))</f>
        <v/>
      </c>
      <c r="S97" s="35" t="str">
        <f aca="false">IF($D97="","",IFERROR(INDEX(Kontenplan!$F$5:$F$90,MATCH($D97,Kontenplan!$A$5:$A$90,0)),""))</f>
        <v/>
      </c>
      <c r="T97" s="35" t="str">
        <f aca="false">IF($D97="","",IFERROR(INDEX(Kontenplan!$C$5:$C$90,MATCH($D97,Kontenplan!$A$5:$A$90,0)),"?"))</f>
        <v/>
      </c>
      <c r="U97" s="35" t="str">
        <f aca="false">IF($E97="","",IFERROR(INDEX(Kontenplan!$C$5:$C$90,MATCH($E97,Kontenplan!$A$5:$A$90,0)),"?"))</f>
        <v/>
      </c>
      <c r="V97" s="35" t="str">
        <f aca="false">IF($F97="","",IF(OR($D97="",$E97="",$T97="?",$U97="?"),"Konto prüfen!",IF($A97="","Datum fehlt",IF(YEAR($A97)&lt;&gt;Einstellungen!$B$7,"anderes Jahr!",IF($G97="","MWST-Code fehlt","OK")))))</f>
        <v/>
      </c>
      <c r="W97" s="35" t="str">
        <f aca="false">IF($F97="","",IF(OR($D97=Kontoauszug!$C$4,$E97=Kontoauszug!$C$4),MAX(W$4:W96)+1,""))</f>
        <v/>
      </c>
    </row>
    <row r="98" customFormat="false" ht="15" hidden="false" customHeight="false" outlineLevel="0" collapsed="false">
      <c r="A98" s="33"/>
      <c r="B98" s="32"/>
      <c r="C98" s="32"/>
      <c r="D98" s="32"/>
      <c r="E98" s="32"/>
      <c r="F98" s="30"/>
      <c r="G98" s="32"/>
      <c r="H98" s="34" t="n">
        <f aca="false">IF($G98="",0,IFERROR(INDEX(Einstellungen!$G$5:$G$11,MATCH($G98,Einstellungen!$E$5:$E$11,0)),0))</f>
        <v>0</v>
      </c>
      <c r="I98" s="35" t="str">
        <f aca="false">IF($G98="","-",IFERROR(INDEX(Einstellungen!$H$5:$H$11,MATCH($G98,Einstellungen!$E$5:$E$11,0)),"-"))</f>
        <v>-</v>
      </c>
      <c r="J98" s="35" t="str">
        <f aca="false">IF(AND(Einstellungen!$B$8="Ja",Einstellungen!$B$9="Effektiv"),$I98,"-")</f>
        <v>-</v>
      </c>
      <c r="K98" s="31" t="n">
        <f aca="false">IF(OR($F98="",$J98="-"),0,ROUND($F98-$F98/(1+$H98),2))</f>
        <v>0</v>
      </c>
      <c r="L98" s="31" t="n">
        <f aca="false">IF($F98="",0,$F98-$K98)</f>
        <v>0</v>
      </c>
      <c r="M98" s="31" t="n">
        <f aca="false">IF($F98="",0,IF($J98="V",$L98,$F98))</f>
        <v>0</v>
      </c>
      <c r="N98" s="31" t="n">
        <f aca="false">IF($F98="",0,IF($J98="U",$L98,$F98))</f>
        <v>0</v>
      </c>
      <c r="O98" s="35" t="str">
        <f aca="false">IF($A98="","",MONTH($A98))</f>
        <v/>
      </c>
      <c r="P98" s="35" t="str">
        <f aca="false">IF($A98="","",ROUNDUP(MONTH($A98)/3,0))</f>
        <v/>
      </c>
      <c r="Q98" s="35" t="str">
        <f aca="false">IF($A98="","",IF(MONTH($A98)&lt;=6,1,2))</f>
        <v/>
      </c>
      <c r="R98" s="35" t="str">
        <f aca="false">IF($E98="","",IFERROR(INDEX(Kontenplan!$F$5:$F$90,MATCH($E98,Kontenplan!$A$5:$A$90,0)),""))</f>
        <v/>
      </c>
      <c r="S98" s="35" t="str">
        <f aca="false">IF($D98="","",IFERROR(INDEX(Kontenplan!$F$5:$F$90,MATCH($D98,Kontenplan!$A$5:$A$90,0)),""))</f>
        <v/>
      </c>
      <c r="T98" s="35" t="str">
        <f aca="false">IF($D98="","",IFERROR(INDEX(Kontenplan!$C$5:$C$90,MATCH($D98,Kontenplan!$A$5:$A$90,0)),"?"))</f>
        <v/>
      </c>
      <c r="U98" s="35" t="str">
        <f aca="false">IF($E98="","",IFERROR(INDEX(Kontenplan!$C$5:$C$90,MATCH($E98,Kontenplan!$A$5:$A$90,0)),"?"))</f>
        <v/>
      </c>
      <c r="V98" s="35" t="str">
        <f aca="false">IF($F98="","",IF(OR($D98="",$E98="",$T98="?",$U98="?"),"Konto prüfen!",IF($A98="","Datum fehlt",IF(YEAR($A98)&lt;&gt;Einstellungen!$B$7,"anderes Jahr!",IF($G98="","MWST-Code fehlt","OK")))))</f>
        <v/>
      </c>
      <c r="W98" s="35" t="str">
        <f aca="false">IF($F98="","",IF(OR($D98=Kontoauszug!$C$4,$E98=Kontoauszug!$C$4),MAX(W$4:W97)+1,""))</f>
        <v/>
      </c>
    </row>
    <row r="99" customFormat="false" ht="15" hidden="false" customHeight="false" outlineLevel="0" collapsed="false">
      <c r="A99" s="33"/>
      <c r="B99" s="32"/>
      <c r="C99" s="32"/>
      <c r="D99" s="32"/>
      <c r="E99" s="32"/>
      <c r="F99" s="30"/>
      <c r="G99" s="32"/>
      <c r="H99" s="34" t="n">
        <f aca="false">IF($G99="",0,IFERROR(INDEX(Einstellungen!$G$5:$G$11,MATCH($G99,Einstellungen!$E$5:$E$11,0)),0))</f>
        <v>0</v>
      </c>
      <c r="I99" s="35" t="str">
        <f aca="false">IF($G99="","-",IFERROR(INDEX(Einstellungen!$H$5:$H$11,MATCH($G99,Einstellungen!$E$5:$E$11,0)),"-"))</f>
        <v>-</v>
      </c>
      <c r="J99" s="35" t="str">
        <f aca="false">IF(AND(Einstellungen!$B$8="Ja",Einstellungen!$B$9="Effektiv"),$I99,"-")</f>
        <v>-</v>
      </c>
      <c r="K99" s="31" t="n">
        <f aca="false">IF(OR($F99="",$J99="-"),0,ROUND($F99-$F99/(1+$H99),2))</f>
        <v>0</v>
      </c>
      <c r="L99" s="31" t="n">
        <f aca="false">IF($F99="",0,$F99-$K99)</f>
        <v>0</v>
      </c>
      <c r="M99" s="31" t="n">
        <f aca="false">IF($F99="",0,IF($J99="V",$L99,$F99))</f>
        <v>0</v>
      </c>
      <c r="N99" s="31" t="n">
        <f aca="false">IF($F99="",0,IF($J99="U",$L99,$F99))</f>
        <v>0</v>
      </c>
      <c r="O99" s="35" t="str">
        <f aca="false">IF($A99="","",MONTH($A99))</f>
        <v/>
      </c>
      <c r="P99" s="35" t="str">
        <f aca="false">IF($A99="","",ROUNDUP(MONTH($A99)/3,0))</f>
        <v/>
      </c>
      <c r="Q99" s="35" t="str">
        <f aca="false">IF($A99="","",IF(MONTH($A99)&lt;=6,1,2))</f>
        <v/>
      </c>
      <c r="R99" s="35" t="str">
        <f aca="false">IF($E99="","",IFERROR(INDEX(Kontenplan!$F$5:$F$90,MATCH($E99,Kontenplan!$A$5:$A$90,0)),""))</f>
        <v/>
      </c>
      <c r="S99" s="35" t="str">
        <f aca="false">IF($D99="","",IFERROR(INDEX(Kontenplan!$F$5:$F$90,MATCH($D99,Kontenplan!$A$5:$A$90,0)),""))</f>
        <v/>
      </c>
      <c r="T99" s="35" t="str">
        <f aca="false">IF($D99="","",IFERROR(INDEX(Kontenplan!$C$5:$C$90,MATCH($D99,Kontenplan!$A$5:$A$90,0)),"?"))</f>
        <v/>
      </c>
      <c r="U99" s="35" t="str">
        <f aca="false">IF($E99="","",IFERROR(INDEX(Kontenplan!$C$5:$C$90,MATCH($E99,Kontenplan!$A$5:$A$90,0)),"?"))</f>
        <v/>
      </c>
      <c r="V99" s="35" t="str">
        <f aca="false">IF($F99="","",IF(OR($D99="",$E99="",$T99="?",$U99="?"),"Konto prüfen!",IF($A99="","Datum fehlt",IF(YEAR($A99)&lt;&gt;Einstellungen!$B$7,"anderes Jahr!",IF($G99="","MWST-Code fehlt","OK")))))</f>
        <v/>
      </c>
      <c r="W99" s="35" t="str">
        <f aca="false">IF($F99="","",IF(OR($D99=Kontoauszug!$C$4,$E99=Kontoauszug!$C$4),MAX(W$4:W98)+1,""))</f>
        <v/>
      </c>
    </row>
    <row r="100" customFormat="false" ht="15" hidden="false" customHeight="false" outlineLevel="0" collapsed="false">
      <c r="A100" s="33"/>
      <c r="B100" s="32"/>
      <c r="C100" s="32"/>
      <c r="D100" s="32"/>
      <c r="E100" s="32"/>
      <c r="F100" s="30"/>
      <c r="G100" s="32"/>
      <c r="H100" s="34" t="n">
        <f aca="false">IF($G100="",0,IFERROR(INDEX(Einstellungen!$G$5:$G$11,MATCH($G100,Einstellungen!$E$5:$E$11,0)),0))</f>
        <v>0</v>
      </c>
      <c r="I100" s="35" t="str">
        <f aca="false">IF($G100="","-",IFERROR(INDEX(Einstellungen!$H$5:$H$11,MATCH($G100,Einstellungen!$E$5:$E$11,0)),"-"))</f>
        <v>-</v>
      </c>
      <c r="J100" s="35" t="str">
        <f aca="false">IF(AND(Einstellungen!$B$8="Ja",Einstellungen!$B$9="Effektiv"),$I100,"-")</f>
        <v>-</v>
      </c>
      <c r="K100" s="31" t="n">
        <f aca="false">IF(OR($F100="",$J100="-"),0,ROUND($F100-$F100/(1+$H100),2))</f>
        <v>0</v>
      </c>
      <c r="L100" s="31" t="n">
        <f aca="false">IF($F100="",0,$F100-$K100)</f>
        <v>0</v>
      </c>
      <c r="M100" s="31" t="n">
        <f aca="false">IF($F100="",0,IF($J100="V",$L100,$F100))</f>
        <v>0</v>
      </c>
      <c r="N100" s="31" t="n">
        <f aca="false">IF($F100="",0,IF($J100="U",$L100,$F100))</f>
        <v>0</v>
      </c>
      <c r="O100" s="35" t="str">
        <f aca="false">IF($A100="","",MONTH($A100))</f>
        <v/>
      </c>
      <c r="P100" s="35" t="str">
        <f aca="false">IF($A100="","",ROUNDUP(MONTH($A100)/3,0))</f>
        <v/>
      </c>
      <c r="Q100" s="35" t="str">
        <f aca="false">IF($A100="","",IF(MONTH($A100)&lt;=6,1,2))</f>
        <v/>
      </c>
      <c r="R100" s="35" t="str">
        <f aca="false">IF($E100="","",IFERROR(INDEX(Kontenplan!$F$5:$F$90,MATCH($E100,Kontenplan!$A$5:$A$90,0)),""))</f>
        <v/>
      </c>
      <c r="S100" s="35" t="str">
        <f aca="false">IF($D100="","",IFERROR(INDEX(Kontenplan!$F$5:$F$90,MATCH($D100,Kontenplan!$A$5:$A$90,0)),""))</f>
        <v/>
      </c>
      <c r="T100" s="35" t="str">
        <f aca="false">IF($D100="","",IFERROR(INDEX(Kontenplan!$C$5:$C$90,MATCH($D100,Kontenplan!$A$5:$A$90,0)),"?"))</f>
        <v/>
      </c>
      <c r="U100" s="35" t="str">
        <f aca="false">IF($E100="","",IFERROR(INDEX(Kontenplan!$C$5:$C$90,MATCH($E100,Kontenplan!$A$5:$A$90,0)),"?"))</f>
        <v/>
      </c>
      <c r="V100" s="35" t="str">
        <f aca="false">IF($F100="","",IF(OR($D100="",$E100="",$T100="?",$U100="?"),"Konto prüfen!",IF($A100="","Datum fehlt",IF(YEAR($A100)&lt;&gt;Einstellungen!$B$7,"anderes Jahr!",IF($G100="","MWST-Code fehlt","OK")))))</f>
        <v/>
      </c>
      <c r="W100" s="35" t="str">
        <f aca="false">IF($F100="","",IF(OR($D100=Kontoauszug!$C$4,$E100=Kontoauszug!$C$4),MAX(W$4:W99)+1,""))</f>
        <v/>
      </c>
    </row>
    <row r="101" customFormat="false" ht="15" hidden="false" customHeight="false" outlineLevel="0" collapsed="false">
      <c r="A101" s="33"/>
      <c r="B101" s="32"/>
      <c r="C101" s="32"/>
      <c r="D101" s="32"/>
      <c r="E101" s="32"/>
      <c r="F101" s="30"/>
      <c r="G101" s="32"/>
      <c r="H101" s="34" t="n">
        <f aca="false">IF($G101="",0,IFERROR(INDEX(Einstellungen!$G$5:$G$11,MATCH($G101,Einstellungen!$E$5:$E$11,0)),0))</f>
        <v>0</v>
      </c>
      <c r="I101" s="35" t="str">
        <f aca="false">IF($G101="","-",IFERROR(INDEX(Einstellungen!$H$5:$H$11,MATCH($G101,Einstellungen!$E$5:$E$11,0)),"-"))</f>
        <v>-</v>
      </c>
      <c r="J101" s="35" t="str">
        <f aca="false">IF(AND(Einstellungen!$B$8="Ja",Einstellungen!$B$9="Effektiv"),$I101,"-")</f>
        <v>-</v>
      </c>
      <c r="K101" s="31" t="n">
        <f aca="false">IF(OR($F101="",$J101="-"),0,ROUND($F101-$F101/(1+$H101),2))</f>
        <v>0</v>
      </c>
      <c r="L101" s="31" t="n">
        <f aca="false">IF($F101="",0,$F101-$K101)</f>
        <v>0</v>
      </c>
      <c r="M101" s="31" t="n">
        <f aca="false">IF($F101="",0,IF($J101="V",$L101,$F101))</f>
        <v>0</v>
      </c>
      <c r="N101" s="31" t="n">
        <f aca="false">IF($F101="",0,IF($J101="U",$L101,$F101))</f>
        <v>0</v>
      </c>
      <c r="O101" s="35" t="str">
        <f aca="false">IF($A101="","",MONTH($A101))</f>
        <v/>
      </c>
      <c r="P101" s="35" t="str">
        <f aca="false">IF($A101="","",ROUNDUP(MONTH($A101)/3,0))</f>
        <v/>
      </c>
      <c r="Q101" s="35" t="str">
        <f aca="false">IF($A101="","",IF(MONTH($A101)&lt;=6,1,2))</f>
        <v/>
      </c>
      <c r="R101" s="35" t="str">
        <f aca="false">IF($E101="","",IFERROR(INDEX(Kontenplan!$F$5:$F$90,MATCH($E101,Kontenplan!$A$5:$A$90,0)),""))</f>
        <v/>
      </c>
      <c r="S101" s="35" t="str">
        <f aca="false">IF($D101="","",IFERROR(INDEX(Kontenplan!$F$5:$F$90,MATCH($D101,Kontenplan!$A$5:$A$90,0)),""))</f>
        <v/>
      </c>
      <c r="T101" s="35" t="str">
        <f aca="false">IF($D101="","",IFERROR(INDEX(Kontenplan!$C$5:$C$90,MATCH($D101,Kontenplan!$A$5:$A$90,0)),"?"))</f>
        <v/>
      </c>
      <c r="U101" s="35" t="str">
        <f aca="false">IF($E101="","",IFERROR(INDEX(Kontenplan!$C$5:$C$90,MATCH($E101,Kontenplan!$A$5:$A$90,0)),"?"))</f>
        <v/>
      </c>
      <c r="V101" s="35" t="str">
        <f aca="false">IF($F101="","",IF(OR($D101="",$E101="",$T101="?",$U101="?"),"Konto prüfen!",IF($A101="","Datum fehlt",IF(YEAR($A101)&lt;&gt;Einstellungen!$B$7,"anderes Jahr!",IF($G101="","MWST-Code fehlt","OK")))))</f>
        <v/>
      </c>
      <c r="W101" s="35" t="str">
        <f aca="false">IF($F101="","",IF(OR($D101=Kontoauszug!$C$4,$E101=Kontoauszug!$C$4),MAX(W$4:W100)+1,""))</f>
        <v/>
      </c>
    </row>
    <row r="102" customFormat="false" ht="15" hidden="false" customHeight="false" outlineLevel="0" collapsed="false">
      <c r="A102" s="33"/>
      <c r="B102" s="32"/>
      <c r="C102" s="32"/>
      <c r="D102" s="32"/>
      <c r="E102" s="32"/>
      <c r="F102" s="30"/>
      <c r="G102" s="32"/>
      <c r="H102" s="34" t="n">
        <f aca="false">IF($G102="",0,IFERROR(INDEX(Einstellungen!$G$5:$G$11,MATCH($G102,Einstellungen!$E$5:$E$11,0)),0))</f>
        <v>0</v>
      </c>
      <c r="I102" s="35" t="str">
        <f aca="false">IF($G102="","-",IFERROR(INDEX(Einstellungen!$H$5:$H$11,MATCH($G102,Einstellungen!$E$5:$E$11,0)),"-"))</f>
        <v>-</v>
      </c>
      <c r="J102" s="35" t="str">
        <f aca="false">IF(AND(Einstellungen!$B$8="Ja",Einstellungen!$B$9="Effektiv"),$I102,"-")</f>
        <v>-</v>
      </c>
      <c r="K102" s="31" t="n">
        <f aca="false">IF(OR($F102="",$J102="-"),0,ROUND($F102-$F102/(1+$H102),2))</f>
        <v>0</v>
      </c>
      <c r="L102" s="31" t="n">
        <f aca="false">IF($F102="",0,$F102-$K102)</f>
        <v>0</v>
      </c>
      <c r="M102" s="31" t="n">
        <f aca="false">IF($F102="",0,IF($J102="V",$L102,$F102))</f>
        <v>0</v>
      </c>
      <c r="N102" s="31" t="n">
        <f aca="false">IF($F102="",0,IF($J102="U",$L102,$F102))</f>
        <v>0</v>
      </c>
      <c r="O102" s="35" t="str">
        <f aca="false">IF($A102="","",MONTH($A102))</f>
        <v/>
      </c>
      <c r="P102" s="35" t="str">
        <f aca="false">IF($A102="","",ROUNDUP(MONTH($A102)/3,0))</f>
        <v/>
      </c>
      <c r="Q102" s="35" t="str">
        <f aca="false">IF($A102="","",IF(MONTH($A102)&lt;=6,1,2))</f>
        <v/>
      </c>
      <c r="R102" s="35" t="str">
        <f aca="false">IF($E102="","",IFERROR(INDEX(Kontenplan!$F$5:$F$90,MATCH($E102,Kontenplan!$A$5:$A$90,0)),""))</f>
        <v/>
      </c>
      <c r="S102" s="35" t="str">
        <f aca="false">IF($D102="","",IFERROR(INDEX(Kontenplan!$F$5:$F$90,MATCH($D102,Kontenplan!$A$5:$A$90,0)),""))</f>
        <v/>
      </c>
      <c r="T102" s="35" t="str">
        <f aca="false">IF($D102="","",IFERROR(INDEX(Kontenplan!$C$5:$C$90,MATCH($D102,Kontenplan!$A$5:$A$90,0)),"?"))</f>
        <v/>
      </c>
      <c r="U102" s="35" t="str">
        <f aca="false">IF($E102="","",IFERROR(INDEX(Kontenplan!$C$5:$C$90,MATCH($E102,Kontenplan!$A$5:$A$90,0)),"?"))</f>
        <v/>
      </c>
      <c r="V102" s="35" t="str">
        <f aca="false">IF($F102="","",IF(OR($D102="",$E102="",$T102="?",$U102="?"),"Konto prüfen!",IF($A102="","Datum fehlt",IF(YEAR($A102)&lt;&gt;Einstellungen!$B$7,"anderes Jahr!",IF($G102="","MWST-Code fehlt","OK")))))</f>
        <v/>
      </c>
      <c r="W102" s="35" t="str">
        <f aca="false">IF($F102="","",IF(OR($D102=Kontoauszug!$C$4,$E102=Kontoauszug!$C$4),MAX(W$4:W101)+1,""))</f>
        <v/>
      </c>
    </row>
    <row r="103" customFormat="false" ht="15" hidden="false" customHeight="false" outlineLevel="0" collapsed="false">
      <c r="A103" s="33"/>
      <c r="B103" s="32"/>
      <c r="C103" s="32"/>
      <c r="D103" s="32"/>
      <c r="E103" s="32"/>
      <c r="F103" s="30"/>
      <c r="G103" s="32"/>
      <c r="H103" s="34" t="n">
        <f aca="false">IF($G103="",0,IFERROR(INDEX(Einstellungen!$G$5:$G$11,MATCH($G103,Einstellungen!$E$5:$E$11,0)),0))</f>
        <v>0</v>
      </c>
      <c r="I103" s="35" t="str">
        <f aca="false">IF($G103="","-",IFERROR(INDEX(Einstellungen!$H$5:$H$11,MATCH($G103,Einstellungen!$E$5:$E$11,0)),"-"))</f>
        <v>-</v>
      </c>
      <c r="J103" s="35" t="str">
        <f aca="false">IF(AND(Einstellungen!$B$8="Ja",Einstellungen!$B$9="Effektiv"),$I103,"-")</f>
        <v>-</v>
      </c>
      <c r="K103" s="31" t="n">
        <f aca="false">IF(OR($F103="",$J103="-"),0,ROUND($F103-$F103/(1+$H103),2))</f>
        <v>0</v>
      </c>
      <c r="L103" s="31" t="n">
        <f aca="false">IF($F103="",0,$F103-$K103)</f>
        <v>0</v>
      </c>
      <c r="M103" s="31" t="n">
        <f aca="false">IF($F103="",0,IF($J103="V",$L103,$F103))</f>
        <v>0</v>
      </c>
      <c r="N103" s="31" t="n">
        <f aca="false">IF($F103="",0,IF($J103="U",$L103,$F103))</f>
        <v>0</v>
      </c>
      <c r="O103" s="35" t="str">
        <f aca="false">IF($A103="","",MONTH($A103))</f>
        <v/>
      </c>
      <c r="P103" s="35" t="str">
        <f aca="false">IF($A103="","",ROUNDUP(MONTH($A103)/3,0))</f>
        <v/>
      </c>
      <c r="Q103" s="35" t="str">
        <f aca="false">IF($A103="","",IF(MONTH($A103)&lt;=6,1,2))</f>
        <v/>
      </c>
      <c r="R103" s="35" t="str">
        <f aca="false">IF($E103="","",IFERROR(INDEX(Kontenplan!$F$5:$F$90,MATCH($E103,Kontenplan!$A$5:$A$90,0)),""))</f>
        <v/>
      </c>
      <c r="S103" s="35" t="str">
        <f aca="false">IF($D103="","",IFERROR(INDEX(Kontenplan!$F$5:$F$90,MATCH($D103,Kontenplan!$A$5:$A$90,0)),""))</f>
        <v/>
      </c>
      <c r="T103" s="35" t="str">
        <f aca="false">IF($D103="","",IFERROR(INDEX(Kontenplan!$C$5:$C$90,MATCH($D103,Kontenplan!$A$5:$A$90,0)),"?"))</f>
        <v/>
      </c>
      <c r="U103" s="35" t="str">
        <f aca="false">IF($E103="","",IFERROR(INDEX(Kontenplan!$C$5:$C$90,MATCH($E103,Kontenplan!$A$5:$A$90,0)),"?"))</f>
        <v/>
      </c>
      <c r="V103" s="35" t="str">
        <f aca="false">IF($F103="","",IF(OR($D103="",$E103="",$T103="?",$U103="?"),"Konto prüfen!",IF($A103="","Datum fehlt",IF(YEAR($A103)&lt;&gt;Einstellungen!$B$7,"anderes Jahr!",IF($G103="","MWST-Code fehlt","OK")))))</f>
        <v/>
      </c>
      <c r="W103" s="35" t="str">
        <f aca="false">IF($F103="","",IF(OR($D103=Kontoauszug!$C$4,$E103=Kontoauszug!$C$4),MAX(W$4:W102)+1,""))</f>
        <v/>
      </c>
    </row>
    <row r="104" customFormat="false" ht="15" hidden="false" customHeight="false" outlineLevel="0" collapsed="false">
      <c r="A104" s="33"/>
      <c r="B104" s="32"/>
      <c r="C104" s="32"/>
      <c r="D104" s="32"/>
      <c r="E104" s="32"/>
      <c r="F104" s="30"/>
      <c r="G104" s="32"/>
      <c r="H104" s="34" t="n">
        <f aca="false">IF($G104="",0,IFERROR(INDEX(Einstellungen!$G$5:$G$11,MATCH($G104,Einstellungen!$E$5:$E$11,0)),0))</f>
        <v>0</v>
      </c>
      <c r="I104" s="35" t="str">
        <f aca="false">IF($G104="","-",IFERROR(INDEX(Einstellungen!$H$5:$H$11,MATCH($G104,Einstellungen!$E$5:$E$11,0)),"-"))</f>
        <v>-</v>
      </c>
      <c r="J104" s="35" t="str">
        <f aca="false">IF(AND(Einstellungen!$B$8="Ja",Einstellungen!$B$9="Effektiv"),$I104,"-")</f>
        <v>-</v>
      </c>
      <c r="K104" s="31" t="n">
        <f aca="false">IF(OR($F104="",$J104="-"),0,ROUND($F104-$F104/(1+$H104),2))</f>
        <v>0</v>
      </c>
      <c r="L104" s="31" t="n">
        <f aca="false">IF($F104="",0,$F104-$K104)</f>
        <v>0</v>
      </c>
      <c r="M104" s="31" t="n">
        <f aca="false">IF($F104="",0,IF($J104="V",$L104,$F104))</f>
        <v>0</v>
      </c>
      <c r="N104" s="31" t="n">
        <f aca="false">IF($F104="",0,IF($J104="U",$L104,$F104))</f>
        <v>0</v>
      </c>
      <c r="O104" s="35" t="str">
        <f aca="false">IF($A104="","",MONTH($A104))</f>
        <v/>
      </c>
      <c r="P104" s="35" t="str">
        <f aca="false">IF($A104="","",ROUNDUP(MONTH($A104)/3,0))</f>
        <v/>
      </c>
      <c r="Q104" s="35" t="str">
        <f aca="false">IF($A104="","",IF(MONTH($A104)&lt;=6,1,2))</f>
        <v/>
      </c>
      <c r="R104" s="35" t="str">
        <f aca="false">IF($E104="","",IFERROR(INDEX(Kontenplan!$F$5:$F$90,MATCH($E104,Kontenplan!$A$5:$A$90,0)),""))</f>
        <v/>
      </c>
      <c r="S104" s="35" t="str">
        <f aca="false">IF($D104="","",IFERROR(INDEX(Kontenplan!$F$5:$F$90,MATCH($D104,Kontenplan!$A$5:$A$90,0)),""))</f>
        <v/>
      </c>
      <c r="T104" s="35" t="str">
        <f aca="false">IF($D104="","",IFERROR(INDEX(Kontenplan!$C$5:$C$90,MATCH($D104,Kontenplan!$A$5:$A$90,0)),"?"))</f>
        <v/>
      </c>
      <c r="U104" s="35" t="str">
        <f aca="false">IF($E104="","",IFERROR(INDEX(Kontenplan!$C$5:$C$90,MATCH($E104,Kontenplan!$A$5:$A$90,0)),"?"))</f>
        <v/>
      </c>
      <c r="V104" s="35" t="str">
        <f aca="false">IF($F104="","",IF(OR($D104="",$E104="",$T104="?",$U104="?"),"Konto prüfen!",IF($A104="","Datum fehlt",IF(YEAR($A104)&lt;&gt;Einstellungen!$B$7,"anderes Jahr!",IF($G104="","MWST-Code fehlt","OK")))))</f>
        <v/>
      </c>
      <c r="W104" s="35" t="str">
        <f aca="false">IF($F104="","",IF(OR($D104=Kontoauszug!$C$4,$E104=Kontoauszug!$C$4),MAX(W$4:W103)+1,""))</f>
        <v/>
      </c>
    </row>
    <row r="105" customFormat="false" ht="15" hidden="false" customHeight="false" outlineLevel="0" collapsed="false">
      <c r="A105" s="33"/>
      <c r="B105" s="32"/>
      <c r="C105" s="32"/>
      <c r="D105" s="32"/>
      <c r="E105" s="32"/>
      <c r="F105" s="30"/>
      <c r="G105" s="32"/>
      <c r="H105" s="34" t="n">
        <f aca="false">IF($G105="",0,IFERROR(INDEX(Einstellungen!$G$5:$G$11,MATCH($G105,Einstellungen!$E$5:$E$11,0)),0))</f>
        <v>0</v>
      </c>
      <c r="I105" s="35" t="str">
        <f aca="false">IF($G105="","-",IFERROR(INDEX(Einstellungen!$H$5:$H$11,MATCH($G105,Einstellungen!$E$5:$E$11,0)),"-"))</f>
        <v>-</v>
      </c>
      <c r="J105" s="35" t="str">
        <f aca="false">IF(AND(Einstellungen!$B$8="Ja",Einstellungen!$B$9="Effektiv"),$I105,"-")</f>
        <v>-</v>
      </c>
      <c r="K105" s="31" t="n">
        <f aca="false">IF(OR($F105="",$J105="-"),0,ROUND($F105-$F105/(1+$H105),2))</f>
        <v>0</v>
      </c>
      <c r="L105" s="31" t="n">
        <f aca="false">IF($F105="",0,$F105-$K105)</f>
        <v>0</v>
      </c>
      <c r="M105" s="31" t="n">
        <f aca="false">IF($F105="",0,IF($J105="V",$L105,$F105))</f>
        <v>0</v>
      </c>
      <c r="N105" s="31" t="n">
        <f aca="false">IF($F105="",0,IF($J105="U",$L105,$F105))</f>
        <v>0</v>
      </c>
      <c r="O105" s="35" t="str">
        <f aca="false">IF($A105="","",MONTH($A105))</f>
        <v/>
      </c>
      <c r="P105" s="35" t="str">
        <f aca="false">IF($A105="","",ROUNDUP(MONTH($A105)/3,0))</f>
        <v/>
      </c>
      <c r="Q105" s="35" t="str">
        <f aca="false">IF($A105="","",IF(MONTH($A105)&lt;=6,1,2))</f>
        <v/>
      </c>
      <c r="R105" s="35" t="str">
        <f aca="false">IF($E105="","",IFERROR(INDEX(Kontenplan!$F$5:$F$90,MATCH($E105,Kontenplan!$A$5:$A$90,0)),""))</f>
        <v/>
      </c>
      <c r="S105" s="35" t="str">
        <f aca="false">IF($D105="","",IFERROR(INDEX(Kontenplan!$F$5:$F$90,MATCH($D105,Kontenplan!$A$5:$A$90,0)),""))</f>
        <v/>
      </c>
      <c r="T105" s="35" t="str">
        <f aca="false">IF($D105="","",IFERROR(INDEX(Kontenplan!$C$5:$C$90,MATCH($D105,Kontenplan!$A$5:$A$90,0)),"?"))</f>
        <v/>
      </c>
      <c r="U105" s="35" t="str">
        <f aca="false">IF($E105="","",IFERROR(INDEX(Kontenplan!$C$5:$C$90,MATCH($E105,Kontenplan!$A$5:$A$90,0)),"?"))</f>
        <v/>
      </c>
      <c r="V105" s="35" t="str">
        <f aca="false">IF($F105="","",IF(OR($D105="",$E105="",$T105="?",$U105="?"),"Konto prüfen!",IF($A105="","Datum fehlt",IF(YEAR($A105)&lt;&gt;Einstellungen!$B$7,"anderes Jahr!",IF($G105="","MWST-Code fehlt","OK")))))</f>
        <v/>
      </c>
      <c r="W105" s="35" t="str">
        <f aca="false">IF($F105="","",IF(OR($D105=Kontoauszug!$C$4,$E105=Kontoauszug!$C$4),MAX(W$4:W104)+1,""))</f>
        <v/>
      </c>
    </row>
    <row r="106" customFormat="false" ht="15" hidden="false" customHeight="false" outlineLevel="0" collapsed="false">
      <c r="A106" s="33"/>
      <c r="B106" s="32"/>
      <c r="C106" s="32"/>
      <c r="D106" s="32"/>
      <c r="E106" s="32"/>
      <c r="F106" s="30"/>
      <c r="G106" s="32"/>
      <c r="H106" s="34" t="n">
        <f aca="false">IF($G106="",0,IFERROR(INDEX(Einstellungen!$G$5:$G$11,MATCH($G106,Einstellungen!$E$5:$E$11,0)),0))</f>
        <v>0</v>
      </c>
      <c r="I106" s="35" t="str">
        <f aca="false">IF($G106="","-",IFERROR(INDEX(Einstellungen!$H$5:$H$11,MATCH($G106,Einstellungen!$E$5:$E$11,0)),"-"))</f>
        <v>-</v>
      </c>
      <c r="J106" s="35" t="str">
        <f aca="false">IF(AND(Einstellungen!$B$8="Ja",Einstellungen!$B$9="Effektiv"),$I106,"-")</f>
        <v>-</v>
      </c>
      <c r="K106" s="31" t="n">
        <f aca="false">IF(OR($F106="",$J106="-"),0,ROUND($F106-$F106/(1+$H106),2))</f>
        <v>0</v>
      </c>
      <c r="L106" s="31" t="n">
        <f aca="false">IF($F106="",0,$F106-$K106)</f>
        <v>0</v>
      </c>
      <c r="M106" s="31" t="n">
        <f aca="false">IF($F106="",0,IF($J106="V",$L106,$F106))</f>
        <v>0</v>
      </c>
      <c r="N106" s="31" t="n">
        <f aca="false">IF($F106="",0,IF($J106="U",$L106,$F106))</f>
        <v>0</v>
      </c>
      <c r="O106" s="35" t="str">
        <f aca="false">IF($A106="","",MONTH($A106))</f>
        <v/>
      </c>
      <c r="P106" s="35" t="str">
        <f aca="false">IF($A106="","",ROUNDUP(MONTH($A106)/3,0))</f>
        <v/>
      </c>
      <c r="Q106" s="35" t="str">
        <f aca="false">IF($A106="","",IF(MONTH($A106)&lt;=6,1,2))</f>
        <v/>
      </c>
      <c r="R106" s="35" t="str">
        <f aca="false">IF($E106="","",IFERROR(INDEX(Kontenplan!$F$5:$F$90,MATCH($E106,Kontenplan!$A$5:$A$90,0)),""))</f>
        <v/>
      </c>
      <c r="S106" s="35" t="str">
        <f aca="false">IF($D106="","",IFERROR(INDEX(Kontenplan!$F$5:$F$90,MATCH($D106,Kontenplan!$A$5:$A$90,0)),""))</f>
        <v/>
      </c>
      <c r="T106" s="35" t="str">
        <f aca="false">IF($D106="","",IFERROR(INDEX(Kontenplan!$C$5:$C$90,MATCH($D106,Kontenplan!$A$5:$A$90,0)),"?"))</f>
        <v/>
      </c>
      <c r="U106" s="35" t="str">
        <f aca="false">IF($E106="","",IFERROR(INDEX(Kontenplan!$C$5:$C$90,MATCH($E106,Kontenplan!$A$5:$A$90,0)),"?"))</f>
        <v/>
      </c>
      <c r="V106" s="35" t="str">
        <f aca="false">IF($F106="","",IF(OR($D106="",$E106="",$T106="?",$U106="?"),"Konto prüfen!",IF($A106="","Datum fehlt",IF(YEAR($A106)&lt;&gt;Einstellungen!$B$7,"anderes Jahr!",IF($G106="","MWST-Code fehlt","OK")))))</f>
        <v/>
      </c>
      <c r="W106" s="35" t="str">
        <f aca="false">IF($F106="","",IF(OR($D106=Kontoauszug!$C$4,$E106=Kontoauszug!$C$4),MAX(W$4:W105)+1,""))</f>
        <v/>
      </c>
    </row>
    <row r="107" customFormat="false" ht="15" hidden="false" customHeight="false" outlineLevel="0" collapsed="false">
      <c r="A107" s="33"/>
      <c r="B107" s="32"/>
      <c r="C107" s="32"/>
      <c r="D107" s="32"/>
      <c r="E107" s="32"/>
      <c r="F107" s="30"/>
      <c r="G107" s="32"/>
      <c r="H107" s="34" t="n">
        <f aca="false">IF($G107="",0,IFERROR(INDEX(Einstellungen!$G$5:$G$11,MATCH($G107,Einstellungen!$E$5:$E$11,0)),0))</f>
        <v>0</v>
      </c>
      <c r="I107" s="35" t="str">
        <f aca="false">IF($G107="","-",IFERROR(INDEX(Einstellungen!$H$5:$H$11,MATCH($G107,Einstellungen!$E$5:$E$11,0)),"-"))</f>
        <v>-</v>
      </c>
      <c r="J107" s="35" t="str">
        <f aca="false">IF(AND(Einstellungen!$B$8="Ja",Einstellungen!$B$9="Effektiv"),$I107,"-")</f>
        <v>-</v>
      </c>
      <c r="K107" s="31" t="n">
        <f aca="false">IF(OR($F107="",$J107="-"),0,ROUND($F107-$F107/(1+$H107),2))</f>
        <v>0</v>
      </c>
      <c r="L107" s="31" t="n">
        <f aca="false">IF($F107="",0,$F107-$K107)</f>
        <v>0</v>
      </c>
      <c r="M107" s="31" t="n">
        <f aca="false">IF($F107="",0,IF($J107="V",$L107,$F107))</f>
        <v>0</v>
      </c>
      <c r="N107" s="31" t="n">
        <f aca="false">IF($F107="",0,IF($J107="U",$L107,$F107))</f>
        <v>0</v>
      </c>
      <c r="O107" s="35" t="str">
        <f aca="false">IF($A107="","",MONTH($A107))</f>
        <v/>
      </c>
      <c r="P107" s="35" t="str">
        <f aca="false">IF($A107="","",ROUNDUP(MONTH($A107)/3,0))</f>
        <v/>
      </c>
      <c r="Q107" s="35" t="str">
        <f aca="false">IF($A107="","",IF(MONTH($A107)&lt;=6,1,2))</f>
        <v/>
      </c>
      <c r="R107" s="35" t="str">
        <f aca="false">IF($E107="","",IFERROR(INDEX(Kontenplan!$F$5:$F$90,MATCH($E107,Kontenplan!$A$5:$A$90,0)),""))</f>
        <v/>
      </c>
      <c r="S107" s="35" t="str">
        <f aca="false">IF($D107="","",IFERROR(INDEX(Kontenplan!$F$5:$F$90,MATCH($D107,Kontenplan!$A$5:$A$90,0)),""))</f>
        <v/>
      </c>
      <c r="T107" s="35" t="str">
        <f aca="false">IF($D107="","",IFERROR(INDEX(Kontenplan!$C$5:$C$90,MATCH($D107,Kontenplan!$A$5:$A$90,0)),"?"))</f>
        <v/>
      </c>
      <c r="U107" s="35" t="str">
        <f aca="false">IF($E107="","",IFERROR(INDEX(Kontenplan!$C$5:$C$90,MATCH($E107,Kontenplan!$A$5:$A$90,0)),"?"))</f>
        <v/>
      </c>
      <c r="V107" s="35" t="str">
        <f aca="false">IF($F107="","",IF(OR($D107="",$E107="",$T107="?",$U107="?"),"Konto prüfen!",IF($A107="","Datum fehlt",IF(YEAR($A107)&lt;&gt;Einstellungen!$B$7,"anderes Jahr!",IF($G107="","MWST-Code fehlt","OK")))))</f>
        <v/>
      </c>
      <c r="W107" s="35" t="str">
        <f aca="false">IF($F107="","",IF(OR($D107=Kontoauszug!$C$4,$E107=Kontoauszug!$C$4),MAX(W$4:W106)+1,""))</f>
        <v/>
      </c>
    </row>
    <row r="108" customFormat="false" ht="15" hidden="false" customHeight="false" outlineLevel="0" collapsed="false">
      <c r="A108" s="33"/>
      <c r="B108" s="32"/>
      <c r="C108" s="32"/>
      <c r="D108" s="32"/>
      <c r="E108" s="32"/>
      <c r="F108" s="30"/>
      <c r="G108" s="32"/>
      <c r="H108" s="34" t="n">
        <f aca="false">IF($G108="",0,IFERROR(INDEX(Einstellungen!$G$5:$G$11,MATCH($G108,Einstellungen!$E$5:$E$11,0)),0))</f>
        <v>0</v>
      </c>
      <c r="I108" s="35" t="str">
        <f aca="false">IF($G108="","-",IFERROR(INDEX(Einstellungen!$H$5:$H$11,MATCH($G108,Einstellungen!$E$5:$E$11,0)),"-"))</f>
        <v>-</v>
      </c>
      <c r="J108" s="35" t="str">
        <f aca="false">IF(AND(Einstellungen!$B$8="Ja",Einstellungen!$B$9="Effektiv"),$I108,"-")</f>
        <v>-</v>
      </c>
      <c r="K108" s="31" t="n">
        <f aca="false">IF(OR($F108="",$J108="-"),0,ROUND($F108-$F108/(1+$H108),2))</f>
        <v>0</v>
      </c>
      <c r="L108" s="31" t="n">
        <f aca="false">IF($F108="",0,$F108-$K108)</f>
        <v>0</v>
      </c>
      <c r="M108" s="31" t="n">
        <f aca="false">IF($F108="",0,IF($J108="V",$L108,$F108))</f>
        <v>0</v>
      </c>
      <c r="N108" s="31" t="n">
        <f aca="false">IF($F108="",0,IF($J108="U",$L108,$F108))</f>
        <v>0</v>
      </c>
      <c r="O108" s="35" t="str">
        <f aca="false">IF($A108="","",MONTH($A108))</f>
        <v/>
      </c>
      <c r="P108" s="35" t="str">
        <f aca="false">IF($A108="","",ROUNDUP(MONTH($A108)/3,0))</f>
        <v/>
      </c>
      <c r="Q108" s="35" t="str">
        <f aca="false">IF($A108="","",IF(MONTH($A108)&lt;=6,1,2))</f>
        <v/>
      </c>
      <c r="R108" s="35" t="str">
        <f aca="false">IF($E108="","",IFERROR(INDEX(Kontenplan!$F$5:$F$90,MATCH($E108,Kontenplan!$A$5:$A$90,0)),""))</f>
        <v/>
      </c>
      <c r="S108" s="35" t="str">
        <f aca="false">IF($D108="","",IFERROR(INDEX(Kontenplan!$F$5:$F$90,MATCH($D108,Kontenplan!$A$5:$A$90,0)),""))</f>
        <v/>
      </c>
      <c r="T108" s="35" t="str">
        <f aca="false">IF($D108="","",IFERROR(INDEX(Kontenplan!$C$5:$C$90,MATCH($D108,Kontenplan!$A$5:$A$90,0)),"?"))</f>
        <v/>
      </c>
      <c r="U108" s="35" t="str">
        <f aca="false">IF($E108="","",IFERROR(INDEX(Kontenplan!$C$5:$C$90,MATCH($E108,Kontenplan!$A$5:$A$90,0)),"?"))</f>
        <v/>
      </c>
      <c r="V108" s="35" t="str">
        <f aca="false">IF($F108="","",IF(OR($D108="",$E108="",$T108="?",$U108="?"),"Konto prüfen!",IF($A108="","Datum fehlt",IF(YEAR($A108)&lt;&gt;Einstellungen!$B$7,"anderes Jahr!",IF($G108="","MWST-Code fehlt","OK")))))</f>
        <v/>
      </c>
      <c r="W108" s="35" t="str">
        <f aca="false">IF($F108="","",IF(OR($D108=Kontoauszug!$C$4,$E108=Kontoauszug!$C$4),MAX(W$4:W107)+1,""))</f>
        <v/>
      </c>
    </row>
    <row r="109" customFormat="false" ht="15" hidden="false" customHeight="false" outlineLevel="0" collapsed="false">
      <c r="A109" s="33"/>
      <c r="B109" s="32"/>
      <c r="C109" s="32"/>
      <c r="D109" s="32"/>
      <c r="E109" s="32"/>
      <c r="F109" s="30"/>
      <c r="G109" s="32"/>
      <c r="H109" s="34" t="n">
        <f aca="false">IF($G109="",0,IFERROR(INDEX(Einstellungen!$G$5:$G$11,MATCH($G109,Einstellungen!$E$5:$E$11,0)),0))</f>
        <v>0</v>
      </c>
      <c r="I109" s="35" t="str">
        <f aca="false">IF($G109="","-",IFERROR(INDEX(Einstellungen!$H$5:$H$11,MATCH($G109,Einstellungen!$E$5:$E$11,0)),"-"))</f>
        <v>-</v>
      </c>
      <c r="J109" s="35" t="str">
        <f aca="false">IF(AND(Einstellungen!$B$8="Ja",Einstellungen!$B$9="Effektiv"),$I109,"-")</f>
        <v>-</v>
      </c>
      <c r="K109" s="31" t="n">
        <f aca="false">IF(OR($F109="",$J109="-"),0,ROUND($F109-$F109/(1+$H109),2))</f>
        <v>0</v>
      </c>
      <c r="L109" s="31" t="n">
        <f aca="false">IF($F109="",0,$F109-$K109)</f>
        <v>0</v>
      </c>
      <c r="M109" s="31" t="n">
        <f aca="false">IF($F109="",0,IF($J109="V",$L109,$F109))</f>
        <v>0</v>
      </c>
      <c r="N109" s="31" t="n">
        <f aca="false">IF($F109="",0,IF($J109="U",$L109,$F109))</f>
        <v>0</v>
      </c>
      <c r="O109" s="35" t="str">
        <f aca="false">IF($A109="","",MONTH($A109))</f>
        <v/>
      </c>
      <c r="P109" s="35" t="str">
        <f aca="false">IF($A109="","",ROUNDUP(MONTH($A109)/3,0))</f>
        <v/>
      </c>
      <c r="Q109" s="35" t="str">
        <f aca="false">IF($A109="","",IF(MONTH($A109)&lt;=6,1,2))</f>
        <v/>
      </c>
      <c r="R109" s="35" t="str">
        <f aca="false">IF($E109="","",IFERROR(INDEX(Kontenplan!$F$5:$F$90,MATCH($E109,Kontenplan!$A$5:$A$90,0)),""))</f>
        <v/>
      </c>
      <c r="S109" s="35" t="str">
        <f aca="false">IF($D109="","",IFERROR(INDEX(Kontenplan!$F$5:$F$90,MATCH($D109,Kontenplan!$A$5:$A$90,0)),""))</f>
        <v/>
      </c>
      <c r="T109" s="35" t="str">
        <f aca="false">IF($D109="","",IFERROR(INDEX(Kontenplan!$C$5:$C$90,MATCH($D109,Kontenplan!$A$5:$A$90,0)),"?"))</f>
        <v/>
      </c>
      <c r="U109" s="35" t="str">
        <f aca="false">IF($E109="","",IFERROR(INDEX(Kontenplan!$C$5:$C$90,MATCH($E109,Kontenplan!$A$5:$A$90,0)),"?"))</f>
        <v/>
      </c>
      <c r="V109" s="35" t="str">
        <f aca="false">IF($F109="","",IF(OR($D109="",$E109="",$T109="?",$U109="?"),"Konto prüfen!",IF($A109="","Datum fehlt",IF(YEAR($A109)&lt;&gt;Einstellungen!$B$7,"anderes Jahr!",IF($G109="","MWST-Code fehlt","OK")))))</f>
        <v/>
      </c>
      <c r="W109" s="35" t="str">
        <f aca="false">IF($F109="","",IF(OR($D109=Kontoauszug!$C$4,$E109=Kontoauszug!$C$4),MAX(W$4:W108)+1,""))</f>
        <v/>
      </c>
    </row>
    <row r="110" customFormat="false" ht="15" hidden="false" customHeight="false" outlineLevel="0" collapsed="false">
      <c r="A110" s="33"/>
      <c r="B110" s="32"/>
      <c r="C110" s="32"/>
      <c r="D110" s="32"/>
      <c r="E110" s="32"/>
      <c r="F110" s="30"/>
      <c r="G110" s="32"/>
      <c r="H110" s="34" t="n">
        <f aca="false">IF($G110="",0,IFERROR(INDEX(Einstellungen!$G$5:$G$11,MATCH($G110,Einstellungen!$E$5:$E$11,0)),0))</f>
        <v>0</v>
      </c>
      <c r="I110" s="35" t="str">
        <f aca="false">IF($G110="","-",IFERROR(INDEX(Einstellungen!$H$5:$H$11,MATCH($G110,Einstellungen!$E$5:$E$11,0)),"-"))</f>
        <v>-</v>
      </c>
      <c r="J110" s="35" t="str">
        <f aca="false">IF(AND(Einstellungen!$B$8="Ja",Einstellungen!$B$9="Effektiv"),$I110,"-")</f>
        <v>-</v>
      </c>
      <c r="K110" s="31" t="n">
        <f aca="false">IF(OR($F110="",$J110="-"),0,ROUND($F110-$F110/(1+$H110),2))</f>
        <v>0</v>
      </c>
      <c r="L110" s="31" t="n">
        <f aca="false">IF($F110="",0,$F110-$K110)</f>
        <v>0</v>
      </c>
      <c r="M110" s="31" t="n">
        <f aca="false">IF($F110="",0,IF($J110="V",$L110,$F110))</f>
        <v>0</v>
      </c>
      <c r="N110" s="31" t="n">
        <f aca="false">IF($F110="",0,IF($J110="U",$L110,$F110))</f>
        <v>0</v>
      </c>
      <c r="O110" s="35" t="str">
        <f aca="false">IF($A110="","",MONTH($A110))</f>
        <v/>
      </c>
      <c r="P110" s="35" t="str">
        <f aca="false">IF($A110="","",ROUNDUP(MONTH($A110)/3,0))</f>
        <v/>
      </c>
      <c r="Q110" s="35" t="str">
        <f aca="false">IF($A110="","",IF(MONTH($A110)&lt;=6,1,2))</f>
        <v/>
      </c>
      <c r="R110" s="35" t="str">
        <f aca="false">IF($E110="","",IFERROR(INDEX(Kontenplan!$F$5:$F$90,MATCH($E110,Kontenplan!$A$5:$A$90,0)),""))</f>
        <v/>
      </c>
      <c r="S110" s="35" t="str">
        <f aca="false">IF($D110="","",IFERROR(INDEX(Kontenplan!$F$5:$F$90,MATCH($D110,Kontenplan!$A$5:$A$90,0)),""))</f>
        <v/>
      </c>
      <c r="T110" s="35" t="str">
        <f aca="false">IF($D110="","",IFERROR(INDEX(Kontenplan!$C$5:$C$90,MATCH($D110,Kontenplan!$A$5:$A$90,0)),"?"))</f>
        <v/>
      </c>
      <c r="U110" s="35" t="str">
        <f aca="false">IF($E110="","",IFERROR(INDEX(Kontenplan!$C$5:$C$90,MATCH($E110,Kontenplan!$A$5:$A$90,0)),"?"))</f>
        <v/>
      </c>
      <c r="V110" s="35" t="str">
        <f aca="false">IF($F110="","",IF(OR($D110="",$E110="",$T110="?",$U110="?"),"Konto prüfen!",IF($A110="","Datum fehlt",IF(YEAR($A110)&lt;&gt;Einstellungen!$B$7,"anderes Jahr!",IF($G110="","MWST-Code fehlt","OK")))))</f>
        <v/>
      </c>
      <c r="W110" s="35" t="str">
        <f aca="false">IF($F110="","",IF(OR($D110=Kontoauszug!$C$4,$E110=Kontoauszug!$C$4),MAX(W$4:W109)+1,""))</f>
        <v/>
      </c>
    </row>
    <row r="111" customFormat="false" ht="15" hidden="false" customHeight="false" outlineLevel="0" collapsed="false">
      <c r="A111" s="33"/>
      <c r="B111" s="32"/>
      <c r="C111" s="32"/>
      <c r="D111" s="32"/>
      <c r="E111" s="32"/>
      <c r="F111" s="30"/>
      <c r="G111" s="32"/>
      <c r="H111" s="34" t="n">
        <f aca="false">IF($G111="",0,IFERROR(INDEX(Einstellungen!$G$5:$G$11,MATCH($G111,Einstellungen!$E$5:$E$11,0)),0))</f>
        <v>0</v>
      </c>
      <c r="I111" s="35" t="str">
        <f aca="false">IF($G111="","-",IFERROR(INDEX(Einstellungen!$H$5:$H$11,MATCH($G111,Einstellungen!$E$5:$E$11,0)),"-"))</f>
        <v>-</v>
      </c>
      <c r="J111" s="35" t="str">
        <f aca="false">IF(AND(Einstellungen!$B$8="Ja",Einstellungen!$B$9="Effektiv"),$I111,"-")</f>
        <v>-</v>
      </c>
      <c r="K111" s="31" t="n">
        <f aca="false">IF(OR($F111="",$J111="-"),0,ROUND($F111-$F111/(1+$H111),2))</f>
        <v>0</v>
      </c>
      <c r="L111" s="31" t="n">
        <f aca="false">IF($F111="",0,$F111-$K111)</f>
        <v>0</v>
      </c>
      <c r="M111" s="31" t="n">
        <f aca="false">IF($F111="",0,IF($J111="V",$L111,$F111))</f>
        <v>0</v>
      </c>
      <c r="N111" s="31" t="n">
        <f aca="false">IF($F111="",0,IF($J111="U",$L111,$F111))</f>
        <v>0</v>
      </c>
      <c r="O111" s="35" t="str">
        <f aca="false">IF($A111="","",MONTH($A111))</f>
        <v/>
      </c>
      <c r="P111" s="35" t="str">
        <f aca="false">IF($A111="","",ROUNDUP(MONTH($A111)/3,0))</f>
        <v/>
      </c>
      <c r="Q111" s="35" t="str">
        <f aca="false">IF($A111="","",IF(MONTH($A111)&lt;=6,1,2))</f>
        <v/>
      </c>
      <c r="R111" s="35" t="str">
        <f aca="false">IF($E111="","",IFERROR(INDEX(Kontenplan!$F$5:$F$90,MATCH($E111,Kontenplan!$A$5:$A$90,0)),""))</f>
        <v/>
      </c>
      <c r="S111" s="35" t="str">
        <f aca="false">IF($D111="","",IFERROR(INDEX(Kontenplan!$F$5:$F$90,MATCH($D111,Kontenplan!$A$5:$A$90,0)),""))</f>
        <v/>
      </c>
      <c r="T111" s="35" t="str">
        <f aca="false">IF($D111="","",IFERROR(INDEX(Kontenplan!$C$5:$C$90,MATCH($D111,Kontenplan!$A$5:$A$90,0)),"?"))</f>
        <v/>
      </c>
      <c r="U111" s="35" t="str">
        <f aca="false">IF($E111="","",IFERROR(INDEX(Kontenplan!$C$5:$C$90,MATCH($E111,Kontenplan!$A$5:$A$90,0)),"?"))</f>
        <v/>
      </c>
      <c r="V111" s="35" t="str">
        <f aca="false">IF($F111="","",IF(OR($D111="",$E111="",$T111="?",$U111="?"),"Konto prüfen!",IF($A111="","Datum fehlt",IF(YEAR($A111)&lt;&gt;Einstellungen!$B$7,"anderes Jahr!",IF($G111="","MWST-Code fehlt","OK")))))</f>
        <v/>
      </c>
      <c r="W111" s="35" t="str">
        <f aca="false">IF($F111="","",IF(OR($D111=Kontoauszug!$C$4,$E111=Kontoauszug!$C$4),MAX(W$4:W110)+1,""))</f>
        <v/>
      </c>
    </row>
    <row r="112" customFormat="false" ht="15" hidden="false" customHeight="false" outlineLevel="0" collapsed="false">
      <c r="A112" s="33"/>
      <c r="B112" s="32"/>
      <c r="C112" s="32"/>
      <c r="D112" s="32"/>
      <c r="E112" s="32"/>
      <c r="F112" s="30"/>
      <c r="G112" s="32"/>
      <c r="H112" s="34" t="n">
        <f aca="false">IF($G112="",0,IFERROR(INDEX(Einstellungen!$G$5:$G$11,MATCH($G112,Einstellungen!$E$5:$E$11,0)),0))</f>
        <v>0</v>
      </c>
      <c r="I112" s="35" t="str">
        <f aca="false">IF($G112="","-",IFERROR(INDEX(Einstellungen!$H$5:$H$11,MATCH($G112,Einstellungen!$E$5:$E$11,0)),"-"))</f>
        <v>-</v>
      </c>
      <c r="J112" s="35" t="str">
        <f aca="false">IF(AND(Einstellungen!$B$8="Ja",Einstellungen!$B$9="Effektiv"),$I112,"-")</f>
        <v>-</v>
      </c>
      <c r="K112" s="31" t="n">
        <f aca="false">IF(OR($F112="",$J112="-"),0,ROUND($F112-$F112/(1+$H112),2))</f>
        <v>0</v>
      </c>
      <c r="L112" s="31" t="n">
        <f aca="false">IF($F112="",0,$F112-$K112)</f>
        <v>0</v>
      </c>
      <c r="M112" s="31" t="n">
        <f aca="false">IF($F112="",0,IF($J112="V",$L112,$F112))</f>
        <v>0</v>
      </c>
      <c r="N112" s="31" t="n">
        <f aca="false">IF($F112="",0,IF($J112="U",$L112,$F112))</f>
        <v>0</v>
      </c>
      <c r="O112" s="35" t="str">
        <f aca="false">IF($A112="","",MONTH($A112))</f>
        <v/>
      </c>
      <c r="P112" s="35" t="str">
        <f aca="false">IF($A112="","",ROUNDUP(MONTH($A112)/3,0))</f>
        <v/>
      </c>
      <c r="Q112" s="35" t="str">
        <f aca="false">IF($A112="","",IF(MONTH($A112)&lt;=6,1,2))</f>
        <v/>
      </c>
      <c r="R112" s="35" t="str">
        <f aca="false">IF($E112="","",IFERROR(INDEX(Kontenplan!$F$5:$F$90,MATCH($E112,Kontenplan!$A$5:$A$90,0)),""))</f>
        <v/>
      </c>
      <c r="S112" s="35" t="str">
        <f aca="false">IF($D112="","",IFERROR(INDEX(Kontenplan!$F$5:$F$90,MATCH($D112,Kontenplan!$A$5:$A$90,0)),""))</f>
        <v/>
      </c>
      <c r="T112" s="35" t="str">
        <f aca="false">IF($D112="","",IFERROR(INDEX(Kontenplan!$C$5:$C$90,MATCH($D112,Kontenplan!$A$5:$A$90,0)),"?"))</f>
        <v/>
      </c>
      <c r="U112" s="35" t="str">
        <f aca="false">IF($E112="","",IFERROR(INDEX(Kontenplan!$C$5:$C$90,MATCH($E112,Kontenplan!$A$5:$A$90,0)),"?"))</f>
        <v/>
      </c>
      <c r="V112" s="35" t="str">
        <f aca="false">IF($F112="","",IF(OR($D112="",$E112="",$T112="?",$U112="?"),"Konto prüfen!",IF($A112="","Datum fehlt",IF(YEAR($A112)&lt;&gt;Einstellungen!$B$7,"anderes Jahr!",IF($G112="","MWST-Code fehlt","OK")))))</f>
        <v/>
      </c>
      <c r="W112" s="35" t="str">
        <f aca="false">IF($F112="","",IF(OR($D112=Kontoauszug!$C$4,$E112=Kontoauszug!$C$4),MAX(W$4:W111)+1,""))</f>
        <v/>
      </c>
    </row>
    <row r="113" customFormat="false" ht="15" hidden="false" customHeight="false" outlineLevel="0" collapsed="false">
      <c r="A113" s="33"/>
      <c r="B113" s="32"/>
      <c r="C113" s="32"/>
      <c r="D113" s="32"/>
      <c r="E113" s="32"/>
      <c r="F113" s="30"/>
      <c r="G113" s="32"/>
      <c r="H113" s="34" t="n">
        <f aca="false">IF($G113="",0,IFERROR(INDEX(Einstellungen!$G$5:$G$11,MATCH($G113,Einstellungen!$E$5:$E$11,0)),0))</f>
        <v>0</v>
      </c>
      <c r="I113" s="35" t="str">
        <f aca="false">IF($G113="","-",IFERROR(INDEX(Einstellungen!$H$5:$H$11,MATCH($G113,Einstellungen!$E$5:$E$11,0)),"-"))</f>
        <v>-</v>
      </c>
      <c r="J113" s="35" t="str">
        <f aca="false">IF(AND(Einstellungen!$B$8="Ja",Einstellungen!$B$9="Effektiv"),$I113,"-")</f>
        <v>-</v>
      </c>
      <c r="K113" s="31" t="n">
        <f aca="false">IF(OR($F113="",$J113="-"),0,ROUND($F113-$F113/(1+$H113),2))</f>
        <v>0</v>
      </c>
      <c r="L113" s="31" t="n">
        <f aca="false">IF($F113="",0,$F113-$K113)</f>
        <v>0</v>
      </c>
      <c r="M113" s="31" t="n">
        <f aca="false">IF($F113="",0,IF($J113="V",$L113,$F113))</f>
        <v>0</v>
      </c>
      <c r="N113" s="31" t="n">
        <f aca="false">IF($F113="",0,IF($J113="U",$L113,$F113))</f>
        <v>0</v>
      </c>
      <c r="O113" s="35" t="str">
        <f aca="false">IF($A113="","",MONTH($A113))</f>
        <v/>
      </c>
      <c r="P113" s="35" t="str">
        <f aca="false">IF($A113="","",ROUNDUP(MONTH($A113)/3,0))</f>
        <v/>
      </c>
      <c r="Q113" s="35" t="str">
        <f aca="false">IF($A113="","",IF(MONTH($A113)&lt;=6,1,2))</f>
        <v/>
      </c>
      <c r="R113" s="35" t="str">
        <f aca="false">IF($E113="","",IFERROR(INDEX(Kontenplan!$F$5:$F$90,MATCH($E113,Kontenplan!$A$5:$A$90,0)),""))</f>
        <v/>
      </c>
      <c r="S113" s="35" t="str">
        <f aca="false">IF($D113="","",IFERROR(INDEX(Kontenplan!$F$5:$F$90,MATCH($D113,Kontenplan!$A$5:$A$90,0)),""))</f>
        <v/>
      </c>
      <c r="T113" s="35" t="str">
        <f aca="false">IF($D113="","",IFERROR(INDEX(Kontenplan!$C$5:$C$90,MATCH($D113,Kontenplan!$A$5:$A$90,0)),"?"))</f>
        <v/>
      </c>
      <c r="U113" s="35" t="str">
        <f aca="false">IF($E113="","",IFERROR(INDEX(Kontenplan!$C$5:$C$90,MATCH($E113,Kontenplan!$A$5:$A$90,0)),"?"))</f>
        <v/>
      </c>
      <c r="V113" s="35" t="str">
        <f aca="false">IF($F113="","",IF(OR($D113="",$E113="",$T113="?",$U113="?"),"Konto prüfen!",IF($A113="","Datum fehlt",IF(YEAR($A113)&lt;&gt;Einstellungen!$B$7,"anderes Jahr!",IF($G113="","MWST-Code fehlt","OK")))))</f>
        <v/>
      </c>
      <c r="W113" s="35" t="str">
        <f aca="false">IF($F113="","",IF(OR($D113=Kontoauszug!$C$4,$E113=Kontoauszug!$C$4),MAX(W$4:W112)+1,""))</f>
        <v/>
      </c>
    </row>
    <row r="114" customFormat="false" ht="15" hidden="false" customHeight="false" outlineLevel="0" collapsed="false">
      <c r="A114" s="33"/>
      <c r="B114" s="32"/>
      <c r="C114" s="32"/>
      <c r="D114" s="32"/>
      <c r="E114" s="32"/>
      <c r="F114" s="30"/>
      <c r="G114" s="32"/>
      <c r="H114" s="34" t="n">
        <f aca="false">IF($G114="",0,IFERROR(INDEX(Einstellungen!$G$5:$G$11,MATCH($G114,Einstellungen!$E$5:$E$11,0)),0))</f>
        <v>0</v>
      </c>
      <c r="I114" s="35" t="str">
        <f aca="false">IF($G114="","-",IFERROR(INDEX(Einstellungen!$H$5:$H$11,MATCH($G114,Einstellungen!$E$5:$E$11,0)),"-"))</f>
        <v>-</v>
      </c>
      <c r="J114" s="35" t="str">
        <f aca="false">IF(AND(Einstellungen!$B$8="Ja",Einstellungen!$B$9="Effektiv"),$I114,"-")</f>
        <v>-</v>
      </c>
      <c r="K114" s="31" t="n">
        <f aca="false">IF(OR($F114="",$J114="-"),0,ROUND($F114-$F114/(1+$H114),2))</f>
        <v>0</v>
      </c>
      <c r="L114" s="31" t="n">
        <f aca="false">IF($F114="",0,$F114-$K114)</f>
        <v>0</v>
      </c>
      <c r="M114" s="31" t="n">
        <f aca="false">IF($F114="",0,IF($J114="V",$L114,$F114))</f>
        <v>0</v>
      </c>
      <c r="N114" s="31" t="n">
        <f aca="false">IF($F114="",0,IF($J114="U",$L114,$F114))</f>
        <v>0</v>
      </c>
      <c r="O114" s="35" t="str">
        <f aca="false">IF($A114="","",MONTH($A114))</f>
        <v/>
      </c>
      <c r="P114" s="35" t="str">
        <f aca="false">IF($A114="","",ROUNDUP(MONTH($A114)/3,0))</f>
        <v/>
      </c>
      <c r="Q114" s="35" t="str">
        <f aca="false">IF($A114="","",IF(MONTH($A114)&lt;=6,1,2))</f>
        <v/>
      </c>
      <c r="R114" s="35" t="str">
        <f aca="false">IF($E114="","",IFERROR(INDEX(Kontenplan!$F$5:$F$90,MATCH($E114,Kontenplan!$A$5:$A$90,0)),""))</f>
        <v/>
      </c>
      <c r="S114" s="35" t="str">
        <f aca="false">IF($D114="","",IFERROR(INDEX(Kontenplan!$F$5:$F$90,MATCH($D114,Kontenplan!$A$5:$A$90,0)),""))</f>
        <v/>
      </c>
      <c r="T114" s="35" t="str">
        <f aca="false">IF($D114="","",IFERROR(INDEX(Kontenplan!$C$5:$C$90,MATCH($D114,Kontenplan!$A$5:$A$90,0)),"?"))</f>
        <v/>
      </c>
      <c r="U114" s="35" t="str">
        <f aca="false">IF($E114="","",IFERROR(INDEX(Kontenplan!$C$5:$C$90,MATCH($E114,Kontenplan!$A$5:$A$90,0)),"?"))</f>
        <v/>
      </c>
      <c r="V114" s="35" t="str">
        <f aca="false">IF($F114="","",IF(OR($D114="",$E114="",$T114="?",$U114="?"),"Konto prüfen!",IF($A114="","Datum fehlt",IF(YEAR($A114)&lt;&gt;Einstellungen!$B$7,"anderes Jahr!",IF($G114="","MWST-Code fehlt","OK")))))</f>
        <v/>
      </c>
      <c r="W114" s="35" t="str">
        <f aca="false">IF($F114="","",IF(OR($D114=Kontoauszug!$C$4,$E114=Kontoauszug!$C$4),MAX(W$4:W113)+1,""))</f>
        <v/>
      </c>
    </row>
    <row r="115" customFormat="false" ht="15" hidden="false" customHeight="false" outlineLevel="0" collapsed="false">
      <c r="A115" s="33"/>
      <c r="B115" s="32"/>
      <c r="C115" s="32"/>
      <c r="D115" s="32"/>
      <c r="E115" s="32"/>
      <c r="F115" s="30"/>
      <c r="G115" s="32"/>
      <c r="H115" s="34" t="n">
        <f aca="false">IF($G115="",0,IFERROR(INDEX(Einstellungen!$G$5:$G$11,MATCH($G115,Einstellungen!$E$5:$E$11,0)),0))</f>
        <v>0</v>
      </c>
      <c r="I115" s="35" t="str">
        <f aca="false">IF($G115="","-",IFERROR(INDEX(Einstellungen!$H$5:$H$11,MATCH($G115,Einstellungen!$E$5:$E$11,0)),"-"))</f>
        <v>-</v>
      </c>
      <c r="J115" s="35" t="str">
        <f aca="false">IF(AND(Einstellungen!$B$8="Ja",Einstellungen!$B$9="Effektiv"),$I115,"-")</f>
        <v>-</v>
      </c>
      <c r="K115" s="31" t="n">
        <f aca="false">IF(OR($F115="",$J115="-"),0,ROUND($F115-$F115/(1+$H115),2))</f>
        <v>0</v>
      </c>
      <c r="L115" s="31" t="n">
        <f aca="false">IF($F115="",0,$F115-$K115)</f>
        <v>0</v>
      </c>
      <c r="M115" s="31" t="n">
        <f aca="false">IF($F115="",0,IF($J115="V",$L115,$F115))</f>
        <v>0</v>
      </c>
      <c r="N115" s="31" t="n">
        <f aca="false">IF($F115="",0,IF($J115="U",$L115,$F115))</f>
        <v>0</v>
      </c>
      <c r="O115" s="35" t="str">
        <f aca="false">IF($A115="","",MONTH($A115))</f>
        <v/>
      </c>
      <c r="P115" s="35" t="str">
        <f aca="false">IF($A115="","",ROUNDUP(MONTH($A115)/3,0))</f>
        <v/>
      </c>
      <c r="Q115" s="35" t="str">
        <f aca="false">IF($A115="","",IF(MONTH($A115)&lt;=6,1,2))</f>
        <v/>
      </c>
      <c r="R115" s="35" t="str">
        <f aca="false">IF($E115="","",IFERROR(INDEX(Kontenplan!$F$5:$F$90,MATCH($E115,Kontenplan!$A$5:$A$90,0)),""))</f>
        <v/>
      </c>
      <c r="S115" s="35" t="str">
        <f aca="false">IF($D115="","",IFERROR(INDEX(Kontenplan!$F$5:$F$90,MATCH($D115,Kontenplan!$A$5:$A$90,0)),""))</f>
        <v/>
      </c>
      <c r="T115" s="35" t="str">
        <f aca="false">IF($D115="","",IFERROR(INDEX(Kontenplan!$C$5:$C$90,MATCH($D115,Kontenplan!$A$5:$A$90,0)),"?"))</f>
        <v/>
      </c>
      <c r="U115" s="35" t="str">
        <f aca="false">IF($E115="","",IFERROR(INDEX(Kontenplan!$C$5:$C$90,MATCH($E115,Kontenplan!$A$5:$A$90,0)),"?"))</f>
        <v/>
      </c>
      <c r="V115" s="35" t="str">
        <f aca="false">IF($F115="","",IF(OR($D115="",$E115="",$T115="?",$U115="?"),"Konto prüfen!",IF($A115="","Datum fehlt",IF(YEAR($A115)&lt;&gt;Einstellungen!$B$7,"anderes Jahr!",IF($G115="","MWST-Code fehlt","OK")))))</f>
        <v/>
      </c>
      <c r="W115" s="35" t="str">
        <f aca="false">IF($F115="","",IF(OR($D115=Kontoauszug!$C$4,$E115=Kontoauszug!$C$4),MAX(W$4:W114)+1,""))</f>
        <v/>
      </c>
    </row>
    <row r="116" customFormat="false" ht="15" hidden="false" customHeight="false" outlineLevel="0" collapsed="false">
      <c r="A116" s="33"/>
      <c r="B116" s="32"/>
      <c r="C116" s="32"/>
      <c r="D116" s="32"/>
      <c r="E116" s="32"/>
      <c r="F116" s="30"/>
      <c r="G116" s="32"/>
      <c r="H116" s="34" t="n">
        <f aca="false">IF($G116="",0,IFERROR(INDEX(Einstellungen!$G$5:$G$11,MATCH($G116,Einstellungen!$E$5:$E$11,0)),0))</f>
        <v>0</v>
      </c>
      <c r="I116" s="35" t="str">
        <f aca="false">IF($G116="","-",IFERROR(INDEX(Einstellungen!$H$5:$H$11,MATCH($G116,Einstellungen!$E$5:$E$11,0)),"-"))</f>
        <v>-</v>
      </c>
      <c r="J116" s="35" t="str">
        <f aca="false">IF(AND(Einstellungen!$B$8="Ja",Einstellungen!$B$9="Effektiv"),$I116,"-")</f>
        <v>-</v>
      </c>
      <c r="K116" s="31" t="n">
        <f aca="false">IF(OR($F116="",$J116="-"),0,ROUND($F116-$F116/(1+$H116),2))</f>
        <v>0</v>
      </c>
      <c r="L116" s="31" t="n">
        <f aca="false">IF($F116="",0,$F116-$K116)</f>
        <v>0</v>
      </c>
      <c r="M116" s="31" t="n">
        <f aca="false">IF($F116="",0,IF($J116="V",$L116,$F116))</f>
        <v>0</v>
      </c>
      <c r="N116" s="31" t="n">
        <f aca="false">IF($F116="",0,IF($J116="U",$L116,$F116))</f>
        <v>0</v>
      </c>
      <c r="O116" s="35" t="str">
        <f aca="false">IF($A116="","",MONTH($A116))</f>
        <v/>
      </c>
      <c r="P116" s="35" t="str">
        <f aca="false">IF($A116="","",ROUNDUP(MONTH($A116)/3,0))</f>
        <v/>
      </c>
      <c r="Q116" s="35" t="str">
        <f aca="false">IF($A116="","",IF(MONTH($A116)&lt;=6,1,2))</f>
        <v/>
      </c>
      <c r="R116" s="35" t="str">
        <f aca="false">IF($E116="","",IFERROR(INDEX(Kontenplan!$F$5:$F$90,MATCH($E116,Kontenplan!$A$5:$A$90,0)),""))</f>
        <v/>
      </c>
      <c r="S116" s="35" t="str">
        <f aca="false">IF($D116="","",IFERROR(INDEX(Kontenplan!$F$5:$F$90,MATCH($D116,Kontenplan!$A$5:$A$90,0)),""))</f>
        <v/>
      </c>
      <c r="T116" s="35" t="str">
        <f aca="false">IF($D116="","",IFERROR(INDEX(Kontenplan!$C$5:$C$90,MATCH($D116,Kontenplan!$A$5:$A$90,0)),"?"))</f>
        <v/>
      </c>
      <c r="U116" s="35" t="str">
        <f aca="false">IF($E116="","",IFERROR(INDEX(Kontenplan!$C$5:$C$90,MATCH($E116,Kontenplan!$A$5:$A$90,0)),"?"))</f>
        <v/>
      </c>
      <c r="V116" s="35" t="str">
        <f aca="false">IF($F116="","",IF(OR($D116="",$E116="",$T116="?",$U116="?"),"Konto prüfen!",IF($A116="","Datum fehlt",IF(YEAR($A116)&lt;&gt;Einstellungen!$B$7,"anderes Jahr!",IF($G116="","MWST-Code fehlt","OK")))))</f>
        <v/>
      </c>
      <c r="W116" s="35" t="str">
        <f aca="false">IF($F116="","",IF(OR($D116=Kontoauszug!$C$4,$E116=Kontoauszug!$C$4),MAX(W$4:W115)+1,""))</f>
        <v/>
      </c>
    </row>
    <row r="117" customFormat="false" ht="15" hidden="false" customHeight="false" outlineLevel="0" collapsed="false">
      <c r="A117" s="33"/>
      <c r="B117" s="32"/>
      <c r="C117" s="32"/>
      <c r="D117" s="32"/>
      <c r="E117" s="32"/>
      <c r="F117" s="30"/>
      <c r="G117" s="32"/>
      <c r="H117" s="34" t="n">
        <f aca="false">IF($G117="",0,IFERROR(INDEX(Einstellungen!$G$5:$G$11,MATCH($G117,Einstellungen!$E$5:$E$11,0)),0))</f>
        <v>0</v>
      </c>
      <c r="I117" s="35" t="str">
        <f aca="false">IF($G117="","-",IFERROR(INDEX(Einstellungen!$H$5:$H$11,MATCH($G117,Einstellungen!$E$5:$E$11,0)),"-"))</f>
        <v>-</v>
      </c>
      <c r="J117" s="35" t="str">
        <f aca="false">IF(AND(Einstellungen!$B$8="Ja",Einstellungen!$B$9="Effektiv"),$I117,"-")</f>
        <v>-</v>
      </c>
      <c r="K117" s="31" t="n">
        <f aca="false">IF(OR($F117="",$J117="-"),0,ROUND($F117-$F117/(1+$H117),2))</f>
        <v>0</v>
      </c>
      <c r="L117" s="31" t="n">
        <f aca="false">IF($F117="",0,$F117-$K117)</f>
        <v>0</v>
      </c>
      <c r="M117" s="31" t="n">
        <f aca="false">IF($F117="",0,IF($J117="V",$L117,$F117))</f>
        <v>0</v>
      </c>
      <c r="N117" s="31" t="n">
        <f aca="false">IF($F117="",0,IF($J117="U",$L117,$F117))</f>
        <v>0</v>
      </c>
      <c r="O117" s="35" t="str">
        <f aca="false">IF($A117="","",MONTH($A117))</f>
        <v/>
      </c>
      <c r="P117" s="35" t="str">
        <f aca="false">IF($A117="","",ROUNDUP(MONTH($A117)/3,0))</f>
        <v/>
      </c>
      <c r="Q117" s="35" t="str">
        <f aca="false">IF($A117="","",IF(MONTH($A117)&lt;=6,1,2))</f>
        <v/>
      </c>
      <c r="R117" s="35" t="str">
        <f aca="false">IF($E117="","",IFERROR(INDEX(Kontenplan!$F$5:$F$90,MATCH($E117,Kontenplan!$A$5:$A$90,0)),""))</f>
        <v/>
      </c>
      <c r="S117" s="35" t="str">
        <f aca="false">IF($D117="","",IFERROR(INDEX(Kontenplan!$F$5:$F$90,MATCH($D117,Kontenplan!$A$5:$A$90,0)),""))</f>
        <v/>
      </c>
      <c r="T117" s="35" t="str">
        <f aca="false">IF($D117="","",IFERROR(INDEX(Kontenplan!$C$5:$C$90,MATCH($D117,Kontenplan!$A$5:$A$90,0)),"?"))</f>
        <v/>
      </c>
      <c r="U117" s="35" t="str">
        <f aca="false">IF($E117="","",IFERROR(INDEX(Kontenplan!$C$5:$C$90,MATCH($E117,Kontenplan!$A$5:$A$90,0)),"?"))</f>
        <v/>
      </c>
      <c r="V117" s="35" t="str">
        <f aca="false">IF($F117="","",IF(OR($D117="",$E117="",$T117="?",$U117="?"),"Konto prüfen!",IF($A117="","Datum fehlt",IF(YEAR($A117)&lt;&gt;Einstellungen!$B$7,"anderes Jahr!",IF($G117="","MWST-Code fehlt","OK")))))</f>
        <v/>
      </c>
      <c r="W117" s="35" t="str">
        <f aca="false">IF($F117="","",IF(OR($D117=Kontoauszug!$C$4,$E117=Kontoauszug!$C$4),MAX(W$4:W116)+1,""))</f>
        <v/>
      </c>
    </row>
    <row r="118" customFormat="false" ht="15" hidden="false" customHeight="false" outlineLevel="0" collapsed="false">
      <c r="A118" s="33"/>
      <c r="B118" s="32"/>
      <c r="C118" s="32"/>
      <c r="D118" s="32"/>
      <c r="E118" s="32"/>
      <c r="F118" s="30"/>
      <c r="G118" s="32"/>
      <c r="H118" s="34" t="n">
        <f aca="false">IF($G118="",0,IFERROR(INDEX(Einstellungen!$G$5:$G$11,MATCH($G118,Einstellungen!$E$5:$E$11,0)),0))</f>
        <v>0</v>
      </c>
      <c r="I118" s="35" t="str">
        <f aca="false">IF($G118="","-",IFERROR(INDEX(Einstellungen!$H$5:$H$11,MATCH($G118,Einstellungen!$E$5:$E$11,0)),"-"))</f>
        <v>-</v>
      </c>
      <c r="J118" s="35" t="str">
        <f aca="false">IF(AND(Einstellungen!$B$8="Ja",Einstellungen!$B$9="Effektiv"),$I118,"-")</f>
        <v>-</v>
      </c>
      <c r="K118" s="31" t="n">
        <f aca="false">IF(OR($F118="",$J118="-"),0,ROUND($F118-$F118/(1+$H118),2))</f>
        <v>0</v>
      </c>
      <c r="L118" s="31" t="n">
        <f aca="false">IF($F118="",0,$F118-$K118)</f>
        <v>0</v>
      </c>
      <c r="M118" s="31" t="n">
        <f aca="false">IF($F118="",0,IF($J118="V",$L118,$F118))</f>
        <v>0</v>
      </c>
      <c r="N118" s="31" t="n">
        <f aca="false">IF($F118="",0,IF($J118="U",$L118,$F118))</f>
        <v>0</v>
      </c>
      <c r="O118" s="35" t="str">
        <f aca="false">IF($A118="","",MONTH($A118))</f>
        <v/>
      </c>
      <c r="P118" s="35" t="str">
        <f aca="false">IF($A118="","",ROUNDUP(MONTH($A118)/3,0))</f>
        <v/>
      </c>
      <c r="Q118" s="35" t="str">
        <f aca="false">IF($A118="","",IF(MONTH($A118)&lt;=6,1,2))</f>
        <v/>
      </c>
      <c r="R118" s="35" t="str">
        <f aca="false">IF($E118="","",IFERROR(INDEX(Kontenplan!$F$5:$F$90,MATCH($E118,Kontenplan!$A$5:$A$90,0)),""))</f>
        <v/>
      </c>
      <c r="S118" s="35" t="str">
        <f aca="false">IF($D118="","",IFERROR(INDEX(Kontenplan!$F$5:$F$90,MATCH($D118,Kontenplan!$A$5:$A$90,0)),""))</f>
        <v/>
      </c>
      <c r="T118" s="35" t="str">
        <f aca="false">IF($D118="","",IFERROR(INDEX(Kontenplan!$C$5:$C$90,MATCH($D118,Kontenplan!$A$5:$A$90,0)),"?"))</f>
        <v/>
      </c>
      <c r="U118" s="35" t="str">
        <f aca="false">IF($E118="","",IFERROR(INDEX(Kontenplan!$C$5:$C$90,MATCH($E118,Kontenplan!$A$5:$A$90,0)),"?"))</f>
        <v/>
      </c>
      <c r="V118" s="35" t="str">
        <f aca="false">IF($F118="","",IF(OR($D118="",$E118="",$T118="?",$U118="?"),"Konto prüfen!",IF($A118="","Datum fehlt",IF(YEAR($A118)&lt;&gt;Einstellungen!$B$7,"anderes Jahr!",IF($G118="","MWST-Code fehlt","OK")))))</f>
        <v/>
      </c>
      <c r="W118" s="35" t="str">
        <f aca="false">IF($F118="","",IF(OR($D118=Kontoauszug!$C$4,$E118=Kontoauszug!$C$4),MAX(W$4:W117)+1,""))</f>
        <v/>
      </c>
    </row>
    <row r="119" customFormat="false" ht="15" hidden="false" customHeight="false" outlineLevel="0" collapsed="false">
      <c r="A119" s="33"/>
      <c r="B119" s="32"/>
      <c r="C119" s="32"/>
      <c r="D119" s="32"/>
      <c r="E119" s="32"/>
      <c r="F119" s="30"/>
      <c r="G119" s="32"/>
      <c r="H119" s="34" t="n">
        <f aca="false">IF($G119="",0,IFERROR(INDEX(Einstellungen!$G$5:$G$11,MATCH($G119,Einstellungen!$E$5:$E$11,0)),0))</f>
        <v>0</v>
      </c>
      <c r="I119" s="35" t="str">
        <f aca="false">IF($G119="","-",IFERROR(INDEX(Einstellungen!$H$5:$H$11,MATCH($G119,Einstellungen!$E$5:$E$11,0)),"-"))</f>
        <v>-</v>
      </c>
      <c r="J119" s="35" t="str">
        <f aca="false">IF(AND(Einstellungen!$B$8="Ja",Einstellungen!$B$9="Effektiv"),$I119,"-")</f>
        <v>-</v>
      </c>
      <c r="K119" s="31" t="n">
        <f aca="false">IF(OR($F119="",$J119="-"),0,ROUND($F119-$F119/(1+$H119),2))</f>
        <v>0</v>
      </c>
      <c r="L119" s="31" t="n">
        <f aca="false">IF($F119="",0,$F119-$K119)</f>
        <v>0</v>
      </c>
      <c r="M119" s="31" t="n">
        <f aca="false">IF($F119="",0,IF($J119="V",$L119,$F119))</f>
        <v>0</v>
      </c>
      <c r="N119" s="31" t="n">
        <f aca="false">IF($F119="",0,IF($J119="U",$L119,$F119))</f>
        <v>0</v>
      </c>
      <c r="O119" s="35" t="str">
        <f aca="false">IF($A119="","",MONTH($A119))</f>
        <v/>
      </c>
      <c r="P119" s="35" t="str">
        <f aca="false">IF($A119="","",ROUNDUP(MONTH($A119)/3,0))</f>
        <v/>
      </c>
      <c r="Q119" s="35" t="str">
        <f aca="false">IF($A119="","",IF(MONTH($A119)&lt;=6,1,2))</f>
        <v/>
      </c>
      <c r="R119" s="35" t="str">
        <f aca="false">IF($E119="","",IFERROR(INDEX(Kontenplan!$F$5:$F$90,MATCH($E119,Kontenplan!$A$5:$A$90,0)),""))</f>
        <v/>
      </c>
      <c r="S119" s="35" t="str">
        <f aca="false">IF($D119="","",IFERROR(INDEX(Kontenplan!$F$5:$F$90,MATCH($D119,Kontenplan!$A$5:$A$90,0)),""))</f>
        <v/>
      </c>
      <c r="T119" s="35" t="str">
        <f aca="false">IF($D119="","",IFERROR(INDEX(Kontenplan!$C$5:$C$90,MATCH($D119,Kontenplan!$A$5:$A$90,0)),"?"))</f>
        <v/>
      </c>
      <c r="U119" s="35" t="str">
        <f aca="false">IF($E119="","",IFERROR(INDEX(Kontenplan!$C$5:$C$90,MATCH($E119,Kontenplan!$A$5:$A$90,0)),"?"))</f>
        <v/>
      </c>
      <c r="V119" s="35" t="str">
        <f aca="false">IF($F119="","",IF(OR($D119="",$E119="",$T119="?",$U119="?"),"Konto prüfen!",IF($A119="","Datum fehlt",IF(YEAR($A119)&lt;&gt;Einstellungen!$B$7,"anderes Jahr!",IF($G119="","MWST-Code fehlt","OK")))))</f>
        <v/>
      </c>
      <c r="W119" s="35" t="str">
        <f aca="false">IF($F119="","",IF(OR($D119=Kontoauszug!$C$4,$E119=Kontoauszug!$C$4),MAX(W$4:W118)+1,""))</f>
        <v/>
      </c>
    </row>
    <row r="120" customFormat="false" ht="15" hidden="false" customHeight="false" outlineLevel="0" collapsed="false">
      <c r="A120" s="33"/>
      <c r="B120" s="32"/>
      <c r="C120" s="32"/>
      <c r="D120" s="32"/>
      <c r="E120" s="32"/>
      <c r="F120" s="30"/>
      <c r="G120" s="32"/>
      <c r="H120" s="34" t="n">
        <f aca="false">IF($G120="",0,IFERROR(INDEX(Einstellungen!$G$5:$G$11,MATCH($G120,Einstellungen!$E$5:$E$11,0)),0))</f>
        <v>0</v>
      </c>
      <c r="I120" s="35" t="str">
        <f aca="false">IF($G120="","-",IFERROR(INDEX(Einstellungen!$H$5:$H$11,MATCH($G120,Einstellungen!$E$5:$E$11,0)),"-"))</f>
        <v>-</v>
      </c>
      <c r="J120" s="35" t="str">
        <f aca="false">IF(AND(Einstellungen!$B$8="Ja",Einstellungen!$B$9="Effektiv"),$I120,"-")</f>
        <v>-</v>
      </c>
      <c r="K120" s="31" t="n">
        <f aca="false">IF(OR($F120="",$J120="-"),0,ROUND($F120-$F120/(1+$H120),2))</f>
        <v>0</v>
      </c>
      <c r="L120" s="31" t="n">
        <f aca="false">IF($F120="",0,$F120-$K120)</f>
        <v>0</v>
      </c>
      <c r="M120" s="31" t="n">
        <f aca="false">IF($F120="",0,IF($J120="V",$L120,$F120))</f>
        <v>0</v>
      </c>
      <c r="N120" s="31" t="n">
        <f aca="false">IF($F120="",0,IF($J120="U",$L120,$F120))</f>
        <v>0</v>
      </c>
      <c r="O120" s="35" t="str">
        <f aca="false">IF($A120="","",MONTH($A120))</f>
        <v/>
      </c>
      <c r="P120" s="35" t="str">
        <f aca="false">IF($A120="","",ROUNDUP(MONTH($A120)/3,0))</f>
        <v/>
      </c>
      <c r="Q120" s="35" t="str">
        <f aca="false">IF($A120="","",IF(MONTH($A120)&lt;=6,1,2))</f>
        <v/>
      </c>
      <c r="R120" s="35" t="str">
        <f aca="false">IF($E120="","",IFERROR(INDEX(Kontenplan!$F$5:$F$90,MATCH($E120,Kontenplan!$A$5:$A$90,0)),""))</f>
        <v/>
      </c>
      <c r="S120" s="35" t="str">
        <f aca="false">IF($D120="","",IFERROR(INDEX(Kontenplan!$F$5:$F$90,MATCH($D120,Kontenplan!$A$5:$A$90,0)),""))</f>
        <v/>
      </c>
      <c r="T120" s="35" t="str">
        <f aca="false">IF($D120="","",IFERROR(INDEX(Kontenplan!$C$5:$C$90,MATCH($D120,Kontenplan!$A$5:$A$90,0)),"?"))</f>
        <v/>
      </c>
      <c r="U120" s="35" t="str">
        <f aca="false">IF($E120="","",IFERROR(INDEX(Kontenplan!$C$5:$C$90,MATCH($E120,Kontenplan!$A$5:$A$90,0)),"?"))</f>
        <v/>
      </c>
      <c r="V120" s="35" t="str">
        <f aca="false">IF($F120="","",IF(OR($D120="",$E120="",$T120="?",$U120="?"),"Konto prüfen!",IF($A120="","Datum fehlt",IF(YEAR($A120)&lt;&gt;Einstellungen!$B$7,"anderes Jahr!",IF($G120="","MWST-Code fehlt","OK")))))</f>
        <v/>
      </c>
      <c r="W120" s="35" t="str">
        <f aca="false">IF($F120="","",IF(OR($D120=Kontoauszug!$C$4,$E120=Kontoauszug!$C$4),MAX(W$4:W119)+1,""))</f>
        <v/>
      </c>
    </row>
    <row r="121" customFormat="false" ht="15" hidden="false" customHeight="false" outlineLevel="0" collapsed="false">
      <c r="A121" s="33"/>
      <c r="B121" s="32"/>
      <c r="C121" s="32"/>
      <c r="D121" s="32"/>
      <c r="E121" s="32"/>
      <c r="F121" s="30"/>
      <c r="G121" s="32"/>
      <c r="H121" s="34" t="n">
        <f aca="false">IF($G121="",0,IFERROR(INDEX(Einstellungen!$G$5:$G$11,MATCH($G121,Einstellungen!$E$5:$E$11,0)),0))</f>
        <v>0</v>
      </c>
      <c r="I121" s="35" t="str">
        <f aca="false">IF($G121="","-",IFERROR(INDEX(Einstellungen!$H$5:$H$11,MATCH($G121,Einstellungen!$E$5:$E$11,0)),"-"))</f>
        <v>-</v>
      </c>
      <c r="J121" s="35" t="str">
        <f aca="false">IF(AND(Einstellungen!$B$8="Ja",Einstellungen!$B$9="Effektiv"),$I121,"-")</f>
        <v>-</v>
      </c>
      <c r="K121" s="31" t="n">
        <f aca="false">IF(OR($F121="",$J121="-"),0,ROUND($F121-$F121/(1+$H121),2))</f>
        <v>0</v>
      </c>
      <c r="L121" s="31" t="n">
        <f aca="false">IF($F121="",0,$F121-$K121)</f>
        <v>0</v>
      </c>
      <c r="M121" s="31" t="n">
        <f aca="false">IF($F121="",0,IF($J121="V",$L121,$F121))</f>
        <v>0</v>
      </c>
      <c r="N121" s="31" t="n">
        <f aca="false">IF($F121="",0,IF($J121="U",$L121,$F121))</f>
        <v>0</v>
      </c>
      <c r="O121" s="35" t="str">
        <f aca="false">IF($A121="","",MONTH($A121))</f>
        <v/>
      </c>
      <c r="P121" s="35" t="str">
        <f aca="false">IF($A121="","",ROUNDUP(MONTH($A121)/3,0))</f>
        <v/>
      </c>
      <c r="Q121" s="35" t="str">
        <f aca="false">IF($A121="","",IF(MONTH($A121)&lt;=6,1,2))</f>
        <v/>
      </c>
      <c r="R121" s="35" t="str">
        <f aca="false">IF($E121="","",IFERROR(INDEX(Kontenplan!$F$5:$F$90,MATCH($E121,Kontenplan!$A$5:$A$90,0)),""))</f>
        <v/>
      </c>
      <c r="S121" s="35" t="str">
        <f aca="false">IF($D121="","",IFERROR(INDEX(Kontenplan!$F$5:$F$90,MATCH($D121,Kontenplan!$A$5:$A$90,0)),""))</f>
        <v/>
      </c>
      <c r="T121" s="35" t="str">
        <f aca="false">IF($D121="","",IFERROR(INDEX(Kontenplan!$C$5:$C$90,MATCH($D121,Kontenplan!$A$5:$A$90,0)),"?"))</f>
        <v/>
      </c>
      <c r="U121" s="35" t="str">
        <f aca="false">IF($E121="","",IFERROR(INDEX(Kontenplan!$C$5:$C$90,MATCH($E121,Kontenplan!$A$5:$A$90,0)),"?"))</f>
        <v/>
      </c>
      <c r="V121" s="35" t="str">
        <f aca="false">IF($F121="","",IF(OR($D121="",$E121="",$T121="?",$U121="?"),"Konto prüfen!",IF($A121="","Datum fehlt",IF(YEAR($A121)&lt;&gt;Einstellungen!$B$7,"anderes Jahr!",IF($G121="","MWST-Code fehlt","OK")))))</f>
        <v/>
      </c>
      <c r="W121" s="35" t="str">
        <f aca="false">IF($F121="","",IF(OR($D121=Kontoauszug!$C$4,$E121=Kontoauszug!$C$4),MAX(W$4:W120)+1,""))</f>
        <v/>
      </c>
    </row>
    <row r="122" customFormat="false" ht="15" hidden="false" customHeight="false" outlineLevel="0" collapsed="false">
      <c r="A122" s="33"/>
      <c r="B122" s="32"/>
      <c r="C122" s="32"/>
      <c r="D122" s="32"/>
      <c r="E122" s="32"/>
      <c r="F122" s="30"/>
      <c r="G122" s="32"/>
      <c r="H122" s="34" t="n">
        <f aca="false">IF($G122="",0,IFERROR(INDEX(Einstellungen!$G$5:$G$11,MATCH($G122,Einstellungen!$E$5:$E$11,0)),0))</f>
        <v>0</v>
      </c>
      <c r="I122" s="35" t="str">
        <f aca="false">IF($G122="","-",IFERROR(INDEX(Einstellungen!$H$5:$H$11,MATCH($G122,Einstellungen!$E$5:$E$11,0)),"-"))</f>
        <v>-</v>
      </c>
      <c r="J122" s="35" t="str">
        <f aca="false">IF(AND(Einstellungen!$B$8="Ja",Einstellungen!$B$9="Effektiv"),$I122,"-")</f>
        <v>-</v>
      </c>
      <c r="K122" s="31" t="n">
        <f aca="false">IF(OR($F122="",$J122="-"),0,ROUND($F122-$F122/(1+$H122),2))</f>
        <v>0</v>
      </c>
      <c r="L122" s="31" t="n">
        <f aca="false">IF($F122="",0,$F122-$K122)</f>
        <v>0</v>
      </c>
      <c r="M122" s="31" t="n">
        <f aca="false">IF($F122="",0,IF($J122="V",$L122,$F122))</f>
        <v>0</v>
      </c>
      <c r="N122" s="31" t="n">
        <f aca="false">IF($F122="",0,IF($J122="U",$L122,$F122))</f>
        <v>0</v>
      </c>
      <c r="O122" s="35" t="str">
        <f aca="false">IF($A122="","",MONTH($A122))</f>
        <v/>
      </c>
      <c r="P122" s="35" t="str">
        <f aca="false">IF($A122="","",ROUNDUP(MONTH($A122)/3,0))</f>
        <v/>
      </c>
      <c r="Q122" s="35" t="str">
        <f aca="false">IF($A122="","",IF(MONTH($A122)&lt;=6,1,2))</f>
        <v/>
      </c>
      <c r="R122" s="35" t="str">
        <f aca="false">IF($E122="","",IFERROR(INDEX(Kontenplan!$F$5:$F$90,MATCH($E122,Kontenplan!$A$5:$A$90,0)),""))</f>
        <v/>
      </c>
      <c r="S122" s="35" t="str">
        <f aca="false">IF($D122="","",IFERROR(INDEX(Kontenplan!$F$5:$F$90,MATCH($D122,Kontenplan!$A$5:$A$90,0)),""))</f>
        <v/>
      </c>
      <c r="T122" s="35" t="str">
        <f aca="false">IF($D122="","",IFERROR(INDEX(Kontenplan!$C$5:$C$90,MATCH($D122,Kontenplan!$A$5:$A$90,0)),"?"))</f>
        <v/>
      </c>
      <c r="U122" s="35" t="str">
        <f aca="false">IF($E122="","",IFERROR(INDEX(Kontenplan!$C$5:$C$90,MATCH($E122,Kontenplan!$A$5:$A$90,0)),"?"))</f>
        <v/>
      </c>
      <c r="V122" s="35" t="str">
        <f aca="false">IF($F122="","",IF(OR($D122="",$E122="",$T122="?",$U122="?"),"Konto prüfen!",IF($A122="","Datum fehlt",IF(YEAR($A122)&lt;&gt;Einstellungen!$B$7,"anderes Jahr!",IF($G122="","MWST-Code fehlt","OK")))))</f>
        <v/>
      </c>
      <c r="W122" s="35" t="str">
        <f aca="false">IF($F122="","",IF(OR($D122=Kontoauszug!$C$4,$E122=Kontoauszug!$C$4),MAX(W$4:W121)+1,""))</f>
        <v/>
      </c>
    </row>
    <row r="123" customFormat="false" ht="15" hidden="false" customHeight="false" outlineLevel="0" collapsed="false">
      <c r="A123" s="33"/>
      <c r="B123" s="32"/>
      <c r="C123" s="32"/>
      <c r="D123" s="32"/>
      <c r="E123" s="32"/>
      <c r="F123" s="30"/>
      <c r="G123" s="32"/>
      <c r="H123" s="34" t="n">
        <f aca="false">IF($G123="",0,IFERROR(INDEX(Einstellungen!$G$5:$G$11,MATCH($G123,Einstellungen!$E$5:$E$11,0)),0))</f>
        <v>0</v>
      </c>
      <c r="I123" s="35" t="str">
        <f aca="false">IF($G123="","-",IFERROR(INDEX(Einstellungen!$H$5:$H$11,MATCH($G123,Einstellungen!$E$5:$E$11,0)),"-"))</f>
        <v>-</v>
      </c>
      <c r="J123" s="35" t="str">
        <f aca="false">IF(AND(Einstellungen!$B$8="Ja",Einstellungen!$B$9="Effektiv"),$I123,"-")</f>
        <v>-</v>
      </c>
      <c r="K123" s="31" t="n">
        <f aca="false">IF(OR($F123="",$J123="-"),0,ROUND($F123-$F123/(1+$H123),2))</f>
        <v>0</v>
      </c>
      <c r="L123" s="31" t="n">
        <f aca="false">IF($F123="",0,$F123-$K123)</f>
        <v>0</v>
      </c>
      <c r="M123" s="31" t="n">
        <f aca="false">IF($F123="",0,IF($J123="V",$L123,$F123))</f>
        <v>0</v>
      </c>
      <c r="N123" s="31" t="n">
        <f aca="false">IF($F123="",0,IF($J123="U",$L123,$F123))</f>
        <v>0</v>
      </c>
      <c r="O123" s="35" t="str">
        <f aca="false">IF($A123="","",MONTH($A123))</f>
        <v/>
      </c>
      <c r="P123" s="35" t="str">
        <f aca="false">IF($A123="","",ROUNDUP(MONTH($A123)/3,0))</f>
        <v/>
      </c>
      <c r="Q123" s="35" t="str">
        <f aca="false">IF($A123="","",IF(MONTH($A123)&lt;=6,1,2))</f>
        <v/>
      </c>
      <c r="R123" s="35" t="str">
        <f aca="false">IF($E123="","",IFERROR(INDEX(Kontenplan!$F$5:$F$90,MATCH($E123,Kontenplan!$A$5:$A$90,0)),""))</f>
        <v/>
      </c>
      <c r="S123" s="35" t="str">
        <f aca="false">IF($D123="","",IFERROR(INDEX(Kontenplan!$F$5:$F$90,MATCH($D123,Kontenplan!$A$5:$A$90,0)),""))</f>
        <v/>
      </c>
      <c r="T123" s="35" t="str">
        <f aca="false">IF($D123="","",IFERROR(INDEX(Kontenplan!$C$5:$C$90,MATCH($D123,Kontenplan!$A$5:$A$90,0)),"?"))</f>
        <v/>
      </c>
      <c r="U123" s="35" t="str">
        <f aca="false">IF($E123="","",IFERROR(INDEX(Kontenplan!$C$5:$C$90,MATCH($E123,Kontenplan!$A$5:$A$90,0)),"?"))</f>
        <v/>
      </c>
      <c r="V123" s="35" t="str">
        <f aca="false">IF($F123="","",IF(OR($D123="",$E123="",$T123="?",$U123="?"),"Konto prüfen!",IF($A123="","Datum fehlt",IF(YEAR($A123)&lt;&gt;Einstellungen!$B$7,"anderes Jahr!",IF($G123="","MWST-Code fehlt","OK")))))</f>
        <v/>
      </c>
      <c r="W123" s="35" t="str">
        <f aca="false">IF($F123="","",IF(OR($D123=Kontoauszug!$C$4,$E123=Kontoauszug!$C$4),MAX(W$4:W122)+1,""))</f>
        <v/>
      </c>
    </row>
    <row r="124" customFormat="false" ht="15" hidden="false" customHeight="false" outlineLevel="0" collapsed="false">
      <c r="A124" s="33"/>
      <c r="B124" s="32"/>
      <c r="C124" s="32"/>
      <c r="D124" s="32"/>
      <c r="E124" s="32"/>
      <c r="F124" s="30"/>
      <c r="G124" s="32"/>
      <c r="H124" s="34" t="n">
        <f aca="false">IF($G124="",0,IFERROR(INDEX(Einstellungen!$G$5:$G$11,MATCH($G124,Einstellungen!$E$5:$E$11,0)),0))</f>
        <v>0</v>
      </c>
      <c r="I124" s="35" t="str">
        <f aca="false">IF($G124="","-",IFERROR(INDEX(Einstellungen!$H$5:$H$11,MATCH($G124,Einstellungen!$E$5:$E$11,0)),"-"))</f>
        <v>-</v>
      </c>
      <c r="J124" s="35" t="str">
        <f aca="false">IF(AND(Einstellungen!$B$8="Ja",Einstellungen!$B$9="Effektiv"),$I124,"-")</f>
        <v>-</v>
      </c>
      <c r="K124" s="31" t="n">
        <f aca="false">IF(OR($F124="",$J124="-"),0,ROUND($F124-$F124/(1+$H124),2))</f>
        <v>0</v>
      </c>
      <c r="L124" s="31" t="n">
        <f aca="false">IF($F124="",0,$F124-$K124)</f>
        <v>0</v>
      </c>
      <c r="M124" s="31" t="n">
        <f aca="false">IF($F124="",0,IF($J124="V",$L124,$F124))</f>
        <v>0</v>
      </c>
      <c r="N124" s="31" t="n">
        <f aca="false">IF($F124="",0,IF($J124="U",$L124,$F124))</f>
        <v>0</v>
      </c>
      <c r="O124" s="35" t="str">
        <f aca="false">IF($A124="","",MONTH($A124))</f>
        <v/>
      </c>
      <c r="P124" s="35" t="str">
        <f aca="false">IF($A124="","",ROUNDUP(MONTH($A124)/3,0))</f>
        <v/>
      </c>
      <c r="Q124" s="35" t="str">
        <f aca="false">IF($A124="","",IF(MONTH($A124)&lt;=6,1,2))</f>
        <v/>
      </c>
      <c r="R124" s="35" t="str">
        <f aca="false">IF($E124="","",IFERROR(INDEX(Kontenplan!$F$5:$F$90,MATCH($E124,Kontenplan!$A$5:$A$90,0)),""))</f>
        <v/>
      </c>
      <c r="S124" s="35" t="str">
        <f aca="false">IF($D124="","",IFERROR(INDEX(Kontenplan!$F$5:$F$90,MATCH($D124,Kontenplan!$A$5:$A$90,0)),""))</f>
        <v/>
      </c>
      <c r="T124" s="35" t="str">
        <f aca="false">IF($D124="","",IFERROR(INDEX(Kontenplan!$C$5:$C$90,MATCH($D124,Kontenplan!$A$5:$A$90,0)),"?"))</f>
        <v/>
      </c>
      <c r="U124" s="35" t="str">
        <f aca="false">IF($E124="","",IFERROR(INDEX(Kontenplan!$C$5:$C$90,MATCH($E124,Kontenplan!$A$5:$A$90,0)),"?"))</f>
        <v/>
      </c>
      <c r="V124" s="35" t="str">
        <f aca="false">IF($F124="","",IF(OR($D124="",$E124="",$T124="?",$U124="?"),"Konto prüfen!",IF($A124="","Datum fehlt",IF(YEAR($A124)&lt;&gt;Einstellungen!$B$7,"anderes Jahr!",IF($G124="","MWST-Code fehlt","OK")))))</f>
        <v/>
      </c>
      <c r="W124" s="35" t="str">
        <f aca="false">IF($F124="","",IF(OR($D124=Kontoauszug!$C$4,$E124=Kontoauszug!$C$4),MAX(W$4:W123)+1,""))</f>
        <v/>
      </c>
    </row>
    <row r="125" customFormat="false" ht="15" hidden="false" customHeight="false" outlineLevel="0" collapsed="false">
      <c r="A125" s="33"/>
      <c r="B125" s="32"/>
      <c r="C125" s="32"/>
      <c r="D125" s="32"/>
      <c r="E125" s="32"/>
      <c r="F125" s="30"/>
      <c r="G125" s="32"/>
      <c r="H125" s="34" t="n">
        <f aca="false">IF($G125="",0,IFERROR(INDEX(Einstellungen!$G$5:$G$11,MATCH($G125,Einstellungen!$E$5:$E$11,0)),0))</f>
        <v>0</v>
      </c>
      <c r="I125" s="35" t="str">
        <f aca="false">IF($G125="","-",IFERROR(INDEX(Einstellungen!$H$5:$H$11,MATCH($G125,Einstellungen!$E$5:$E$11,0)),"-"))</f>
        <v>-</v>
      </c>
      <c r="J125" s="35" t="str">
        <f aca="false">IF(AND(Einstellungen!$B$8="Ja",Einstellungen!$B$9="Effektiv"),$I125,"-")</f>
        <v>-</v>
      </c>
      <c r="K125" s="31" t="n">
        <f aca="false">IF(OR($F125="",$J125="-"),0,ROUND($F125-$F125/(1+$H125),2))</f>
        <v>0</v>
      </c>
      <c r="L125" s="31" t="n">
        <f aca="false">IF($F125="",0,$F125-$K125)</f>
        <v>0</v>
      </c>
      <c r="M125" s="31" t="n">
        <f aca="false">IF($F125="",0,IF($J125="V",$L125,$F125))</f>
        <v>0</v>
      </c>
      <c r="N125" s="31" t="n">
        <f aca="false">IF($F125="",0,IF($J125="U",$L125,$F125))</f>
        <v>0</v>
      </c>
      <c r="O125" s="35" t="str">
        <f aca="false">IF($A125="","",MONTH($A125))</f>
        <v/>
      </c>
      <c r="P125" s="35" t="str">
        <f aca="false">IF($A125="","",ROUNDUP(MONTH($A125)/3,0))</f>
        <v/>
      </c>
      <c r="Q125" s="35" t="str">
        <f aca="false">IF($A125="","",IF(MONTH($A125)&lt;=6,1,2))</f>
        <v/>
      </c>
      <c r="R125" s="35" t="str">
        <f aca="false">IF($E125="","",IFERROR(INDEX(Kontenplan!$F$5:$F$90,MATCH($E125,Kontenplan!$A$5:$A$90,0)),""))</f>
        <v/>
      </c>
      <c r="S125" s="35" t="str">
        <f aca="false">IF($D125="","",IFERROR(INDEX(Kontenplan!$F$5:$F$90,MATCH($D125,Kontenplan!$A$5:$A$90,0)),""))</f>
        <v/>
      </c>
      <c r="T125" s="35" t="str">
        <f aca="false">IF($D125="","",IFERROR(INDEX(Kontenplan!$C$5:$C$90,MATCH($D125,Kontenplan!$A$5:$A$90,0)),"?"))</f>
        <v/>
      </c>
      <c r="U125" s="35" t="str">
        <f aca="false">IF($E125="","",IFERROR(INDEX(Kontenplan!$C$5:$C$90,MATCH($E125,Kontenplan!$A$5:$A$90,0)),"?"))</f>
        <v/>
      </c>
      <c r="V125" s="35" t="str">
        <f aca="false">IF($F125="","",IF(OR($D125="",$E125="",$T125="?",$U125="?"),"Konto prüfen!",IF($A125="","Datum fehlt",IF(YEAR($A125)&lt;&gt;Einstellungen!$B$7,"anderes Jahr!",IF($G125="","MWST-Code fehlt","OK")))))</f>
        <v/>
      </c>
      <c r="W125" s="35" t="str">
        <f aca="false">IF($F125="","",IF(OR($D125=Kontoauszug!$C$4,$E125=Kontoauszug!$C$4),MAX(W$4:W124)+1,""))</f>
        <v/>
      </c>
    </row>
    <row r="126" customFormat="false" ht="15" hidden="false" customHeight="false" outlineLevel="0" collapsed="false">
      <c r="A126" s="33"/>
      <c r="B126" s="32"/>
      <c r="C126" s="32"/>
      <c r="D126" s="32"/>
      <c r="E126" s="32"/>
      <c r="F126" s="30"/>
      <c r="G126" s="32"/>
      <c r="H126" s="34" t="n">
        <f aca="false">IF($G126="",0,IFERROR(INDEX(Einstellungen!$G$5:$G$11,MATCH($G126,Einstellungen!$E$5:$E$11,0)),0))</f>
        <v>0</v>
      </c>
      <c r="I126" s="35" t="str">
        <f aca="false">IF($G126="","-",IFERROR(INDEX(Einstellungen!$H$5:$H$11,MATCH($G126,Einstellungen!$E$5:$E$11,0)),"-"))</f>
        <v>-</v>
      </c>
      <c r="J126" s="35" t="str">
        <f aca="false">IF(AND(Einstellungen!$B$8="Ja",Einstellungen!$B$9="Effektiv"),$I126,"-")</f>
        <v>-</v>
      </c>
      <c r="K126" s="31" t="n">
        <f aca="false">IF(OR($F126="",$J126="-"),0,ROUND($F126-$F126/(1+$H126),2))</f>
        <v>0</v>
      </c>
      <c r="L126" s="31" t="n">
        <f aca="false">IF($F126="",0,$F126-$K126)</f>
        <v>0</v>
      </c>
      <c r="M126" s="31" t="n">
        <f aca="false">IF($F126="",0,IF($J126="V",$L126,$F126))</f>
        <v>0</v>
      </c>
      <c r="N126" s="31" t="n">
        <f aca="false">IF($F126="",0,IF($J126="U",$L126,$F126))</f>
        <v>0</v>
      </c>
      <c r="O126" s="35" t="str">
        <f aca="false">IF($A126="","",MONTH($A126))</f>
        <v/>
      </c>
      <c r="P126" s="35" t="str">
        <f aca="false">IF($A126="","",ROUNDUP(MONTH($A126)/3,0))</f>
        <v/>
      </c>
      <c r="Q126" s="35" t="str">
        <f aca="false">IF($A126="","",IF(MONTH($A126)&lt;=6,1,2))</f>
        <v/>
      </c>
      <c r="R126" s="35" t="str">
        <f aca="false">IF($E126="","",IFERROR(INDEX(Kontenplan!$F$5:$F$90,MATCH($E126,Kontenplan!$A$5:$A$90,0)),""))</f>
        <v/>
      </c>
      <c r="S126" s="35" t="str">
        <f aca="false">IF($D126="","",IFERROR(INDEX(Kontenplan!$F$5:$F$90,MATCH($D126,Kontenplan!$A$5:$A$90,0)),""))</f>
        <v/>
      </c>
      <c r="T126" s="35" t="str">
        <f aca="false">IF($D126="","",IFERROR(INDEX(Kontenplan!$C$5:$C$90,MATCH($D126,Kontenplan!$A$5:$A$90,0)),"?"))</f>
        <v/>
      </c>
      <c r="U126" s="35" t="str">
        <f aca="false">IF($E126="","",IFERROR(INDEX(Kontenplan!$C$5:$C$90,MATCH($E126,Kontenplan!$A$5:$A$90,0)),"?"))</f>
        <v/>
      </c>
      <c r="V126" s="35" t="str">
        <f aca="false">IF($F126="","",IF(OR($D126="",$E126="",$T126="?",$U126="?"),"Konto prüfen!",IF($A126="","Datum fehlt",IF(YEAR($A126)&lt;&gt;Einstellungen!$B$7,"anderes Jahr!",IF($G126="","MWST-Code fehlt","OK")))))</f>
        <v/>
      </c>
      <c r="W126" s="35" t="str">
        <f aca="false">IF($F126="","",IF(OR($D126=Kontoauszug!$C$4,$E126=Kontoauszug!$C$4),MAX(W$4:W125)+1,""))</f>
        <v/>
      </c>
    </row>
    <row r="127" customFormat="false" ht="15" hidden="false" customHeight="false" outlineLevel="0" collapsed="false">
      <c r="A127" s="33"/>
      <c r="B127" s="32"/>
      <c r="C127" s="32"/>
      <c r="D127" s="32"/>
      <c r="E127" s="32"/>
      <c r="F127" s="30"/>
      <c r="G127" s="32"/>
      <c r="H127" s="34" t="n">
        <f aca="false">IF($G127="",0,IFERROR(INDEX(Einstellungen!$G$5:$G$11,MATCH($G127,Einstellungen!$E$5:$E$11,0)),0))</f>
        <v>0</v>
      </c>
      <c r="I127" s="35" t="str">
        <f aca="false">IF($G127="","-",IFERROR(INDEX(Einstellungen!$H$5:$H$11,MATCH($G127,Einstellungen!$E$5:$E$11,0)),"-"))</f>
        <v>-</v>
      </c>
      <c r="J127" s="35" t="str">
        <f aca="false">IF(AND(Einstellungen!$B$8="Ja",Einstellungen!$B$9="Effektiv"),$I127,"-")</f>
        <v>-</v>
      </c>
      <c r="K127" s="31" t="n">
        <f aca="false">IF(OR($F127="",$J127="-"),0,ROUND($F127-$F127/(1+$H127),2))</f>
        <v>0</v>
      </c>
      <c r="L127" s="31" t="n">
        <f aca="false">IF($F127="",0,$F127-$K127)</f>
        <v>0</v>
      </c>
      <c r="M127" s="31" t="n">
        <f aca="false">IF($F127="",0,IF($J127="V",$L127,$F127))</f>
        <v>0</v>
      </c>
      <c r="N127" s="31" t="n">
        <f aca="false">IF($F127="",0,IF($J127="U",$L127,$F127))</f>
        <v>0</v>
      </c>
      <c r="O127" s="35" t="str">
        <f aca="false">IF($A127="","",MONTH($A127))</f>
        <v/>
      </c>
      <c r="P127" s="35" t="str">
        <f aca="false">IF($A127="","",ROUNDUP(MONTH($A127)/3,0))</f>
        <v/>
      </c>
      <c r="Q127" s="35" t="str">
        <f aca="false">IF($A127="","",IF(MONTH($A127)&lt;=6,1,2))</f>
        <v/>
      </c>
      <c r="R127" s="35" t="str">
        <f aca="false">IF($E127="","",IFERROR(INDEX(Kontenplan!$F$5:$F$90,MATCH($E127,Kontenplan!$A$5:$A$90,0)),""))</f>
        <v/>
      </c>
      <c r="S127" s="35" t="str">
        <f aca="false">IF($D127="","",IFERROR(INDEX(Kontenplan!$F$5:$F$90,MATCH($D127,Kontenplan!$A$5:$A$90,0)),""))</f>
        <v/>
      </c>
      <c r="T127" s="35" t="str">
        <f aca="false">IF($D127="","",IFERROR(INDEX(Kontenplan!$C$5:$C$90,MATCH($D127,Kontenplan!$A$5:$A$90,0)),"?"))</f>
        <v/>
      </c>
      <c r="U127" s="35" t="str">
        <f aca="false">IF($E127="","",IFERROR(INDEX(Kontenplan!$C$5:$C$90,MATCH($E127,Kontenplan!$A$5:$A$90,0)),"?"))</f>
        <v/>
      </c>
      <c r="V127" s="35" t="str">
        <f aca="false">IF($F127="","",IF(OR($D127="",$E127="",$T127="?",$U127="?"),"Konto prüfen!",IF($A127="","Datum fehlt",IF(YEAR($A127)&lt;&gt;Einstellungen!$B$7,"anderes Jahr!",IF($G127="","MWST-Code fehlt","OK")))))</f>
        <v/>
      </c>
      <c r="W127" s="35" t="str">
        <f aca="false">IF($F127="","",IF(OR($D127=Kontoauszug!$C$4,$E127=Kontoauszug!$C$4),MAX(W$4:W126)+1,""))</f>
        <v/>
      </c>
    </row>
    <row r="128" customFormat="false" ht="15" hidden="false" customHeight="false" outlineLevel="0" collapsed="false">
      <c r="A128" s="33"/>
      <c r="B128" s="32"/>
      <c r="C128" s="32"/>
      <c r="D128" s="32"/>
      <c r="E128" s="32"/>
      <c r="F128" s="30"/>
      <c r="G128" s="32"/>
      <c r="H128" s="34" t="n">
        <f aca="false">IF($G128="",0,IFERROR(INDEX(Einstellungen!$G$5:$G$11,MATCH($G128,Einstellungen!$E$5:$E$11,0)),0))</f>
        <v>0</v>
      </c>
      <c r="I128" s="35" t="str">
        <f aca="false">IF($G128="","-",IFERROR(INDEX(Einstellungen!$H$5:$H$11,MATCH($G128,Einstellungen!$E$5:$E$11,0)),"-"))</f>
        <v>-</v>
      </c>
      <c r="J128" s="35" t="str">
        <f aca="false">IF(AND(Einstellungen!$B$8="Ja",Einstellungen!$B$9="Effektiv"),$I128,"-")</f>
        <v>-</v>
      </c>
      <c r="K128" s="31" t="n">
        <f aca="false">IF(OR($F128="",$J128="-"),0,ROUND($F128-$F128/(1+$H128),2))</f>
        <v>0</v>
      </c>
      <c r="L128" s="31" t="n">
        <f aca="false">IF($F128="",0,$F128-$K128)</f>
        <v>0</v>
      </c>
      <c r="M128" s="31" t="n">
        <f aca="false">IF($F128="",0,IF($J128="V",$L128,$F128))</f>
        <v>0</v>
      </c>
      <c r="N128" s="31" t="n">
        <f aca="false">IF($F128="",0,IF($J128="U",$L128,$F128))</f>
        <v>0</v>
      </c>
      <c r="O128" s="35" t="str">
        <f aca="false">IF($A128="","",MONTH($A128))</f>
        <v/>
      </c>
      <c r="P128" s="35" t="str">
        <f aca="false">IF($A128="","",ROUNDUP(MONTH($A128)/3,0))</f>
        <v/>
      </c>
      <c r="Q128" s="35" t="str">
        <f aca="false">IF($A128="","",IF(MONTH($A128)&lt;=6,1,2))</f>
        <v/>
      </c>
      <c r="R128" s="35" t="str">
        <f aca="false">IF($E128="","",IFERROR(INDEX(Kontenplan!$F$5:$F$90,MATCH($E128,Kontenplan!$A$5:$A$90,0)),""))</f>
        <v/>
      </c>
      <c r="S128" s="35" t="str">
        <f aca="false">IF($D128="","",IFERROR(INDEX(Kontenplan!$F$5:$F$90,MATCH($D128,Kontenplan!$A$5:$A$90,0)),""))</f>
        <v/>
      </c>
      <c r="T128" s="35" t="str">
        <f aca="false">IF($D128="","",IFERROR(INDEX(Kontenplan!$C$5:$C$90,MATCH($D128,Kontenplan!$A$5:$A$90,0)),"?"))</f>
        <v/>
      </c>
      <c r="U128" s="35" t="str">
        <f aca="false">IF($E128="","",IFERROR(INDEX(Kontenplan!$C$5:$C$90,MATCH($E128,Kontenplan!$A$5:$A$90,0)),"?"))</f>
        <v/>
      </c>
      <c r="V128" s="35" t="str">
        <f aca="false">IF($F128="","",IF(OR($D128="",$E128="",$T128="?",$U128="?"),"Konto prüfen!",IF($A128="","Datum fehlt",IF(YEAR($A128)&lt;&gt;Einstellungen!$B$7,"anderes Jahr!",IF($G128="","MWST-Code fehlt","OK")))))</f>
        <v/>
      </c>
      <c r="W128" s="35" t="str">
        <f aca="false">IF($F128="","",IF(OR($D128=Kontoauszug!$C$4,$E128=Kontoauszug!$C$4),MAX(W$4:W127)+1,""))</f>
        <v/>
      </c>
    </row>
    <row r="129" customFormat="false" ht="15" hidden="false" customHeight="false" outlineLevel="0" collapsed="false">
      <c r="A129" s="33"/>
      <c r="B129" s="32"/>
      <c r="C129" s="32"/>
      <c r="D129" s="32"/>
      <c r="E129" s="32"/>
      <c r="F129" s="30"/>
      <c r="G129" s="32"/>
      <c r="H129" s="34" t="n">
        <f aca="false">IF($G129="",0,IFERROR(INDEX(Einstellungen!$G$5:$G$11,MATCH($G129,Einstellungen!$E$5:$E$11,0)),0))</f>
        <v>0</v>
      </c>
      <c r="I129" s="35" t="str">
        <f aca="false">IF($G129="","-",IFERROR(INDEX(Einstellungen!$H$5:$H$11,MATCH($G129,Einstellungen!$E$5:$E$11,0)),"-"))</f>
        <v>-</v>
      </c>
      <c r="J129" s="35" t="str">
        <f aca="false">IF(AND(Einstellungen!$B$8="Ja",Einstellungen!$B$9="Effektiv"),$I129,"-")</f>
        <v>-</v>
      </c>
      <c r="K129" s="31" t="n">
        <f aca="false">IF(OR($F129="",$J129="-"),0,ROUND($F129-$F129/(1+$H129),2))</f>
        <v>0</v>
      </c>
      <c r="L129" s="31" t="n">
        <f aca="false">IF($F129="",0,$F129-$K129)</f>
        <v>0</v>
      </c>
      <c r="M129" s="31" t="n">
        <f aca="false">IF($F129="",0,IF($J129="V",$L129,$F129))</f>
        <v>0</v>
      </c>
      <c r="N129" s="31" t="n">
        <f aca="false">IF($F129="",0,IF($J129="U",$L129,$F129))</f>
        <v>0</v>
      </c>
      <c r="O129" s="35" t="str">
        <f aca="false">IF($A129="","",MONTH($A129))</f>
        <v/>
      </c>
      <c r="P129" s="35" t="str">
        <f aca="false">IF($A129="","",ROUNDUP(MONTH($A129)/3,0))</f>
        <v/>
      </c>
      <c r="Q129" s="35" t="str">
        <f aca="false">IF($A129="","",IF(MONTH($A129)&lt;=6,1,2))</f>
        <v/>
      </c>
      <c r="R129" s="35" t="str">
        <f aca="false">IF($E129="","",IFERROR(INDEX(Kontenplan!$F$5:$F$90,MATCH($E129,Kontenplan!$A$5:$A$90,0)),""))</f>
        <v/>
      </c>
      <c r="S129" s="35" t="str">
        <f aca="false">IF($D129="","",IFERROR(INDEX(Kontenplan!$F$5:$F$90,MATCH($D129,Kontenplan!$A$5:$A$90,0)),""))</f>
        <v/>
      </c>
      <c r="T129" s="35" t="str">
        <f aca="false">IF($D129="","",IFERROR(INDEX(Kontenplan!$C$5:$C$90,MATCH($D129,Kontenplan!$A$5:$A$90,0)),"?"))</f>
        <v/>
      </c>
      <c r="U129" s="35" t="str">
        <f aca="false">IF($E129="","",IFERROR(INDEX(Kontenplan!$C$5:$C$90,MATCH($E129,Kontenplan!$A$5:$A$90,0)),"?"))</f>
        <v/>
      </c>
      <c r="V129" s="35" t="str">
        <f aca="false">IF($F129="","",IF(OR($D129="",$E129="",$T129="?",$U129="?"),"Konto prüfen!",IF($A129="","Datum fehlt",IF(YEAR($A129)&lt;&gt;Einstellungen!$B$7,"anderes Jahr!",IF($G129="","MWST-Code fehlt","OK")))))</f>
        <v/>
      </c>
      <c r="W129" s="35" t="str">
        <f aca="false">IF($F129="","",IF(OR($D129=Kontoauszug!$C$4,$E129=Kontoauszug!$C$4),MAX(W$4:W128)+1,""))</f>
        <v/>
      </c>
    </row>
    <row r="130" customFormat="false" ht="15" hidden="false" customHeight="false" outlineLevel="0" collapsed="false">
      <c r="A130" s="33"/>
      <c r="B130" s="32"/>
      <c r="C130" s="32"/>
      <c r="D130" s="32"/>
      <c r="E130" s="32"/>
      <c r="F130" s="30"/>
      <c r="G130" s="32"/>
      <c r="H130" s="34" t="n">
        <f aca="false">IF($G130="",0,IFERROR(INDEX(Einstellungen!$G$5:$G$11,MATCH($G130,Einstellungen!$E$5:$E$11,0)),0))</f>
        <v>0</v>
      </c>
      <c r="I130" s="35" t="str">
        <f aca="false">IF($G130="","-",IFERROR(INDEX(Einstellungen!$H$5:$H$11,MATCH($G130,Einstellungen!$E$5:$E$11,0)),"-"))</f>
        <v>-</v>
      </c>
      <c r="J130" s="35" t="str">
        <f aca="false">IF(AND(Einstellungen!$B$8="Ja",Einstellungen!$B$9="Effektiv"),$I130,"-")</f>
        <v>-</v>
      </c>
      <c r="K130" s="31" t="n">
        <f aca="false">IF(OR($F130="",$J130="-"),0,ROUND($F130-$F130/(1+$H130),2))</f>
        <v>0</v>
      </c>
      <c r="L130" s="31" t="n">
        <f aca="false">IF($F130="",0,$F130-$K130)</f>
        <v>0</v>
      </c>
      <c r="M130" s="31" t="n">
        <f aca="false">IF($F130="",0,IF($J130="V",$L130,$F130))</f>
        <v>0</v>
      </c>
      <c r="N130" s="31" t="n">
        <f aca="false">IF($F130="",0,IF($J130="U",$L130,$F130))</f>
        <v>0</v>
      </c>
      <c r="O130" s="35" t="str">
        <f aca="false">IF($A130="","",MONTH($A130))</f>
        <v/>
      </c>
      <c r="P130" s="35" t="str">
        <f aca="false">IF($A130="","",ROUNDUP(MONTH($A130)/3,0))</f>
        <v/>
      </c>
      <c r="Q130" s="35" t="str">
        <f aca="false">IF($A130="","",IF(MONTH($A130)&lt;=6,1,2))</f>
        <v/>
      </c>
      <c r="R130" s="35" t="str">
        <f aca="false">IF($E130="","",IFERROR(INDEX(Kontenplan!$F$5:$F$90,MATCH($E130,Kontenplan!$A$5:$A$90,0)),""))</f>
        <v/>
      </c>
      <c r="S130" s="35" t="str">
        <f aca="false">IF($D130="","",IFERROR(INDEX(Kontenplan!$F$5:$F$90,MATCH($D130,Kontenplan!$A$5:$A$90,0)),""))</f>
        <v/>
      </c>
      <c r="T130" s="35" t="str">
        <f aca="false">IF($D130="","",IFERROR(INDEX(Kontenplan!$C$5:$C$90,MATCH($D130,Kontenplan!$A$5:$A$90,0)),"?"))</f>
        <v/>
      </c>
      <c r="U130" s="35" t="str">
        <f aca="false">IF($E130="","",IFERROR(INDEX(Kontenplan!$C$5:$C$90,MATCH($E130,Kontenplan!$A$5:$A$90,0)),"?"))</f>
        <v/>
      </c>
      <c r="V130" s="35" t="str">
        <f aca="false">IF($F130="","",IF(OR($D130="",$E130="",$T130="?",$U130="?"),"Konto prüfen!",IF($A130="","Datum fehlt",IF(YEAR($A130)&lt;&gt;Einstellungen!$B$7,"anderes Jahr!",IF($G130="","MWST-Code fehlt","OK")))))</f>
        <v/>
      </c>
      <c r="W130" s="35" t="str">
        <f aca="false">IF($F130="","",IF(OR($D130=Kontoauszug!$C$4,$E130=Kontoauszug!$C$4),MAX(W$4:W129)+1,""))</f>
        <v/>
      </c>
    </row>
    <row r="131" customFormat="false" ht="15" hidden="false" customHeight="false" outlineLevel="0" collapsed="false">
      <c r="A131" s="33"/>
      <c r="B131" s="32"/>
      <c r="C131" s="32"/>
      <c r="D131" s="32"/>
      <c r="E131" s="32"/>
      <c r="F131" s="30"/>
      <c r="G131" s="32"/>
      <c r="H131" s="34" t="n">
        <f aca="false">IF($G131="",0,IFERROR(INDEX(Einstellungen!$G$5:$G$11,MATCH($G131,Einstellungen!$E$5:$E$11,0)),0))</f>
        <v>0</v>
      </c>
      <c r="I131" s="35" t="str">
        <f aca="false">IF($G131="","-",IFERROR(INDEX(Einstellungen!$H$5:$H$11,MATCH($G131,Einstellungen!$E$5:$E$11,0)),"-"))</f>
        <v>-</v>
      </c>
      <c r="J131" s="35" t="str">
        <f aca="false">IF(AND(Einstellungen!$B$8="Ja",Einstellungen!$B$9="Effektiv"),$I131,"-")</f>
        <v>-</v>
      </c>
      <c r="K131" s="31" t="n">
        <f aca="false">IF(OR($F131="",$J131="-"),0,ROUND($F131-$F131/(1+$H131),2))</f>
        <v>0</v>
      </c>
      <c r="L131" s="31" t="n">
        <f aca="false">IF($F131="",0,$F131-$K131)</f>
        <v>0</v>
      </c>
      <c r="M131" s="31" t="n">
        <f aca="false">IF($F131="",0,IF($J131="V",$L131,$F131))</f>
        <v>0</v>
      </c>
      <c r="N131" s="31" t="n">
        <f aca="false">IF($F131="",0,IF($J131="U",$L131,$F131))</f>
        <v>0</v>
      </c>
      <c r="O131" s="35" t="str">
        <f aca="false">IF($A131="","",MONTH($A131))</f>
        <v/>
      </c>
      <c r="P131" s="35" t="str">
        <f aca="false">IF($A131="","",ROUNDUP(MONTH($A131)/3,0))</f>
        <v/>
      </c>
      <c r="Q131" s="35" t="str">
        <f aca="false">IF($A131="","",IF(MONTH($A131)&lt;=6,1,2))</f>
        <v/>
      </c>
      <c r="R131" s="35" t="str">
        <f aca="false">IF($E131="","",IFERROR(INDEX(Kontenplan!$F$5:$F$90,MATCH($E131,Kontenplan!$A$5:$A$90,0)),""))</f>
        <v/>
      </c>
      <c r="S131" s="35" t="str">
        <f aca="false">IF($D131="","",IFERROR(INDEX(Kontenplan!$F$5:$F$90,MATCH($D131,Kontenplan!$A$5:$A$90,0)),""))</f>
        <v/>
      </c>
      <c r="T131" s="35" t="str">
        <f aca="false">IF($D131="","",IFERROR(INDEX(Kontenplan!$C$5:$C$90,MATCH($D131,Kontenplan!$A$5:$A$90,0)),"?"))</f>
        <v/>
      </c>
      <c r="U131" s="35" t="str">
        <f aca="false">IF($E131="","",IFERROR(INDEX(Kontenplan!$C$5:$C$90,MATCH($E131,Kontenplan!$A$5:$A$90,0)),"?"))</f>
        <v/>
      </c>
      <c r="V131" s="35" t="str">
        <f aca="false">IF($F131="","",IF(OR($D131="",$E131="",$T131="?",$U131="?"),"Konto prüfen!",IF($A131="","Datum fehlt",IF(YEAR($A131)&lt;&gt;Einstellungen!$B$7,"anderes Jahr!",IF($G131="","MWST-Code fehlt","OK")))))</f>
        <v/>
      </c>
      <c r="W131" s="35" t="str">
        <f aca="false">IF($F131="","",IF(OR($D131=Kontoauszug!$C$4,$E131=Kontoauszug!$C$4),MAX(W$4:W130)+1,""))</f>
        <v/>
      </c>
    </row>
    <row r="132" customFormat="false" ht="15" hidden="false" customHeight="false" outlineLevel="0" collapsed="false">
      <c r="A132" s="33"/>
      <c r="B132" s="32"/>
      <c r="C132" s="32"/>
      <c r="D132" s="32"/>
      <c r="E132" s="32"/>
      <c r="F132" s="30"/>
      <c r="G132" s="32"/>
      <c r="H132" s="34" t="n">
        <f aca="false">IF($G132="",0,IFERROR(INDEX(Einstellungen!$G$5:$G$11,MATCH($G132,Einstellungen!$E$5:$E$11,0)),0))</f>
        <v>0</v>
      </c>
      <c r="I132" s="35" t="str">
        <f aca="false">IF($G132="","-",IFERROR(INDEX(Einstellungen!$H$5:$H$11,MATCH($G132,Einstellungen!$E$5:$E$11,0)),"-"))</f>
        <v>-</v>
      </c>
      <c r="J132" s="35" t="str">
        <f aca="false">IF(AND(Einstellungen!$B$8="Ja",Einstellungen!$B$9="Effektiv"),$I132,"-")</f>
        <v>-</v>
      </c>
      <c r="K132" s="31" t="n">
        <f aca="false">IF(OR($F132="",$J132="-"),0,ROUND($F132-$F132/(1+$H132),2))</f>
        <v>0</v>
      </c>
      <c r="L132" s="31" t="n">
        <f aca="false">IF($F132="",0,$F132-$K132)</f>
        <v>0</v>
      </c>
      <c r="M132" s="31" t="n">
        <f aca="false">IF($F132="",0,IF($J132="V",$L132,$F132))</f>
        <v>0</v>
      </c>
      <c r="N132" s="31" t="n">
        <f aca="false">IF($F132="",0,IF($J132="U",$L132,$F132))</f>
        <v>0</v>
      </c>
      <c r="O132" s="35" t="str">
        <f aca="false">IF($A132="","",MONTH($A132))</f>
        <v/>
      </c>
      <c r="P132" s="35" t="str">
        <f aca="false">IF($A132="","",ROUNDUP(MONTH($A132)/3,0))</f>
        <v/>
      </c>
      <c r="Q132" s="35" t="str">
        <f aca="false">IF($A132="","",IF(MONTH($A132)&lt;=6,1,2))</f>
        <v/>
      </c>
      <c r="R132" s="35" t="str">
        <f aca="false">IF($E132="","",IFERROR(INDEX(Kontenplan!$F$5:$F$90,MATCH($E132,Kontenplan!$A$5:$A$90,0)),""))</f>
        <v/>
      </c>
      <c r="S132" s="35" t="str">
        <f aca="false">IF($D132="","",IFERROR(INDEX(Kontenplan!$F$5:$F$90,MATCH($D132,Kontenplan!$A$5:$A$90,0)),""))</f>
        <v/>
      </c>
      <c r="T132" s="35" t="str">
        <f aca="false">IF($D132="","",IFERROR(INDEX(Kontenplan!$C$5:$C$90,MATCH($D132,Kontenplan!$A$5:$A$90,0)),"?"))</f>
        <v/>
      </c>
      <c r="U132" s="35" t="str">
        <f aca="false">IF($E132="","",IFERROR(INDEX(Kontenplan!$C$5:$C$90,MATCH($E132,Kontenplan!$A$5:$A$90,0)),"?"))</f>
        <v/>
      </c>
      <c r="V132" s="35" t="str">
        <f aca="false">IF($F132="","",IF(OR($D132="",$E132="",$T132="?",$U132="?"),"Konto prüfen!",IF($A132="","Datum fehlt",IF(YEAR($A132)&lt;&gt;Einstellungen!$B$7,"anderes Jahr!",IF($G132="","MWST-Code fehlt","OK")))))</f>
        <v/>
      </c>
      <c r="W132" s="35" t="str">
        <f aca="false">IF($F132="","",IF(OR($D132=Kontoauszug!$C$4,$E132=Kontoauszug!$C$4),MAX(W$4:W131)+1,""))</f>
        <v/>
      </c>
    </row>
    <row r="133" customFormat="false" ht="15" hidden="false" customHeight="false" outlineLevel="0" collapsed="false">
      <c r="A133" s="33"/>
      <c r="B133" s="32"/>
      <c r="C133" s="32"/>
      <c r="D133" s="32"/>
      <c r="E133" s="32"/>
      <c r="F133" s="30"/>
      <c r="G133" s="32"/>
      <c r="H133" s="34" t="n">
        <f aca="false">IF($G133="",0,IFERROR(INDEX(Einstellungen!$G$5:$G$11,MATCH($G133,Einstellungen!$E$5:$E$11,0)),0))</f>
        <v>0</v>
      </c>
      <c r="I133" s="35" t="str">
        <f aca="false">IF($G133="","-",IFERROR(INDEX(Einstellungen!$H$5:$H$11,MATCH($G133,Einstellungen!$E$5:$E$11,0)),"-"))</f>
        <v>-</v>
      </c>
      <c r="J133" s="35" t="str">
        <f aca="false">IF(AND(Einstellungen!$B$8="Ja",Einstellungen!$B$9="Effektiv"),$I133,"-")</f>
        <v>-</v>
      </c>
      <c r="K133" s="31" t="n">
        <f aca="false">IF(OR($F133="",$J133="-"),0,ROUND($F133-$F133/(1+$H133),2))</f>
        <v>0</v>
      </c>
      <c r="L133" s="31" t="n">
        <f aca="false">IF($F133="",0,$F133-$K133)</f>
        <v>0</v>
      </c>
      <c r="M133" s="31" t="n">
        <f aca="false">IF($F133="",0,IF($J133="V",$L133,$F133))</f>
        <v>0</v>
      </c>
      <c r="N133" s="31" t="n">
        <f aca="false">IF($F133="",0,IF($J133="U",$L133,$F133))</f>
        <v>0</v>
      </c>
      <c r="O133" s="35" t="str">
        <f aca="false">IF($A133="","",MONTH($A133))</f>
        <v/>
      </c>
      <c r="P133" s="35" t="str">
        <f aca="false">IF($A133="","",ROUNDUP(MONTH($A133)/3,0))</f>
        <v/>
      </c>
      <c r="Q133" s="35" t="str">
        <f aca="false">IF($A133="","",IF(MONTH($A133)&lt;=6,1,2))</f>
        <v/>
      </c>
      <c r="R133" s="35" t="str">
        <f aca="false">IF($E133="","",IFERROR(INDEX(Kontenplan!$F$5:$F$90,MATCH($E133,Kontenplan!$A$5:$A$90,0)),""))</f>
        <v/>
      </c>
      <c r="S133" s="35" t="str">
        <f aca="false">IF($D133="","",IFERROR(INDEX(Kontenplan!$F$5:$F$90,MATCH($D133,Kontenplan!$A$5:$A$90,0)),""))</f>
        <v/>
      </c>
      <c r="T133" s="35" t="str">
        <f aca="false">IF($D133="","",IFERROR(INDEX(Kontenplan!$C$5:$C$90,MATCH($D133,Kontenplan!$A$5:$A$90,0)),"?"))</f>
        <v/>
      </c>
      <c r="U133" s="35" t="str">
        <f aca="false">IF($E133="","",IFERROR(INDEX(Kontenplan!$C$5:$C$90,MATCH($E133,Kontenplan!$A$5:$A$90,0)),"?"))</f>
        <v/>
      </c>
      <c r="V133" s="35" t="str">
        <f aca="false">IF($F133="","",IF(OR($D133="",$E133="",$T133="?",$U133="?"),"Konto prüfen!",IF($A133="","Datum fehlt",IF(YEAR($A133)&lt;&gt;Einstellungen!$B$7,"anderes Jahr!",IF($G133="","MWST-Code fehlt","OK")))))</f>
        <v/>
      </c>
      <c r="W133" s="35" t="str">
        <f aca="false">IF($F133="","",IF(OR($D133=Kontoauszug!$C$4,$E133=Kontoauszug!$C$4),MAX(W$4:W132)+1,""))</f>
        <v/>
      </c>
    </row>
    <row r="134" customFormat="false" ht="15" hidden="false" customHeight="false" outlineLevel="0" collapsed="false">
      <c r="A134" s="33"/>
      <c r="B134" s="32"/>
      <c r="C134" s="32"/>
      <c r="D134" s="32"/>
      <c r="E134" s="32"/>
      <c r="F134" s="30"/>
      <c r="G134" s="32"/>
      <c r="H134" s="34" t="n">
        <f aca="false">IF($G134="",0,IFERROR(INDEX(Einstellungen!$G$5:$G$11,MATCH($G134,Einstellungen!$E$5:$E$11,0)),0))</f>
        <v>0</v>
      </c>
      <c r="I134" s="35" t="str">
        <f aca="false">IF($G134="","-",IFERROR(INDEX(Einstellungen!$H$5:$H$11,MATCH($G134,Einstellungen!$E$5:$E$11,0)),"-"))</f>
        <v>-</v>
      </c>
      <c r="J134" s="35" t="str">
        <f aca="false">IF(AND(Einstellungen!$B$8="Ja",Einstellungen!$B$9="Effektiv"),$I134,"-")</f>
        <v>-</v>
      </c>
      <c r="K134" s="31" t="n">
        <f aca="false">IF(OR($F134="",$J134="-"),0,ROUND($F134-$F134/(1+$H134),2))</f>
        <v>0</v>
      </c>
      <c r="L134" s="31" t="n">
        <f aca="false">IF($F134="",0,$F134-$K134)</f>
        <v>0</v>
      </c>
      <c r="M134" s="31" t="n">
        <f aca="false">IF($F134="",0,IF($J134="V",$L134,$F134))</f>
        <v>0</v>
      </c>
      <c r="N134" s="31" t="n">
        <f aca="false">IF($F134="",0,IF($J134="U",$L134,$F134))</f>
        <v>0</v>
      </c>
      <c r="O134" s="35" t="str">
        <f aca="false">IF($A134="","",MONTH($A134))</f>
        <v/>
      </c>
      <c r="P134" s="35" t="str">
        <f aca="false">IF($A134="","",ROUNDUP(MONTH($A134)/3,0))</f>
        <v/>
      </c>
      <c r="Q134" s="35" t="str">
        <f aca="false">IF($A134="","",IF(MONTH($A134)&lt;=6,1,2))</f>
        <v/>
      </c>
      <c r="R134" s="35" t="str">
        <f aca="false">IF($E134="","",IFERROR(INDEX(Kontenplan!$F$5:$F$90,MATCH($E134,Kontenplan!$A$5:$A$90,0)),""))</f>
        <v/>
      </c>
      <c r="S134" s="35" t="str">
        <f aca="false">IF($D134="","",IFERROR(INDEX(Kontenplan!$F$5:$F$90,MATCH($D134,Kontenplan!$A$5:$A$90,0)),""))</f>
        <v/>
      </c>
      <c r="T134" s="35" t="str">
        <f aca="false">IF($D134="","",IFERROR(INDEX(Kontenplan!$C$5:$C$90,MATCH($D134,Kontenplan!$A$5:$A$90,0)),"?"))</f>
        <v/>
      </c>
      <c r="U134" s="35" t="str">
        <f aca="false">IF($E134="","",IFERROR(INDEX(Kontenplan!$C$5:$C$90,MATCH($E134,Kontenplan!$A$5:$A$90,0)),"?"))</f>
        <v/>
      </c>
      <c r="V134" s="35" t="str">
        <f aca="false">IF($F134="","",IF(OR($D134="",$E134="",$T134="?",$U134="?"),"Konto prüfen!",IF($A134="","Datum fehlt",IF(YEAR($A134)&lt;&gt;Einstellungen!$B$7,"anderes Jahr!",IF($G134="","MWST-Code fehlt","OK")))))</f>
        <v/>
      </c>
      <c r="W134" s="35" t="str">
        <f aca="false">IF($F134="","",IF(OR($D134=Kontoauszug!$C$4,$E134=Kontoauszug!$C$4),MAX(W$4:W133)+1,""))</f>
        <v/>
      </c>
    </row>
    <row r="135" customFormat="false" ht="15" hidden="false" customHeight="false" outlineLevel="0" collapsed="false">
      <c r="A135" s="33"/>
      <c r="B135" s="32"/>
      <c r="C135" s="32"/>
      <c r="D135" s="32"/>
      <c r="E135" s="32"/>
      <c r="F135" s="30"/>
      <c r="G135" s="32"/>
      <c r="H135" s="34" t="n">
        <f aca="false">IF($G135="",0,IFERROR(INDEX(Einstellungen!$G$5:$G$11,MATCH($G135,Einstellungen!$E$5:$E$11,0)),0))</f>
        <v>0</v>
      </c>
      <c r="I135" s="35" t="str">
        <f aca="false">IF($G135="","-",IFERROR(INDEX(Einstellungen!$H$5:$H$11,MATCH($G135,Einstellungen!$E$5:$E$11,0)),"-"))</f>
        <v>-</v>
      </c>
      <c r="J135" s="35" t="str">
        <f aca="false">IF(AND(Einstellungen!$B$8="Ja",Einstellungen!$B$9="Effektiv"),$I135,"-")</f>
        <v>-</v>
      </c>
      <c r="K135" s="31" t="n">
        <f aca="false">IF(OR($F135="",$J135="-"),0,ROUND($F135-$F135/(1+$H135),2))</f>
        <v>0</v>
      </c>
      <c r="L135" s="31" t="n">
        <f aca="false">IF($F135="",0,$F135-$K135)</f>
        <v>0</v>
      </c>
      <c r="M135" s="31" t="n">
        <f aca="false">IF($F135="",0,IF($J135="V",$L135,$F135))</f>
        <v>0</v>
      </c>
      <c r="N135" s="31" t="n">
        <f aca="false">IF($F135="",0,IF($J135="U",$L135,$F135))</f>
        <v>0</v>
      </c>
      <c r="O135" s="35" t="str">
        <f aca="false">IF($A135="","",MONTH($A135))</f>
        <v/>
      </c>
      <c r="P135" s="35" t="str">
        <f aca="false">IF($A135="","",ROUNDUP(MONTH($A135)/3,0))</f>
        <v/>
      </c>
      <c r="Q135" s="35" t="str">
        <f aca="false">IF($A135="","",IF(MONTH($A135)&lt;=6,1,2))</f>
        <v/>
      </c>
      <c r="R135" s="35" t="str">
        <f aca="false">IF($E135="","",IFERROR(INDEX(Kontenplan!$F$5:$F$90,MATCH($E135,Kontenplan!$A$5:$A$90,0)),""))</f>
        <v/>
      </c>
      <c r="S135" s="35" t="str">
        <f aca="false">IF($D135="","",IFERROR(INDEX(Kontenplan!$F$5:$F$90,MATCH($D135,Kontenplan!$A$5:$A$90,0)),""))</f>
        <v/>
      </c>
      <c r="T135" s="35" t="str">
        <f aca="false">IF($D135="","",IFERROR(INDEX(Kontenplan!$C$5:$C$90,MATCH($D135,Kontenplan!$A$5:$A$90,0)),"?"))</f>
        <v/>
      </c>
      <c r="U135" s="35" t="str">
        <f aca="false">IF($E135="","",IFERROR(INDEX(Kontenplan!$C$5:$C$90,MATCH($E135,Kontenplan!$A$5:$A$90,0)),"?"))</f>
        <v/>
      </c>
      <c r="V135" s="35" t="str">
        <f aca="false">IF($F135="","",IF(OR($D135="",$E135="",$T135="?",$U135="?"),"Konto prüfen!",IF($A135="","Datum fehlt",IF(YEAR($A135)&lt;&gt;Einstellungen!$B$7,"anderes Jahr!",IF($G135="","MWST-Code fehlt","OK")))))</f>
        <v/>
      </c>
      <c r="W135" s="35" t="str">
        <f aca="false">IF($F135="","",IF(OR($D135=Kontoauszug!$C$4,$E135=Kontoauszug!$C$4),MAX(W$4:W134)+1,""))</f>
        <v/>
      </c>
    </row>
    <row r="136" customFormat="false" ht="15" hidden="false" customHeight="false" outlineLevel="0" collapsed="false">
      <c r="A136" s="33"/>
      <c r="B136" s="32"/>
      <c r="C136" s="32"/>
      <c r="D136" s="32"/>
      <c r="E136" s="32"/>
      <c r="F136" s="30"/>
      <c r="G136" s="32"/>
      <c r="H136" s="34" t="n">
        <f aca="false">IF($G136="",0,IFERROR(INDEX(Einstellungen!$G$5:$G$11,MATCH($G136,Einstellungen!$E$5:$E$11,0)),0))</f>
        <v>0</v>
      </c>
      <c r="I136" s="35" t="str">
        <f aca="false">IF($G136="","-",IFERROR(INDEX(Einstellungen!$H$5:$H$11,MATCH($G136,Einstellungen!$E$5:$E$11,0)),"-"))</f>
        <v>-</v>
      </c>
      <c r="J136" s="35" t="str">
        <f aca="false">IF(AND(Einstellungen!$B$8="Ja",Einstellungen!$B$9="Effektiv"),$I136,"-")</f>
        <v>-</v>
      </c>
      <c r="K136" s="31" t="n">
        <f aca="false">IF(OR($F136="",$J136="-"),0,ROUND($F136-$F136/(1+$H136),2))</f>
        <v>0</v>
      </c>
      <c r="L136" s="31" t="n">
        <f aca="false">IF($F136="",0,$F136-$K136)</f>
        <v>0</v>
      </c>
      <c r="M136" s="31" t="n">
        <f aca="false">IF($F136="",0,IF($J136="V",$L136,$F136))</f>
        <v>0</v>
      </c>
      <c r="N136" s="31" t="n">
        <f aca="false">IF($F136="",0,IF($J136="U",$L136,$F136))</f>
        <v>0</v>
      </c>
      <c r="O136" s="35" t="str">
        <f aca="false">IF($A136="","",MONTH($A136))</f>
        <v/>
      </c>
      <c r="P136" s="35" t="str">
        <f aca="false">IF($A136="","",ROUNDUP(MONTH($A136)/3,0))</f>
        <v/>
      </c>
      <c r="Q136" s="35" t="str">
        <f aca="false">IF($A136="","",IF(MONTH($A136)&lt;=6,1,2))</f>
        <v/>
      </c>
      <c r="R136" s="35" t="str">
        <f aca="false">IF($E136="","",IFERROR(INDEX(Kontenplan!$F$5:$F$90,MATCH($E136,Kontenplan!$A$5:$A$90,0)),""))</f>
        <v/>
      </c>
      <c r="S136" s="35" t="str">
        <f aca="false">IF($D136="","",IFERROR(INDEX(Kontenplan!$F$5:$F$90,MATCH($D136,Kontenplan!$A$5:$A$90,0)),""))</f>
        <v/>
      </c>
      <c r="T136" s="35" t="str">
        <f aca="false">IF($D136="","",IFERROR(INDEX(Kontenplan!$C$5:$C$90,MATCH($D136,Kontenplan!$A$5:$A$90,0)),"?"))</f>
        <v/>
      </c>
      <c r="U136" s="35" t="str">
        <f aca="false">IF($E136="","",IFERROR(INDEX(Kontenplan!$C$5:$C$90,MATCH($E136,Kontenplan!$A$5:$A$90,0)),"?"))</f>
        <v/>
      </c>
      <c r="V136" s="35" t="str">
        <f aca="false">IF($F136="","",IF(OR($D136="",$E136="",$T136="?",$U136="?"),"Konto prüfen!",IF($A136="","Datum fehlt",IF(YEAR($A136)&lt;&gt;Einstellungen!$B$7,"anderes Jahr!",IF($G136="","MWST-Code fehlt","OK")))))</f>
        <v/>
      </c>
      <c r="W136" s="35" t="str">
        <f aca="false">IF($F136="","",IF(OR($D136=Kontoauszug!$C$4,$E136=Kontoauszug!$C$4),MAX(W$4:W135)+1,""))</f>
        <v/>
      </c>
    </row>
    <row r="137" customFormat="false" ht="15" hidden="false" customHeight="false" outlineLevel="0" collapsed="false">
      <c r="A137" s="33"/>
      <c r="B137" s="32"/>
      <c r="C137" s="32"/>
      <c r="D137" s="32"/>
      <c r="E137" s="32"/>
      <c r="F137" s="30"/>
      <c r="G137" s="32"/>
      <c r="H137" s="34" t="n">
        <f aca="false">IF($G137="",0,IFERROR(INDEX(Einstellungen!$G$5:$G$11,MATCH($G137,Einstellungen!$E$5:$E$11,0)),0))</f>
        <v>0</v>
      </c>
      <c r="I137" s="35" t="str">
        <f aca="false">IF($G137="","-",IFERROR(INDEX(Einstellungen!$H$5:$H$11,MATCH($G137,Einstellungen!$E$5:$E$11,0)),"-"))</f>
        <v>-</v>
      </c>
      <c r="J137" s="35" t="str">
        <f aca="false">IF(AND(Einstellungen!$B$8="Ja",Einstellungen!$B$9="Effektiv"),$I137,"-")</f>
        <v>-</v>
      </c>
      <c r="K137" s="31" t="n">
        <f aca="false">IF(OR($F137="",$J137="-"),0,ROUND($F137-$F137/(1+$H137),2))</f>
        <v>0</v>
      </c>
      <c r="L137" s="31" t="n">
        <f aca="false">IF($F137="",0,$F137-$K137)</f>
        <v>0</v>
      </c>
      <c r="M137" s="31" t="n">
        <f aca="false">IF($F137="",0,IF($J137="V",$L137,$F137))</f>
        <v>0</v>
      </c>
      <c r="N137" s="31" t="n">
        <f aca="false">IF($F137="",0,IF($J137="U",$L137,$F137))</f>
        <v>0</v>
      </c>
      <c r="O137" s="35" t="str">
        <f aca="false">IF($A137="","",MONTH($A137))</f>
        <v/>
      </c>
      <c r="P137" s="35" t="str">
        <f aca="false">IF($A137="","",ROUNDUP(MONTH($A137)/3,0))</f>
        <v/>
      </c>
      <c r="Q137" s="35" t="str">
        <f aca="false">IF($A137="","",IF(MONTH($A137)&lt;=6,1,2))</f>
        <v/>
      </c>
      <c r="R137" s="35" t="str">
        <f aca="false">IF($E137="","",IFERROR(INDEX(Kontenplan!$F$5:$F$90,MATCH($E137,Kontenplan!$A$5:$A$90,0)),""))</f>
        <v/>
      </c>
      <c r="S137" s="35" t="str">
        <f aca="false">IF($D137="","",IFERROR(INDEX(Kontenplan!$F$5:$F$90,MATCH($D137,Kontenplan!$A$5:$A$90,0)),""))</f>
        <v/>
      </c>
      <c r="T137" s="35" t="str">
        <f aca="false">IF($D137="","",IFERROR(INDEX(Kontenplan!$C$5:$C$90,MATCH($D137,Kontenplan!$A$5:$A$90,0)),"?"))</f>
        <v/>
      </c>
      <c r="U137" s="35" t="str">
        <f aca="false">IF($E137="","",IFERROR(INDEX(Kontenplan!$C$5:$C$90,MATCH($E137,Kontenplan!$A$5:$A$90,0)),"?"))</f>
        <v/>
      </c>
      <c r="V137" s="35" t="str">
        <f aca="false">IF($F137="","",IF(OR($D137="",$E137="",$T137="?",$U137="?"),"Konto prüfen!",IF($A137="","Datum fehlt",IF(YEAR($A137)&lt;&gt;Einstellungen!$B$7,"anderes Jahr!",IF($G137="","MWST-Code fehlt","OK")))))</f>
        <v/>
      </c>
      <c r="W137" s="35" t="str">
        <f aca="false">IF($F137="","",IF(OR($D137=Kontoauszug!$C$4,$E137=Kontoauszug!$C$4),MAX(W$4:W136)+1,""))</f>
        <v/>
      </c>
    </row>
    <row r="138" customFormat="false" ht="15" hidden="false" customHeight="false" outlineLevel="0" collapsed="false">
      <c r="A138" s="33"/>
      <c r="B138" s="32"/>
      <c r="C138" s="32"/>
      <c r="D138" s="32"/>
      <c r="E138" s="32"/>
      <c r="F138" s="30"/>
      <c r="G138" s="32"/>
      <c r="H138" s="34" t="n">
        <f aca="false">IF($G138="",0,IFERROR(INDEX(Einstellungen!$G$5:$G$11,MATCH($G138,Einstellungen!$E$5:$E$11,0)),0))</f>
        <v>0</v>
      </c>
      <c r="I138" s="35" t="str">
        <f aca="false">IF($G138="","-",IFERROR(INDEX(Einstellungen!$H$5:$H$11,MATCH($G138,Einstellungen!$E$5:$E$11,0)),"-"))</f>
        <v>-</v>
      </c>
      <c r="J138" s="35" t="str">
        <f aca="false">IF(AND(Einstellungen!$B$8="Ja",Einstellungen!$B$9="Effektiv"),$I138,"-")</f>
        <v>-</v>
      </c>
      <c r="K138" s="31" t="n">
        <f aca="false">IF(OR($F138="",$J138="-"),0,ROUND($F138-$F138/(1+$H138),2))</f>
        <v>0</v>
      </c>
      <c r="L138" s="31" t="n">
        <f aca="false">IF($F138="",0,$F138-$K138)</f>
        <v>0</v>
      </c>
      <c r="M138" s="31" t="n">
        <f aca="false">IF($F138="",0,IF($J138="V",$L138,$F138))</f>
        <v>0</v>
      </c>
      <c r="N138" s="31" t="n">
        <f aca="false">IF($F138="",0,IF($J138="U",$L138,$F138))</f>
        <v>0</v>
      </c>
      <c r="O138" s="35" t="str">
        <f aca="false">IF($A138="","",MONTH($A138))</f>
        <v/>
      </c>
      <c r="P138" s="35" t="str">
        <f aca="false">IF($A138="","",ROUNDUP(MONTH($A138)/3,0))</f>
        <v/>
      </c>
      <c r="Q138" s="35" t="str">
        <f aca="false">IF($A138="","",IF(MONTH($A138)&lt;=6,1,2))</f>
        <v/>
      </c>
      <c r="R138" s="35" t="str">
        <f aca="false">IF($E138="","",IFERROR(INDEX(Kontenplan!$F$5:$F$90,MATCH($E138,Kontenplan!$A$5:$A$90,0)),""))</f>
        <v/>
      </c>
      <c r="S138" s="35" t="str">
        <f aca="false">IF($D138="","",IFERROR(INDEX(Kontenplan!$F$5:$F$90,MATCH($D138,Kontenplan!$A$5:$A$90,0)),""))</f>
        <v/>
      </c>
      <c r="T138" s="35" t="str">
        <f aca="false">IF($D138="","",IFERROR(INDEX(Kontenplan!$C$5:$C$90,MATCH($D138,Kontenplan!$A$5:$A$90,0)),"?"))</f>
        <v/>
      </c>
      <c r="U138" s="35" t="str">
        <f aca="false">IF($E138="","",IFERROR(INDEX(Kontenplan!$C$5:$C$90,MATCH($E138,Kontenplan!$A$5:$A$90,0)),"?"))</f>
        <v/>
      </c>
      <c r="V138" s="35" t="str">
        <f aca="false">IF($F138="","",IF(OR($D138="",$E138="",$T138="?",$U138="?"),"Konto prüfen!",IF($A138="","Datum fehlt",IF(YEAR($A138)&lt;&gt;Einstellungen!$B$7,"anderes Jahr!",IF($G138="","MWST-Code fehlt","OK")))))</f>
        <v/>
      </c>
      <c r="W138" s="35" t="str">
        <f aca="false">IF($F138="","",IF(OR($D138=Kontoauszug!$C$4,$E138=Kontoauszug!$C$4),MAX(W$4:W137)+1,""))</f>
        <v/>
      </c>
    </row>
    <row r="139" customFormat="false" ht="15" hidden="false" customHeight="false" outlineLevel="0" collapsed="false">
      <c r="A139" s="33"/>
      <c r="B139" s="32"/>
      <c r="C139" s="32"/>
      <c r="D139" s="32"/>
      <c r="E139" s="32"/>
      <c r="F139" s="30"/>
      <c r="G139" s="32"/>
      <c r="H139" s="34" t="n">
        <f aca="false">IF($G139="",0,IFERROR(INDEX(Einstellungen!$G$5:$G$11,MATCH($G139,Einstellungen!$E$5:$E$11,0)),0))</f>
        <v>0</v>
      </c>
      <c r="I139" s="35" t="str">
        <f aca="false">IF($G139="","-",IFERROR(INDEX(Einstellungen!$H$5:$H$11,MATCH($G139,Einstellungen!$E$5:$E$11,0)),"-"))</f>
        <v>-</v>
      </c>
      <c r="J139" s="35" t="str">
        <f aca="false">IF(AND(Einstellungen!$B$8="Ja",Einstellungen!$B$9="Effektiv"),$I139,"-")</f>
        <v>-</v>
      </c>
      <c r="K139" s="31" t="n">
        <f aca="false">IF(OR($F139="",$J139="-"),0,ROUND($F139-$F139/(1+$H139),2))</f>
        <v>0</v>
      </c>
      <c r="L139" s="31" t="n">
        <f aca="false">IF($F139="",0,$F139-$K139)</f>
        <v>0</v>
      </c>
      <c r="M139" s="31" t="n">
        <f aca="false">IF($F139="",0,IF($J139="V",$L139,$F139))</f>
        <v>0</v>
      </c>
      <c r="N139" s="31" t="n">
        <f aca="false">IF($F139="",0,IF($J139="U",$L139,$F139))</f>
        <v>0</v>
      </c>
      <c r="O139" s="35" t="str">
        <f aca="false">IF($A139="","",MONTH($A139))</f>
        <v/>
      </c>
      <c r="P139" s="35" t="str">
        <f aca="false">IF($A139="","",ROUNDUP(MONTH($A139)/3,0))</f>
        <v/>
      </c>
      <c r="Q139" s="35" t="str">
        <f aca="false">IF($A139="","",IF(MONTH($A139)&lt;=6,1,2))</f>
        <v/>
      </c>
      <c r="R139" s="35" t="str">
        <f aca="false">IF($E139="","",IFERROR(INDEX(Kontenplan!$F$5:$F$90,MATCH($E139,Kontenplan!$A$5:$A$90,0)),""))</f>
        <v/>
      </c>
      <c r="S139" s="35" t="str">
        <f aca="false">IF($D139="","",IFERROR(INDEX(Kontenplan!$F$5:$F$90,MATCH($D139,Kontenplan!$A$5:$A$90,0)),""))</f>
        <v/>
      </c>
      <c r="T139" s="35" t="str">
        <f aca="false">IF($D139="","",IFERROR(INDEX(Kontenplan!$C$5:$C$90,MATCH($D139,Kontenplan!$A$5:$A$90,0)),"?"))</f>
        <v/>
      </c>
      <c r="U139" s="35" t="str">
        <f aca="false">IF($E139="","",IFERROR(INDEX(Kontenplan!$C$5:$C$90,MATCH($E139,Kontenplan!$A$5:$A$90,0)),"?"))</f>
        <v/>
      </c>
      <c r="V139" s="35" t="str">
        <f aca="false">IF($F139="","",IF(OR($D139="",$E139="",$T139="?",$U139="?"),"Konto prüfen!",IF($A139="","Datum fehlt",IF(YEAR($A139)&lt;&gt;Einstellungen!$B$7,"anderes Jahr!",IF($G139="","MWST-Code fehlt","OK")))))</f>
        <v/>
      </c>
      <c r="W139" s="35" t="str">
        <f aca="false">IF($F139="","",IF(OR($D139=Kontoauszug!$C$4,$E139=Kontoauszug!$C$4),MAX(W$4:W138)+1,""))</f>
        <v/>
      </c>
    </row>
    <row r="140" customFormat="false" ht="15" hidden="false" customHeight="false" outlineLevel="0" collapsed="false">
      <c r="A140" s="33"/>
      <c r="B140" s="32"/>
      <c r="C140" s="32"/>
      <c r="D140" s="32"/>
      <c r="E140" s="32"/>
      <c r="F140" s="30"/>
      <c r="G140" s="32"/>
      <c r="H140" s="34" t="n">
        <f aca="false">IF($G140="",0,IFERROR(INDEX(Einstellungen!$G$5:$G$11,MATCH($G140,Einstellungen!$E$5:$E$11,0)),0))</f>
        <v>0</v>
      </c>
      <c r="I140" s="35" t="str">
        <f aca="false">IF($G140="","-",IFERROR(INDEX(Einstellungen!$H$5:$H$11,MATCH($G140,Einstellungen!$E$5:$E$11,0)),"-"))</f>
        <v>-</v>
      </c>
      <c r="J140" s="35" t="str">
        <f aca="false">IF(AND(Einstellungen!$B$8="Ja",Einstellungen!$B$9="Effektiv"),$I140,"-")</f>
        <v>-</v>
      </c>
      <c r="K140" s="31" t="n">
        <f aca="false">IF(OR($F140="",$J140="-"),0,ROUND($F140-$F140/(1+$H140),2))</f>
        <v>0</v>
      </c>
      <c r="L140" s="31" t="n">
        <f aca="false">IF($F140="",0,$F140-$K140)</f>
        <v>0</v>
      </c>
      <c r="M140" s="31" t="n">
        <f aca="false">IF($F140="",0,IF($J140="V",$L140,$F140))</f>
        <v>0</v>
      </c>
      <c r="N140" s="31" t="n">
        <f aca="false">IF($F140="",0,IF($J140="U",$L140,$F140))</f>
        <v>0</v>
      </c>
      <c r="O140" s="35" t="str">
        <f aca="false">IF($A140="","",MONTH($A140))</f>
        <v/>
      </c>
      <c r="P140" s="35" t="str">
        <f aca="false">IF($A140="","",ROUNDUP(MONTH($A140)/3,0))</f>
        <v/>
      </c>
      <c r="Q140" s="35" t="str">
        <f aca="false">IF($A140="","",IF(MONTH($A140)&lt;=6,1,2))</f>
        <v/>
      </c>
      <c r="R140" s="35" t="str">
        <f aca="false">IF($E140="","",IFERROR(INDEX(Kontenplan!$F$5:$F$90,MATCH($E140,Kontenplan!$A$5:$A$90,0)),""))</f>
        <v/>
      </c>
      <c r="S140" s="35" t="str">
        <f aca="false">IF($D140="","",IFERROR(INDEX(Kontenplan!$F$5:$F$90,MATCH($D140,Kontenplan!$A$5:$A$90,0)),""))</f>
        <v/>
      </c>
      <c r="T140" s="35" t="str">
        <f aca="false">IF($D140="","",IFERROR(INDEX(Kontenplan!$C$5:$C$90,MATCH($D140,Kontenplan!$A$5:$A$90,0)),"?"))</f>
        <v/>
      </c>
      <c r="U140" s="35" t="str">
        <f aca="false">IF($E140="","",IFERROR(INDEX(Kontenplan!$C$5:$C$90,MATCH($E140,Kontenplan!$A$5:$A$90,0)),"?"))</f>
        <v/>
      </c>
      <c r="V140" s="35" t="str">
        <f aca="false">IF($F140="","",IF(OR($D140="",$E140="",$T140="?",$U140="?"),"Konto prüfen!",IF($A140="","Datum fehlt",IF(YEAR($A140)&lt;&gt;Einstellungen!$B$7,"anderes Jahr!",IF($G140="","MWST-Code fehlt","OK")))))</f>
        <v/>
      </c>
      <c r="W140" s="35" t="str">
        <f aca="false">IF($F140="","",IF(OR($D140=Kontoauszug!$C$4,$E140=Kontoauszug!$C$4),MAX(W$4:W139)+1,""))</f>
        <v/>
      </c>
    </row>
    <row r="141" customFormat="false" ht="15" hidden="false" customHeight="false" outlineLevel="0" collapsed="false">
      <c r="A141" s="33"/>
      <c r="B141" s="32"/>
      <c r="C141" s="32"/>
      <c r="D141" s="32"/>
      <c r="E141" s="32"/>
      <c r="F141" s="30"/>
      <c r="G141" s="32"/>
      <c r="H141" s="34" t="n">
        <f aca="false">IF($G141="",0,IFERROR(INDEX(Einstellungen!$G$5:$G$11,MATCH($G141,Einstellungen!$E$5:$E$11,0)),0))</f>
        <v>0</v>
      </c>
      <c r="I141" s="35" t="str">
        <f aca="false">IF($G141="","-",IFERROR(INDEX(Einstellungen!$H$5:$H$11,MATCH($G141,Einstellungen!$E$5:$E$11,0)),"-"))</f>
        <v>-</v>
      </c>
      <c r="J141" s="35" t="str">
        <f aca="false">IF(AND(Einstellungen!$B$8="Ja",Einstellungen!$B$9="Effektiv"),$I141,"-")</f>
        <v>-</v>
      </c>
      <c r="K141" s="31" t="n">
        <f aca="false">IF(OR($F141="",$J141="-"),0,ROUND($F141-$F141/(1+$H141),2))</f>
        <v>0</v>
      </c>
      <c r="L141" s="31" t="n">
        <f aca="false">IF($F141="",0,$F141-$K141)</f>
        <v>0</v>
      </c>
      <c r="M141" s="31" t="n">
        <f aca="false">IF($F141="",0,IF($J141="V",$L141,$F141))</f>
        <v>0</v>
      </c>
      <c r="N141" s="31" t="n">
        <f aca="false">IF($F141="",0,IF($J141="U",$L141,$F141))</f>
        <v>0</v>
      </c>
      <c r="O141" s="35" t="str">
        <f aca="false">IF($A141="","",MONTH($A141))</f>
        <v/>
      </c>
      <c r="P141" s="35" t="str">
        <f aca="false">IF($A141="","",ROUNDUP(MONTH($A141)/3,0))</f>
        <v/>
      </c>
      <c r="Q141" s="35" t="str">
        <f aca="false">IF($A141="","",IF(MONTH($A141)&lt;=6,1,2))</f>
        <v/>
      </c>
      <c r="R141" s="35" t="str">
        <f aca="false">IF($E141="","",IFERROR(INDEX(Kontenplan!$F$5:$F$90,MATCH($E141,Kontenplan!$A$5:$A$90,0)),""))</f>
        <v/>
      </c>
      <c r="S141" s="35" t="str">
        <f aca="false">IF($D141="","",IFERROR(INDEX(Kontenplan!$F$5:$F$90,MATCH($D141,Kontenplan!$A$5:$A$90,0)),""))</f>
        <v/>
      </c>
      <c r="T141" s="35" t="str">
        <f aca="false">IF($D141="","",IFERROR(INDEX(Kontenplan!$C$5:$C$90,MATCH($D141,Kontenplan!$A$5:$A$90,0)),"?"))</f>
        <v/>
      </c>
      <c r="U141" s="35" t="str">
        <f aca="false">IF($E141="","",IFERROR(INDEX(Kontenplan!$C$5:$C$90,MATCH($E141,Kontenplan!$A$5:$A$90,0)),"?"))</f>
        <v/>
      </c>
      <c r="V141" s="35" t="str">
        <f aca="false">IF($F141="","",IF(OR($D141="",$E141="",$T141="?",$U141="?"),"Konto prüfen!",IF($A141="","Datum fehlt",IF(YEAR($A141)&lt;&gt;Einstellungen!$B$7,"anderes Jahr!",IF($G141="","MWST-Code fehlt","OK")))))</f>
        <v/>
      </c>
      <c r="W141" s="35" t="str">
        <f aca="false">IF($F141="","",IF(OR($D141=Kontoauszug!$C$4,$E141=Kontoauszug!$C$4),MAX(W$4:W140)+1,""))</f>
        <v/>
      </c>
    </row>
    <row r="142" customFormat="false" ht="15" hidden="false" customHeight="false" outlineLevel="0" collapsed="false">
      <c r="A142" s="33"/>
      <c r="B142" s="32"/>
      <c r="C142" s="32"/>
      <c r="D142" s="32"/>
      <c r="E142" s="32"/>
      <c r="F142" s="30"/>
      <c r="G142" s="32"/>
      <c r="H142" s="34" t="n">
        <f aca="false">IF($G142="",0,IFERROR(INDEX(Einstellungen!$G$5:$G$11,MATCH($G142,Einstellungen!$E$5:$E$11,0)),0))</f>
        <v>0</v>
      </c>
      <c r="I142" s="35" t="str">
        <f aca="false">IF($G142="","-",IFERROR(INDEX(Einstellungen!$H$5:$H$11,MATCH($G142,Einstellungen!$E$5:$E$11,0)),"-"))</f>
        <v>-</v>
      </c>
      <c r="J142" s="35" t="str">
        <f aca="false">IF(AND(Einstellungen!$B$8="Ja",Einstellungen!$B$9="Effektiv"),$I142,"-")</f>
        <v>-</v>
      </c>
      <c r="K142" s="31" t="n">
        <f aca="false">IF(OR($F142="",$J142="-"),0,ROUND($F142-$F142/(1+$H142),2))</f>
        <v>0</v>
      </c>
      <c r="L142" s="31" t="n">
        <f aca="false">IF($F142="",0,$F142-$K142)</f>
        <v>0</v>
      </c>
      <c r="M142" s="31" t="n">
        <f aca="false">IF($F142="",0,IF($J142="V",$L142,$F142))</f>
        <v>0</v>
      </c>
      <c r="N142" s="31" t="n">
        <f aca="false">IF($F142="",0,IF($J142="U",$L142,$F142))</f>
        <v>0</v>
      </c>
      <c r="O142" s="35" t="str">
        <f aca="false">IF($A142="","",MONTH($A142))</f>
        <v/>
      </c>
      <c r="P142" s="35" t="str">
        <f aca="false">IF($A142="","",ROUNDUP(MONTH($A142)/3,0))</f>
        <v/>
      </c>
      <c r="Q142" s="35" t="str">
        <f aca="false">IF($A142="","",IF(MONTH($A142)&lt;=6,1,2))</f>
        <v/>
      </c>
      <c r="R142" s="35" t="str">
        <f aca="false">IF($E142="","",IFERROR(INDEX(Kontenplan!$F$5:$F$90,MATCH($E142,Kontenplan!$A$5:$A$90,0)),""))</f>
        <v/>
      </c>
      <c r="S142" s="35" t="str">
        <f aca="false">IF($D142="","",IFERROR(INDEX(Kontenplan!$F$5:$F$90,MATCH($D142,Kontenplan!$A$5:$A$90,0)),""))</f>
        <v/>
      </c>
      <c r="T142" s="35" t="str">
        <f aca="false">IF($D142="","",IFERROR(INDEX(Kontenplan!$C$5:$C$90,MATCH($D142,Kontenplan!$A$5:$A$90,0)),"?"))</f>
        <v/>
      </c>
      <c r="U142" s="35" t="str">
        <f aca="false">IF($E142="","",IFERROR(INDEX(Kontenplan!$C$5:$C$90,MATCH($E142,Kontenplan!$A$5:$A$90,0)),"?"))</f>
        <v/>
      </c>
      <c r="V142" s="35" t="str">
        <f aca="false">IF($F142="","",IF(OR($D142="",$E142="",$T142="?",$U142="?"),"Konto prüfen!",IF($A142="","Datum fehlt",IF(YEAR($A142)&lt;&gt;Einstellungen!$B$7,"anderes Jahr!",IF($G142="","MWST-Code fehlt","OK")))))</f>
        <v/>
      </c>
      <c r="W142" s="35" t="str">
        <f aca="false">IF($F142="","",IF(OR($D142=Kontoauszug!$C$4,$E142=Kontoauszug!$C$4),MAX(W$4:W141)+1,""))</f>
        <v/>
      </c>
    </row>
    <row r="143" customFormat="false" ht="15" hidden="false" customHeight="false" outlineLevel="0" collapsed="false">
      <c r="A143" s="33"/>
      <c r="B143" s="32"/>
      <c r="C143" s="32"/>
      <c r="D143" s="32"/>
      <c r="E143" s="32"/>
      <c r="F143" s="30"/>
      <c r="G143" s="32"/>
      <c r="H143" s="34" t="n">
        <f aca="false">IF($G143="",0,IFERROR(INDEX(Einstellungen!$G$5:$G$11,MATCH($G143,Einstellungen!$E$5:$E$11,0)),0))</f>
        <v>0</v>
      </c>
      <c r="I143" s="35" t="str">
        <f aca="false">IF($G143="","-",IFERROR(INDEX(Einstellungen!$H$5:$H$11,MATCH($G143,Einstellungen!$E$5:$E$11,0)),"-"))</f>
        <v>-</v>
      </c>
      <c r="J143" s="35" t="str">
        <f aca="false">IF(AND(Einstellungen!$B$8="Ja",Einstellungen!$B$9="Effektiv"),$I143,"-")</f>
        <v>-</v>
      </c>
      <c r="K143" s="31" t="n">
        <f aca="false">IF(OR($F143="",$J143="-"),0,ROUND($F143-$F143/(1+$H143),2))</f>
        <v>0</v>
      </c>
      <c r="L143" s="31" t="n">
        <f aca="false">IF($F143="",0,$F143-$K143)</f>
        <v>0</v>
      </c>
      <c r="M143" s="31" t="n">
        <f aca="false">IF($F143="",0,IF($J143="V",$L143,$F143))</f>
        <v>0</v>
      </c>
      <c r="N143" s="31" t="n">
        <f aca="false">IF($F143="",0,IF($J143="U",$L143,$F143))</f>
        <v>0</v>
      </c>
      <c r="O143" s="35" t="str">
        <f aca="false">IF($A143="","",MONTH($A143))</f>
        <v/>
      </c>
      <c r="P143" s="35" t="str">
        <f aca="false">IF($A143="","",ROUNDUP(MONTH($A143)/3,0))</f>
        <v/>
      </c>
      <c r="Q143" s="35" t="str">
        <f aca="false">IF($A143="","",IF(MONTH($A143)&lt;=6,1,2))</f>
        <v/>
      </c>
      <c r="R143" s="35" t="str">
        <f aca="false">IF($E143="","",IFERROR(INDEX(Kontenplan!$F$5:$F$90,MATCH($E143,Kontenplan!$A$5:$A$90,0)),""))</f>
        <v/>
      </c>
      <c r="S143" s="35" t="str">
        <f aca="false">IF($D143="","",IFERROR(INDEX(Kontenplan!$F$5:$F$90,MATCH($D143,Kontenplan!$A$5:$A$90,0)),""))</f>
        <v/>
      </c>
      <c r="T143" s="35" t="str">
        <f aca="false">IF($D143="","",IFERROR(INDEX(Kontenplan!$C$5:$C$90,MATCH($D143,Kontenplan!$A$5:$A$90,0)),"?"))</f>
        <v/>
      </c>
      <c r="U143" s="35" t="str">
        <f aca="false">IF($E143="","",IFERROR(INDEX(Kontenplan!$C$5:$C$90,MATCH($E143,Kontenplan!$A$5:$A$90,0)),"?"))</f>
        <v/>
      </c>
      <c r="V143" s="35" t="str">
        <f aca="false">IF($F143="","",IF(OR($D143="",$E143="",$T143="?",$U143="?"),"Konto prüfen!",IF($A143="","Datum fehlt",IF(YEAR($A143)&lt;&gt;Einstellungen!$B$7,"anderes Jahr!",IF($G143="","MWST-Code fehlt","OK")))))</f>
        <v/>
      </c>
      <c r="W143" s="35" t="str">
        <f aca="false">IF($F143="","",IF(OR($D143=Kontoauszug!$C$4,$E143=Kontoauszug!$C$4),MAX(W$4:W142)+1,""))</f>
        <v/>
      </c>
    </row>
    <row r="144" customFormat="false" ht="15" hidden="false" customHeight="false" outlineLevel="0" collapsed="false">
      <c r="A144" s="33"/>
      <c r="B144" s="32"/>
      <c r="C144" s="32"/>
      <c r="D144" s="32"/>
      <c r="E144" s="32"/>
      <c r="F144" s="30"/>
      <c r="G144" s="32"/>
      <c r="H144" s="34" t="n">
        <f aca="false">IF($G144="",0,IFERROR(INDEX(Einstellungen!$G$5:$G$11,MATCH($G144,Einstellungen!$E$5:$E$11,0)),0))</f>
        <v>0</v>
      </c>
      <c r="I144" s="35" t="str">
        <f aca="false">IF($G144="","-",IFERROR(INDEX(Einstellungen!$H$5:$H$11,MATCH($G144,Einstellungen!$E$5:$E$11,0)),"-"))</f>
        <v>-</v>
      </c>
      <c r="J144" s="35" t="str">
        <f aca="false">IF(AND(Einstellungen!$B$8="Ja",Einstellungen!$B$9="Effektiv"),$I144,"-")</f>
        <v>-</v>
      </c>
      <c r="K144" s="31" t="n">
        <f aca="false">IF(OR($F144="",$J144="-"),0,ROUND($F144-$F144/(1+$H144),2))</f>
        <v>0</v>
      </c>
      <c r="L144" s="31" t="n">
        <f aca="false">IF($F144="",0,$F144-$K144)</f>
        <v>0</v>
      </c>
      <c r="M144" s="31" t="n">
        <f aca="false">IF($F144="",0,IF($J144="V",$L144,$F144))</f>
        <v>0</v>
      </c>
      <c r="N144" s="31" t="n">
        <f aca="false">IF($F144="",0,IF($J144="U",$L144,$F144))</f>
        <v>0</v>
      </c>
      <c r="O144" s="35" t="str">
        <f aca="false">IF($A144="","",MONTH($A144))</f>
        <v/>
      </c>
      <c r="P144" s="35" t="str">
        <f aca="false">IF($A144="","",ROUNDUP(MONTH($A144)/3,0))</f>
        <v/>
      </c>
      <c r="Q144" s="35" t="str">
        <f aca="false">IF($A144="","",IF(MONTH($A144)&lt;=6,1,2))</f>
        <v/>
      </c>
      <c r="R144" s="35" t="str">
        <f aca="false">IF($E144="","",IFERROR(INDEX(Kontenplan!$F$5:$F$90,MATCH($E144,Kontenplan!$A$5:$A$90,0)),""))</f>
        <v/>
      </c>
      <c r="S144" s="35" t="str">
        <f aca="false">IF($D144="","",IFERROR(INDEX(Kontenplan!$F$5:$F$90,MATCH($D144,Kontenplan!$A$5:$A$90,0)),""))</f>
        <v/>
      </c>
      <c r="T144" s="35" t="str">
        <f aca="false">IF($D144="","",IFERROR(INDEX(Kontenplan!$C$5:$C$90,MATCH($D144,Kontenplan!$A$5:$A$90,0)),"?"))</f>
        <v/>
      </c>
      <c r="U144" s="35" t="str">
        <f aca="false">IF($E144="","",IFERROR(INDEX(Kontenplan!$C$5:$C$90,MATCH($E144,Kontenplan!$A$5:$A$90,0)),"?"))</f>
        <v/>
      </c>
      <c r="V144" s="35" t="str">
        <f aca="false">IF($F144="","",IF(OR($D144="",$E144="",$T144="?",$U144="?"),"Konto prüfen!",IF($A144="","Datum fehlt",IF(YEAR($A144)&lt;&gt;Einstellungen!$B$7,"anderes Jahr!",IF($G144="","MWST-Code fehlt","OK")))))</f>
        <v/>
      </c>
      <c r="W144" s="35" t="str">
        <f aca="false">IF($F144="","",IF(OR($D144=Kontoauszug!$C$4,$E144=Kontoauszug!$C$4),MAX(W$4:W143)+1,""))</f>
        <v/>
      </c>
    </row>
    <row r="145" customFormat="false" ht="15" hidden="false" customHeight="false" outlineLevel="0" collapsed="false">
      <c r="A145" s="33"/>
      <c r="B145" s="32"/>
      <c r="C145" s="32"/>
      <c r="D145" s="32"/>
      <c r="E145" s="32"/>
      <c r="F145" s="30"/>
      <c r="G145" s="32"/>
      <c r="H145" s="34" t="n">
        <f aca="false">IF($G145="",0,IFERROR(INDEX(Einstellungen!$G$5:$G$11,MATCH($G145,Einstellungen!$E$5:$E$11,0)),0))</f>
        <v>0</v>
      </c>
      <c r="I145" s="35" t="str">
        <f aca="false">IF($G145="","-",IFERROR(INDEX(Einstellungen!$H$5:$H$11,MATCH($G145,Einstellungen!$E$5:$E$11,0)),"-"))</f>
        <v>-</v>
      </c>
      <c r="J145" s="35" t="str">
        <f aca="false">IF(AND(Einstellungen!$B$8="Ja",Einstellungen!$B$9="Effektiv"),$I145,"-")</f>
        <v>-</v>
      </c>
      <c r="K145" s="31" t="n">
        <f aca="false">IF(OR($F145="",$J145="-"),0,ROUND($F145-$F145/(1+$H145),2))</f>
        <v>0</v>
      </c>
      <c r="L145" s="31" t="n">
        <f aca="false">IF($F145="",0,$F145-$K145)</f>
        <v>0</v>
      </c>
      <c r="M145" s="31" t="n">
        <f aca="false">IF($F145="",0,IF($J145="V",$L145,$F145))</f>
        <v>0</v>
      </c>
      <c r="N145" s="31" t="n">
        <f aca="false">IF($F145="",0,IF($J145="U",$L145,$F145))</f>
        <v>0</v>
      </c>
      <c r="O145" s="35" t="str">
        <f aca="false">IF($A145="","",MONTH($A145))</f>
        <v/>
      </c>
      <c r="P145" s="35" t="str">
        <f aca="false">IF($A145="","",ROUNDUP(MONTH($A145)/3,0))</f>
        <v/>
      </c>
      <c r="Q145" s="35" t="str">
        <f aca="false">IF($A145="","",IF(MONTH($A145)&lt;=6,1,2))</f>
        <v/>
      </c>
      <c r="R145" s="35" t="str">
        <f aca="false">IF($E145="","",IFERROR(INDEX(Kontenplan!$F$5:$F$90,MATCH($E145,Kontenplan!$A$5:$A$90,0)),""))</f>
        <v/>
      </c>
      <c r="S145" s="35" t="str">
        <f aca="false">IF($D145="","",IFERROR(INDEX(Kontenplan!$F$5:$F$90,MATCH($D145,Kontenplan!$A$5:$A$90,0)),""))</f>
        <v/>
      </c>
      <c r="T145" s="35" t="str">
        <f aca="false">IF($D145="","",IFERROR(INDEX(Kontenplan!$C$5:$C$90,MATCH($D145,Kontenplan!$A$5:$A$90,0)),"?"))</f>
        <v/>
      </c>
      <c r="U145" s="35" t="str">
        <f aca="false">IF($E145="","",IFERROR(INDEX(Kontenplan!$C$5:$C$90,MATCH($E145,Kontenplan!$A$5:$A$90,0)),"?"))</f>
        <v/>
      </c>
      <c r="V145" s="35" t="str">
        <f aca="false">IF($F145="","",IF(OR($D145="",$E145="",$T145="?",$U145="?"),"Konto prüfen!",IF($A145="","Datum fehlt",IF(YEAR($A145)&lt;&gt;Einstellungen!$B$7,"anderes Jahr!",IF($G145="","MWST-Code fehlt","OK")))))</f>
        <v/>
      </c>
      <c r="W145" s="35" t="str">
        <f aca="false">IF($F145="","",IF(OR($D145=Kontoauszug!$C$4,$E145=Kontoauszug!$C$4),MAX(W$4:W144)+1,""))</f>
        <v/>
      </c>
    </row>
    <row r="146" customFormat="false" ht="15" hidden="false" customHeight="false" outlineLevel="0" collapsed="false">
      <c r="A146" s="33"/>
      <c r="B146" s="32"/>
      <c r="C146" s="32"/>
      <c r="D146" s="32"/>
      <c r="E146" s="32"/>
      <c r="F146" s="30"/>
      <c r="G146" s="32"/>
      <c r="H146" s="34" t="n">
        <f aca="false">IF($G146="",0,IFERROR(INDEX(Einstellungen!$G$5:$G$11,MATCH($G146,Einstellungen!$E$5:$E$11,0)),0))</f>
        <v>0</v>
      </c>
      <c r="I146" s="35" t="str">
        <f aca="false">IF($G146="","-",IFERROR(INDEX(Einstellungen!$H$5:$H$11,MATCH($G146,Einstellungen!$E$5:$E$11,0)),"-"))</f>
        <v>-</v>
      </c>
      <c r="J146" s="35" t="str">
        <f aca="false">IF(AND(Einstellungen!$B$8="Ja",Einstellungen!$B$9="Effektiv"),$I146,"-")</f>
        <v>-</v>
      </c>
      <c r="K146" s="31" t="n">
        <f aca="false">IF(OR($F146="",$J146="-"),0,ROUND($F146-$F146/(1+$H146),2))</f>
        <v>0</v>
      </c>
      <c r="L146" s="31" t="n">
        <f aca="false">IF($F146="",0,$F146-$K146)</f>
        <v>0</v>
      </c>
      <c r="M146" s="31" t="n">
        <f aca="false">IF($F146="",0,IF($J146="V",$L146,$F146))</f>
        <v>0</v>
      </c>
      <c r="N146" s="31" t="n">
        <f aca="false">IF($F146="",0,IF($J146="U",$L146,$F146))</f>
        <v>0</v>
      </c>
      <c r="O146" s="35" t="str">
        <f aca="false">IF($A146="","",MONTH($A146))</f>
        <v/>
      </c>
      <c r="P146" s="35" t="str">
        <f aca="false">IF($A146="","",ROUNDUP(MONTH($A146)/3,0))</f>
        <v/>
      </c>
      <c r="Q146" s="35" t="str">
        <f aca="false">IF($A146="","",IF(MONTH($A146)&lt;=6,1,2))</f>
        <v/>
      </c>
      <c r="R146" s="35" t="str">
        <f aca="false">IF($E146="","",IFERROR(INDEX(Kontenplan!$F$5:$F$90,MATCH($E146,Kontenplan!$A$5:$A$90,0)),""))</f>
        <v/>
      </c>
      <c r="S146" s="35" t="str">
        <f aca="false">IF($D146="","",IFERROR(INDEX(Kontenplan!$F$5:$F$90,MATCH($D146,Kontenplan!$A$5:$A$90,0)),""))</f>
        <v/>
      </c>
      <c r="T146" s="35" t="str">
        <f aca="false">IF($D146="","",IFERROR(INDEX(Kontenplan!$C$5:$C$90,MATCH($D146,Kontenplan!$A$5:$A$90,0)),"?"))</f>
        <v/>
      </c>
      <c r="U146" s="35" t="str">
        <f aca="false">IF($E146="","",IFERROR(INDEX(Kontenplan!$C$5:$C$90,MATCH($E146,Kontenplan!$A$5:$A$90,0)),"?"))</f>
        <v/>
      </c>
      <c r="V146" s="35" t="str">
        <f aca="false">IF($F146="","",IF(OR($D146="",$E146="",$T146="?",$U146="?"),"Konto prüfen!",IF($A146="","Datum fehlt",IF(YEAR($A146)&lt;&gt;Einstellungen!$B$7,"anderes Jahr!",IF($G146="","MWST-Code fehlt","OK")))))</f>
        <v/>
      </c>
      <c r="W146" s="35" t="str">
        <f aca="false">IF($F146="","",IF(OR($D146=Kontoauszug!$C$4,$E146=Kontoauszug!$C$4),MAX(W$4:W145)+1,""))</f>
        <v/>
      </c>
    </row>
    <row r="147" customFormat="false" ht="15" hidden="false" customHeight="false" outlineLevel="0" collapsed="false">
      <c r="A147" s="33"/>
      <c r="B147" s="32"/>
      <c r="C147" s="32"/>
      <c r="D147" s="32"/>
      <c r="E147" s="32"/>
      <c r="F147" s="30"/>
      <c r="G147" s="32"/>
      <c r="H147" s="34" t="n">
        <f aca="false">IF($G147="",0,IFERROR(INDEX(Einstellungen!$G$5:$G$11,MATCH($G147,Einstellungen!$E$5:$E$11,0)),0))</f>
        <v>0</v>
      </c>
      <c r="I147" s="35" t="str">
        <f aca="false">IF($G147="","-",IFERROR(INDEX(Einstellungen!$H$5:$H$11,MATCH($G147,Einstellungen!$E$5:$E$11,0)),"-"))</f>
        <v>-</v>
      </c>
      <c r="J147" s="35" t="str">
        <f aca="false">IF(AND(Einstellungen!$B$8="Ja",Einstellungen!$B$9="Effektiv"),$I147,"-")</f>
        <v>-</v>
      </c>
      <c r="K147" s="31" t="n">
        <f aca="false">IF(OR($F147="",$J147="-"),0,ROUND($F147-$F147/(1+$H147),2))</f>
        <v>0</v>
      </c>
      <c r="L147" s="31" t="n">
        <f aca="false">IF($F147="",0,$F147-$K147)</f>
        <v>0</v>
      </c>
      <c r="M147" s="31" t="n">
        <f aca="false">IF($F147="",0,IF($J147="V",$L147,$F147))</f>
        <v>0</v>
      </c>
      <c r="N147" s="31" t="n">
        <f aca="false">IF($F147="",0,IF($J147="U",$L147,$F147))</f>
        <v>0</v>
      </c>
      <c r="O147" s="35" t="str">
        <f aca="false">IF($A147="","",MONTH($A147))</f>
        <v/>
      </c>
      <c r="P147" s="35" t="str">
        <f aca="false">IF($A147="","",ROUNDUP(MONTH($A147)/3,0))</f>
        <v/>
      </c>
      <c r="Q147" s="35" t="str">
        <f aca="false">IF($A147="","",IF(MONTH($A147)&lt;=6,1,2))</f>
        <v/>
      </c>
      <c r="R147" s="35" t="str">
        <f aca="false">IF($E147="","",IFERROR(INDEX(Kontenplan!$F$5:$F$90,MATCH($E147,Kontenplan!$A$5:$A$90,0)),""))</f>
        <v/>
      </c>
      <c r="S147" s="35" t="str">
        <f aca="false">IF($D147="","",IFERROR(INDEX(Kontenplan!$F$5:$F$90,MATCH($D147,Kontenplan!$A$5:$A$90,0)),""))</f>
        <v/>
      </c>
      <c r="T147" s="35" t="str">
        <f aca="false">IF($D147="","",IFERROR(INDEX(Kontenplan!$C$5:$C$90,MATCH($D147,Kontenplan!$A$5:$A$90,0)),"?"))</f>
        <v/>
      </c>
      <c r="U147" s="35" t="str">
        <f aca="false">IF($E147="","",IFERROR(INDEX(Kontenplan!$C$5:$C$90,MATCH($E147,Kontenplan!$A$5:$A$90,0)),"?"))</f>
        <v/>
      </c>
      <c r="V147" s="35" t="str">
        <f aca="false">IF($F147="","",IF(OR($D147="",$E147="",$T147="?",$U147="?"),"Konto prüfen!",IF($A147="","Datum fehlt",IF(YEAR($A147)&lt;&gt;Einstellungen!$B$7,"anderes Jahr!",IF($G147="","MWST-Code fehlt","OK")))))</f>
        <v/>
      </c>
      <c r="W147" s="35" t="str">
        <f aca="false">IF($F147="","",IF(OR($D147=Kontoauszug!$C$4,$E147=Kontoauszug!$C$4),MAX(W$4:W146)+1,""))</f>
        <v/>
      </c>
    </row>
    <row r="148" customFormat="false" ht="15" hidden="false" customHeight="false" outlineLevel="0" collapsed="false">
      <c r="A148" s="33"/>
      <c r="B148" s="32"/>
      <c r="C148" s="32"/>
      <c r="D148" s="32"/>
      <c r="E148" s="32"/>
      <c r="F148" s="30"/>
      <c r="G148" s="32"/>
      <c r="H148" s="34" t="n">
        <f aca="false">IF($G148="",0,IFERROR(INDEX(Einstellungen!$G$5:$G$11,MATCH($G148,Einstellungen!$E$5:$E$11,0)),0))</f>
        <v>0</v>
      </c>
      <c r="I148" s="35" t="str">
        <f aca="false">IF($G148="","-",IFERROR(INDEX(Einstellungen!$H$5:$H$11,MATCH($G148,Einstellungen!$E$5:$E$11,0)),"-"))</f>
        <v>-</v>
      </c>
      <c r="J148" s="35" t="str">
        <f aca="false">IF(AND(Einstellungen!$B$8="Ja",Einstellungen!$B$9="Effektiv"),$I148,"-")</f>
        <v>-</v>
      </c>
      <c r="K148" s="31" t="n">
        <f aca="false">IF(OR($F148="",$J148="-"),0,ROUND($F148-$F148/(1+$H148),2))</f>
        <v>0</v>
      </c>
      <c r="L148" s="31" t="n">
        <f aca="false">IF($F148="",0,$F148-$K148)</f>
        <v>0</v>
      </c>
      <c r="M148" s="31" t="n">
        <f aca="false">IF($F148="",0,IF($J148="V",$L148,$F148))</f>
        <v>0</v>
      </c>
      <c r="N148" s="31" t="n">
        <f aca="false">IF($F148="",0,IF($J148="U",$L148,$F148))</f>
        <v>0</v>
      </c>
      <c r="O148" s="35" t="str">
        <f aca="false">IF($A148="","",MONTH($A148))</f>
        <v/>
      </c>
      <c r="P148" s="35" t="str">
        <f aca="false">IF($A148="","",ROUNDUP(MONTH($A148)/3,0))</f>
        <v/>
      </c>
      <c r="Q148" s="35" t="str">
        <f aca="false">IF($A148="","",IF(MONTH($A148)&lt;=6,1,2))</f>
        <v/>
      </c>
      <c r="R148" s="35" t="str">
        <f aca="false">IF($E148="","",IFERROR(INDEX(Kontenplan!$F$5:$F$90,MATCH($E148,Kontenplan!$A$5:$A$90,0)),""))</f>
        <v/>
      </c>
      <c r="S148" s="35" t="str">
        <f aca="false">IF($D148="","",IFERROR(INDEX(Kontenplan!$F$5:$F$90,MATCH($D148,Kontenplan!$A$5:$A$90,0)),""))</f>
        <v/>
      </c>
      <c r="T148" s="35" t="str">
        <f aca="false">IF($D148="","",IFERROR(INDEX(Kontenplan!$C$5:$C$90,MATCH($D148,Kontenplan!$A$5:$A$90,0)),"?"))</f>
        <v/>
      </c>
      <c r="U148" s="35" t="str">
        <f aca="false">IF($E148="","",IFERROR(INDEX(Kontenplan!$C$5:$C$90,MATCH($E148,Kontenplan!$A$5:$A$90,0)),"?"))</f>
        <v/>
      </c>
      <c r="V148" s="35" t="str">
        <f aca="false">IF($F148="","",IF(OR($D148="",$E148="",$T148="?",$U148="?"),"Konto prüfen!",IF($A148="","Datum fehlt",IF(YEAR($A148)&lt;&gt;Einstellungen!$B$7,"anderes Jahr!",IF($G148="","MWST-Code fehlt","OK")))))</f>
        <v/>
      </c>
      <c r="W148" s="35" t="str">
        <f aca="false">IF($F148="","",IF(OR($D148=Kontoauszug!$C$4,$E148=Kontoauszug!$C$4),MAX(W$4:W147)+1,""))</f>
        <v/>
      </c>
    </row>
    <row r="149" customFormat="false" ht="15" hidden="false" customHeight="false" outlineLevel="0" collapsed="false">
      <c r="A149" s="33"/>
      <c r="B149" s="32"/>
      <c r="C149" s="32"/>
      <c r="D149" s="32"/>
      <c r="E149" s="32"/>
      <c r="F149" s="30"/>
      <c r="G149" s="32"/>
      <c r="H149" s="34" t="n">
        <f aca="false">IF($G149="",0,IFERROR(INDEX(Einstellungen!$G$5:$G$11,MATCH($G149,Einstellungen!$E$5:$E$11,0)),0))</f>
        <v>0</v>
      </c>
      <c r="I149" s="35" t="str">
        <f aca="false">IF($G149="","-",IFERROR(INDEX(Einstellungen!$H$5:$H$11,MATCH($G149,Einstellungen!$E$5:$E$11,0)),"-"))</f>
        <v>-</v>
      </c>
      <c r="J149" s="35" t="str">
        <f aca="false">IF(AND(Einstellungen!$B$8="Ja",Einstellungen!$B$9="Effektiv"),$I149,"-")</f>
        <v>-</v>
      </c>
      <c r="K149" s="31" t="n">
        <f aca="false">IF(OR($F149="",$J149="-"),0,ROUND($F149-$F149/(1+$H149),2))</f>
        <v>0</v>
      </c>
      <c r="L149" s="31" t="n">
        <f aca="false">IF($F149="",0,$F149-$K149)</f>
        <v>0</v>
      </c>
      <c r="M149" s="31" t="n">
        <f aca="false">IF($F149="",0,IF($J149="V",$L149,$F149))</f>
        <v>0</v>
      </c>
      <c r="N149" s="31" t="n">
        <f aca="false">IF($F149="",0,IF($J149="U",$L149,$F149))</f>
        <v>0</v>
      </c>
      <c r="O149" s="35" t="str">
        <f aca="false">IF($A149="","",MONTH($A149))</f>
        <v/>
      </c>
      <c r="P149" s="35" t="str">
        <f aca="false">IF($A149="","",ROUNDUP(MONTH($A149)/3,0))</f>
        <v/>
      </c>
      <c r="Q149" s="35" t="str">
        <f aca="false">IF($A149="","",IF(MONTH($A149)&lt;=6,1,2))</f>
        <v/>
      </c>
      <c r="R149" s="35" t="str">
        <f aca="false">IF($E149="","",IFERROR(INDEX(Kontenplan!$F$5:$F$90,MATCH($E149,Kontenplan!$A$5:$A$90,0)),""))</f>
        <v/>
      </c>
      <c r="S149" s="35" t="str">
        <f aca="false">IF($D149="","",IFERROR(INDEX(Kontenplan!$F$5:$F$90,MATCH($D149,Kontenplan!$A$5:$A$90,0)),""))</f>
        <v/>
      </c>
      <c r="T149" s="35" t="str">
        <f aca="false">IF($D149="","",IFERROR(INDEX(Kontenplan!$C$5:$C$90,MATCH($D149,Kontenplan!$A$5:$A$90,0)),"?"))</f>
        <v/>
      </c>
      <c r="U149" s="35" t="str">
        <f aca="false">IF($E149="","",IFERROR(INDEX(Kontenplan!$C$5:$C$90,MATCH($E149,Kontenplan!$A$5:$A$90,0)),"?"))</f>
        <v/>
      </c>
      <c r="V149" s="35" t="str">
        <f aca="false">IF($F149="","",IF(OR($D149="",$E149="",$T149="?",$U149="?"),"Konto prüfen!",IF($A149="","Datum fehlt",IF(YEAR($A149)&lt;&gt;Einstellungen!$B$7,"anderes Jahr!",IF($G149="","MWST-Code fehlt","OK")))))</f>
        <v/>
      </c>
      <c r="W149" s="35" t="str">
        <f aca="false">IF($F149="","",IF(OR($D149=Kontoauszug!$C$4,$E149=Kontoauszug!$C$4),MAX(W$4:W148)+1,""))</f>
        <v/>
      </c>
    </row>
    <row r="150" customFormat="false" ht="15" hidden="false" customHeight="false" outlineLevel="0" collapsed="false">
      <c r="A150" s="33"/>
      <c r="B150" s="32"/>
      <c r="C150" s="32"/>
      <c r="D150" s="32"/>
      <c r="E150" s="32"/>
      <c r="F150" s="30"/>
      <c r="G150" s="32"/>
      <c r="H150" s="34" t="n">
        <f aca="false">IF($G150="",0,IFERROR(INDEX(Einstellungen!$G$5:$G$11,MATCH($G150,Einstellungen!$E$5:$E$11,0)),0))</f>
        <v>0</v>
      </c>
      <c r="I150" s="35" t="str">
        <f aca="false">IF($G150="","-",IFERROR(INDEX(Einstellungen!$H$5:$H$11,MATCH($G150,Einstellungen!$E$5:$E$11,0)),"-"))</f>
        <v>-</v>
      </c>
      <c r="J150" s="35" t="str">
        <f aca="false">IF(AND(Einstellungen!$B$8="Ja",Einstellungen!$B$9="Effektiv"),$I150,"-")</f>
        <v>-</v>
      </c>
      <c r="K150" s="31" t="n">
        <f aca="false">IF(OR($F150="",$J150="-"),0,ROUND($F150-$F150/(1+$H150),2))</f>
        <v>0</v>
      </c>
      <c r="L150" s="31" t="n">
        <f aca="false">IF($F150="",0,$F150-$K150)</f>
        <v>0</v>
      </c>
      <c r="M150" s="31" t="n">
        <f aca="false">IF($F150="",0,IF($J150="V",$L150,$F150))</f>
        <v>0</v>
      </c>
      <c r="N150" s="31" t="n">
        <f aca="false">IF($F150="",0,IF($J150="U",$L150,$F150))</f>
        <v>0</v>
      </c>
      <c r="O150" s="35" t="str">
        <f aca="false">IF($A150="","",MONTH($A150))</f>
        <v/>
      </c>
      <c r="P150" s="35" t="str">
        <f aca="false">IF($A150="","",ROUNDUP(MONTH($A150)/3,0))</f>
        <v/>
      </c>
      <c r="Q150" s="35" t="str">
        <f aca="false">IF($A150="","",IF(MONTH($A150)&lt;=6,1,2))</f>
        <v/>
      </c>
      <c r="R150" s="35" t="str">
        <f aca="false">IF($E150="","",IFERROR(INDEX(Kontenplan!$F$5:$F$90,MATCH($E150,Kontenplan!$A$5:$A$90,0)),""))</f>
        <v/>
      </c>
      <c r="S150" s="35" t="str">
        <f aca="false">IF($D150="","",IFERROR(INDEX(Kontenplan!$F$5:$F$90,MATCH($D150,Kontenplan!$A$5:$A$90,0)),""))</f>
        <v/>
      </c>
      <c r="T150" s="35" t="str">
        <f aca="false">IF($D150="","",IFERROR(INDEX(Kontenplan!$C$5:$C$90,MATCH($D150,Kontenplan!$A$5:$A$90,0)),"?"))</f>
        <v/>
      </c>
      <c r="U150" s="35" t="str">
        <f aca="false">IF($E150="","",IFERROR(INDEX(Kontenplan!$C$5:$C$90,MATCH($E150,Kontenplan!$A$5:$A$90,0)),"?"))</f>
        <v/>
      </c>
      <c r="V150" s="35" t="str">
        <f aca="false">IF($F150="","",IF(OR($D150="",$E150="",$T150="?",$U150="?"),"Konto prüfen!",IF($A150="","Datum fehlt",IF(YEAR($A150)&lt;&gt;Einstellungen!$B$7,"anderes Jahr!",IF($G150="","MWST-Code fehlt","OK")))))</f>
        <v/>
      </c>
      <c r="W150" s="35" t="str">
        <f aca="false">IF($F150="","",IF(OR($D150=Kontoauszug!$C$4,$E150=Kontoauszug!$C$4),MAX(W$4:W149)+1,""))</f>
        <v/>
      </c>
    </row>
    <row r="151" customFormat="false" ht="15" hidden="false" customHeight="false" outlineLevel="0" collapsed="false">
      <c r="A151" s="33"/>
      <c r="B151" s="32"/>
      <c r="C151" s="32"/>
      <c r="D151" s="32"/>
      <c r="E151" s="32"/>
      <c r="F151" s="30"/>
      <c r="G151" s="32"/>
      <c r="H151" s="34" t="n">
        <f aca="false">IF($G151="",0,IFERROR(INDEX(Einstellungen!$G$5:$G$11,MATCH($G151,Einstellungen!$E$5:$E$11,0)),0))</f>
        <v>0</v>
      </c>
      <c r="I151" s="35" t="str">
        <f aca="false">IF($G151="","-",IFERROR(INDEX(Einstellungen!$H$5:$H$11,MATCH($G151,Einstellungen!$E$5:$E$11,0)),"-"))</f>
        <v>-</v>
      </c>
      <c r="J151" s="35" t="str">
        <f aca="false">IF(AND(Einstellungen!$B$8="Ja",Einstellungen!$B$9="Effektiv"),$I151,"-")</f>
        <v>-</v>
      </c>
      <c r="K151" s="31" t="n">
        <f aca="false">IF(OR($F151="",$J151="-"),0,ROUND($F151-$F151/(1+$H151),2))</f>
        <v>0</v>
      </c>
      <c r="L151" s="31" t="n">
        <f aca="false">IF($F151="",0,$F151-$K151)</f>
        <v>0</v>
      </c>
      <c r="M151" s="31" t="n">
        <f aca="false">IF($F151="",0,IF($J151="V",$L151,$F151))</f>
        <v>0</v>
      </c>
      <c r="N151" s="31" t="n">
        <f aca="false">IF($F151="",0,IF($J151="U",$L151,$F151))</f>
        <v>0</v>
      </c>
      <c r="O151" s="35" t="str">
        <f aca="false">IF($A151="","",MONTH($A151))</f>
        <v/>
      </c>
      <c r="P151" s="35" t="str">
        <f aca="false">IF($A151="","",ROUNDUP(MONTH($A151)/3,0))</f>
        <v/>
      </c>
      <c r="Q151" s="35" t="str">
        <f aca="false">IF($A151="","",IF(MONTH($A151)&lt;=6,1,2))</f>
        <v/>
      </c>
      <c r="R151" s="35" t="str">
        <f aca="false">IF($E151="","",IFERROR(INDEX(Kontenplan!$F$5:$F$90,MATCH($E151,Kontenplan!$A$5:$A$90,0)),""))</f>
        <v/>
      </c>
      <c r="S151" s="35" t="str">
        <f aca="false">IF($D151="","",IFERROR(INDEX(Kontenplan!$F$5:$F$90,MATCH($D151,Kontenplan!$A$5:$A$90,0)),""))</f>
        <v/>
      </c>
      <c r="T151" s="35" t="str">
        <f aca="false">IF($D151="","",IFERROR(INDEX(Kontenplan!$C$5:$C$90,MATCH($D151,Kontenplan!$A$5:$A$90,0)),"?"))</f>
        <v/>
      </c>
      <c r="U151" s="35" t="str">
        <f aca="false">IF($E151="","",IFERROR(INDEX(Kontenplan!$C$5:$C$90,MATCH($E151,Kontenplan!$A$5:$A$90,0)),"?"))</f>
        <v/>
      </c>
      <c r="V151" s="35" t="str">
        <f aca="false">IF($F151="","",IF(OR($D151="",$E151="",$T151="?",$U151="?"),"Konto prüfen!",IF($A151="","Datum fehlt",IF(YEAR($A151)&lt;&gt;Einstellungen!$B$7,"anderes Jahr!",IF($G151="","MWST-Code fehlt","OK")))))</f>
        <v/>
      </c>
      <c r="W151" s="35" t="str">
        <f aca="false">IF($F151="","",IF(OR($D151=Kontoauszug!$C$4,$E151=Kontoauszug!$C$4),MAX(W$4:W150)+1,""))</f>
        <v/>
      </c>
    </row>
    <row r="152" customFormat="false" ht="15" hidden="false" customHeight="false" outlineLevel="0" collapsed="false">
      <c r="A152" s="33"/>
      <c r="B152" s="32"/>
      <c r="C152" s="32"/>
      <c r="D152" s="32"/>
      <c r="E152" s="32"/>
      <c r="F152" s="30"/>
      <c r="G152" s="32"/>
      <c r="H152" s="34" t="n">
        <f aca="false">IF($G152="",0,IFERROR(INDEX(Einstellungen!$G$5:$G$11,MATCH($G152,Einstellungen!$E$5:$E$11,0)),0))</f>
        <v>0</v>
      </c>
      <c r="I152" s="35" t="str">
        <f aca="false">IF($G152="","-",IFERROR(INDEX(Einstellungen!$H$5:$H$11,MATCH($G152,Einstellungen!$E$5:$E$11,0)),"-"))</f>
        <v>-</v>
      </c>
      <c r="J152" s="35" t="str">
        <f aca="false">IF(AND(Einstellungen!$B$8="Ja",Einstellungen!$B$9="Effektiv"),$I152,"-")</f>
        <v>-</v>
      </c>
      <c r="K152" s="31" t="n">
        <f aca="false">IF(OR($F152="",$J152="-"),0,ROUND($F152-$F152/(1+$H152),2))</f>
        <v>0</v>
      </c>
      <c r="L152" s="31" t="n">
        <f aca="false">IF($F152="",0,$F152-$K152)</f>
        <v>0</v>
      </c>
      <c r="M152" s="31" t="n">
        <f aca="false">IF($F152="",0,IF($J152="V",$L152,$F152))</f>
        <v>0</v>
      </c>
      <c r="N152" s="31" t="n">
        <f aca="false">IF($F152="",0,IF($J152="U",$L152,$F152))</f>
        <v>0</v>
      </c>
      <c r="O152" s="35" t="str">
        <f aca="false">IF($A152="","",MONTH($A152))</f>
        <v/>
      </c>
      <c r="P152" s="35" t="str">
        <f aca="false">IF($A152="","",ROUNDUP(MONTH($A152)/3,0))</f>
        <v/>
      </c>
      <c r="Q152" s="35" t="str">
        <f aca="false">IF($A152="","",IF(MONTH($A152)&lt;=6,1,2))</f>
        <v/>
      </c>
      <c r="R152" s="35" t="str">
        <f aca="false">IF($E152="","",IFERROR(INDEX(Kontenplan!$F$5:$F$90,MATCH($E152,Kontenplan!$A$5:$A$90,0)),""))</f>
        <v/>
      </c>
      <c r="S152" s="35" t="str">
        <f aca="false">IF($D152="","",IFERROR(INDEX(Kontenplan!$F$5:$F$90,MATCH($D152,Kontenplan!$A$5:$A$90,0)),""))</f>
        <v/>
      </c>
      <c r="T152" s="35" t="str">
        <f aca="false">IF($D152="","",IFERROR(INDEX(Kontenplan!$C$5:$C$90,MATCH($D152,Kontenplan!$A$5:$A$90,0)),"?"))</f>
        <v/>
      </c>
      <c r="U152" s="35" t="str">
        <f aca="false">IF($E152="","",IFERROR(INDEX(Kontenplan!$C$5:$C$90,MATCH($E152,Kontenplan!$A$5:$A$90,0)),"?"))</f>
        <v/>
      </c>
      <c r="V152" s="35" t="str">
        <f aca="false">IF($F152="","",IF(OR($D152="",$E152="",$T152="?",$U152="?"),"Konto prüfen!",IF($A152="","Datum fehlt",IF(YEAR($A152)&lt;&gt;Einstellungen!$B$7,"anderes Jahr!",IF($G152="","MWST-Code fehlt","OK")))))</f>
        <v/>
      </c>
      <c r="W152" s="35" t="str">
        <f aca="false">IF($F152="","",IF(OR($D152=Kontoauszug!$C$4,$E152=Kontoauszug!$C$4),MAX(W$4:W151)+1,""))</f>
        <v/>
      </c>
    </row>
    <row r="153" customFormat="false" ht="15" hidden="false" customHeight="false" outlineLevel="0" collapsed="false">
      <c r="A153" s="33"/>
      <c r="B153" s="32"/>
      <c r="C153" s="32"/>
      <c r="D153" s="32"/>
      <c r="E153" s="32"/>
      <c r="F153" s="30"/>
      <c r="G153" s="32"/>
      <c r="H153" s="34" t="n">
        <f aca="false">IF($G153="",0,IFERROR(INDEX(Einstellungen!$G$5:$G$11,MATCH($G153,Einstellungen!$E$5:$E$11,0)),0))</f>
        <v>0</v>
      </c>
      <c r="I153" s="35" t="str">
        <f aca="false">IF($G153="","-",IFERROR(INDEX(Einstellungen!$H$5:$H$11,MATCH($G153,Einstellungen!$E$5:$E$11,0)),"-"))</f>
        <v>-</v>
      </c>
      <c r="J153" s="35" t="str">
        <f aca="false">IF(AND(Einstellungen!$B$8="Ja",Einstellungen!$B$9="Effektiv"),$I153,"-")</f>
        <v>-</v>
      </c>
      <c r="K153" s="31" t="n">
        <f aca="false">IF(OR($F153="",$J153="-"),0,ROUND($F153-$F153/(1+$H153),2))</f>
        <v>0</v>
      </c>
      <c r="L153" s="31" t="n">
        <f aca="false">IF($F153="",0,$F153-$K153)</f>
        <v>0</v>
      </c>
      <c r="M153" s="31" t="n">
        <f aca="false">IF($F153="",0,IF($J153="V",$L153,$F153))</f>
        <v>0</v>
      </c>
      <c r="N153" s="31" t="n">
        <f aca="false">IF($F153="",0,IF($J153="U",$L153,$F153))</f>
        <v>0</v>
      </c>
      <c r="O153" s="35" t="str">
        <f aca="false">IF($A153="","",MONTH($A153))</f>
        <v/>
      </c>
      <c r="P153" s="35" t="str">
        <f aca="false">IF($A153="","",ROUNDUP(MONTH($A153)/3,0))</f>
        <v/>
      </c>
      <c r="Q153" s="35" t="str">
        <f aca="false">IF($A153="","",IF(MONTH($A153)&lt;=6,1,2))</f>
        <v/>
      </c>
      <c r="R153" s="35" t="str">
        <f aca="false">IF($E153="","",IFERROR(INDEX(Kontenplan!$F$5:$F$90,MATCH($E153,Kontenplan!$A$5:$A$90,0)),""))</f>
        <v/>
      </c>
      <c r="S153" s="35" t="str">
        <f aca="false">IF($D153="","",IFERROR(INDEX(Kontenplan!$F$5:$F$90,MATCH($D153,Kontenplan!$A$5:$A$90,0)),""))</f>
        <v/>
      </c>
      <c r="T153" s="35" t="str">
        <f aca="false">IF($D153="","",IFERROR(INDEX(Kontenplan!$C$5:$C$90,MATCH($D153,Kontenplan!$A$5:$A$90,0)),"?"))</f>
        <v/>
      </c>
      <c r="U153" s="35" t="str">
        <f aca="false">IF($E153="","",IFERROR(INDEX(Kontenplan!$C$5:$C$90,MATCH($E153,Kontenplan!$A$5:$A$90,0)),"?"))</f>
        <v/>
      </c>
      <c r="V153" s="35" t="str">
        <f aca="false">IF($F153="","",IF(OR($D153="",$E153="",$T153="?",$U153="?"),"Konto prüfen!",IF($A153="","Datum fehlt",IF(YEAR($A153)&lt;&gt;Einstellungen!$B$7,"anderes Jahr!",IF($G153="","MWST-Code fehlt","OK")))))</f>
        <v/>
      </c>
      <c r="W153" s="35" t="str">
        <f aca="false">IF($F153="","",IF(OR($D153=Kontoauszug!$C$4,$E153=Kontoauszug!$C$4),MAX(W$4:W152)+1,""))</f>
        <v/>
      </c>
    </row>
    <row r="154" customFormat="false" ht="15" hidden="false" customHeight="false" outlineLevel="0" collapsed="false">
      <c r="A154" s="33"/>
      <c r="B154" s="32"/>
      <c r="C154" s="32"/>
      <c r="D154" s="32"/>
      <c r="E154" s="32"/>
      <c r="F154" s="30"/>
      <c r="G154" s="32"/>
      <c r="H154" s="34" t="n">
        <f aca="false">IF($G154="",0,IFERROR(INDEX(Einstellungen!$G$5:$G$11,MATCH($G154,Einstellungen!$E$5:$E$11,0)),0))</f>
        <v>0</v>
      </c>
      <c r="I154" s="35" t="str">
        <f aca="false">IF($G154="","-",IFERROR(INDEX(Einstellungen!$H$5:$H$11,MATCH($G154,Einstellungen!$E$5:$E$11,0)),"-"))</f>
        <v>-</v>
      </c>
      <c r="J154" s="35" t="str">
        <f aca="false">IF(AND(Einstellungen!$B$8="Ja",Einstellungen!$B$9="Effektiv"),$I154,"-")</f>
        <v>-</v>
      </c>
      <c r="K154" s="31" t="n">
        <f aca="false">IF(OR($F154="",$J154="-"),0,ROUND($F154-$F154/(1+$H154),2))</f>
        <v>0</v>
      </c>
      <c r="L154" s="31" t="n">
        <f aca="false">IF($F154="",0,$F154-$K154)</f>
        <v>0</v>
      </c>
      <c r="M154" s="31" t="n">
        <f aca="false">IF($F154="",0,IF($J154="V",$L154,$F154))</f>
        <v>0</v>
      </c>
      <c r="N154" s="31" t="n">
        <f aca="false">IF($F154="",0,IF($J154="U",$L154,$F154))</f>
        <v>0</v>
      </c>
      <c r="O154" s="35" t="str">
        <f aca="false">IF($A154="","",MONTH($A154))</f>
        <v/>
      </c>
      <c r="P154" s="35" t="str">
        <f aca="false">IF($A154="","",ROUNDUP(MONTH($A154)/3,0))</f>
        <v/>
      </c>
      <c r="Q154" s="35" t="str">
        <f aca="false">IF($A154="","",IF(MONTH($A154)&lt;=6,1,2))</f>
        <v/>
      </c>
      <c r="R154" s="35" t="str">
        <f aca="false">IF($E154="","",IFERROR(INDEX(Kontenplan!$F$5:$F$90,MATCH($E154,Kontenplan!$A$5:$A$90,0)),""))</f>
        <v/>
      </c>
      <c r="S154" s="35" t="str">
        <f aca="false">IF($D154="","",IFERROR(INDEX(Kontenplan!$F$5:$F$90,MATCH($D154,Kontenplan!$A$5:$A$90,0)),""))</f>
        <v/>
      </c>
      <c r="T154" s="35" t="str">
        <f aca="false">IF($D154="","",IFERROR(INDEX(Kontenplan!$C$5:$C$90,MATCH($D154,Kontenplan!$A$5:$A$90,0)),"?"))</f>
        <v/>
      </c>
      <c r="U154" s="35" t="str">
        <f aca="false">IF($E154="","",IFERROR(INDEX(Kontenplan!$C$5:$C$90,MATCH($E154,Kontenplan!$A$5:$A$90,0)),"?"))</f>
        <v/>
      </c>
      <c r="V154" s="35" t="str">
        <f aca="false">IF($F154="","",IF(OR($D154="",$E154="",$T154="?",$U154="?"),"Konto prüfen!",IF($A154="","Datum fehlt",IF(YEAR($A154)&lt;&gt;Einstellungen!$B$7,"anderes Jahr!",IF($G154="","MWST-Code fehlt","OK")))))</f>
        <v/>
      </c>
      <c r="W154" s="35" t="str">
        <f aca="false">IF($F154="","",IF(OR($D154=Kontoauszug!$C$4,$E154=Kontoauszug!$C$4),MAX(W$4:W153)+1,""))</f>
        <v/>
      </c>
    </row>
    <row r="155" customFormat="false" ht="15" hidden="false" customHeight="false" outlineLevel="0" collapsed="false">
      <c r="A155" s="33"/>
      <c r="B155" s="32"/>
      <c r="C155" s="32"/>
      <c r="D155" s="32"/>
      <c r="E155" s="32"/>
      <c r="F155" s="30"/>
      <c r="G155" s="32"/>
      <c r="H155" s="34" t="n">
        <f aca="false">IF($G155="",0,IFERROR(INDEX(Einstellungen!$G$5:$G$11,MATCH($G155,Einstellungen!$E$5:$E$11,0)),0))</f>
        <v>0</v>
      </c>
      <c r="I155" s="35" t="str">
        <f aca="false">IF($G155="","-",IFERROR(INDEX(Einstellungen!$H$5:$H$11,MATCH($G155,Einstellungen!$E$5:$E$11,0)),"-"))</f>
        <v>-</v>
      </c>
      <c r="J155" s="35" t="str">
        <f aca="false">IF(AND(Einstellungen!$B$8="Ja",Einstellungen!$B$9="Effektiv"),$I155,"-")</f>
        <v>-</v>
      </c>
      <c r="K155" s="31" t="n">
        <f aca="false">IF(OR($F155="",$J155="-"),0,ROUND($F155-$F155/(1+$H155),2))</f>
        <v>0</v>
      </c>
      <c r="L155" s="31" t="n">
        <f aca="false">IF($F155="",0,$F155-$K155)</f>
        <v>0</v>
      </c>
      <c r="M155" s="31" t="n">
        <f aca="false">IF($F155="",0,IF($J155="V",$L155,$F155))</f>
        <v>0</v>
      </c>
      <c r="N155" s="31" t="n">
        <f aca="false">IF($F155="",0,IF($J155="U",$L155,$F155))</f>
        <v>0</v>
      </c>
      <c r="O155" s="35" t="str">
        <f aca="false">IF($A155="","",MONTH($A155))</f>
        <v/>
      </c>
      <c r="P155" s="35" t="str">
        <f aca="false">IF($A155="","",ROUNDUP(MONTH($A155)/3,0))</f>
        <v/>
      </c>
      <c r="Q155" s="35" t="str">
        <f aca="false">IF($A155="","",IF(MONTH($A155)&lt;=6,1,2))</f>
        <v/>
      </c>
      <c r="R155" s="35" t="str">
        <f aca="false">IF($E155="","",IFERROR(INDEX(Kontenplan!$F$5:$F$90,MATCH($E155,Kontenplan!$A$5:$A$90,0)),""))</f>
        <v/>
      </c>
      <c r="S155" s="35" t="str">
        <f aca="false">IF($D155="","",IFERROR(INDEX(Kontenplan!$F$5:$F$90,MATCH($D155,Kontenplan!$A$5:$A$90,0)),""))</f>
        <v/>
      </c>
      <c r="T155" s="35" t="str">
        <f aca="false">IF($D155="","",IFERROR(INDEX(Kontenplan!$C$5:$C$90,MATCH($D155,Kontenplan!$A$5:$A$90,0)),"?"))</f>
        <v/>
      </c>
      <c r="U155" s="35" t="str">
        <f aca="false">IF($E155="","",IFERROR(INDEX(Kontenplan!$C$5:$C$90,MATCH($E155,Kontenplan!$A$5:$A$90,0)),"?"))</f>
        <v/>
      </c>
      <c r="V155" s="35" t="str">
        <f aca="false">IF($F155="","",IF(OR($D155="",$E155="",$T155="?",$U155="?"),"Konto prüfen!",IF($A155="","Datum fehlt",IF(YEAR($A155)&lt;&gt;Einstellungen!$B$7,"anderes Jahr!",IF($G155="","MWST-Code fehlt","OK")))))</f>
        <v/>
      </c>
      <c r="W155" s="35" t="str">
        <f aca="false">IF($F155="","",IF(OR($D155=Kontoauszug!$C$4,$E155=Kontoauszug!$C$4),MAX(W$4:W154)+1,""))</f>
        <v/>
      </c>
    </row>
    <row r="156" customFormat="false" ht="15" hidden="false" customHeight="false" outlineLevel="0" collapsed="false">
      <c r="A156" s="33"/>
      <c r="B156" s="32"/>
      <c r="C156" s="32"/>
      <c r="D156" s="32"/>
      <c r="E156" s="32"/>
      <c r="F156" s="30"/>
      <c r="G156" s="32"/>
      <c r="H156" s="34" t="n">
        <f aca="false">IF($G156="",0,IFERROR(INDEX(Einstellungen!$G$5:$G$11,MATCH($G156,Einstellungen!$E$5:$E$11,0)),0))</f>
        <v>0</v>
      </c>
      <c r="I156" s="35" t="str">
        <f aca="false">IF($G156="","-",IFERROR(INDEX(Einstellungen!$H$5:$H$11,MATCH($G156,Einstellungen!$E$5:$E$11,0)),"-"))</f>
        <v>-</v>
      </c>
      <c r="J156" s="35" t="str">
        <f aca="false">IF(AND(Einstellungen!$B$8="Ja",Einstellungen!$B$9="Effektiv"),$I156,"-")</f>
        <v>-</v>
      </c>
      <c r="K156" s="31" t="n">
        <f aca="false">IF(OR($F156="",$J156="-"),0,ROUND($F156-$F156/(1+$H156),2))</f>
        <v>0</v>
      </c>
      <c r="L156" s="31" t="n">
        <f aca="false">IF($F156="",0,$F156-$K156)</f>
        <v>0</v>
      </c>
      <c r="M156" s="31" t="n">
        <f aca="false">IF($F156="",0,IF($J156="V",$L156,$F156))</f>
        <v>0</v>
      </c>
      <c r="N156" s="31" t="n">
        <f aca="false">IF($F156="",0,IF($J156="U",$L156,$F156))</f>
        <v>0</v>
      </c>
      <c r="O156" s="35" t="str">
        <f aca="false">IF($A156="","",MONTH($A156))</f>
        <v/>
      </c>
      <c r="P156" s="35" t="str">
        <f aca="false">IF($A156="","",ROUNDUP(MONTH($A156)/3,0))</f>
        <v/>
      </c>
      <c r="Q156" s="35" t="str">
        <f aca="false">IF($A156="","",IF(MONTH($A156)&lt;=6,1,2))</f>
        <v/>
      </c>
      <c r="R156" s="35" t="str">
        <f aca="false">IF($E156="","",IFERROR(INDEX(Kontenplan!$F$5:$F$90,MATCH($E156,Kontenplan!$A$5:$A$90,0)),""))</f>
        <v/>
      </c>
      <c r="S156" s="35" t="str">
        <f aca="false">IF($D156="","",IFERROR(INDEX(Kontenplan!$F$5:$F$90,MATCH($D156,Kontenplan!$A$5:$A$90,0)),""))</f>
        <v/>
      </c>
      <c r="T156" s="35" t="str">
        <f aca="false">IF($D156="","",IFERROR(INDEX(Kontenplan!$C$5:$C$90,MATCH($D156,Kontenplan!$A$5:$A$90,0)),"?"))</f>
        <v/>
      </c>
      <c r="U156" s="35" t="str">
        <f aca="false">IF($E156="","",IFERROR(INDEX(Kontenplan!$C$5:$C$90,MATCH($E156,Kontenplan!$A$5:$A$90,0)),"?"))</f>
        <v/>
      </c>
      <c r="V156" s="35" t="str">
        <f aca="false">IF($F156="","",IF(OR($D156="",$E156="",$T156="?",$U156="?"),"Konto prüfen!",IF($A156="","Datum fehlt",IF(YEAR($A156)&lt;&gt;Einstellungen!$B$7,"anderes Jahr!",IF($G156="","MWST-Code fehlt","OK")))))</f>
        <v/>
      </c>
      <c r="W156" s="35" t="str">
        <f aca="false">IF($F156="","",IF(OR($D156=Kontoauszug!$C$4,$E156=Kontoauszug!$C$4),MAX(W$4:W155)+1,""))</f>
        <v/>
      </c>
    </row>
    <row r="157" customFormat="false" ht="15" hidden="false" customHeight="false" outlineLevel="0" collapsed="false">
      <c r="A157" s="33"/>
      <c r="B157" s="32"/>
      <c r="C157" s="32"/>
      <c r="D157" s="32"/>
      <c r="E157" s="32"/>
      <c r="F157" s="30"/>
      <c r="G157" s="32"/>
      <c r="H157" s="34" t="n">
        <f aca="false">IF($G157="",0,IFERROR(INDEX(Einstellungen!$G$5:$G$11,MATCH($G157,Einstellungen!$E$5:$E$11,0)),0))</f>
        <v>0</v>
      </c>
      <c r="I157" s="35" t="str">
        <f aca="false">IF($G157="","-",IFERROR(INDEX(Einstellungen!$H$5:$H$11,MATCH($G157,Einstellungen!$E$5:$E$11,0)),"-"))</f>
        <v>-</v>
      </c>
      <c r="J157" s="35" t="str">
        <f aca="false">IF(AND(Einstellungen!$B$8="Ja",Einstellungen!$B$9="Effektiv"),$I157,"-")</f>
        <v>-</v>
      </c>
      <c r="K157" s="31" t="n">
        <f aca="false">IF(OR($F157="",$J157="-"),0,ROUND($F157-$F157/(1+$H157),2))</f>
        <v>0</v>
      </c>
      <c r="L157" s="31" t="n">
        <f aca="false">IF($F157="",0,$F157-$K157)</f>
        <v>0</v>
      </c>
      <c r="M157" s="31" t="n">
        <f aca="false">IF($F157="",0,IF($J157="V",$L157,$F157))</f>
        <v>0</v>
      </c>
      <c r="N157" s="31" t="n">
        <f aca="false">IF($F157="",0,IF($J157="U",$L157,$F157))</f>
        <v>0</v>
      </c>
      <c r="O157" s="35" t="str">
        <f aca="false">IF($A157="","",MONTH($A157))</f>
        <v/>
      </c>
      <c r="P157" s="35" t="str">
        <f aca="false">IF($A157="","",ROUNDUP(MONTH($A157)/3,0))</f>
        <v/>
      </c>
      <c r="Q157" s="35" t="str">
        <f aca="false">IF($A157="","",IF(MONTH($A157)&lt;=6,1,2))</f>
        <v/>
      </c>
      <c r="R157" s="35" t="str">
        <f aca="false">IF($E157="","",IFERROR(INDEX(Kontenplan!$F$5:$F$90,MATCH($E157,Kontenplan!$A$5:$A$90,0)),""))</f>
        <v/>
      </c>
      <c r="S157" s="35" t="str">
        <f aca="false">IF($D157="","",IFERROR(INDEX(Kontenplan!$F$5:$F$90,MATCH($D157,Kontenplan!$A$5:$A$90,0)),""))</f>
        <v/>
      </c>
      <c r="T157" s="35" t="str">
        <f aca="false">IF($D157="","",IFERROR(INDEX(Kontenplan!$C$5:$C$90,MATCH($D157,Kontenplan!$A$5:$A$90,0)),"?"))</f>
        <v/>
      </c>
      <c r="U157" s="35" t="str">
        <f aca="false">IF($E157="","",IFERROR(INDEX(Kontenplan!$C$5:$C$90,MATCH($E157,Kontenplan!$A$5:$A$90,0)),"?"))</f>
        <v/>
      </c>
      <c r="V157" s="35" t="str">
        <f aca="false">IF($F157="","",IF(OR($D157="",$E157="",$T157="?",$U157="?"),"Konto prüfen!",IF($A157="","Datum fehlt",IF(YEAR($A157)&lt;&gt;Einstellungen!$B$7,"anderes Jahr!",IF($G157="","MWST-Code fehlt","OK")))))</f>
        <v/>
      </c>
      <c r="W157" s="35" t="str">
        <f aca="false">IF($F157="","",IF(OR($D157=Kontoauszug!$C$4,$E157=Kontoauszug!$C$4),MAX(W$4:W156)+1,""))</f>
        <v/>
      </c>
    </row>
    <row r="158" customFormat="false" ht="15" hidden="false" customHeight="false" outlineLevel="0" collapsed="false">
      <c r="A158" s="33"/>
      <c r="B158" s="32"/>
      <c r="C158" s="32"/>
      <c r="D158" s="32"/>
      <c r="E158" s="32"/>
      <c r="F158" s="30"/>
      <c r="G158" s="32"/>
      <c r="H158" s="34" t="n">
        <f aca="false">IF($G158="",0,IFERROR(INDEX(Einstellungen!$G$5:$G$11,MATCH($G158,Einstellungen!$E$5:$E$11,0)),0))</f>
        <v>0</v>
      </c>
      <c r="I158" s="35" t="str">
        <f aca="false">IF($G158="","-",IFERROR(INDEX(Einstellungen!$H$5:$H$11,MATCH($G158,Einstellungen!$E$5:$E$11,0)),"-"))</f>
        <v>-</v>
      </c>
      <c r="J158" s="35" t="str">
        <f aca="false">IF(AND(Einstellungen!$B$8="Ja",Einstellungen!$B$9="Effektiv"),$I158,"-")</f>
        <v>-</v>
      </c>
      <c r="K158" s="31" t="n">
        <f aca="false">IF(OR($F158="",$J158="-"),0,ROUND($F158-$F158/(1+$H158),2))</f>
        <v>0</v>
      </c>
      <c r="L158" s="31" t="n">
        <f aca="false">IF($F158="",0,$F158-$K158)</f>
        <v>0</v>
      </c>
      <c r="M158" s="31" t="n">
        <f aca="false">IF($F158="",0,IF($J158="V",$L158,$F158))</f>
        <v>0</v>
      </c>
      <c r="N158" s="31" t="n">
        <f aca="false">IF($F158="",0,IF($J158="U",$L158,$F158))</f>
        <v>0</v>
      </c>
      <c r="O158" s="35" t="str">
        <f aca="false">IF($A158="","",MONTH($A158))</f>
        <v/>
      </c>
      <c r="P158" s="35" t="str">
        <f aca="false">IF($A158="","",ROUNDUP(MONTH($A158)/3,0))</f>
        <v/>
      </c>
      <c r="Q158" s="35" t="str">
        <f aca="false">IF($A158="","",IF(MONTH($A158)&lt;=6,1,2))</f>
        <v/>
      </c>
      <c r="R158" s="35" t="str">
        <f aca="false">IF($E158="","",IFERROR(INDEX(Kontenplan!$F$5:$F$90,MATCH($E158,Kontenplan!$A$5:$A$90,0)),""))</f>
        <v/>
      </c>
      <c r="S158" s="35" t="str">
        <f aca="false">IF($D158="","",IFERROR(INDEX(Kontenplan!$F$5:$F$90,MATCH($D158,Kontenplan!$A$5:$A$90,0)),""))</f>
        <v/>
      </c>
      <c r="T158" s="35" t="str">
        <f aca="false">IF($D158="","",IFERROR(INDEX(Kontenplan!$C$5:$C$90,MATCH($D158,Kontenplan!$A$5:$A$90,0)),"?"))</f>
        <v/>
      </c>
      <c r="U158" s="35" t="str">
        <f aca="false">IF($E158="","",IFERROR(INDEX(Kontenplan!$C$5:$C$90,MATCH($E158,Kontenplan!$A$5:$A$90,0)),"?"))</f>
        <v/>
      </c>
      <c r="V158" s="35" t="str">
        <f aca="false">IF($F158="","",IF(OR($D158="",$E158="",$T158="?",$U158="?"),"Konto prüfen!",IF($A158="","Datum fehlt",IF(YEAR($A158)&lt;&gt;Einstellungen!$B$7,"anderes Jahr!",IF($G158="","MWST-Code fehlt","OK")))))</f>
        <v/>
      </c>
      <c r="W158" s="35" t="str">
        <f aca="false">IF($F158="","",IF(OR($D158=Kontoauszug!$C$4,$E158=Kontoauszug!$C$4),MAX(W$4:W157)+1,""))</f>
        <v/>
      </c>
    </row>
    <row r="159" customFormat="false" ht="15" hidden="false" customHeight="false" outlineLevel="0" collapsed="false">
      <c r="A159" s="33"/>
      <c r="B159" s="32"/>
      <c r="C159" s="32"/>
      <c r="D159" s="32"/>
      <c r="E159" s="32"/>
      <c r="F159" s="30"/>
      <c r="G159" s="32"/>
      <c r="H159" s="34" t="n">
        <f aca="false">IF($G159="",0,IFERROR(INDEX(Einstellungen!$G$5:$G$11,MATCH($G159,Einstellungen!$E$5:$E$11,0)),0))</f>
        <v>0</v>
      </c>
      <c r="I159" s="35" t="str">
        <f aca="false">IF($G159="","-",IFERROR(INDEX(Einstellungen!$H$5:$H$11,MATCH($G159,Einstellungen!$E$5:$E$11,0)),"-"))</f>
        <v>-</v>
      </c>
      <c r="J159" s="35" t="str">
        <f aca="false">IF(AND(Einstellungen!$B$8="Ja",Einstellungen!$B$9="Effektiv"),$I159,"-")</f>
        <v>-</v>
      </c>
      <c r="K159" s="31" t="n">
        <f aca="false">IF(OR($F159="",$J159="-"),0,ROUND($F159-$F159/(1+$H159),2))</f>
        <v>0</v>
      </c>
      <c r="L159" s="31" t="n">
        <f aca="false">IF($F159="",0,$F159-$K159)</f>
        <v>0</v>
      </c>
      <c r="M159" s="31" t="n">
        <f aca="false">IF($F159="",0,IF($J159="V",$L159,$F159))</f>
        <v>0</v>
      </c>
      <c r="N159" s="31" t="n">
        <f aca="false">IF($F159="",0,IF($J159="U",$L159,$F159))</f>
        <v>0</v>
      </c>
      <c r="O159" s="35" t="str">
        <f aca="false">IF($A159="","",MONTH($A159))</f>
        <v/>
      </c>
      <c r="P159" s="35" t="str">
        <f aca="false">IF($A159="","",ROUNDUP(MONTH($A159)/3,0))</f>
        <v/>
      </c>
      <c r="Q159" s="35" t="str">
        <f aca="false">IF($A159="","",IF(MONTH($A159)&lt;=6,1,2))</f>
        <v/>
      </c>
      <c r="R159" s="35" t="str">
        <f aca="false">IF($E159="","",IFERROR(INDEX(Kontenplan!$F$5:$F$90,MATCH($E159,Kontenplan!$A$5:$A$90,0)),""))</f>
        <v/>
      </c>
      <c r="S159" s="35" t="str">
        <f aca="false">IF($D159="","",IFERROR(INDEX(Kontenplan!$F$5:$F$90,MATCH($D159,Kontenplan!$A$5:$A$90,0)),""))</f>
        <v/>
      </c>
      <c r="T159" s="35" t="str">
        <f aca="false">IF($D159="","",IFERROR(INDEX(Kontenplan!$C$5:$C$90,MATCH($D159,Kontenplan!$A$5:$A$90,0)),"?"))</f>
        <v/>
      </c>
      <c r="U159" s="35" t="str">
        <f aca="false">IF($E159="","",IFERROR(INDEX(Kontenplan!$C$5:$C$90,MATCH($E159,Kontenplan!$A$5:$A$90,0)),"?"))</f>
        <v/>
      </c>
      <c r="V159" s="35" t="str">
        <f aca="false">IF($F159="","",IF(OR($D159="",$E159="",$T159="?",$U159="?"),"Konto prüfen!",IF($A159="","Datum fehlt",IF(YEAR($A159)&lt;&gt;Einstellungen!$B$7,"anderes Jahr!",IF($G159="","MWST-Code fehlt","OK")))))</f>
        <v/>
      </c>
      <c r="W159" s="35" t="str">
        <f aca="false">IF($F159="","",IF(OR($D159=Kontoauszug!$C$4,$E159=Kontoauszug!$C$4),MAX(W$4:W158)+1,""))</f>
        <v/>
      </c>
    </row>
    <row r="160" customFormat="false" ht="15" hidden="false" customHeight="false" outlineLevel="0" collapsed="false">
      <c r="A160" s="33"/>
      <c r="B160" s="32"/>
      <c r="C160" s="32"/>
      <c r="D160" s="32"/>
      <c r="E160" s="32"/>
      <c r="F160" s="30"/>
      <c r="G160" s="32"/>
      <c r="H160" s="34" t="n">
        <f aca="false">IF($G160="",0,IFERROR(INDEX(Einstellungen!$G$5:$G$11,MATCH($G160,Einstellungen!$E$5:$E$11,0)),0))</f>
        <v>0</v>
      </c>
      <c r="I160" s="35" t="str">
        <f aca="false">IF($G160="","-",IFERROR(INDEX(Einstellungen!$H$5:$H$11,MATCH($G160,Einstellungen!$E$5:$E$11,0)),"-"))</f>
        <v>-</v>
      </c>
      <c r="J160" s="35" t="str">
        <f aca="false">IF(AND(Einstellungen!$B$8="Ja",Einstellungen!$B$9="Effektiv"),$I160,"-")</f>
        <v>-</v>
      </c>
      <c r="K160" s="31" t="n">
        <f aca="false">IF(OR($F160="",$J160="-"),0,ROUND($F160-$F160/(1+$H160),2))</f>
        <v>0</v>
      </c>
      <c r="L160" s="31" t="n">
        <f aca="false">IF($F160="",0,$F160-$K160)</f>
        <v>0</v>
      </c>
      <c r="M160" s="31" t="n">
        <f aca="false">IF($F160="",0,IF($J160="V",$L160,$F160))</f>
        <v>0</v>
      </c>
      <c r="N160" s="31" t="n">
        <f aca="false">IF($F160="",0,IF($J160="U",$L160,$F160))</f>
        <v>0</v>
      </c>
      <c r="O160" s="35" t="str">
        <f aca="false">IF($A160="","",MONTH($A160))</f>
        <v/>
      </c>
      <c r="P160" s="35" t="str">
        <f aca="false">IF($A160="","",ROUNDUP(MONTH($A160)/3,0))</f>
        <v/>
      </c>
      <c r="Q160" s="35" t="str">
        <f aca="false">IF($A160="","",IF(MONTH($A160)&lt;=6,1,2))</f>
        <v/>
      </c>
      <c r="R160" s="35" t="str">
        <f aca="false">IF($E160="","",IFERROR(INDEX(Kontenplan!$F$5:$F$90,MATCH($E160,Kontenplan!$A$5:$A$90,0)),""))</f>
        <v/>
      </c>
      <c r="S160" s="35" t="str">
        <f aca="false">IF($D160="","",IFERROR(INDEX(Kontenplan!$F$5:$F$90,MATCH($D160,Kontenplan!$A$5:$A$90,0)),""))</f>
        <v/>
      </c>
      <c r="T160" s="35" t="str">
        <f aca="false">IF($D160="","",IFERROR(INDEX(Kontenplan!$C$5:$C$90,MATCH($D160,Kontenplan!$A$5:$A$90,0)),"?"))</f>
        <v/>
      </c>
      <c r="U160" s="35" t="str">
        <f aca="false">IF($E160="","",IFERROR(INDEX(Kontenplan!$C$5:$C$90,MATCH($E160,Kontenplan!$A$5:$A$90,0)),"?"))</f>
        <v/>
      </c>
      <c r="V160" s="35" t="str">
        <f aca="false">IF($F160="","",IF(OR($D160="",$E160="",$T160="?",$U160="?"),"Konto prüfen!",IF($A160="","Datum fehlt",IF(YEAR($A160)&lt;&gt;Einstellungen!$B$7,"anderes Jahr!",IF($G160="","MWST-Code fehlt","OK")))))</f>
        <v/>
      </c>
      <c r="W160" s="35" t="str">
        <f aca="false">IF($F160="","",IF(OR($D160=Kontoauszug!$C$4,$E160=Kontoauszug!$C$4),MAX(W$4:W159)+1,""))</f>
        <v/>
      </c>
    </row>
    <row r="161" customFormat="false" ht="15" hidden="false" customHeight="false" outlineLevel="0" collapsed="false">
      <c r="A161" s="33"/>
      <c r="B161" s="32"/>
      <c r="C161" s="32"/>
      <c r="D161" s="32"/>
      <c r="E161" s="32"/>
      <c r="F161" s="30"/>
      <c r="G161" s="32"/>
      <c r="H161" s="34" t="n">
        <f aca="false">IF($G161="",0,IFERROR(INDEX(Einstellungen!$G$5:$G$11,MATCH($G161,Einstellungen!$E$5:$E$11,0)),0))</f>
        <v>0</v>
      </c>
      <c r="I161" s="35" t="str">
        <f aca="false">IF($G161="","-",IFERROR(INDEX(Einstellungen!$H$5:$H$11,MATCH($G161,Einstellungen!$E$5:$E$11,0)),"-"))</f>
        <v>-</v>
      </c>
      <c r="J161" s="35" t="str">
        <f aca="false">IF(AND(Einstellungen!$B$8="Ja",Einstellungen!$B$9="Effektiv"),$I161,"-")</f>
        <v>-</v>
      </c>
      <c r="K161" s="31" t="n">
        <f aca="false">IF(OR($F161="",$J161="-"),0,ROUND($F161-$F161/(1+$H161),2))</f>
        <v>0</v>
      </c>
      <c r="L161" s="31" t="n">
        <f aca="false">IF($F161="",0,$F161-$K161)</f>
        <v>0</v>
      </c>
      <c r="M161" s="31" t="n">
        <f aca="false">IF($F161="",0,IF($J161="V",$L161,$F161))</f>
        <v>0</v>
      </c>
      <c r="N161" s="31" t="n">
        <f aca="false">IF($F161="",0,IF($J161="U",$L161,$F161))</f>
        <v>0</v>
      </c>
      <c r="O161" s="35" t="str">
        <f aca="false">IF($A161="","",MONTH($A161))</f>
        <v/>
      </c>
      <c r="P161" s="35" t="str">
        <f aca="false">IF($A161="","",ROUNDUP(MONTH($A161)/3,0))</f>
        <v/>
      </c>
      <c r="Q161" s="35" t="str">
        <f aca="false">IF($A161="","",IF(MONTH($A161)&lt;=6,1,2))</f>
        <v/>
      </c>
      <c r="R161" s="35" t="str">
        <f aca="false">IF($E161="","",IFERROR(INDEX(Kontenplan!$F$5:$F$90,MATCH($E161,Kontenplan!$A$5:$A$90,0)),""))</f>
        <v/>
      </c>
      <c r="S161" s="35" t="str">
        <f aca="false">IF($D161="","",IFERROR(INDEX(Kontenplan!$F$5:$F$90,MATCH($D161,Kontenplan!$A$5:$A$90,0)),""))</f>
        <v/>
      </c>
      <c r="T161" s="35" t="str">
        <f aca="false">IF($D161="","",IFERROR(INDEX(Kontenplan!$C$5:$C$90,MATCH($D161,Kontenplan!$A$5:$A$90,0)),"?"))</f>
        <v/>
      </c>
      <c r="U161" s="35" t="str">
        <f aca="false">IF($E161="","",IFERROR(INDEX(Kontenplan!$C$5:$C$90,MATCH($E161,Kontenplan!$A$5:$A$90,0)),"?"))</f>
        <v/>
      </c>
      <c r="V161" s="35" t="str">
        <f aca="false">IF($F161="","",IF(OR($D161="",$E161="",$T161="?",$U161="?"),"Konto prüfen!",IF($A161="","Datum fehlt",IF(YEAR($A161)&lt;&gt;Einstellungen!$B$7,"anderes Jahr!",IF($G161="","MWST-Code fehlt","OK")))))</f>
        <v/>
      </c>
      <c r="W161" s="35" t="str">
        <f aca="false">IF($F161="","",IF(OR($D161=Kontoauszug!$C$4,$E161=Kontoauszug!$C$4),MAX(W$4:W160)+1,""))</f>
        <v/>
      </c>
    </row>
    <row r="162" customFormat="false" ht="15" hidden="false" customHeight="false" outlineLevel="0" collapsed="false">
      <c r="A162" s="33"/>
      <c r="B162" s="32"/>
      <c r="C162" s="32"/>
      <c r="D162" s="32"/>
      <c r="E162" s="32"/>
      <c r="F162" s="30"/>
      <c r="G162" s="32"/>
      <c r="H162" s="34" t="n">
        <f aca="false">IF($G162="",0,IFERROR(INDEX(Einstellungen!$G$5:$G$11,MATCH($G162,Einstellungen!$E$5:$E$11,0)),0))</f>
        <v>0</v>
      </c>
      <c r="I162" s="35" t="str">
        <f aca="false">IF($G162="","-",IFERROR(INDEX(Einstellungen!$H$5:$H$11,MATCH($G162,Einstellungen!$E$5:$E$11,0)),"-"))</f>
        <v>-</v>
      </c>
      <c r="J162" s="35" t="str">
        <f aca="false">IF(AND(Einstellungen!$B$8="Ja",Einstellungen!$B$9="Effektiv"),$I162,"-")</f>
        <v>-</v>
      </c>
      <c r="K162" s="31" t="n">
        <f aca="false">IF(OR($F162="",$J162="-"),0,ROUND($F162-$F162/(1+$H162),2))</f>
        <v>0</v>
      </c>
      <c r="L162" s="31" t="n">
        <f aca="false">IF($F162="",0,$F162-$K162)</f>
        <v>0</v>
      </c>
      <c r="M162" s="31" t="n">
        <f aca="false">IF($F162="",0,IF($J162="V",$L162,$F162))</f>
        <v>0</v>
      </c>
      <c r="N162" s="31" t="n">
        <f aca="false">IF($F162="",0,IF($J162="U",$L162,$F162))</f>
        <v>0</v>
      </c>
      <c r="O162" s="35" t="str">
        <f aca="false">IF($A162="","",MONTH($A162))</f>
        <v/>
      </c>
      <c r="P162" s="35" t="str">
        <f aca="false">IF($A162="","",ROUNDUP(MONTH($A162)/3,0))</f>
        <v/>
      </c>
      <c r="Q162" s="35" t="str">
        <f aca="false">IF($A162="","",IF(MONTH($A162)&lt;=6,1,2))</f>
        <v/>
      </c>
      <c r="R162" s="35" t="str">
        <f aca="false">IF($E162="","",IFERROR(INDEX(Kontenplan!$F$5:$F$90,MATCH($E162,Kontenplan!$A$5:$A$90,0)),""))</f>
        <v/>
      </c>
      <c r="S162" s="35" t="str">
        <f aca="false">IF($D162="","",IFERROR(INDEX(Kontenplan!$F$5:$F$90,MATCH($D162,Kontenplan!$A$5:$A$90,0)),""))</f>
        <v/>
      </c>
      <c r="T162" s="35" t="str">
        <f aca="false">IF($D162="","",IFERROR(INDEX(Kontenplan!$C$5:$C$90,MATCH($D162,Kontenplan!$A$5:$A$90,0)),"?"))</f>
        <v/>
      </c>
      <c r="U162" s="35" t="str">
        <f aca="false">IF($E162="","",IFERROR(INDEX(Kontenplan!$C$5:$C$90,MATCH($E162,Kontenplan!$A$5:$A$90,0)),"?"))</f>
        <v/>
      </c>
      <c r="V162" s="35" t="str">
        <f aca="false">IF($F162="","",IF(OR($D162="",$E162="",$T162="?",$U162="?"),"Konto prüfen!",IF($A162="","Datum fehlt",IF(YEAR($A162)&lt;&gt;Einstellungen!$B$7,"anderes Jahr!",IF($G162="","MWST-Code fehlt","OK")))))</f>
        <v/>
      </c>
      <c r="W162" s="35" t="str">
        <f aca="false">IF($F162="","",IF(OR($D162=Kontoauszug!$C$4,$E162=Kontoauszug!$C$4),MAX(W$4:W161)+1,""))</f>
        <v/>
      </c>
    </row>
    <row r="163" customFormat="false" ht="15" hidden="false" customHeight="false" outlineLevel="0" collapsed="false">
      <c r="A163" s="33"/>
      <c r="B163" s="32"/>
      <c r="C163" s="32"/>
      <c r="D163" s="32"/>
      <c r="E163" s="32"/>
      <c r="F163" s="30"/>
      <c r="G163" s="32"/>
      <c r="H163" s="34" t="n">
        <f aca="false">IF($G163="",0,IFERROR(INDEX(Einstellungen!$G$5:$G$11,MATCH($G163,Einstellungen!$E$5:$E$11,0)),0))</f>
        <v>0</v>
      </c>
      <c r="I163" s="35" t="str">
        <f aca="false">IF($G163="","-",IFERROR(INDEX(Einstellungen!$H$5:$H$11,MATCH($G163,Einstellungen!$E$5:$E$11,0)),"-"))</f>
        <v>-</v>
      </c>
      <c r="J163" s="35" t="str">
        <f aca="false">IF(AND(Einstellungen!$B$8="Ja",Einstellungen!$B$9="Effektiv"),$I163,"-")</f>
        <v>-</v>
      </c>
      <c r="K163" s="31" t="n">
        <f aca="false">IF(OR($F163="",$J163="-"),0,ROUND($F163-$F163/(1+$H163),2))</f>
        <v>0</v>
      </c>
      <c r="L163" s="31" t="n">
        <f aca="false">IF($F163="",0,$F163-$K163)</f>
        <v>0</v>
      </c>
      <c r="M163" s="31" t="n">
        <f aca="false">IF($F163="",0,IF($J163="V",$L163,$F163))</f>
        <v>0</v>
      </c>
      <c r="N163" s="31" t="n">
        <f aca="false">IF($F163="",0,IF($J163="U",$L163,$F163))</f>
        <v>0</v>
      </c>
      <c r="O163" s="35" t="str">
        <f aca="false">IF($A163="","",MONTH($A163))</f>
        <v/>
      </c>
      <c r="P163" s="35" t="str">
        <f aca="false">IF($A163="","",ROUNDUP(MONTH($A163)/3,0))</f>
        <v/>
      </c>
      <c r="Q163" s="35" t="str">
        <f aca="false">IF($A163="","",IF(MONTH($A163)&lt;=6,1,2))</f>
        <v/>
      </c>
      <c r="R163" s="35" t="str">
        <f aca="false">IF($E163="","",IFERROR(INDEX(Kontenplan!$F$5:$F$90,MATCH($E163,Kontenplan!$A$5:$A$90,0)),""))</f>
        <v/>
      </c>
      <c r="S163" s="35" t="str">
        <f aca="false">IF($D163="","",IFERROR(INDEX(Kontenplan!$F$5:$F$90,MATCH($D163,Kontenplan!$A$5:$A$90,0)),""))</f>
        <v/>
      </c>
      <c r="T163" s="35" t="str">
        <f aca="false">IF($D163="","",IFERROR(INDEX(Kontenplan!$C$5:$C$90,MATCH($D163,Kontenplan!$A$5:$A$90,0)),"?"))</f>
        <v/>
      </c>
      <c r="U163" s="35" t="str">
        <f aca="false">IF($E163="","",IFERROR(INDEX(Kontenplan!$C$5:$C$90,MATCH($E163,Kontenplan!$A$5:$A$90,0)),"?"))</f>
        <v/>
      </c>
      <c r="V163" s="35" t="str">
        <f aca="false">IF($F163="","",IF(OR($D163="",$E163="",$T163="?",$U163="?"),"Konto prüfen!",IF($A163="","Datum fehlt",IF(YEAR($A163)&lt;&gt;Einstellungen!$B$7,"anderes Jahr!",IF($G163="","MWST-Code fehlt","OK")))))</f>
        <v/>
      </c>
      <c r="W163" s="35" t="str">
        <f aca="false">IF($F163="","",IF(OR($D163=Kontoauszug!$C$4,$E163=Kontoauszug!$C$4),MAX(W$4:W162)+1,""))</f>
        <v/>
      </c>
    </row>
    <row r="164" customFormat="false" ht="15" hidden="false" customHeight="false" outlineLevel="0" collapsed="false">
      <c r="A164" s="33"/>
      <c r="B164" s="32"/>
      <c r="C164" s="32"/>
      <c r="D164" s="32"/>
      <c r="E164" s="32"/>
      <c r="F164" s="30"/>
      <c r="G164" s="32"/>
      <c r="H164" s="34" t="n">
        <f aca="false">IF($G164="",0,IFERROR(INDEX(Einstellungen!$G$5:$G$11,MATCH($G164,Einstellungen!$E$5:$E$11,0)),0))</f>
        <v>0</v>
      </c>
      <c r="I164" s="35" t="str">
        <f aca="false">IF($G164="","-",IFERROR(INDEX(Einstellungen!$H$5:$H$11,MATCH($G164,Einstellungen!$E$5:$E$11,0)),"-"))</f>
        <v>-</v>
      </c>
      <c r="J164" s="35" t="str">
        <f aca="false">IF(AND(Einstellungen!$B$8="Ja",Einstellungen!$B$9="Effektiv"),$I164,"-")</f>
        <v>-</v>
      </c>
      <c r="K164" s="31" t="n">
        <f aca="false">IF(OR($F164="",$J164="-"),0,ROUND($F164-$F164/(1+$H164),2))</f>
        <v>0</v>
      </c>
      <c r="L164" s="31" t="n">
        <f aca="false">IF($F164="",0,$F164-$K164)</f>
        <v>0</v>
      </c>
      <c r="M164" s="31" t="n">
        <f aca="false">IF($F164="",0,IF($J164="V",$L164,$F164))</f>
        <v>0</v>
      </c>
      <c r="N164" s="31" t="n">
        <f aca="false">IF($F164="",0,IF($J164="U",$L164,$F164))</f>
        <v>0</v>
      </c>
      <c r="O164" s="35" t="str">
        <f aca="false">IF($A164="","",MONTH($A164))</f>
        <v/>
      </c>
      <c r="P164" s="35" t="str">
        <f aca="false">IF($A164="","",ROUNDUP(MONTH($A164)/3,0))</f>
        <v/>
      </c>
      <c r="Q164" s="35" t="str">
        <f aca="false">IF($A164="","",IF(MONTH($A164)&lt;=6,1,2))</f>
        <v/>
      </c>
      <c r="R164" s="35" t="str">
        <f aca="false">IF($E164="","",IFERROR(INDEX(Kontenplan!$F$5:$F$90,MATCH($E164,Kontenplan!$A$5:$A$90,0)),""))</f>
        <v/>
      </c>
      <c r="S164" s="35" t="str">
        <f aca="false">IF($D164="","",IFERROR(INDEX(Kontenplan!$F$5:$F$90,MATCH($D164,Kontenplan!$A$5:$A$90,0)),""))</f>
        <v/>
      </c>
      <c r="T164" s="35" t="str">
        <f aca="false">IF($D164="","",IFERROR(INDEX(Kontenplan!$C$5:$C$90,MATCH($D164,Kontenplan!$A$5:$A$90,0)),"?"))</f>
        <v/>
      </c>
      <c r="U164" s="35" t="str">
        <f aca="false">IF($E164="","",IFERROR(INDEX(Kontenplan!$C$5:$C$90,MATCH($E164,Kontenplan!$A$5:$A$90,0)),"?"))</f>
        <v/>
      </c>
      <c r="V164" s="35" t="str">
        <f aca="false">IF($F164="","",IF(OR($D164="",$E164="",$T164="?",$U164="?"),"Konto prüfen!",IF($A164="","Datum fehlt",IF(YEAR($A164)&lt;&gt;Einstellungen!$B$7,"anderes Jahr!",IF($G164="","MWST-Code fehlt","OK")))))</f>
        <v/>
      </c>
      <c r="W164" s="35" t="str">
        <f aca="false">IF($F164="","",IF(OR($D164=Kontoauszug!$C$4,$E164=Kontoauszug!$C$4),MAX(W$4:W163)+1,""))</f>
        <v/>
      </c>
    </row>
    <row r="165" customFormat="false" ht="15" hidden="false" customHeight="false" outlineLevel="0" collapsed="false">
      <c r="A165" s="33"/>
      <c r="B165" s="32"/>
      <c r="C165" s="32"/>
      <c r="D165" s="32"/>
      <c r="E165" s="32"/>
      <c r="F165" s="30"/>
      <c r="G165" s="32"/>
      <c r="H165" s="34" t="n">
        <f aca="false">IF($G165="",0,IFERROR(INDEX(Einstellungen!$G$5:$G$11,MATCH($G165,Einstellungen!$E$5:$E$11,0)),0))</f>
        <v>0</v>
      </c>
      <c r="I165" s="35" t="str">
        <f aca="false">IF($G165="","-",IFERROR(INDEX(Einstellungen!$H$5:$H$11,MATCH($G165,Einstellungen!$E$5:$E$11,0)),"-"))</f>
        <v>-</v>
      </c>
      <c r="J165" s="35" t="str">
        <f aca="false">IF(AND(Einstellungen!$B$8="Ja",Einstellungen!$B$9="Effektiv"),$I165,"-")</f>
        <v>-</v>
      </c>
      <c r="K165" s="31" t="n">
        <f aca="false">IF(OR($F165="",$J165="-"),0,ROUND($F165-$F165/(1+$H165),2))</f>
        <v>0</v>
      </c>
      <c r="L165" s="31" t="n">
        <f aca="false">IF($F165="",0,$F165-$K165)</f>
        <v>0</v>
      </c>
      <c r="M165" s="31" t="n">
        <f aca="false">IF($F165="",0,IF($J165="V",$L165,$F165))</f>
        <v>0</v>
      </c>
      <c r="N165" s="31" t="n">
        <f aca="false">IF($F165="",0,IF($J165="U",$L165,$F165))</f>
        <v>0</v>
      </c>
      <c r="O165" s="35" t="str">
        <f aca="false">IF($A165="","",MONTH($A165))</f>
        <v/>
      </c>
      <c r="P165" s="35" t="str">
        <f aca="false">IF($A165="","",ROUNDUP(MONTH($A165)/3,0))</f>
        <v/>
      </c>
      <c r="Q165" s="35" t="str">
        <f aca="false">IF($A165="","",IF(MONTH($A165)&lt;=6,1,2))</f>
        <v/>
      </c>
      <c r="R165" s="35" t="str">
        <f aca="false">IF($E165="","",IFERROR(INDEX(Kontenplan!$F$5:$F$90,MATCH($E165,Kontenplan!$A$5:$A$90,0)),""))</f>
        <v/>
      </c>
      <c r="S165" s="35" t="str">
        <f aca="false">IF($D165="","",IFERROR(INDEX(Kontenplan!$F$5:$F$90,MATCH($D165,Kontenplan!$A$5:$A$90,0)),""))</f>
        <v/>
      </c>
      <c r="T165" s="35" t="str">
        <f aca="false">IF($D165="","",IFERROR(INDEX(Kontenplan!$C$5:$C$90,MATCH($D165,Kontenplan!$A$5:$A$90,0)),"?"))</f>
        <v/>
      </c>
      <c r="U165" s="35" t="str">
        <f aca="false">IF($E165="","",IFERROR(INDEX(Kontenplan!$C$5:$C$90,MATCH($E165,Kontenplan!$A$5:$A$90,0)),"?"))</f>
        <v/>
      </c>
      <c r="V165" s="35" t="str">
        <f aca="false">IF($F165="","",IF(OR($D165="",$E165="",$T165="?",$U165="?"),"Konto prüfen!",IF($A165="","Datum fehlt",IF(YEAR($A165)&lt;&gt;Einstellungen!$B$7,"anderes Jahr!",IF($G165="","MWST-Code fehlt","OK")))))</f>
        <v/>
      </c>
      <c r="W165" s="35" t="str">
        <f aca="false">IF($F165="","",IF(OR($D165=Kontoauszug!$C$4,$E165=Kontoauszug!$C$4),MAX(W$4:W164)+1,""))</f>
        <v/>
      </c>
    </row>
    <row r="166" customFormat="false" ht="15" hidden="false" customHeight="false" outlineLevel="0" collapsed="false">
      <c r="A166" s="33"/>
      <c r="B166" s="32"/>
      <c r="C166" s="32"/>
      <c r="D166" s="32"/>
      <c r="E166" s="32"/>
      <c r="F166" s="30"/>
      <c r="G166" s="32"/>
      <c r="H166" s="34" t="n">
        <f aca="false">IF($G166="",0,IFERROR(INDEX(Einstellungen!$G$5:$G$11,MATCH($G166,Einstellungen!$E$5:$E$11,0)),0))</f>
        <v>0</v>
      </c>
      <c r="I166" s="35" t="str">
        <f aca="false">IF($G166="","-",IFERROR(INDEX(Einstellungen!$H$5:$H$11,MATCH($G166,Einstellungen!$E$5:$E$11,0)),"-"))</f>
        <v>-</v>
      </c>
      <c r="J166" s="35" t="str">
        <f aca="false">IF(AND(Einstellungen!$B$8="Ja",Einstellungen!$B$9="Effektiv"),$I166,"-")</f>
        <v>-</v>
      </c>
      <c r="K166" s="31" t="n">
        <f aca="false">IF(OR($F166="",$J166="-"),0,ROUND($F166-$F166/(1+$H166),2))</f>
        <v>0</v>
      </c>
      <c r="L166" s="31" t="n">
        <f aca="false">IF($F166="",0,$F166-$K166)</f>
        <v>0</v>
      </c>
      <c r="M166" s="31" t="n">
        <f aca="false">IF($F166="",0,IF($J166="V",$L166,$F166))</f>
        <v>0</v>
      </c>
      <c r="N166" s="31" t="n">
        <f aca="false">IF($F166="",0,IF($J166="U",$L166,$F166))</f>
        <v>0</v>
      </c>
      <c r="O166" s="35" t="str">
        <f aca="false">IF($A166="","",MONTH($A166))</f>
        <v/>
      </c>
      <c r="P166" s="35" t="str">
        <f aca="false">IF($A166="","",ROUNDUP(MONTH($A166)/3,0))</f>
        <v/>
      </c>
      <c r="Q166" s="35" t="str">
        <f aca="false">IF($A166="","",IF(MONTH($A166)&lt;=6,1,2))</f>
        <v/>
      </c>
      <c r="R166" s="35" t="str">
        <f aca="false">IF($E166="","",IFERROR(INDEX(Kontenplan!$F$5:$F$90,MATCH($E166,Kontenplan!$A$5:$A$90,0)),""))</f>
        <v/>
      </c>
      <c r="S166" s="35" t="str">
        <f aca="false">IF($D166="","",IFERROR(INDEX(Kontenplan!$F$5:$F$90,MATCH($D166,Kontenplan!$A$5:$A$90,0)),""))</f>
        <v/>
      </c>
      <c r="T166" s="35" t="str">
        <f aca="false">IF($D166="","",IFERROR(INDEX(Kontenplan!$C$5:$C$90,MATCH($D166,Kontenplan!$A$5:$A$90,0)),"?"))</f>
        <v/>
      </c>
      <c r="U166" s="35" t="str">
        <f aca="false">IF($E166="","",IFERROR(INDEX(Kontenplan!$C$5:$C$90,MATCH($E166,Kontenplan!$A$5:$A$90,0)),"?"))</f>
        <v/>
      </c>
      <c r="V166" s="35" t="str">
        <f aca="false">IF($F166="","",IF(OR($D166="",$E166="",$T166="?",$U166="?"),"Konto prüfen!",IF($A166="","Datum fehlt",IF(YEAR($A166)&lt;&gt;Einstellungen!$B$7,"anderes Jahr!",IF($G166="","MWST-Code fehlt","OK")))))</f>
        <v/>
      </c>
      <c r="W166" s="35" t="str">
        <f aca="false">IF($F166="","",IF(OR($D166=Kontoauszug!$C$4,$E166=Kontoauszug!$C$4),MAX(W$4:W165)+1,""))</f>
        <v/>
      </c>
    </row>
    <row r="167" customFormat="false" ht="15" hidden="false" customHeight="false" outlineLevel="0" collapsed="false">
      <c r="A167" s="33"/>
      <c r="B167" s="32"/>
      <c r="C167" s="32"/>
      <c r="D167" s="32"/>
      <c r="E167" s="32"/>
      <c r="F167" s="30"/>
      <c r="G167" s="32"/>
      <c r="H167" s="34" t="n">
        <f aca="false">IF($G167="",0,IFERROR(INDEX(Einstellungen!$G$5:$G$11,MATCH($G167,Einstellungen!$E$5:$E$11,0)),0))</f>
        <v>0</v>
      </c>
      <c r="I167" s="35" t="str">
        <f aca="false">IF($G167="","-",IFERROR(INDEX(Einstellungen!$H$5:$H$11,MATCH($G167,Einstellungen!$E$5:$E$11,0)),"-"))</f>
        <v>-</v>
      </c>
      <c r="J167" s="35" t="str">
        <f aca="false">IF(AND(Einstellungen!$B$8="Ja",Einstellungen!$B$9="Effektiv"),$I167,"-")</f>
        <v>-</v>
      </c>
      <c r="K167" s="31" t="n">
        <f aca="false">IF(OR($F167="",$J167="-"),0,ROUND($F167-$F167/(1+$H167),2))</f>
        <v>0</v>
      </c>
      <c r="L167" s="31" t="n">
        <f aca="false">IF($F167="",0,$F167-$K167)</f>
        <v>0</v>
      </c>
      <c r="M167" s="31" t="n">
        <f aca="false">IF($F167="",0,IF($J167="V",$L167,$F167))</f>
        <v>0</v>
      </c>
      <c r="N167" s="31" t="n">
        <f aca="false">IF($F167="",0,IF($J167="U",$L167,$F167))</f>
        <v>0</v>
      </c>
      <c r="O167" s="35" t="str">
        <f aca="false">IF($A167="","",MONTH($A167))</f>
        <v/>
      </c>
      <c r="P167" s="35" t="str">
        <f aca="false">IF($A167="","",ROUNDUP(MONTH($A167)/3,0))</f>
        <v/>
      </c>
      <c r="Q167" s="35" t="str">
        <f aca="false">IF($A167="","",IF(MONTH($A167)&lt;=6,1,2))</f>
        <v/>
      </c>
      <c r="R167" s="35" t="str">
        <f aca="false">IF($E167="","",IFERROR(INDEX(Kontenplan!$F$5:$F$90,MATCH($E167,Kontenplan!$A$5:$A$90,0)),""))</f>
        <v/>
      </c>
      <c r="S167" s="35" t="str">
        <f aca="false">IF($D167="","",IFERROR(INDEX(Kontenplan!$F$5:$F$90,MATCH($D167,Kontenplan!$A$5:$A$90,0)),""))</f>
        <v/>
      </c>
      <c r="T167" s="35" t="str">
        <f aca="false">IF($D167="","",IFERROR(INDEX(Kontenplan!$C$5:$C$90,MATCH($D167,Kontenplan!$A$5:$A$90,0)),"?"))</f>
        <v/>
      </c>
      <c r="U167" s="35" t="str">
        <f aca="false">IF($E167="","",IFERROR(INDEX(Kontenplan!$C$5:$C$90,MATCH($E167,Kontenplan!$A$5:$A$90,0)),"?"))</f>
        <v/>
      </c>
      <c r="V167" s="35" t="str">
        <f aca="false">IF($F167="","",IF(OR($D167="",$E167="",$T167="?",$U167="?"),"Konto prüfen!",IF($A167="","Datum fehlt",IF(YEAR($A167)&lt;&gt;Einstellungen!$B$7,"anderes Jahr!",IF($G167="","MWST-Code fehlt","OK")))))</f>
        <v/>
      </c>
      <c r="W167" s="35" t="str">
        <f aca="false">IF($F167="","",IF(OR($D167=Kontoauszug!$C$4,$E167=Kontoauszug!$C$4),MAX(W$4:W166)+1,""))</f>
        <v/>
      </c>
    </row>
    <row r="168" customFormat="false" ht="15" hidden="false" customHeight="false" outlineLevel="0" collapsed="false">
      <c r="A168" s="33"/>
      <c r="B168" s="32"/>
      <c r="C168" s="32"/>
      <c r="D168" s="32"/>
      <c r="E168" s="32"/>
      <c r="F168" s="30"/>
      <c r="G168" s="32"/>
      <c r="H168" s="34" t="n">
        <f aca="false">IF($G168="",0,IFERROR(INDEX(Einstellungen!$G$5:$G$11,MATCH($G168,Einstellungen!$E$5:$E$11,0)),0))</f>
        <v>0</v>
      </c>
      <c r="I168" s="35" t="str">
        <f aca="false">IF($G168="","-",IFERROR(INDEX(Einstellungen!$H$5:$H$11,MATCH($G168,Einstellungen!$E$5:$E$11,0)),"-"))</f>
        <v>-</v>
      </c>
      <c r="J168" s="35" t="str">
        <f aca="false">IF(AND(Einstellungen!$B$8="Ja",Einstellungen!$B$9="Effektiv"),$I168,"-")</f>
        <v>-</v>
      </c>
      <c r="K168" s="31" t="n">
        <f aca="false">IF(OR($F168="",$J168="-"),0,ROUND($F168-$F168/(1+$H168),2))</f>
        <v>0</v>
      </c>
      <c r="L168" s="31" t="n">
        <f aca="false">IF($F168="",0,$F168-$K168)</f>
        <v>0</v>
      </c>
      <c r="M168" s="31" t="n">
        <f aca="false">IF($F168="",0,IF($J168="V",$L168,$F168))</f>
        <v>0</v>
      </c>
      <c r="N168" s="31" t="n">
        <f aca="false">IF($F168="",0,IF($J168="U",$L168,$F168))</f>
        <v>0</v>
      </c>
      <c r="O168" s="35" t="str">
        <f aca="false">IF($A168="","",MONTH($A168))</f>
        <v/>
      </c>
      <c r="P168" s="35" t="str">
        <f aca="false">IF($A168="","",ROUNDUP(MONTH($A168)/3,0))</f>
        <v/>
      </c>
      <c r="Q168" s="35" t="str">
        <f aca="false">IF($A168="","",IF(MONTH($A168)&lt;=6,1,2))</f>
        <v/>
      </c>
      <c r="R168" s="35" t="str">
        <f aca="false">IF($E168="","",IFERROR(INDEX(Kontenplan!$F$5:$F$90,MATCH($E168,Kontenplan!$A$5:$A$90,0)),""))</f>
        <v/>
      </c>
      <c r="S168" s="35" t="str">
        <f aca="false">IF($D168="","",IFERROR(INDEX(Kontenplan!$F$5:$F$90,MATCH($D168,Kontenplan!$A$5:$A$90,0)),""))</f>
        <v/>
      </c>
      <c r="T168" s="35" t="str">
        <f aca="false">IF($D168="","",IFERROR(INDEX(Kontenplan!$C$5:$C$90,MATCH($D168,Kontenplan!$A$5:$A$90,0)),"?"))</f>
        <v/>
      </c>
      <c r="U168" s="35" t="str">
        <f aca="false">IF($E168="","",IFERROR(INDEX(Kontenplan!$C$5:$C$90,MATCH($E168,Kontenplan!$A$5:$A$90,0)),"?"))</f>
        <v/>
      </c>
      <c r="V168" s="35" t="str">
        <f aca="false">IF($F168="","",IF(OR($D168="",$E168="",$T168="?",$U168="?"),"Konto prüfen!",IF($A168="","Datum fehlt",IF(YEAR($A168)&lt;&gt;Einstellungen!$B$7,"anderes Jahr!",IF($G168="","MWST-Code fehlt","OK")))))</f>
        <v/>
      </c>
      <c r="W168" s="35" t="str">
        <f aca="false">IF($F168="","",IF(OR($D168=Kontoauszug!$C$4,$E168=Kontoauszug!$C$4),MAX(W$4:W167)+1,""))</f>
        <v/>
      </c>
    </row>
    <row r="169" customFormat="false" ht="15" hidden="false" customHeight="false" outlineLevel="0" collapsed="false">
      <c r="A169" s="33"/>
      <c r="B169" s="32"/>
      <c r="C169" s="32"/>
      <c r="D169" s="32"/>
      <c r="E169" s="32"/>
      <c r="F169" s="30"/>
      <c r="G169" s="32"/>
      <c r="H169" s="34" t="n">
        <f aca="false">IF($G169="",0,IFERROR(INDEX(Einstellungen!$G$5:$G$11,MATCH($G169,Einstellungen!$E$5:$E$11,0)),0))</f>
        <v>0</v>
      </c>
      <c r="I169" s="35" t="str">
        <f aca="false">IF($G169="","-",IFERROR(INDEX(Einstellungen!$H$5:$H$11,MATCH($G169,Einstellungen!$E$5:$E$11,0)),"-"))</f>
        <v>-</v>
      </c>
      <c r="J169" s="35" t="str">
        <f aca="false">IF(AND(Einstellungen!$B$8="Ja",Einstellungen!$B$9="Effektiv"),$I169,"-")</f>
        <v>-</v>
      </c>
      <c r="K169" s="31" t="n">
        <f aca="false">IF(OR($F169="",$J169="-"),0,ROUND($F169-$F169/(1+$H169),2))</f>
        <v>0</v>
      </c>
      <c r="L169" s="31" t="n">
        <f aca="false">IF($F169="",0,$F169-$K169)</f>
        <v>0</v>
      </c>
      <c r="M169" s="31" t="n">
        <f aca="false">IF($F169="",0,IF($J169="V",$L169,$F169))</f>
        <v>0</v>
      </c>
      <c r="N169" s="31" t="n">
        <f aca="false">IF($F169="",0,IF($J169="U",$L169,$F169))</f>
        <v>0</v>
      </c>
      <c r="O169" s="35" t="str">
        <f aca="false">IF($A169="","",MONTH($A169))</f>
        <v/>
      </c>
      <c r="P169" s="35" t="str">
        <f aca="false">IF($A169="","",ROUNDUP(MONTH($A169)/3,0))</f>
        <v/>
      </c>
      <c r="Q169" s="35" t="str">
        <f aca="false">IF($A169="","",IF(MONTH($A169)&lt;=6,1,2))</f>
        <v/>
      </c>
      <c r="R169" s="35" t="str">
        <f aca="false">IF($E169="","",IFERROR(INDEX(Kontenplan!$F$5:$F$90,MATCH($E169,Kontenplan!$A$5:$A$90,0)),""))</f>
        <v/>
      </c>
      <c r="S169" s="35" t="str">
        <f aca="false">IF($D169="","",IFERROR(INDEX(Kontenplan!$F$5:$F$90,MATCH($D169,Kontenplan!$A$5:$A$90,0)),""))</f>
        <v/>
      </c>
      <c r="T169" s="35" t="str">
        <f aca="false">IF($D169="","",IFERROR(INDEX(Kontenplan!$C$5:$C$90,MATCH($D169,Kontenplan!$A$5:$A$90,0)),"?"))</f>
        <v/>
      </c>
      <c r="U169" s="35" t="str">
        <f aca="false">IF($E169="","",IFERROR(INDEX(Kontenplan!$C$5:$C$90,MATCH($E169,Kontenplan!$A$5:$A$90,0)),"?"))</f>
        <v/>
      </c>
      <c r="V169" s="35" t="str">
        <f aca="false">IF($F169="","",IF(OR($D169="",$E169="",$T169="?",$U169="?"),"Konto prüfen!",IF($A169="","Datum fehlt",IF(YEAR($A169)&lt;&gt;Einstellungen!$B$7,"anderes Jahr!",IF($G169="","MWST-Code fehlt","OK")))))</f>
        <v/>
      </c>
      <c r="W169" s="35" t="str">
        <f aca="false">IF($F169="","",IF(OR($D169=Kontoauszug!$C$4,$E169=Kontoauszug!$C$4),MAX(W$4:W168)+1,""))</f>
        <v/>
      </c>
    </row>
    <row r="170" customFormat="false" ht="15" hidden="false" customHeight="false" outlineLevel="0" collapsed="false">
      <c r="A170" s="33"/>
      <c r="B170" s="32"/>
      <c r="C170" s="32"/>
      <c r="D170" s="32"/>
      <c r="E170" s="32"/>
      <c r="F170" s="30"/>
      <c r="G170" s="32"/>
      <c r="H170" s="34" t="n">
        <f aca="false">IF($G170="",0,IFERROR(INDEX(Einstellungen!$G$5:$G$11,MATCH($G170,Einstellungen!$E$5:$E$11,0)),0))</f>
        <v>0</v>
      </c>
      <c r="I170" s="35" t="str">
        <f aca="false">IF($G170="","-",IFERROR(INDEX(Einstellungen!$H$5:$H$11,MATCH($G170,Einstellungen!$E$5:$E$11,0)),"-"))</f>
        <v>-</v>
      </c>
      <c r="J170" s="35" t="str">
        <f aca="false">IF(AND(Einstellungen!$B$8="Ja",Einstellungen!$B$9="Effektiv"),$I170,"-")</f>
        <v>-</v>
      </c>
      <c r="K170" s="31" t="n">
        <f aca="false">IF(OR($F170="",$J170="-"),0,ROUND($F170-$F170/(1+$H170),2))</f>
        <v>0</v>
      </c>
      <c r="L170" s="31" t="n">
        <f aca="false">IF($F170="",0,$F170-$K170)</f>
        <v>0</v>
      </c>
      <c r="M170" s="31" t="n">
        <f aca="false">IF($F170="",0,IF($J170="V",$L170,$F170))</f>
        <v>0</v>
      </c>
      <c r="N170" s="31" t="n">
        <f aca="false">IF($F170="",0,IF($J170="U",$L170,$F170))</f>
        <v>0</v>
      </c>
      <c r="O170" s="35" t="str">
        <f aca="false">IF($A170="","",MONTH($A170))</f>
        <v/>
      </c>
      <c r="P170" s="35" t="str">
        <f aca="false">IF($A170="","",ROUNDUP(MONTH($A170)/3,0))</f>
        <v/>
      </c>
      <c r="Q170" s="35" t="str">
        <f aca="false">IF($A170="","",IF(MONTH($A170)&lt;=6,1,2))</f>
        <v/>
      </c>
      <c r="R170" s="35" t="str">
        <f aca="false">IF($E170="","",IFERROR(INDEX(Kontenplan!$F$5:$F$90,MATCH($E170,Kontenplan!$A$5:$A$90,0)),""))</f>
        <v/>
      </c>
      <c r="S170" s="35" t="str">
        <f aca="false">IF($D170="","",IFERROR(INDEX(Kontenplan!$F$5:$F$90,MATCH($D170,Kontenplan!$A$5:$A$90,0)),""))</f>
        <v/>
      </c>
      <c r="T170" s="35" t="str">
        <f aca="false">IF($D170="","",IFERROR(INDEX(Kontenplan!$C$5:$C$90,MATCH($D170,Kontenplan!$A$5:$A$90,0)),"?"))</f>
        <v/>
      </c>
      <c r="U170" s="35" t="str">
        <f aca="false">IF($E170="","",IFERROR(INDEX(Kontenplan!$C$5:$C$90,MATCH($E170,Kontenplan!$A$5:$A$90,0)),"?"))</f>
        <v/>
      </c>
      <c r="V170" s="35" t="str">
        <f aca="false">IF($F170="","",IF(OR($D170="",$E170="",$T170="?",$U170="?"),"Konto prüfen!",IF($A170="","Datum fehlt",IF(YEAR($A170)&lt;&gt;Einstellungen!$B$7,"anderes Jahr!",IF($G170="","MWST-Code fehlt","OK")))))</f>
        <v/>
      </c>
      <c r="W170" s="35" t="str">
        <f aca="false">IF($F170="","",IF(OR($D170=Kontoauszug!$C$4,$E170=Kontoauszug!$C$4),MAX(W$4:W169)+1,""))</f>
        <v/>
      </c>
    </row>
    <row r="171" customFormat="false" ht="15" hidden="false" customHeight="false" outlineLevel="0" collapsed="false">
      <c r="A171" s="33"/>
      <c r="B171" s="32"/>
      <c r="C171" s="32"/>
      <c r="D171" s="32"/>
      <c r="E171" s="32"/>
      <c r="F171" s="30"/>
      <c r="G171" s="32"/>
      <c r="H171" s="34" t="n">
        <f aca="false">IF($G171="",0,IFERROR(INDEX(Einstellungen!$G$5:$G$11,MATCH($G171,Einstellungen!$E$5:$E$11,0)),0))</f>
        <v>0</v>
      </c>
      <c r="I171" s="35" t="str">
        <f aca="false">IF($G171="","-",IFERROR(INDEX(Einstellungen!$H$5:$H$11,MATCH($G171,Einstellungen!$E$5:$E$11,0)),"-"))</f>
        <v>-</v>
      </c>
      <c r="J171" s="35" t="str">
        <f aca="false">IF(AND(Einstellungen!$B$8="Ja",Einstellungen!$B$9="Effektiv"),$I171,"-")</f>
        <v>-</v>
      </c>
      <c r="K171" s="31" t="n">
        <f aca="false">IF(OR($F171="",$J171="-"),0,ROUND($F171-$F171/(1+$H171),2))</f>
        <v>0</v>
      </c>
      <c r="L171" s="31" t="n">
        <f aca="false">IF($F171="",0,$F171-$K171)</f>
        <v>0</v>
      </c>
      <c r="M171" s="31" t="n">
        <f aca="false">IF($F171="",0,IF($J171="V",$L171,$F171))</f>
        <v>0</v>
      </c>
      <c r="N171" s="31" t="n">
        <f aca="false">IF($F171="",0,IF($J171="U",$L171,$F171))</f>
        <v>0</v>
      </c>
      <c r="O171" s="35" t="str">
        <f aca="false">IF($A171="","",MONTH($A171))</f>
        <v/>
      </c>
      <c r="P171" s="35" t="str">
        <f aca="false">IF($A171="","",ROUNDUP(MONTH($A171)/3,0))</f>
        <v/>
      </c>
      <c r="Q171" s="35" t="str">
        <f aca="false">IF($A171="","",IF(MONTH($A171)&lt;=6,1,2))</f>
        <v/>
      </c>
      <c r="R171" s="35" t="str">
        <f aca="false">IF($E171="","",IFERROR(INDEX(Kontenplan!$F$5:$F$90,MATCH($E171,Kontenplan!$A$5:$A$90,0)),""))</f>
        <v/>
      </c>
      <c r="S171" s="35" t="str">
        <f aca="false">IF($D171="","",IFERROR(INDEX(Kontenplan!$F$5:$F$90,MATCH($D171,Kontenplan!$A$5:$A$90,0)),""))</f>
        <v/>
      </c>
      <c r="T171" s="35" t="str">
        <f aca="false">IF($D171="","",IFERROR(INDEX(Kontenplan!$C$5:$C$90,MATCH($D171,Kontenplan!$A$5:$A$90,0)),"?"))</f>
        <v/>
      </c>
      <c r="U171" s="35" t="str">
        <f aca="false">IF($E171="","",IFERROR(INDEX(Kontenplan!$C$5:$C$90,MATCH($E171,Kontenplan!$A$5:$A$90,0)),"?"))</f>
        <v/>
      </c>
      <c r="V171" s="35" t="str">
        <f aca="false">IF($F171="","",IF(OR($D171="",$E171="",$T171="?",$U171="?"),"Konto prüfen!",IF($A171="","Datum fehlt",IF(YEAR($A171)&lt;&gt;Einstellungen!$B$7,"anderes Jahr!",IF($G171="","MWST-Code fehlt","OK")))))</f>
        <v/>
      </c>
      <c r="W171" s="35" t="str">
        <f aca="false">IF($F171="","",IF(OR($D171=Kontoauszug!$C$4,$E171=Kontoauszug!$C$4),MAX(W$4:W170)+1,""))</f>
        <v/>
      </c>
    </row>
    <row r="172" customFormat="false" ht="15" hidden="false" customHeight="false" outlineLevel="0" collapsed="false">
      <c r="A172" s="33"/>
      <c r="B172" s="32"/>
      <c r="C172" s="32"/>
      <c r="D172" s="32"/>
      <c r="E172" s="32"/>
      <c r="F172" s="30"/>
      <c r="G172" s="32"/>
      <c r="H172" s="34" t="n">
        <f aca="false">IF($G172="",0,IFERROR(INDEX(Einstellungen!$G$5:$G$11,MATCH($G172,Einstellungen!$E$5:$E$11,0)),0))</f>
        <v>0</v>
      </c>
      <c r="I172" s="35" t="str">
        <f aca="false">IF($G172="","-",IFERROR(INDEX(Einstellungen!$H$5:$H$11,MATCH($G172,Einstellungen!$E$5:$E$11,0)),"-"))</f>
        <v>-</v>
      </c>
      <c r="J172" s="35" t="str">
        <f aca="false">IF(AND(Einstellungen!$B$8="Ja",Einstellungen!$B$9="Effektiv"),$I172,"-")</f>
        <v>-</v>
      </c>
      <c r="K172" s="31" t="n">
        <f aca="false">IF(OR($F172="",$J172="-"),0,ROUND($F172-$F172/(1+$H172),2))</f>
        <v>0</v>
      </c>
      <c r="L172" s="31" t="n">
        <f aca="false">IF($F172="",0,$F172-$K172)</f>
        <v>0</v>
      </c>
      <c r="M172" s="31" t="n">
        <f aca="false">IF($F172="",0,IF($J172="V",$L172,$F172))</f>
        <v>0</v>
      </c>
      <c r="N172" s="31" t="n">
        <f aca="false">IF($F172="",0,IF($J172="U",$L172,$F172))</f>
        <v>0</v>
      </c>
      <c r="O172" s="35" t="str">
        <f aca="false">IF($A172="","",MONTH($A172))</f>
        <v/>
      </c>
      <c r="P172" s="35" t="str">
        <f aca="false">IF($A172="","",ROUNDUP(MONTH($A172)/3,0))</f>
        <v/>
      </c>
      <c r="Q172" s="35" t="str">
        <f aca="false">IF($A172="","",IF(MONTH($A172)&lt;=6,1,2))</f>
        <v/>
      </c>
      <c r="R172" s="35" t="str">
        <f aca="false">IF($E172="","",IFERROR(INDEX(Kontenplan!$F$5:$F$90,MATCH($E172,Kontenplan!$A$5:$A$90,0)),""))</f>
        <v/>
      </c>
      <c r="S172" s="35" t="str">
        <f aca="false">IF($D172="","",IFERROR(INDEX(Kontenplan!$F$5:$F$90,MATCH($D172,Kontenplan!$A$5:$A$90,0)),""))</f>
        <v/>
      </c>
      <c r="T172" s="35" t="str">
        <f aca="false">IF($D172="","",IFERROR(INDEX(Kontenplan!$C$5:$C$90,MATCH($D172,Kontenplan!$A$5:$A$90,0)),"?"))</f>
        <v/>
      </c>
      <c r="U172" s="35" t="str">
        <f aca="false">IF($E172="","",IFERROR(INDEX(Kontenplan!$C$5:$C$90,MATCH($E172,Kontenplan!$A$5:$A$90,0)),"?"))</f>
        <v/>
      </c>
      <c r="V172" s="35" t="str">
        <f aca="false">IF($F172="","",IF(OR($D172="",$E172="",$T172="?",$U172="?"),"Konto prüfen!",IF($A172="","Datum fehlt",IF(YEAR($A172)&lt;&gt;Einstellungen!$B$7,"anderes Jahr!",IF($G172="","MWST-Code fehlt","OK")))))</f>
        <v/>
      </c>
      <c r="W172" s="35" t="str">
        <f aca="false">IF($F172="","",IF(OR($D172=Kontoauszug!$C$4,$E172=Kontoauszug!$C$4),MAX(W$4:W171)+1,""))</f>
        <v/>
      </c>
    </row>
    <row r="173" customFormat="false" ht="15" hidden="false" customHeight="false" outlineLevel="0" collapsed="false">
      <c r="A173" s="33"/>
      <c r="B173" s="32"/>
      <c r="C173" s="32"/>
      <c r="D173" s="32"/>
      <c r="E173" s="32"/>
      <c r="F173" s="30"/>
      <c r="G173" s="32"/>
      <c r="H173" s="34" t="n">
        <f aca="false">IF($G173="",0,IFERROR(INDEX(Einstellungen!$G$5:$G$11,MATCH($G173,Einstellungen!$E$5:$E$11,0)),0))</f>
        <v>0</v>
      </c>
      <c r="I173" s="35" t="str">
        <f aca="false">IF($G173="","-",IFERROR(INDEX(Einstellungen!$H$5:$H$11,MATCH($G173,Einstellungen!$E$5:$E$11,0)),"-"))</f>
        <v>-</v>
      </c>
      <c r="J173" s="35" t="str">
        <f aca="false">IF(AND(Einstellungen!$B$8="Ja",Einstellungen!$B$9="Effektiv"),$I173,"-")</f>
        <v>-</v>
      </c>
      <c r="K173" s="31" t="n">
        <f aca="false">IF(OR($F173="",$J173="-"),0,ROUND($F173-$F173/(1+$H173),2))</f>
        <v>0</v>
      </c>
      <c r="L173" s="31" t="n">
        <f aca="false">IF($F173="",0,$F173-$K173)</f>
        <v>0</v>
      </c>
      <c r="M173" s="31" t="n">
        <f aca="false">IF($F173="",0,IF($J173="V",$L173,$F173))</f>
        <v>0</v>
      </c>
      <c r="N173" s="31" t="n">
        <f aca="false">IF($F173="",0,IF($J173="U",$L173,$F173))</f>
        <v>0</v>
      </c>
      <c r="O173" s="35" t="str">
        <f aca="false">IF($A173="","",MONTH($A173))</f>
        <v/>
      </c>
      <c r="P173" s="35" t="str">
        <f aca="false">IF($A173="","",ROUNDUP(MONTH($A173)/3,0))</f>
        <v/>
      </c>
      <c r="Q173" s="35" t="str">
        <f aca="false">IF($A173="","",IF(MONTH($A173)&lt;=6,1,2))</f>
        <v/>
      </c>
      <c r="R173" s="35" t="str">
        <f aca="false">IF($E173="","",IFERROR(INDEX(Kontenplan!$F$5:$F$90,MATCH($E173,Kontenplan!$A$5:$A$90,0)),""))</f>
        <v/>
      </c>
      <c r="S173" s="35" t="str">
        <f aca="false">IF($D173="","",IFERROR(INDEX(Kontenplan!$F$5:$F$90,MATCH($D173,Kontenplan!$A$5:$A$90,0)),""))</f>
        <v/>
      </c>
      <c r="T173" s="35" t="str">
        <f aca="false">IF($D173="","",IFERROR(INDEX(Kontenplan!$C$5:$C$90,MATCH($D173,Kontenplan!$A$5:$A$90,0)),"?"))</f>
        <v/>
      </c>
      <c r="U173" s="35" t="str">
        <f aca="false">IF($E173="","",IFERROR(INDEX(Kontenplan!$C$5:$C$90,MATCH($E173,Kontenplan!$A$5:$A$90,0)),"?"))</f>
        <v/>
      </c>
      <c r="V173" s="35" t="str">
        <f aca="false">IF($F173="","",IF(OR($D173="",$E173="",$T173="?",$U173="?"),"Konto prüfen!",IF($A173="","Datum fehlt",IF(YEAR($A173)&lt;&gt;Einstellungen!$B$7,"anderes Jahr!",IF($G173="","MWST-Code fehlt","OK")))))</f>
        <v/>
      </c>
      <c r="W173" s="35" t="str">
        <f aca="false">IF($F173="","",IF(OR($D173=Kontoauszug!$C$4,$E173=Kontoauszug!$C$4),MAX(W$4:W172)+1,""))</f>
        <v/>
      </c>
    </row>
    <row r="174" customFormat="false" ht="15" hidden="false" customHeight="false" outlineLevel="0" collapsed="false">
      <c r="A174" s="33"/>
      <c r="B174" s="32"/>
      <c r="C174" s="32"/>
      <c r="D174" s="32"/>
      <c r="E174" s="32"/>
      <c r="F174" s="30"/>
      <c r="G174" s="32"/>
      <c r="H174" s="34" t="n">
        <f aca="false">IF($G174="",0,IFERROR(INDEX(Einstellungen!$G$5:$G$11,MATCH($G174,Einstellungen!$E$5:$E$11,0)),0))</f>
        <v>0</v>
      </c>
      <c r="I174" s="35" t="str">
        <f aca="false">IF($G174="","-",IFERROR(INDEX(Einstellungen!$H$5:$H$11,MATCH($G174,Einstellungen!$E$5:$E$11,0)),"-"))</f>
        <v>-</v>
      </c>
      <c r="J174" s="35" t="str">
        <f aca="false">IF(AND(Einstellungen!$B$8="Ja",Einstellungen!$B$9="Effektiv"),$I174,"-")</f>
        <v>-</v>
      </c>
      <c r="K174" s="31" t="n">
        <f aca="false">IF(OR($F174="",$J174="-"),0,ROUND($F174-$F174/(1+$H174),2))</f>
        <v>0</v>
      </c>
      <c r="L174" s="31" t="n">
        <f aca="false">IF($F174="",0,$F174-$K174)</f>
        <v>0</v>
      </c>
      <c r="M174" s="31" t="n">
        <f aca="false">IF($F174="",0,IF($J174="V",$L174,$F174))</f>
        <v>0</v>
      </c>
      <c r="N174" s="31" t="n">
        <f aca="false">IF($F174="",0,IF($J174="U",$L174,$F174))</f>
        <v>0</v>
      </c>
      <c r="O174" s="35" t="str">
        <f aca="false">IF($A174="","",MONTH($A174))</f>
        <v/>
      </c>
      <c r="P174" s="35" t="str">
        <f aca="false">IF($A174="","",ROUNDUP(MONTH($A174)/3,0))</f>
        <v/>
      </c>
      <c r="Q174" s="35" t="str">
        <f aca="false">IF($A174="","",IF(MONTH($A174)&lt;=6,1,2))</f>
        <v/>
      </c>
      <c r="R174" s="35" t="str">
        <f aca="false">IF($E174="","",IFERROR(INDEX(Kontenplan!$F$5:$F$90,MATCH($E174,Kontenplan!$A$5:$A$90,0)),""))</f>
        <v/>
      </c>
      <c r="S174" s="35" t="str">
        <f aca="false">IF($D174="","",IFERROR(INDEX(Kontenplan!$F$5:$F$90,MATCH($D174,Kontenplan!$A$5:$A$90,0)),""))</f>
        <v/>
      </c>
      <c r="T174" s="35" t="str">
        <f aca="false">IF($D174="","",IFERROR(INDEX(Kontenplan!$C$5:$C$90,MATCH($D174,Kontenplan!$A$5:$A$90,0)),"?"))</f>
        <v/>
      </c>
      <c r="U174" s="35" t="str">
        <f aca="false">IF($E174="","",IFERROR(INDEX(Kontenplan!$C$5:$C$90,MATCH($E174,Kontenplan!$A$5:$A$90,0)),"?"))</f>
        <v/>
      </c>
      <c r="V174" s="35" t="str">
        <f aca="false">IF($F174="","",IF(OR($D174="",$E174="",$T174="?",$U174="?"),"Konto prüfen!",IF($A174="","Datum fehlt",IF(YEAR($A174)&lt;&gt;Einstellungen!$B$7,"anderes Jahr!",IF($G174="","MWST-Code fehlt","OK")))))</f>
        <v/>
      </c>
      <c r="W174" s="35" t="str">
        <f aca="false">IF($F174="","",IF(OR($D174=Kontoauszug!$C$4,$E174=Kontoauszug!$C$4),MAX(W$4:W173)+1,""))</f>
        <v/>
      </c>
    </row>
    <row r="175" customFormat="false" ht="15" hidden="false" customHeight="false" outlineLevel="0" collapsed="false">
      <c r="A175" s="33"/>
      <c r="B175" s="32"/>
      <c r="C175" s="32"/>
      <c r="D175" s="32"/>
      <c r="E175" s="32"/>
      <c r="F175" s="30"/>
      <c r="G175" s="32"/>
      <c r="H175" s="34" t="n">
        <f aca="false">IF($G175="",0,IFERROR(INDEX(Einstellungen!$G$5:$G$11,MATCH($G175,Einstellungen!$E$5:$E$11,0)),0))</f>
        <v>0</v>
      </c>
      <c r="I175" s="35" t="str">
        <f aca="false">IF($G175="","-",IFERROR(INDEX(Einstellungen!$H$5:$H$11,MATCH($G175,Einstellungen!$E$5:$E$11,0)),"-"))</f>
        <v>-</v>
      </c>
      <c r="J175" s="35" t="str">
        <f aca="false">IF(AND(Einstellungen!$B$8="Ja",Einstellungen!$B$9="Effektiv"),$I175,"-")</f>
        <v>-</v>
      </c>
      <c r="K175" s="31" t="n">
        <f aca="false">IF(OR($F175="",$J175="-"),0,ROUND($F175-$F175/(1+$H175),2))</f>
        <v>0</v>
      </c>
      <c r="L175" s="31" t="n">
        <f aca="false">IF($F175="",0,$F175-$K175)</f>
        <v>0</v>
      </c>
      <c r="M175" s="31" t="n">
        <f aca="false">IF($F175="",0,IF($J175="V",$L175,$F175))</f>
        <v>0</v>
      </c>
      <c r="N175" s="31" t="n">
        <f aca="false">IF($F175="",0,IF($J175="U",$L175,$F175))</f>
        <v>0</v>
      </c>
      <c r="O175" s="35" t="str">
        <f aca="false">IF($A175="","",MONTH($A175))</f>
        <v/>
      </c>
      <c r="P175" s="35" t="str">
        <f aca="false">IF($A175="","",ROUNDUP(MONTH($A175)/3,0))</f>
        <v/>
      </c>
      <c r="Q175" s="35" t="str">
        <f aca="false">IF($A175="","",IF(MONTH($A175)&lt;=6,1,2))</f>
        <v/>
      </c>
      <c r="R175" s="35" t="str">
        <f aca="false">IF($E175="","",IFERROR(INDEX(Kontenplan!$F$5:$F$90,MATCH($E175,Kontenplan!$A$5:$A$90,0)),""))</f>
        <v/>
      </c>
      <c r="S175" s="35" t="str">
        <f aca="false">IF($D175="","",IFERROR(INDEX(Kontenplan!$F$5:$F$90,MATCH($D175,Kontenplan!$A$5:$A$90,0)),""))</f>
        <v/>
      </c>
      <c r="T175" s="35" t="str">
        <f aca="false">IF($D175="","",IFERROR(INDEX(Kontenplan!$C$5:$C$90,MATCH($D175,Kontenplan!$A$5:$A$90,0)),"?"))</f>
        <v/>
      </c>
      <c r="U175" s="35" t="str">
        <f aca="false">IF($E175="","",IFERROR(INDEX(Kontenplan!$C$5:$C$90,MATCH($E175,Kontenplan!$A$5:$A$90,0)),"?"))</f>
        <v/>
      </c>
      <c r="V175" s="35" t="str">
        <f aca="false">IF($F175="","",IF(OR($D175="",$E175="",$T175="?",$U175="?"),"Konto prüfen!",IF($A175="","Datum fehlt",IF(YEAR($A175)&lt;&gt;Einstellungen!$B$7,"anderes Jahr!",IF($G175="","MWST-Code fehlt","OK")))))</f>
        <v/>
      </c>
      <c r="W175" s="35" t="str">
        <f aca="false">IF($F175="","",IF(OR($D175=Kontoauszug!$C$4,$E175=Kontoauszug!$C$4),MAX(W$4:W174)+1,""))</f>
        <v/>
      </c>
    </row>
    <row r="176" customFormat="false" ht="15" hidden="false" customHeight="false" outlineLevel="0" collapsed="false">
      <c r="A176" s="33"/>
      <c r="B176" s="32"/>
      <c r="C176" s="32"/>
      <c r="D176" s="32"/>
      <c r="E176" s="32"/>
      <c r="F176" s="30"/>
      <c r="G176" s="32"/>
      <c r="H176" s="34" t="n">
        <f aca="false">IF($G176="",0,IFERROR(INDEX(Einstellungen!$G$5:$G$11,MATCH($G176,Einstellungen!$E$5:$E$11,0)),0))</f>
        <v>0</v>
      </c>
      <c r="I176" s="35" t="str">
        <f aca="false">IF($G176="","-",IFERROR(INDEX(Einstellungen!$H$5:$H$11,MATCH($G176,Einstellungen!$E$5:$E$11,0)),"-"))</f>
        <v>-</v>
      </c>
      <c r="J176" s="35" t="str">
        <f aca="false">IF(AND(Einstellungen!$B$8="Ja",Einstellungen!$B$9="Effektiv"),$I176,"-")</f>
        <v>-</v>
      </c>
      <c r="K176" s="31" t="n">
        <f aca="false">IF(OR($F176="",$J176="-"),0,ROUND($F176-$F176/(1+$H176),2))</f>
        <v>0</v>
      </c>
      <c r="L176" s="31" t="n">
        <f aca="false">IF($F176="",0,$F176-$K176)</f>
        <v>0</v>
      </c>
      <c r="M176" s="31" t="n">
        <f aca="false">IF($F176="",0,IF($J176="V",$L176,$F176))</f>
        <v>0</v>
      </c>
      <c r="N176" s="31" t="n">
        <f aca="false">IF($F176="",0,IF($J176="U",$L176,$F176))</f>
        <v>0</v>
      </c>
      <c r="O176" s="35" t="str">
        <f aca="false">IF($A176="","",MONTH($A176))</f>
        <v/>
      </c>
      <c r="P176" s="35" t="str">
        <f aca="false">IF($A176="","",ROUNDUP(MONTH($A176)/3,0))</f>
        <v/>
      </c>
      <c r="Q176" s="35" t="str">
        <f aca="false">IF($A176="","",IF(MONTH($A176)&lt;=6,1,2))</f>
        <v/>
      </c>
      <c r="R176" s="35" t="str">
        <f aca="false">IF($E176="","",IFERROR(INDEX(Kontenplan!$F$5:$F$90,MATCH($E176,Kontenplan!$A$5:$A$90,0)),""))</f>
        <v/>
      </c>
      <c r="S176" s="35" t="str">
        <f aca="false">IF($D176="","",IFERROR(INDEX(Kontenplan!$F$5:$F$90,MATCH($D176,Kontenplan!$A$5:$A$90,0)),""))</f>
        <v/>
      </c>
      <c r="T176" s="35" t="str">
        <f aca="false">IF($D176="","",IFERROR(INDEX(Kontenplan!$C$5:$C$90,MATCH($D176,Kontenplan!$A$5:$A$90,0)),"?"))</f>
        <v/>
      </c>
      <c r="U176" s="35" t="str">
        <f aca="false">IF($E176="","",IFERROR(INDEX(Kontenplan!$C$5:$C$90,MATCH($E176,Kontenplan!$A$5:$A$90,0)),"?"))</f>
        <v/>
      </c>
      <c r="V176" s="35" t="str">
        <f aca="false">IF($F176="","",IF(OR($D176="",$E176="",$T176="?",$U176="?"),"Konto prüfen!",IF($A176="","Datum fehlt",IF(YEAR($A176)&lt;&gt;Einstellungen!$B$7,"anderes Jahr!",IF($G176="","MWST-Code fehlt","OK")))))</f>
        <v/>
      </c>
      <c r="W176" s="35" t="str">
        <f aca="false">IF($F176="","",IF(OR($D176=Kontoauszug!$C$4,$E176=Kontoauszug!$C$4),MAX(W$4:W175)+1,""))</f>
        <v/>
      </c>
    </row>
    <row r="177" customFormat="false" ht="15" hidden="false" customHeight="false" outlineLevel="0" collapsed="false">
      <c r="A177" s="33"/>
      <c r="B177" s="32"/>
      <c r="C177" s="32"/>
      <c r="D177" s="32"/>
      <c r="E177" s="32"/>
      <c r="F177" s="30"/>
      <c r="G177" s="32"/>
      <c r="H177" s="34" t="n">
        <f aca="false">IF($G177="",0,IFERROR(INDEX(Einstellungen!$G$5:$G$11,MATCH($G177,Einstellungen!$E$5:$E$11,0)),0))</f>
        <v>0</v>
      </c>
      <c r="I177" s="35" t="str">
        <f aca="false">IF($G177="","-",IFERROR(INDEX(Einstellungen!$H$5:$H$11,MATCH($G177,Einstellungen!$E$5:$E$11,0)),"-"))</f>
        <v>-</v>
      </c>
      <c r="J177" s="35" t="str">
        <f aca="false">IF(AND(Einstellungen!$B$8="Ja",Einstellungen!$B$9="Effektiv"),$I177,"-")</f>
        <v>-</v>
      </c>
      <c r="K177" s="31" t="n">
        <f aca="false">IF(OR($F177="",$J177="-"),0,ROUND($F177-$F177/(1+$H177),2))</f>
        <v>0</v>
      </c>
      <c r="L177" s="31" t="n">
        <f aca="false">IF($F177="",0,$F177-$K177)</f>
        <v>0</v>
      </c>
      <c r="M177" s="31" t="n">
        <f aca="false">IF($F177="",0,IF($J177="V",$L177,$F177))</f>
        <v>0</v>
      </c>
      <c r="N177" s="31" t="n">
        <f aca="false">IF($F177="",0,IF($J177="U",$L177,$F177))</f>
        <v>0</v>
      </c>
      <c r="O177" s="35" t="str">
        <f aca="false">IF($A177="","",MONTH($A177))</f>
        <v/>
      </c>
      <c r="P177" s="35" t="str">
        <f aca="false">IF($A177="","",ROUNDUP(MONTH($A177)/3,0))</f>
        <v/>
      </c>
      <c r="Q177" s="35" t="str">
        <f aca="false">IF($A177="","",IF(MONTH($A177)&lt;=6,1,2))</f>
        <v/>
      </c>
      <c r="R177" s="35" t="str">
        <f aca="false">IF($E177="","",IFERROR(INDEX(Kontenplan!$F$5:$F$90,MATCH($E177,Kontenplan!$A$5:$A$90,0)),""))</f>
        <v/>
      </c>
      <c r="S177" s="35" t="str">
        <f aca="false">IF($D177="","",IFERROR(INDEX(Kontenplan!$F$5:$F$90,MATCH($D177,Kontenplan!$A$5:$A$90,0)),""))</f>
        <v/>
      </c>
      <c r="T177" s="35" t="str">
        <f aca="false">IF($D177="","",IFERROR(INDEX(Kontenplan!$C$5:$C$90,MATCH($D177,Kontenplan!$A$5:$A$90,0)),"?"))</f>
        <v/>
      </c>
      <c r="U177" s="35" t="str">
        <f aca="false">IF($E177="","",IFERROR(INDEX(Kontenplan!$C$5:$C$90,MATCH($E177,Kontenplan!$A$5:$A$90,0)),"?"))</f>
        <v/>
      </c>
      <c r="V177" s="35" t="str">
        <f aca="false">IF($F177="","",IF(OR($D177="",$E177="",$T177="?",$U177="?"),"Konto prüfen!",IF($A177="","Datum fehlt",IF(YEAR($A177)&lt;&gt;Einstellungen!$B$7,"anderes Jahr!",IF($G177="","MWST-Code fehlt","OK")))))</f>
        <v/>
      </c>
      <c r="W177" s="35" t="str">
        <f aca="false">IF($F177="","",IF(OR($D177=Kontoauszug!$C$4,$E177=Kontoauszug!$C$4),MAX(W$4:W176)+1,""))</f>
        <v/>
      </c>
    </row>
    <row r="178" customFormat="false" ht="15" hidden="false" customHeight="false" outlineLevel="0" collapsed="false">
      <c r="A178" s="33"/>
      <c r="B178" s="32"/>
      <c r="C178" s="32"/>
      <c r="D178" s="32"/>
      <c r="E178" s="32"/>
      <c r="F178" s="30"/>
      <c r="G178" s="32"/>
      <c r="H178" s="34" t="n">
        <f aca="false">IF($G178="",0,IFERROR(INDEX(Einstellungen!$G$5:$G$11,MATCH($G178,Einstellungen!$E$5:$E$11,0)),0))</f>
        <v>0</v>
      </c>
      <c r="I178" s="35" t="str">
        <f aca="false">IF($G178="","-",IFERROR(INDEX(Einstellungen!$H$5:$H$11,MATCH($G178,Einstellungen!$E$5:$E$11,0)),"-"))</f>
        <v>-</v>
      </c>
      <c r="J178" s="35" t="str">
        <f aca="false">IF(AND(Einstellungen!$B$8="Ja",Einstellungen!$B$9="Effektiv"),$I178,"-")</f>
        <v>-</v>
      </c>
      <c r="K178" s="31" t="n">
        <f aca="false">IF(OR($F178="",$J178="-"),0,ROUND($F178-$F178/(1+$H178),2))</f>
        <v>0</v>
      </c>
      <c r="L178" s="31" t="n">
        <f aca="false">IF($F178="",0,$F178-$K178)</f>
        <v>0</v>
      </c>
      <c r="M178" s="31" t="n">
        <f aca="false">IF($F178="",0,IF($J178="V",$L178,$F178))</f>
        <v>0</v>
      </c>
      <c r="N178" s="31" t="n">
        <f aca="false">IF($F178="",0,IF($J178="U",$L178,$F178))</f>
        <v>0</v>
      </c>
      <c r="O178" s="35" t="str">
        <f aca="false">IF($A178="","",MONTH($A178))</f>
        <v/>
      </c>
      <c r="P178" s="35" t="str">
        <f aca="false">IF($A178="","",ROUNDUP(MONTH($A178)/3,0))</f>
        <v/>
      </c>
      <c r="Q178" s="35" t="str">
        <f aca="false">IF($A178="","",IF(MONTH($A178)&lt;=6,1,2))</f>
        <v/>
      </c>
      <c r="R178" s="35" t="str">
        <f aca="false">IF($E178="","",IFERROR(INDEX(Kontenplan!$F$5:$F$90,MATCH($E178,Kontenplan!$A$5:$A$90,0)),""))</f>
        <v/>
      </c>
      <c r="S178" s="35" t="str">
        <f aca="false">IF($D178="","",IFERROR(INDEX(Kontenplan!$F$5:$F$90,MATCH($D178,Kontenplan!$A$5:$A$90,0)),""))</f>
        <v/>
      </c>
      <c r="T178" s="35" t="str">
        <f aca="false">IF($D178="","",IFERROR(INDEX(Kontenplan!$C$5:$C$90,MATCH($D178,Kontenplan!$A$5:$A$90,0)),"?"))</f>
        <v/>
      </c>
      <c r="U178" s="35" t="str">
        <f aca="false">IF($E178="","",IFERROR(INDEX(Kontenplan!$C$5:$C$90,MATCH($E178,Kontenplan!$A$5:$A$90,0)),"?"))</f>
        <v/>
      </c>
      <c r="V178" s="35" t="str">
        <f aca="false">IF($F178="","",IF(OR($D178="",$E178="",$T178="?",$U178="?"),"Konto prüfen!",IF($A178="","Datum fehlt",IF(YEAR($A178)&lt;&gt;Einstellungen!$B$7,"anderes Jahr!",IF($G178="","MWST-Code fehlt","OK")))))</f>
        <v/>
      </c>
      <c r="W178" s="35" t="str">
        <f aca="false">IF($F178="","",IF(OR($D178=Kontoauszug!$C$4,$E178=Kontoauszug!$C$4),MAX(W$4:W177)+1,""))</f>
        <v/>
      </c>
    </row>
    <row r="179" customFormat="false" ht="15" hidden="false" customHeight="false" outlineLevel="0" collapsed="false">
      <c r="A179" s="33"/>
      <c r="B179" s="32"/>
      <c r="C179" s="32"/>
      <c r="D179" s="32"/>
      <c r="E179" s="32"/>
      <c r="F179" s="30"/>
      <c r="G179" s="32"/>
      <c r="H179" s="34" t="n">
        <f aca="false">IF($G179="",0,IFERROR(INDEX(Einstellungen!$G$5:$G$11,MATCH($G179,Einstellungen!$E$5:$E$11,0)),0))</f>
        <v>0</v>
      </c>
      <c r="I179" s="35" t="str">
        <f aca="false">IF($G179="","-",IFERROR(INDEX(Einstellungen!$H$5:$H$11,MATCH($G179,Einstellungen!$E$5:$E$11,0)),"-"))</f>
        <v>-</v>
      </c>
      <c r="J179" s="35" t="str">
        <f aca="false">IF(AND(Einstellungen!$B$8="Ja",Einstellungen!$B$9="Effektiv"),$I179,"-")</f>
        <v>-</v>
      </c>
      <c r="K179" s="31" t="n">
        <f aca="false">IF(OR($F179="",$J179="-"),0,ROUND($F179-$F179/(1+$H179),2))</f>
        <v>0</v>
      </c>
      <c r="L179" s="31" t="n">
        <f aca="false">IF($F179="",0,$F179-$K179)</f>
        <v>0</v>
      </c>
      <c r="M179" s="31" t="n">
        <f aca="false">IF($F179="",0,IF($J179="V",$L179,$F179))</f>
        <v>0</v>
      </c>
      <c r="N179" s="31" t="n">
        <f aca="false">IF($F179="",0,IF($J179="U",$L179,$F179))</f>
        <v>0</v>
      </c>
      <c r="O179" s="35" t="str">
        <f aca="false">IF($A179="","",MONTH($A179))</f>
        <v/>
      </c>
      <c r="P179" s="35" t="str">
        <f aca="false">IF($A179="","",ROUNDUP(MONTH($A179)/3,0))</f>
        <v/>
      </c>
      <c r="Q179" s="35" t="str">
        <f aca="false">IF($A179="","",IF(MONTH($A179)&lt;=6,1,2))</f>
        <v/>
      </c>
      <c r="R179" s="35" t="str">
        <f aca="false">IF($E179="","",IFERROR(INDEX(Kontenplan!$F$5:$F$90,MATCH($E179,Kontenplan!$A$5:$A$90,0)),""))</f>
        <v/>
      </c>
      <c r="S179" s="35" t="str">
        <f aca="false">IF($D179="","",IFERROR(INDEX(Kontenplan!$F$5:$F$90,MATCH($D179,Kontenplan!$A$5:$A$90,0)),""))</f>
        <v/>
      </c>
      <c r="T179" s="35" t="str">
        <f aca="false">IF($D179="","",IFERROR(INDEX(Kontenplan!$C$5:$C$90,MATCH($D179,Kontenplan!$A$5:$A$90,0)),"?"))</f>
        <v/>
      </c>
      <c r="U179" s="35" t="str">
        <f aca="false">IF($E179="","",IFERROR(INDEX(Kontenplan!$C$5:$C$90,MATCH($E179,Kontenplan!$A$5:$A$90,0)),"?"))</f>
        <v/>
      </c>
      <c r="V179" s="35" t="str">
        <f aca="false">IF($F179="","",IF(OR($D179="",$E179="",$T179="?",$U179="?"),"Konto prüfen!",IF($A179="","Datum fehlt",IF(YEAR($A179)&lt;&gt;Einstellungen!$B$7,"anderes Jahr!",IF($G179="","MWST-Code fehlt","OK")))))</f>
        <v/>
      </c>
      <c r="W179" s="35" t="str">
        <f aca="false">IF($F179="","",IF(OR($D179=Kontoauszug!$C$4,$E179=Kontoauszug!$C$4),MAX(W$4:W178)+1,""))</f>
        <v/>
      </c>
    </row>
    <row r="180" customFormat="false" ht="15" hidden="false" customHeight="false" outlineLevel="0" collapsed="false">
      <c r="A180" s="33"/>
      <c r="B180" s="32"/>
      <c r="C180" s="32"/>
      <c r="D180" s="32"/>
      <c r="E180" s="32"/>
      <c r="F180" s="30"/>
      <c r="G180" s="32"/>
      <c r="H180" s="34" t="n">
        <f aca="false">IF($G180="",0,IFERROR(INDEX(Einstellungen!$G$5:$G$11,MATCH($G180,Einstellungen!$E$5:$E$11,0)),0))</f>
        <v>0</v>
      </c>
      <c r="I180" s="35" t="str">
        <f aca="false">IF($G180="","-",IFERROR(INDEX(Einstellungen!$H$5:$H$11,MATCH($G180,Einstellungen!$E$5:$E$11,0)),"-"))</f>
        <v>-</v>
      </c>
      <c r="J180" s="35" t="str">
        <f aca="false">IF(AND(Einstellungen!$B$8="Ja",Einstellungen!$B$9="Effektiv"),$I180,"-")</f>
        <v>-</v>
      </c>
      <c r="K180" s="31" t="n">
        <f aca="false">IF(OR($F180="",$J180="-"),0,ROUND($F180-$F180/(1+$H180),2))</f>
        <v>0</v>
      </c>
      <c r="L180" s="31" t="n">
        <f aca="false">IF($F180="",0,$F180-$K180)</f>
        <v>0</v>
      </c>
      <c r="M180" s="31" t="n">
        <f aca="false">IF($F180="",0,IF($J180="V",$L180,$F180))</f>
        <v>0</v>
      </c>
      <c r="N180" s="31" t="n">
        <f aca="false">IF($F180="",0,IF($J180="U",$L180,$F180))</f>
        <v>0</v>
      </c>
      <c r="O180" s="35" t="str">
        <f aca="false">IF($A180="","",MONTH($A180))</f>
        <v/>
      </c>
      <c r="P180" s="35" t="str">
        <f aca="false">IF($A180="","",ROUNDUP(MONTH($A180)/3,0))</f>
        <v/>
      </c>
      <c r="Q180" s="35" t="str">
        <f aca="false">IF($A180="","",IF(MONTH($A180)&lt;=6,1,2))</f>
        <v/>
      </c>
      <c r="R180" s="35" t="str">
        <f aca="false">IF($E180="","",IFERROR(INDEX(Kontenplan!$F$5:$F$90,MATCH($E180,Kontenplan!$A$5:$A$90,0)),""))</f>
        <v/>
      </c>
      <c r="S180" s="35" t="str">
        <f aca="false">IF($D180="","",IFERROR(INDEX(Kontenplan!$F$5:$F$90,MATCH($D180,Kontenplan!$A$5:$A$90,0)),""))</f>
        <v/>
      </c>
      <c r="T180" s="35" t="str">
        <f aca="false">IF($D180="","",IFERROR(INDEX(Kontenplan!$C$5:$C$90,MATCH($D180,Kontenplan!$A$5:$A$90,0)),"?"))</f>
        <v/>
      </c>
      <c r="U180" s="35" t="str">
        <f aca="false">IF($E180="","",IFERROR(INDEX(Kontenplan!$C$5:$C$90,MATCH($E180,Kontenplan!$A$5:$A$90,0)),"?"))</f>
        <v/>
      </c>
      <c r="V180" s="35" t="str">
        <f aca="false">IF($F180="","",IF(OR($D180="",$E180="",$T180="?",$U180="?"),"Konto prüfen!",IF($A180="","Datum fehlt",IF(YEAR($A180)&lt;&gt;Einstellungen!$B$7,"anderes Jahr!",IF($G180="","MWST-Code fehlt","OK")))))</f>
        <v/>
      </c>
      <c r="W180" s="35" t="str">
        <f aca="false">IF($F180="","",IF(OR($D180=Kontoauszug!$C$4,$E180=Kontoauszug!$C$4),MAX(W$4:W179)+1,""))</f>
        <v/>
      </c>
    </row>
    <row r="181" customFormat="false" ht="15" hidden="false" customHeight="false" outlineLevel="0" collapsed="false">
      <c r="A181" s="33"/>
      <c r="B181" s="32"/>
      <c r="C181" s="32"/>
      <c r="D181" s="32"/>
      <c r="E181" s="32"/>
      <c r="F181" s="30"/>
      <c r="G181" s="32"/>
      <c r="H181" s="34" t="n">
        <f aca="false">IF($G181="",0,IFERROR(INDEX(Einstellungen!$G$5:$G$11,MATCH($G181,Einstellungen!$E$5:$E$11,0)),0))</f>
        <v>0</v>
      </c>
      <c r="I181" s="35" t="str">
        <f aca="false">IF($G181="","-",IFERROR(INDEX(Einstellungen!$H$5:$H$11,MATCH($G181,Einstellungen!$E$5:$E$11,0)),"-"))</f>
        <v>-</v>
      </c>
      <c r="J181" s="35" t="str">
        <f aca="false">IF(AND(Einstellungen!$B$8="Ja",Einstellungen!$B$9="Effektiv"),$I181,"-")</f>
        <v>-</v>
      </c>
      <c r="K181" s="31" t="n">
        <f aca="false">IF(OR($F181="",$J181="-"),0,ROUND($F181-$F181/(1+$H181),2))</f>
        <v>0</v>
      </c>
      <c r="L181" s="31" t="n">
        <f aca="false">IF($F181="",0,$F181-$K181)</f>
        <v>0</v>
      </c>
      <c r="M181" s="31" t="n">
        <f aca="false">IF($F181="",0,IF($J181="V",$L181,$F181))</f>
        <v>0</v>
      </c>
      <c r="N181" s="31" t="n">
        <f aca="false">IF($F181="",0,IF($J181="U",$L181,$F181))</f>
        <v>0</v>
      </c>
      <c r="O181" s="35" t="str">
        <f aca="false">IF($A181="","",MONTH($A181))</f>
        <v/>
      </c>
      <c r="P181" s="35" t="str">
        <f aca="false">IF($A181="","",ROUNDUP(MONTH($A181)/3,0))</f>
        <v/>
      </c>
      <c r="Q181" s="35" t="str">
        <f aca="false">IF($A181="","",IF(MONTH($A181)&lt;=6,1,2))</f>
        <v/>
      </c>
      <c r="R181" s="35" t="str">
        <f aca="false">IF($E181="","",IFERROR(INDEX(Kontenplan!$F$5:$F$90,MATCH($E181,Kontenplan!$A$5:$A$90,0)),""))</f>
        <v/>
      </c>
      <c r="S181" s="35" t="str">
        <f aca="false">IF($D181="","",IFERROR(INDEX(Kontenplan!$F$5:$F$90,MATCH($D181,Kontenplan!$A$5:$A$90,0)),""))</f>
        <v/>
      </c>
      <c r="T181" s="35" t="str">
        <f aca="false">IF($D181="","",IFERROR(INDEX(Kontenplan!$C$5:$C$90,MATCH($D181,Kontenplan!$A$5:$A$90,0)),"?"))</f>
        <v/>
      </c>
      <c r="U181" s="35" t="str">
        <f aca="false">IF($E181="","",IFERROR(INDEX(Kontenplan!$C$5:$C$90,MATCH($E181,Kontenplan!$A$5:$A$90,0)),"?"))</f>
        <v/>
      </c>
      <c r="V181" s="35" t="str">
        <f aca="false">IF($F181="","",IF(OR($D181="",$E181="",$T181="?",$U181="?"),"Konto prüfen!",IF($A181="","Datum fehlt",IF(YEAR($A181)&lt;&gt;Einstellungen!$B$7,"anderes Jahr!",IF($G181="","MWST-Code fehlt","OK")))))</f>
        <v/>
      </c>
      <c r="W181" s="35" t="str">
        <f aca="false">IF($F181="","",IF(OR($D181=Kontoauszug!$C$4,$E181=Kontoauszug!$C$4),MAX(W$4:W180)+1,""))</f>
        <v/>
      </c>
    </row>
    <row r="182" customFormat="false" ht="15" hidden="false" customHeight="false" outlineLevel="0" collapsed="false">
      <c r="A182" s="33"/>
      <c r="B182" s="32"/>
      <c r="C182" s="32"/>
      <c r="D182" s="32"/>
      <c r="E182" s="32"/>
      <c r="F182" s="30"/>
      <c r="G182" s="32"/>
      <c r="H182" s="34" t="n">
        <f aca="false">IF($G182="",0,IFERROR(INDEX(Einstellungen!$G$5:$G$11,MATCH($G182,Einstellungen!$E$5:$E$11,0)),0))</f>
        <v>0</v>
      </c>
      <c r="I182" s="35" t="str">
        <f aca="false">IF($G182="","-",IFERROR(INDEX(Einstellungen!$H$5:$H$11,MATCH($G182,Einstellungen!$E$5:$E$11,0)),"-"))</f>
        <v>-</v>
      </c>
      <c r="J182" s="35" t="str">
        <f aca="false">IF(AND(Einstellungen!$B$8="Ja",Einstellungen!$B$9="Effektiv"),$I182,"-")</f>
        <v>-</v>
      </c>
      <c r="K182" s="31" t="n">
        <f aca="false">IF(OR($F182="",$J182="-"),0,ROUND($F182-$F182/(1+$H182),2))</f>
        <v>0</v>
      </c>
      <c r="L182" s="31" t="n">
        <f aca="false">IF($F182="",0,$F182-$K182)</f>
        <v>0</v>
      </c>
      <c r="M182" s="31" t="n">
        <f aca="false">IF($F182="",0,IF($J182="V",$L182,$F182))</f>
        <v>0</v>
      </c>
      <c r="N182" s="31" t="n">
        <f aca="false">IF($F182="",0,IF($J182="U",$L182,$F182))</f>
        <v>0</v>
      </c>
      <c r="O182" s="35" t="str">
        <f aca="false">IF($A182="","",MONTH($A182))</f>
        <v/>
      </c>
      <c r="P182" s="35" t="str">
        <f aca="false">IF($A182="","",ROUNDUP(MONTH($A182)/3,0))</f>
        <v/>
      </c>
      <c r="Q182" s="35" t="str">
        <f aca="false">IF($A182="","",IF(MONTH($A182)&lt;=6,1,2))</f>
        <v/>
      </c>
      <c r="R182" s="35" t="str">
        <f aca="false">IF($E182="","",IFERROR(INDEX(Kontenplan!$F$5:$F$90,MATCH($E182,Kontenplan!$A$5:$A$90,0)),""))</f>
        <v/>
      </c>
      <c r="S182" s="35" t="str">
        <f aca="false">IF($D182="","",IFERROR(INDEX(Kontenplan!$F$5:$F$90,MATCH($D182,Kontenplan!$A$5:$A$90,0)),""))</f>
        <v/>
      </c>
      <c r="T182" s="35" t="str">
        <f aca="false">IF($D182="","",IFERROR(INDEX(Kontenplan!$C$5:$C$90,MATCH($D182,Kontenplan!$A$5:$A$90,0)),"?"))</f>
        <v/>
      </c>
      <c r="U182" s="35" t="str">
        <f aca="false">IF($E182="","",IFERROR(INDEX(Kontenplan!$C$5:$C$90,MATCH($E182,Kontenplan!$A$5:$A$90,0)),"?"))</f>
        <v/>
      </c>
      <c r="V182" s="35" t="str">
        <f aca="false">IF($F182="","",IF(OR($D182="",$E182="",$T182="?",$U182="?"),"Konto prüfen!",IF($A182="","Datum fehlt",IF(YEAR($A182)&lt;&gt;Einstellungen!$B$7,"anderes Jahr!",IF($G182="","MWST-Code fehlt","OK")))))</f>
        <v/>
      </c>
      <c r="W182" s="35" t="str">
        <f aca="false">IF($F182="","",IF(OR($D182=Kontoauszug!$C$4,$E182=Kontoauszug!$C$4),MAX(W$4:W181)+1,""))</f>
        <v/>
      </c>
    </row>
    <row r="183" customFormat="false" ht="15" hidden="false" customHeight="false" outlineLevel="0" collapsed="false">
      <c r="A183" s="33"/>
      <c r="B183" s="32"/>
      <c r="C183" s="32"/>
      <c r="D183" s="32"/>
      <c r="E183" s="32"/>
      <c r="F183" s="30"/>
      <c r="G183" s="32"/>
      <c r="H183" s="34" t="n">
        <f aca="false">IF($G183="",0,IFERROR(INDEX(Einstellungen!$G$5:$G$11,MATCH($G183,Einstellungen!$E$5:$E$11,0)),0))</f>
        <v>0</v>
      </c>
      <c r="I183" s="35" t="str">
        <f aca="false">IF($G183="","-",IFERROR(INDEX(Einstellungen!$H$5:$H$11,MATCH($G183,Einstellungen!$E$5:$E$11,0)),"-"))</f>
        <v>-</v>
      </c>
      <c r="J183" s="35" t="str">
        <f aca="false">IF(AND(Einstellungen!$B$8="Ja",Einstellungen!$B$9="Effektiv"),$I183,"-")</f>
        <v>-</v>
      </c>
      <c r="K183" s="31" t="n">
        <f aca="false">IF(OR($F183="",$J183="-"),0,ROUND($F183-$F183/(1+$H183),2))</f>
        <v>0</v>
      </c>
      <c r="L183" s="31" t="n">
        <f aca="false">IF($F183="",0,$F183-$K183)</f>
        <v>0</v>
      </c>
      <c r="M183" s="31" t="n">
        <f aca="false">IF($F183="",0,IF($J183="V",$L183,$F183))</f>
        <v>0</v>
      </c>
      <c r="N183" s="31" t="n">
        <f aca="false">IF($F183="",0,IF($J183="U",$L183,$F183))</f>
        <v>0</v>
      </c>
      <c r="O183" s="35" t="str">
        <f aca="false">IF($A183="","",MONTH($A183))</f>
        <v/>
      </c>
      <c r="P183" s="35" t="str">
        <f aca="false">IF($A183="","",ROUNDUP(MONTH($A183)/3,0))</f>
        <v/>
      </c>
      <c r="Q183" s="35" t="str">
        <f aca="false">IF($A183="","",IF(MONTH($A183)&lt;=6,1,2))</f>
        <v/>
      </c>
      <c r="R183" s="35" t="str">
        <f aca="false">IF($E183="","",IFERROR(INDEX(Kontenplan!$F$5:$F$90,MATCH($E183,Kontenplan!$A$5:$A$90,0)),""))</f>
        <v/>
      </c>
      <c r="S183" s="35" t="str">
        <f aca="false">IF($D183="","",IFERROR(INDEX(Kontenplan!$F$5:$F$90,MATCH($D183,Kontenplan!$A$5:$A$90,0)),""))</f>
        <v/>
      </c>
      <c r="T183" s="35" t="str">
        <f aca="false">IF($D183="","",IFERROR(INDEX(Kontenplan!$C$5:$C$90,MATCH($D183,Kontenplan!$A$5:$A$90,0)),"?"))</f>
        <v/>
      </c>
      <c r="U183" s="35" t="str">
        <f aca="false">IF($E183="","",IFERROR(INDEX(Kontenplan!$C$5:$C$90,MATCH($E183,Kontenplan!$A$5:$A$90,0)),"?"))</f>
        <v/>
      </c>
      <c r="V183" s="35" t="str">
        <f aca="false">IF($F183="","",IF(OR($D183="",$E183="",$T183="?",$U183="?"),"Konto prüfen!",IF($A183="","Datum fehlt",IF(YEAR($A183)&lt;&gt;Einstellungen!$B$7,"anderes Jahr!",IF($G183="","MWST-Code fehlt","OK")))))</f>
        <v/>
      </c>
      <c r="W183" s="35" t="str">
        <f aca="false">IF($F183="","",IF(OR($D183=Kontoauszug!$C$4,$E183=Kontoauszug!$C$4),MAX(W$4:W182)+1,""))</f>
        <v/>
      </c>
    </row>
    <row r="184" customFormat="false" ht="15" hidden="false" customHeight="false" outlineLevel="0" collapsed="false">
      <c r="A184" s="33"/>
      <c r="B184" s="32"/>
      <c r="C184" s="32"/>
      <c r="D184" s="32"/>
      <c r="E184" s="32"/>
      <c r="F184" s="30"/>
      <c r="G184" s="32"/>
      <c r="H184" s="34" t="n">
        <f aca="false">IF($G184="",0,IFERROR(INDEX(Einstellungen!$G$5:$G$11,MATCH($G184,Einstellungen!$E$5:$E$11,0)),0))</f>
        <v>0</v>
      </c>
      <c r="I184" s="35" t="str">
        <f aca="false">IF($G184="","-",IFERROR(INDEX(Einstellungen!$H$5:$H$11,MATCH($G184,Einstellungen!$E$5:$E$11,0)),"-"))</f>
        <v>-</v>
      </c>
      <c r="J184" s="35" t="str">
        <f aca="false">IF(AND(Einstellungen!$B$8="Ja",Einstellungen!$B$9="Effektiv"),$I184,"-")</f>
        <v>-</v>
      </c>
      <c r="K184" s="31" t="n">
        <f aca="false">IF(OR($F184="",$J184="-"),0,ROUND($F184-$F184/(1+$H184),2))</f>
        <v>0</v>
      </c>
      <c r="L184" s="31" t="n">
        <f aca="false">IF($F184="",0,$F184-$K184)</f>
        <v>0</v>
      </c>
      <c r="M184" s="31" t="n">
        <f aca="false">IF($F184="",0,IF($J184="V",$L184,$F184))</f>
        <v>0</v>
      </c>
      <c r="N184" s="31" t="n">
        <f aca="false">IF($F184="",0,IF($J184="U",$L184,$F184))</f>
        <v>0</v>
      </c>
      <c r="O184" s="35" t="str">
        <f aca="false">IF($A184="","",MONTH($A184))</f>
        <v/>
      </c>
      <c r="P184" s="35" t="str">
        <f aca="false">IF($A184="","",ROUNDUP(MONTH($A184)/3,0))</f>
        <v/>
      </c>
      <c r="Q184" s="35" t="str">
        <f aca="false">IF($A184="","",IF(MONTH($A184)&lt;=6,1,2))</f>
        <v/>
      </c>
      <c r="R184" s="35" t="str">
        <f aca="false">IF($E184="","",IFERROR(INDEX(Kontenplan!$F$5:$F$90,MATCH($E184,Kontenplan!$A$5:$A$90,0)),""))</f>
        <v/>
      </c>
      <c r="S184" s="35" t="str">
        <f aca="false">IF($D184="","",IFERROR(INDEX(Kontenplan!$F$5:$F$90,MATCH($D184,Kontenplan!$A$5:$A$90,0)),""))</f>
        <v/>
      </c>
      <c r="T184" s="35" t="str">
        <f aca="false">IF($D184="","",IFERROR(INDEX(Kontenplan!$C$5:$C$90,MATCH($D184,Kontenplan!$A$5:$A$90,0)),"?"))</f>
        <v/>
      </c>
      <c r="U184" s="35" t="str">
        <f aca="false">IF($E184="","",IFERROR(INDEX(Kontenplan!$C$5:$C$90,MATCH($E184,Kontenplan!$A$5:$A$90,0)),"?"))</f>
        <v/>
      </c>
      <c r="V184" s="35" t="str">
        <f aca="false">IF($F184="","",IF(OR($D184="",$E184="",$T184="?",$U184="?"),"Konto prüfen!",IF($A184="","Datum fehlt",IF(YEAR($A184)&lt;&gt;Einstellungen!$B$7,"anderes Jahr!",IF($G184="","MWST-Code fehlt","OK")))))</f>
        <v/>
      </c>
      <c r="W184" s="35" t="str">
        <f aca="false">IF($F184="","",IF(OR($D184=Kontoauszug!$C$4,$E184=Kontoauszug!$C$4),MAX(W$4:W183)+1,""))</f>
        <v/>
      </c>
    </row>
    <row r="185" customFormat="false" ht="15" hidden="false" customHeight="false" outlineLevel="0" collapsed="false">
      <c r="A185" s="33"/>
      <c r="B185" s="32"/>
      <c r="C185" s="32"/>
      <c r="D185" s="32"/>
      <c r="E185" s="32"/>
      <c r="F185" s="30"/>
      <c r="G185" s="32"/>
      <c r="H185" s="34" t="n">
        <f aca="false">IF($G185="",0,IFERROR(INDEX(Einstellungen!$G$5:$G$11,MATCH($G185,Einstellungen!$E$5:$E$11,0)),0))</f>
        <v>0</v>
      </c>
      <c r="I185" s="35" t="str">
        <f aca="false">IF($G185="","-",IFERROR(INDEX(Einstellungen!$H$5:$H$11,MATCH($G185,Einstellungen!$E$5:$E$11,0)),"-"))</f>
        <v>-</v>
      </c>
      <c r="J185" s="35" t="str">
        <f aca="false">IF(AND(Einstellungen!$B$8="Ja",Einstellungen!$B$9="Effektiv"),$I185,"-")</f>
        <v>-</v>
      </c>
      <c r="K185" s="31" t="n">
        <f aca="false">IF(OR($F185="",$J185="-"),0,ROUND($F185-$F185/(1+$H185),2))</f>
        <v>0</v>
      </c>
      <c r="L185" s="31" t="n">
        <f aca="false">IF($F185="",0,$F185-$K185)</f>
        <v>0</v>
      </c>
      <c r="M185" s="31" t="n">
        <f aca="false">IF($F185="",0,IF($J185="V",$L185,$F185))</f>
        <v>0</v>
      </c>
      <c r="N185" s="31" t="n">
        <f aca="false">IF($F185="",0,IF($J185="U",$L185,$F185))</f>
        <v>0</v>
      </c>
      <c r="O185" s="35" t="str">
        <f aca="false">IF($A185="","",MONTH($A185))</f>
        <v/>
      </c>
      <c r="P185" s="35" t="str">
        <f aca="false">IF($A185="","",ROUNDUP(MONTH($A185)/3,0))</f>
        <v/>
      </c>
      <c r="Q185" s="35" t="str">
        <f aca="false">IF($A185="","",IF(MONTH($A185)&lt;=6,1,2))</f>
        <v/>
      </c>
      <c r="R185" s="35" t="str">
        <f aca="false">IF($E185="","",IFERROR(INDEX(Kontenplan!$F$5:$F$90,MATCH($E185,Kontenplan!$A$5:$A$90,0)),""))</f>
        <v/>
      </c>
      <c r="S185" s="35" t="str">
        <f aca="false">IF($D185="","",IFERROR(INDEX(Kontenplan!$F$5:$F$90,MATCH($D185,Kontenplan!$A$5:$A$90,0)),""))</f>
        <v/>
      </c>
      <c r="T185" s="35" t="str">
        <f aca="false">IF($D185="","",IFERROR(INDEX(Kontenplan!$C$5:$C$90,MATCH($D185,Kontenplan!$A$5:$A$90,0)),"?"))</f>
        <v/>
      </c>
      <c r="U185" s="35" t="str">
        <f aca="false">IF($E185="","",IFERROR(INDEX(Kontenplan!$C$5:$C$90,MATCH($E185,Kontenplan!$A$5:$A$90,0)),"?"))</f>
        <v/>
      </c>
      <c r="V185" s="35" t="str">
        <f aca="false">IF($F185="","",IF(OR($D185="",$E185="",$T185="?",$U185="?"),"Konto prüfen!",IF($A185="","Datum fehlt",IF(YEAR($A185)&lt;&gt;Einstellungen!$B$7,"anderes Jahr!",IF($G185="","MWST-Code fehlt","OK")))))</f>
        <v/>
      </c>
      <c r="W185" s="35" t="str">
        <f aca="false">IF($F185="","",IF(OR($D185=Kontoauszug!$C$4,$E185=Kontoauszug!$C$4),MAX(W$4:W184)+1,""))</f>
        <v/>
      </c>
    </row>
    <row r="186" customFormat="false" ht="15" hidden="false" customHeight="false" outlineLevel="0" collapsed="false">
      <c r="A186" s="33"/>
      <c r="B186" s="32"/>
      <c r="C186" s="32"/>
      <c r="D186" s="32"/>
      <c r="E186" s="32"/>
      <c r="F186" s="30"/>
      <c r="G186" s="32"/>
      <c r="H186" s="34" t="n">
        <f aca="false">IF($G186="",0,IFERROR(INDEX(Einstellungen!$G$5:$G$11,MATCH($G186,Einstellungen!$E$5:$E$11,0)),0))</f>
        <v>0</v>
      </c>
      <c r="I186" s="35" t="str">
        <f aca="false">IF($G186="","-",IFERROR(INDEX(Einstellungen!$H$5:$H$11,MATCH($G186,Einstellungen!$E$5:$E$11,0)),"-"))</f>
        <v>-</v>
      </c>
      <c r="J186" s="35" t="str">
        <f aca="false">IF(AND(Einstellungen!$B$8="Ja",Einstellungen!$B$9="Effektiv"),$I186,"-")</f>
        <v>-</v>
      </c>
      <c r="K186" s="31" t="n">
        <f aca="false">IF(OR($F186="",$J186="-"),0,ROUND($F186-$F186/(1+$H186),2))</f>
        <v>0</v>
      </c>
      <c r="L186" s="31" t="n">
        <f aca="false">IF($F186="",0,$F186-$K186)</f>
        <v>0</v>
      </c>
      <c r="M186" s="31" t="n">
        <f aca="false">IF($F186="",0,IF($J186="V",$L186,$F186))</f>
        <v>0</v>
      </c>
      <c r="N186" s="31" t="n">
        <f aca="false">IF($F186="",0,IF($J186="U",$L186,$F186))</f>
        <v>0</v>
      </c>
      <c r="O186" s="35" t="str">
        <f aca="false">IF($A186="","",MONTH($A186))</f>
        <v/>
      </c>
      <c r="P186" s="35" t="str">
        <f aca="false">IF($A186="","",ROUNDUP(MONTH($A186)/3,0))</f>
        <v/>
      </c>
      <c r="Q186" s="35" t="str">
        <f aca="false">IF($A186="","",IF(MONTH($A186)&lt;=6,1,2))</f>
        <v/>
      </c>
      <c r="R186" s="35" t="str">
        <f aca="false">IF($E186="","",IFERROR(INDEX(Kontenplan!$F$5:$F$90,MATCH($E186,Kontenplan!$A$5:$A$90,0)),""))</f>
        <v/>
      </c>
      <c r="S186" s="35" t="str">
        <f aca="false">IF($D186="","",IFERROR(INDEX(Kontenplan!$F$5:$F$90,MATCH($D186,Kontenplan!$A$5:$A$90,0)),""))</f>
        <v/>
      </c>
      <c r="T186" s="35" t="str">
        <f aca="false">IF($D186="","",IFERROR(INDEX(Kontenplan!$C$5:$C$90,MATCH($D186,Kontenplan!$A$5:$A$90,0)),"?"))</f>
        <v/>
      </c>
      <c r="U186" s="35" t="str">
        <f aca="false">IF($E186="","",IFERROR(INDEX(Kontenplan!$C$5:$C$90,MATCH($E186,Kontenplan!$A$5:$A$90,0)),"?"))</f>
        <v/>
      </c>
      <c r="V186" s="35" t="str">
        <f aca="false">IF($F186="","",IF(OR($D186="",$E186="",$T186="?",$U186="?"),"Konto prüfen!",IF($A186="","Datum fehlt",IF(YEAR($A186)&lt;&gt;Einstellungen!$B$7,"anderes Jahr!",IF($G186="","MWST-Code fehlt","OK")))))</f>
        <v/>
      </c>
      <c r="W186" s="35" t="str">
        <f aca="false">IF($F186="","",IF(OR($D186=Kontoauszug!$C$4,$E186=Kontoauszug!$C$4),MAX(W$4:W185)+1,""))</f>
        <v/>
      </c>
    </row>
    <row r="187" customFormat="false" ht="15" hidden="false" customHeight="false" outlineLevel="0" collapsed="false">
      <c r="A187" s="33"/>
      <c r="B187" s="32"/>
      <c r="C187" s="32"/>
      <c r="D187" s="32"/>
      <c r="E187" s="32"/>
      <c r="F187" s="30"/>
      <c r="G187" s="32"/>
      <c r="H187" s="34" t="n">
        <f aca="false">IF($G187="",0,IFERROR(INDEX(Einstellungen!$G$5:$G$11,MATCH($G187,Einstellungen!$E$5:$E$11,0)),0))</f>
        <v>0</v>
      </c>
      <c r="I187" s="35" t="str">
        <f aca="false">IF($G187="","-",IFERROR(INDEX(Einstellungen!$H$5:$H$11,MATCH($G187,Einstellungen!$E$5:$E$11,0)),"-"))</f>
        <v>-</v>
      </c>
      <c r="J187" s="35" t="str">
        <f aca="false">IF(AND(Einstellungen!$B$8="Ja",Einstellungen!$B$9="Effektiv"),$I187,"-")</f>
        <v>-</v>
      </c>
      <c r="K187" s="31" t="n">
        <f aca="false">IF(OR($F187="",$J187="-"),0,ROUND($F187-$F187/(1+$H187),2))</f>
        <v>0</v>
      </c>
      <c r="L187" s="31" t="n">
        <f aca="false">IF($F187="",0,$F187-$K187)</f>
        <v>0</v>
      </c>
      <c r="M187" s="31" t="n">
        <f aca="false">IF($F187="",0,IF($J187="V",$L187,$F187))</f>
        <v>0</v>
      </c>
      <c r="N187" s="31" t="n">
        <f aca="false">IF($F187="",0,IF($J187="U",$L187,$F187))</f>
        <v>0</v>
      </c>
      <c r="O187" s="35" t="str">
        <f aca="false">IF($A187="","",MONTH($A187))</f>
        <v/>
      </c>
      <c r="P187" s="35" t="str">
        <f aca="false">IF($A187="","",ROUNDUP(MONTH($A187)/3,0))</f>
        <v/>
      </c>
      <c r="Q187" s="35" t="str">
        <f aca="false">IF($A187="","",IF(MONTH($A187)&lt;=6,1,2))</f>
        <v/>
      </c>
      <c r="R187" s="35" t="str">
        <f aca="false">IF($E187="","",IFERROR(INDEX(Kontenplan!$F$5:$F$90,MATCH($E187,Kontenplan!$A$5:$A$90,0)),""))</f>
        <v/>
      </c>
      <c r="S187" s="35" t="str">
        <f aca="false">IF($D187="","",IFERROR(INDEX(Kontenplan!$F$5:$F$90,MATCH($D187,Kontenplan!$A$5:$A$90,0)),""))</f>
        <v/>
      </c>
      <c r="T187" s="35" t="str">
        <f aca="false">IF($D187="","",IFERROR(INDEX(Kontenplan!$C$5:$C$90,MATCH($D187,Kontenplan!$A$5:$A$90,0)),"?"))</f>
        <v/>
      </c>
      <c r="U187" s="35" t="str">
        <f aca="false">IF($E187="","",IFERROR(INDEX(Kontenplan!$C$5:$C$90,MATCH($E187,Kontenplan!$A$5:$A$90,0)),"?"))</f>
        <v/>
      </c>
      <c r="V187" s="35" t="str">
        <f aca="false">IF($F187="","",IF(OR($D187="",$E187="",$T187="?",$U187="?"),"Konto prüfen!",IF($A187="","Datum fehlt",IF(YEAR($A187)&lt;&gt;Einstellungen!$B$7,"anderes Jahr!",IF($G187="","MWST-Code fehlt","OK")))))</f>
        <v/>
      </c>
      <c r="W187" s="35" t="str">
        <f aca="false">IF($F187="","",IF(OR($D187=Kontoauszug!$C$4,$E187=Kontoauszug!$C$4),MAX(W$4:W186)+1,""))</f>
        <v/>
      </c>
    </row>
    <row r="188" customFormat="false" ht="15" hidden="false" customHeight="false" outlineLevel="0" collapsed="false">
      <c r="A188" s="33"/>
      <c r="B188" s="32"/>
      <c r="C188" s="32"/>
      <c r="D188" s="32"/>
      <c r="E188" s="32"/>
      <c r="F188" s="30"/>
      <c r="G188" s="32"/>
      <c r="H188" s="34" t="n">
        <f aca="false">IF($G188="",0,IFERROR(INDEX(Einstellungen!$G$5:$G$11,MATCH($G188,Einstellungen!$E$5:$E$11,0)),0))</f>
        <v>0</v>
      </c>
      <c r="I188" s="35" t="str">
        <f aca="false">IF($G188="","-",IFERROR(INDEX(Einstellungen!$H$5:$H$11,MATCH($G188,Einstellungen!$E$5:$E$11,0)),"-"))</f>
        <v>-</v>
      </c>
      <c r="J188" s="35" t="str">
        <f aca="false">IF(AND(Einstellungen!$B$8="Ja",Einstellungen!$B$9="Effektiv"),$I188,"-")</f>
        <v>-</v>
      </c>
      <c r="K188" s="31" t="n">
        <f aca="false">IF(OR($F188="",$J188="-"),0,ROUND($F188-$F188/(1+$H188),2))</f>
        <v>0</v>
      </c>
      <c r="L188" s="31" t="n">
        <f aca="false">IF($F188="",0,$F188-$K188)</f>
        <v>0</v>
      </c>
      <c r="M188" s="31" t="n">
        <f aca="false">IF($F188="",0,IF($J188="V",$L188,$F188))</f>
        <v>0</v>
      </c>
      <c r="N188" s="31" t="n">
        <f aca="false">IF($F188="",0,IF($J188="U",$L188,$F188))</f>
        <v>0</v>
      </c>
      <c r="O188" s="35" t="str">
        <f aca="false">IF($A188="","",MONTH($A188))</f>
        <v/>
      </c>
      <c r="P188" s="35" t="str">
        <f aca="false">IF($A188="","",ROUNDUP(MONTH($A188)/3,0))</f>
        <v/>
      </c>
      <c r="Q188" s="35" t="str">
        <f aca="false">IF($A188="","",IF(MONTH($A188)&lt;=6,1,2))</f>
        <v/>
      </c>
      <c r="R188" s="35" t="str">
        <f aca="false">IF($E188="","",IFERROR(INDEX(Kontenplan!$F$5:$F$90,MATCH($E188,Kontenplan!$A$5:$A$90,0)),""))</f>
        <v/>
      </c>
      <c r="S188" s="35" t="str">
        <f aca="false">IF($D188="","",IFERROR(INDEX(Kontenplan!$F$5:$F$90,MATCH($D188,Kontenplan!$A$5:$A$90,0)),""))</f>
        <v/>
      </c>
      <c r="T188" s="35" t="str">
        <f aca="false">IF($D188="","",IFERROR(INDEX(Kontenplan!$C$5:$C$90,MATCH($D188,Kontenplan!$A$5:$A$90,0)),"?"))</f>
        <v/>
      </c>
      <c r="U188" s="35" t="str">
        <f aca="false">IF($E188="","",IFERROR(INDEX(Kontenplan!$C$5:$C$90,MATCH($E188,Kontenplan!$A$5:$A$90,0)),"?"))</f>
        <v/>
      </c>
      <c r="V188" s="35" t="str">
        <f aca="false">IF($F188="","",IF(OR($D188="",$E188="",$T188="?",$U188="?"),"Konto prüfen!",IF($A188="","Datum fehlt",IF(YEAR($A188)&lt;&gt;Einstellungen!$B$7,"anderes Jahr!",IF($G188="","MWST-Code fehlt","OK")))))</f>
        <v/>
      </c>
      <c r="W188" s="35" t="str">
        <f aca="false">IF($F188="","",IF(OR($D188=Kontoauszug!$C$4,$E188=Kontoauszug!$C$4),MAX(W$4:W187)+1,""))</f>
        <v/>
      </c>
    </row>
    <row r="189" customFormat="false" ht="15" hidden="false" customHeight="false" outlineLevel="0" collapsed="false">
      <c r="A189" s="33"/>
      <c r="B189" s="32"/>
      <c r="C189" s="32"/>
      <c r="D189" s="32"/>
      <c r="E189" s="32"/>
      <c r="F189" s="30"/>
      <c r="G189" s="32"/>
      <c r="H189" s="34" t="n">
        <f aca="false">IF($G189="",0,IFERROR(INDEX(Einstellungen!$G$5:$G$11,MATCH($G189,Einstellungen!$E$5:$E$11,0)),0))</f>
        <v>0</v>
      </c>
      <c r="I189" s="35" t="str">
        <f aca="false">IF($G189="","-",IFERROR(INDEX(Einstellungen!$H$5:$H$11,MATCH($G189,Einstellungen!$E$5:$E$11,0)),"-"))</f>
        <v>-</v>
      </c>
      <c r="J189" s="35" t="str">
        <f aca="false">IF(AND(Einstellungen!$B$8="Ja",Einstellungen!$B$9="Effektiv"),$I189,"-")</f>
        <v>-</v>
      </c>
      <c r="K189" s="31" t="n">
        <f aca="false">IF(OR($F189="",$J189="-"),0,ROUND($F189-$F189/(1+$H189),2))</f>
        <v>0</v>
      </c>
      <c r="L189" s="31" t="n">
        <f aca="false">IF($F189="",0,$F189-$K189)</f>
        <v>0</v>
      </c>
      <c r="M189" s="31" t="n">
        <f aca="false">IF($F189="",0,IF($J189="V",$L189,$F189))</f>
        <v>0</v>
      </c>
      <c r="N189" s="31" t="n">
        <f aca="false">IF($F189="",0,IF($J189="U",$L189,$F189))</f>
        <v>0</v>
      </c>
      <c r="O189" s="35" t="str">
        <f aca="false">IF($A189="","",MONTH($A189))</f>
        <v/>
      </c>
      <c r="P189" s="35" t="str">
        <f aca="false">IF($A189="","",ROUNDUP(MONTH($A189)/3,0))</f>
        <v/>
      </c>
      <c r="Q189" s="35" t="str">
        <f aca="false">IF($A189="","",IF(MONTH($A189)&lt;=6,1,2))</f>
        <v/>
      </c>
      <c r="R189" s="35" t="str">
        <f aca="false">IF($E189="","",IFERROR(INDEX(Kontenplan!$F$5:$F$90,MATCH($E189,Kontenplan!$A$5:$A$90,0)),""))</f>
        <v/>
      </c>
      <c r="S189" s="35" t="str">
        <f aca="false">IF($D189="","",IFERROR(INDEX(Kontenplan!$F$5:$F$90,MATCH($D189,Kontenplan!$A$5:$A$90,0)),""))</f>
        <v/>
      </c>
      <c r="T189" s="35" t="str">
        <f aca="false">IF($D189="","",IFERROR(INDEX(Kontenplan!$C$5:$C$90,MATCH($D189,Kontenplan!$A$5:$A$90,0)),"?"))</f>
        <v/>
      </c>
      <c r="U189" s="35" t="str">
        <f aca="false">IF($E189="","",IFERROR(INDEX(Kontenplan!$C$5:$C$90,MATCH($E189,Kontenplan!$A$5:$A$90,0)),"?"))</f>
        <v/>
      </c>
      <c r="V189" s="35" t="str">
        <f aca="false">IF($F189="","",IF(OR($D189="",$E189="",$T189="?",$U189="?"),"Konto prüfen!",IF($A189="","Datum fehlt",IF(YEAR($A189)&lt;&gt;Einstellungen!$B$7,"anderes Jahr!",IF($G189="","MWST-Code fehlt","OK")))))</f>
        <v/>
      </c>
      <c r="W189" s="35" t="str">
        <f aca="false">IF($F189="","",IF(OR($D189=Kontoauszug!$C$4,$E189=Kontoauszug!$C$4),MAX(W$4:W188)+1,""))</f>
        <v/>
      </c>
    </row>
    <row r="190" customFormat="false" ht="15" hidden="false" customHeight="false" outlineLevel="0" collapsed="false">
      <c r="A190" s="33"/>
      <c r="B190" s="32"/>
      <c r="C190" s="32"/>
      <c r="D190" s="32"/>
      <c r="E190" s="32"/>
      <c r="F190" s="30"/>
      <c r="G190" s="32"/>
      <c r="H190" s="34" t="n">
        <f aca="false">IF($G190="",0,IFERROR(INDEX(Einstellungen!$G$5:$G$11,MATCH($G190,Einstellungen!$E$5:$E$11,0)),0))</f>
        <v>0</v>
      </c>
      <c r="I190" s="35" t="str">
        <f aca="false">IF($G190="","-",IFERROR(INDEX(Einstellungen!$H$5:$H$11,MATCH($G190,Einstellungen!$E$5:$E$11,0)),"-"))</f>
        <v>-</v>
      </c>
      <c r="J190" s="35" t="str">
        <f aca="false">IF(AND(Einstellungen!$B$8="Ja",Einstellungen!$B$9="Effektiv"),$I190,"-")</f>
        <v>-</v>
      </c>
      <c r="K190" s="31" t="n">
        <f aca="false">IF(OR($F190="",$J190="-"),0,ROUND($F190-$F190/(1+$H190),2))</f>
        <v>0</v>
      </c>
      <c r="L190" s="31" t="n">
        <f aca="false">IF($F190="",0,$F190-$K190)</f>
        <v>0</v>
      </c>
      <c r="M190" s="31" t="n">
        <f aca="false">IF($F190="",0,IF($J190="V",$L190,$F190))</f>
        <v>0</v>
      </c>
      <c r="N190" s="31" t="n">
        <f aca="false">IF($F190="",0,IF($J190="U",$L190,$F190))</f>
        <v>0</v>
      </c>
      <c r="O190" s="35" t="str">
        <f aca="false">IF($A190="","",MONTH($A190))</f>
        <v/>
      </c>
      <c r="P190" s="35" t="str">
        <f aca="false">IF($A190="","",ROUNDUP(MONTH($A190)/3,0))</f>
        <v/>
      </c>
      <c r="Q190" s="35" t="str">
        <f aca="false">IF($A190="","",IF(MONTH($A190)&lt;=6,1,2))</f>
        <v/>
      </c>
      <c r="R190" s="35" t="str">
        <f aca="false">IF($E190="","",IFERROR(INDEX(Kontenplan!$F$5:$F$90,MATCH($E190,Kontenplan!$A$5:$A$90,0)),""))</f>
        <v/>
      </c>
      <c r="S190" s="35" t="str">
        <f aca="false">IF($D190="","",IFERROR(INDEX(Kontenplan!$F$5:$F$90,MATCH($D190,Kontenplan!$A$5:$A$90,0)),""))</f>
        <v/>
      </c>
      <c r="T190" s="35" t="str">
        <f aca="false">IF($D190="","",IFERROR(INDEX(Kontenplan!$C$5:$C$90,MATCH($D190,Kontenplan!$A$5:$A$90,0)),"?"))</f>
        <v/>
      </c>
      <c r="U190" s="35" t="str">
        <f aca="false">IF($E190="","",IFERROR(INDEX(Kontenplan!$C$5:$C$90,MATCH($E190,Kontenplan!$A$5:$A$90,0)),"?"))</f>
        <v/>
      </c>
      <c r="V190" s="35" t="str">
        <f aca="false">IF($F190="","",IF(OR($D190="",$E190="",$T190="?",$U190="?"),"Konto prüfen!",IF($A190="","Datum fehlt",IF(YEAR($A190)&lt;&gt;Einstellungen!$B$7,"anderes Jahr!",IF($G190="","MWST-Code fehlt","OK")))))</f>
        <v/>
      </c>
      <c r="W190" s="35" t="str">
        <f aca="false">IF($F190="","",IF(OR($D190=Kontoauszug!$C$4,$E190=Kontoauszug!$C$4),MAX(W$4:W189)+1,""))</f>
        <v/>
      </c>
    </row>
    <row r="191" customFormat="false" ht="15" hidden="false" customHeight="false" outlineLevel="0" collapsed="false">
      <c r="A191" s="33"/>
      <c r="B191" s="32"/>
      <c r="C191" s="32"/>
      <c r="D191" s="32"/>
      <c r="E191" s="32"/>
      <c r="F191" s="30"/>
      <c r="G191" s="32"/>
      <c r="H191" s="34" t="n">
        <f aca="false">IF($G191="",0,IFERROR(INDEX(Einstellungen!$G$5:$G$11,MATCH($G191,Einstellungen!$E$5:$E$11,0)),0))</f>
        <v>0</v>
      </c>
      <c r="I191" s="35" t="str">
        <f aca="false">IF($G191="","-",IFERROR(INDEX(Einstellungen!$H$5:$H$11,MATCH($G191,Einstellungen!$E$5:$E$11,0)),"-"))</f>
        <v>-</v>
      </c>
      <c r="J191" s="35" t="str">
        <f aca="false">IF(AND(Einstellungen!$B$8="Ja",Einstellungen!$B$9="Effektiv"),$I191,"-")</f>
        <v>-</v>
      </c>
      <c r="K191" s="31" t="n">
        <f aca="false">IF(OR($F191="",$J191="-"),0,ROUND($F191-$F191/(1+$H191),2))</f>
        <v>0</v>
      </c>
      <c r="L191" s="31" t="n">
        <f aca="false">IF($F191="",0,$F191-$K191)</f>
        <v>0</v>
      </c>
      <c r="M191" s="31" t="n">
        <f aca="false">IF($F191="",0,IF($J191="V",$L191,$F191))</f>
        <v>0</v>
      </c>
      <c r="N191" s="31" t="n">
        <f aca="false">IF($F191="",0,IF($J191="U",$L191,$F191))</f>
        <v>0</v>
      </c>
      <c r="O191" s="35" t="str">
        <f aca="false">IF($A191="","",MONTH($A191))</f>
        <v/>
      </c>
      <c r="P191" s="35" t="str">
        <f aca="false">IF($A191="","",ROUNDUP(MONTH($A191)/3,0))</f>
        <v/>
      </c>
      <c r="Q191" s="35" t="str">
        <f aca="false">IF($A191="","",IF(MONTH($A191)&lt;=6,1,2))</f>
        <v/>
      </c>
      <c r="R191" s="35" t="str">
        <f aca="false">IF($E191="","",IFERROR(INDEX(Kontenplan!$F$5:$F$90,MATCH($E191,Kontenplan!$A$5:$A$90,0)),""))</f>
        <v/>
      </c>
      <c r="S191" s="35" t="str">
        <f aca="false">IF($D191="","",IFERROR(INDEX(Kontenplan!$F$5:$F$90,MATCH($D191,Kontenplan!$A$5:$A$90,0)),""))</f>
        <v/>
      </c>
      <c r="T191" s="35" t="str">
        <f aca="false">IF($D191="","",IFERROR(INDEX(Kontenplan!$C$5:$C$90,MATCH($D191,Kontenplan!$A$5:$A$90,0)),"?"))</f>
        <v/>
      </c>
      <c r="U191" s="35" t="str">
        <f aca="false">IF($E191="","",IFERROR(INDEX(Kontenplan!$C$5:$C$90,MATCH($E191,Kontenplan!$A$5:$A$90,0)),"?"))</f>
        <v/>
      </c>
      <c r="V191" s="35" t="str">
        <f aca="false">IF($F191="","",IF(OR($D191="",$E191="",$T191="?",$U191="?"),"Konto prüfen!",IF($A191="","Datum fehlt",IF(YEAR($A191)&lt;&gt;Einstellungen!$B$7,"anderes Jahr!",IF($G191="","MWST-Code fehlt","OK")))))</f>
        <v/>
      </c>
      <c r="W191" s="35" t="str">
        <f aca="false">IF($F191="","",IF(OR($D191=Kontoauszug!$C$4,$E191=Kontoauszug!$C$4),MAX(W$4:W190)+1,""))</f>
        <v/>
      </c>
    </row>
    <row r="192" customFormat="false" ht="15" hidden="false" customHeight="false" outlineLevel="0" collapsed="false">
      <c r="A192" s="33"/>
      <c r="B192" s="32"/>
      <c r="C192" s="32"/>
      <c r="D192" s="32"/>
      <c r="E192" s="32"/>
      <c r="F192" s="30"/>
      <c r="G192" s="32"/>
      <c r="H192" s="34" t="n">
        <f aca="false">IF($G192="",0,IFERROR(INDEX(Einstellungen!$G$5:$G$11,MATCH($G192,Einstellungen!$E$5:$E$11,0)),0))</f>
        <v>0</v>
      </c>
      <c r="I192" s="35" t="str">
        <f aca="false">IF($G192="","-",IFERROR(INDEX(Einstellungen!$H$5:$H$11,MATCH($G192,Einstellungen!$E$5:$E$11,0)),"-"))</f>
        <v>-</v>
      </c>
      <c r="J192" s="35" t="str">
        <f aca="false">IF(AND(Einstellungen!$B$8="Ja",Einstellungen!$B$9="Effektiv"),$I192,"-")</f>
        <v>-</v>
      </c>
      <c r="K192" s="31" t="n">
        <f aca="false">IF(OR($F192="",$J192="-"),0,ROUND($F192-$F192/(1+$H192),2))</f>
        <v>0</v>
      </c>
      <c r="L192" s="31" t="n">
        <f aca="false">IF($F192="",0,$F192-$K192)</f>
        <v>0</v>
      </c>
      <c r="M192" s="31" t="n">
        <f aca="false">IF($F192="",0,IF($J192="V",$L192,$F192))</f>
        <v>0</v>
      </c>
      <c r="N192" s="31" t="n">
        <f aca="false">IF($F192="",0,IF($J192="U",$L192,$F192))</f>
        <v>0</v>
      </c>
      <c r="O192" s="35" t="str">
        <f aca="false">IF($A192="","",MONTH($A192))</f>
        <v/>
      </c>
      <c r="P192" s="35" t="str">
        <f aca="false">IF($A192="","",ROUNDUP(MONTH($A192)/3,0))</f>
        <v/>
      </c>
      <c r="Q192" s="35" t="str">
        <f aca="false">IF($A192="","",IF(MONTH($A192)&lt;=6,1,2))</f>
        <v/>
      </c>
      <c r="R192" s="35" t="str">
        <f aca="false">IF($E192="","",IFERROR(INDEX(Kontenplan!$F$5:$F$90,MATCH($E192,Kontenplan!$A$5:$A$90,0)),""))</f>
        <v/>
      </c>
      <c r="S192" s="35" t="str">
        <f aca="false">IF($D192="","",IFERROR(INDEX(Kontenplan!$F$5:$F$90,MATCH($D192,Kontenplan!$A$5:$A$90,0)),""))</f>
        <v/>
      </c>
      <c r="T192" s="35" t="str">
        <f aca="false">IF($D192="","",IFERROR(INDEX(Kontenplan!$C$5:$C$90,MATCH($D192,Kontenplan!$A$5:$A$90,0)),"?"))</f>
        <v/>
      </c>
      <c r="U192" s="35" t="str">
        <f aca="false">IF($E192="","",IFERROR(INDEX(Kontenplan!$C$5:$C$90,MATCH($E192,Kontenplan!$A$5:$A$90,0)),"?"))</f>
        <v/>
      </c>
      <c r="V192" s="35" t="str">
        <f aca="false">IF($F192="","",IF(OR($D192="",$E192="",$T192="?",$U192="?"),"Konto prüfen!",IF($A192="","Datum fehlt",IF(YEAR($A192)&lt;&gt;Einstellungen!$B$7,"anderes Jahr!",IF($G192="","MWST-Code fehlt","OK")))))</f>
        <v/>
      </c>
      <c r="W192" s="35" t="str">
        <f aca="false">IF($F192="","",IF(OR($D192=Kontoauszug!$C$4,$E192=Kontoauszug!$C$4),MAX(W$4:W191)+1,""))</f>
        <v/>
      </c>
    </row>
    <row r="193" customFormat="false" ht="15" hidden="false" customHeight="false" outlineLevel="0" collapsed="false">
      <c r="A193" s="33"/>
      <c r="B193" s="32"/>
      <c r="C193" s="32"/>
      <c r="D193" s="32"/>
      <c r="E193" s="32"/>
      <c r="F193" s="30"/>
      <c r="G193" s="32"/>
      <c r="H193" s="34" t="n">
        <f aca="false">IF($G193="",0,IFERROR(INDEX(Einstellungen!$G$5:$G$11,MATCH($G193,Einstellungen!$E$5:$E$11,0)),0))</f>
        <v>0</v>
      </c>
      <c r="I193" s="35" t="str">
        <f aca="false">IF($G193="","-",IFERROR(INDEX(Einstellungen!$H$5:$H$11,MATCH($G193,Einstellungen!$E$5:$E$11,0)),"-"))</f>
        <v>-</v>
      </c>
      <c r="J193" s="35" t="str">
        <f aca="false">IF(AND(Einstellungen!$B$8="Ja",Einstellungen!$B$9="Effektiv"),$I193,"-")</f>
        <v>-</v>
      </c>
      <c r="K193" s="31" t="n">
        <f aca="false">IF(OR($F193="",$J193="-"),0,ROUND($F193-$F193/(1+$H193),2))</f>
        <v>0</v>
      </c>
      <c r="L193" s="31" t="n">
        <f aca="false">IF($F193="",0,$F193-$K193)</f>
        <v>0</v>
      </c>
      <c r="M193" s="31" t="n">
        <f aca="false">IF($F193="",0,IF($J193="V",$L193,$F193))</f>
        <v>0</v>
      </c>
      <c r="N193" s="31" t="n">
        <f aca="false">IF($F193="",0,IF($J193="U",$L193,$F193))</f>
        <v>0</v>
      </c>
      <c r="O193" s="35" t="str">
        <f aca="false">IF($A193="","",MONTH($A193))</f>
        <v/>
      </c>
      <c r="P193" s="35" t="str">
        <f aca="false">IF($A193="","",ROUNDUP(MONTH($A193)/3,0))</f>
        <v/>
      </c>
      <c r="Q193" s="35" t="str">
        <f aca="false">IF($A193="","",IF(MONTH($A193)&lt;=6,1,2))</f>
        <v/>
      </c>
      <c r="R193" s="35" t="str">
        <f aca="false">IF($E193="","",IFERROR(INDEX(Kontenplan!$F$5:$F$90,MATCH($E193,Kontenplan!$A$5:$A$90,0)),""))</f>
        <v/>
      </c>
      <c r="S193" s="35" t="str">
        <f aca="false">IF($D193="","",IFERROR(INDEX(Kontenplan!$F$5:$F$90,MATCH($D193,Kontenplan!$A$5:$A$90,0)),""))</f>
        <v/>
      </c>
      <c r="T193" s="35" t="str">
        <f aca="false">IF($D193="","",IFERROR(INDEX(Kontenplan!$C$5:$C$90,MATCH($D193,Kontenplan!$A$5:$A$90,0)),"?"))</f>
        <v/>
      </c>
      <c r="U193" s="35" t="str">
        <f aca="false">IF($E193="","",IFERROR(INDEX(Kontenplan!$C$5:$C$90,MATCH($E193,Kontenplan!$A$5:$A$90,0)),"?"))</f>
        <v/>
      </c>
      <c r="V193" s="35" t="str">
        <f aca="false">IF($F193="","",IF(OR($D193="",$E193="",$T193="?",$U193="?"),"Konto prüfen!",IF($A193="","Datum fehlt",IF(YEAR($A193)&lt;&gt;Einstellungen!$B$7,"anderes Jahr!",IF($G193="","MWST-Code fehlt","OK")))))</f>
        <v/>
      </c>
      <c r="W193" s="35" t="str">
        <f aca="false">IF($F193="","",IF(OR($D193=Kontoauszug!$C$4,$E193=Kontoauszug!$C$4),MAX(W$4:W192)+1,""))</f>
        <v/>
      </c>
    </row>
    <row r="194" customFormat="false" ht="15" hidden="false" customHeight="false" outlineLevel="0" collapsed="false">
      <c r="A194" s="33"/>
      <c r="B194" s="32"/>
      <c r="C194" s="32"/>
      <c r="D194" s="32"/>
      <c r="E194" s="32"/>
      <c r="F194" s="30"/>
      <c r="G194" s="32"/>
      <c r="H194" s="34" t="n">
        <f aca="false">IF($G194="",0,IFERROR(INDEX(Einstellungen!$G$5:$G$11,MATCH($G194,Einstellungen!$E$5:$E$11,0)),0))</f>
        <v>0</v>
      </c>
      <c r="I194" s="35" t="str">
        <f aca="false">IF($G194="","-",IFERROR(INDEX(Einstellungen!$H$5:$H$11,MATCH($G194,Einstellungen!$E$5:$E$11,0)),"-"))</f>
        <v>-</v>
      </c>
      <c r="J194" s="35" t="str">
        <f aca="false">IF(AND(Einstellungen!$B$8="Ja",Einstellungen!$B$9="Effektiv"),$I194,"-")</f>
        <v>-</v>
      </c>
      <c r="K194" s="31" t="n">
        <f aca="false">IF(OR($F194="",$J194="-"),0,ROUND($F194-$F194/(1+$H194),2))</f>
        <v>0</v>
      </c>
      <c r="L194" s="31" t="n">
        <f aca="false">IF($F194="",0,$F194-$K194)</f>
        <v>0</v>
      </c>
      <c r="M194" s="31" t="n">
        <f aca="false">IF($F194="",0,IF($J194="V",$L194,$F194))</f>
        <v>0</v>
      </c>
      <c r="N194" s="31" t="n">
        <f aca="false">IF($F194="",0,IF($J194="U",$L194,$F194))</f>
        <v>0</v>
      </c>
      <c r="O194" s="35" t="str">
        <f aca="false">IF($A194="","",MONTH($A194))</f>
        <v/>
      </c>
      <c r="P194" s="35" t="str">
        <f aca="false">IF($A194="","",ROUNDUP(MONTH($A194)/3,0))</f>
        <v/>
      </c>
      <c r="Q194" s="35" t="str">
        <f aca="false">IF($A194="","",IF(MONTH($A194)&lt;=6,1,2))</f>
        <v/>
      </c>
      <c r="R194" s="35" t="str">
        <f aca="false">IF($E194="","",IFERROR(INDEX(Kontenplan!$F$5:$F$90,MATCH($E194,Kontenplan!$A$5:$A$90,0)),""))</f>
        <v/>
      </c>
      <c r="S194" s="35" t="str">
        <f aca="false">IF($D194="","",IFERROR(INDEX(Kontenplan!$F$5:$F$90,MATCH($D194,Kontenplan!$A$5:$A$90,0)),""))</f>
        <v/>
      </c>
      <c r="T194" s="35" t="str">
        <f aca="false">IF($D194="","",IFERROR(INDEX(Kontenplan!$C$5:$C$90,MATCH($D194,Kontenplan!$A$5:$A$90,0)),"?"))</f>
        <v/>
      </c>
      <c r="U194" s="35" t="str">
        <f aca="false">IF($E194="","",IFERROR(INDEX(Kontenplan!$C$5:$C$90,MATCH($E194,Kontenplan!$A$5:$A$90,0)),"?"))</f>
        <v/>
      </c>
      <c r="V194" s="35" t="str">
        <f aca="false">IF($F194="","",IF(OR($D194="",$E194="",$T194="?",$U194="?"),"Konto prüfen!",IF($A194="","Datum fehlt",IF(YEAR($A194)&lt;&gt;Einstellungen!$B$7,"anderes Jahr!",IF($G194="","MWST-Code fehlt","OK")))))</f>
        <v/>
      </c>
      <c r="W194" s="35" t="str">
        <f aca="false">IF($F194="","",IF(OR($D194=Kontoauszug!$C$4,$E194=Kontoauszug!$C$4),MAX(W$4:W193)+1,""))</f>
        <v/>
      </c>
    </row>
    <row r="195" customFormat="false" ht="15" hidden="false" customHeight="false" outlineLevel="0" collapsed="false">
      <c r="A195" s="33"/>
      <c r="B195" s="32"/>
      <c r="C195" s="32"/>
      <c r="D195" s="32"/>
      <c r="E195" s="32"/>
      <c r="F195" s="30"/>
      <c r="G195" s="32"/>
      <c r="H195" s="34" t="n">
        <f aca="false">IF($G195="",0,IFERROR(INDEX(Einstellungen!$G$5:$G$11,MATCH($G195,Einstellungen!$E$5:$E$11,0)),0))</f>
        <v>0</v>
      </c>
      <c r="I195" s="35" t="str">
        <f aca="false">IF($G195="","-",IFERROR(INDEX(Einstellungen!$H$5:$H$11,MATCH($G195,Einstellungen!$E$5:$E$11,0)),"-"))</f>
        <v>-</v>
      </c>
      <c r="J195" s="35" t="str">
        <f aca="false">IF(AND(Einstellungen!$B$8="Ja",Einstellungen!$B$9="Effektiv"),$I195,"-")</f>
        <v>-</v>
      </c>
      <c r="K195" s="31" t="n">
        <f aca="false">IF(OR($F195="",$J195="-"),0,ROUND($F195-$F195/(1+$H195),2))</f>
        <v>0</v>
      </c>
      <c r="L195" s="31" t="n">
        <f aca="false">IF($F195="",0,$F195-$K195)</f>
        <v>0</v>
      </c>
      <c r="M195" s="31" t="n">
        <f aca="false">IF($F195="",0,IF($J195="V",$L195,$F195))</f>
        <v>0</v>
      </c>
      <c r="N195" s="31" t="n">
        <f aca="false">IF($F195="",0,IF($J195="U",$L195,$F195))</f>
        <v>0</v>
      </c>
      <c r="O195" s="35" t="str">
        <f aca="false">IF($A195="","",MONTH($A195))</f>
        <v/>
      </c>
      <c r="P195" s="35" t="str">
        <f aca="false">IF($A195="","",ROUNDUP(MONTH($A195)/3,0))</f>
        <v/>
      </c>
      <c r="Q195" s="35" t="str">
        <f aca="false">IF($A195="","",IF(MONTH($A195)&lt;=6,1,2))</f>
        <v/>
      </c>
      <c r="R195" s="35" t="str">
        <f aca="false">IF($E195="","",IFERROR(INDEX(Kontenplan!$F$5:$F$90,MATCH($E195,Kontenplan!$A$5:$A$90,0)),""))</f>
        <v/>
      </c>
      <c r="S195" s="35" t="str">
        <f aca="false">IF($D195="","",IFERROR(INDEX(Kontenplan!$F$5:$F$90,MATCH($D195,Kontenplan!$A$5:$A$90,0)),""))</f>
        <v/>
      </c>
      <c r="T195" s="35" t="str">
        <f aca="false">IF($D195="","",IFERROR(INDEX(Kontenplan!$C$5:$C$90,MATCH($D195,Kontenplan!$A$5:$A$90,0)),"?"))</f>
        <v/>
      </c>
      <c r="U195" s="35" t="str">
        <f aca="false">IF($E195="","",IFERROR(INDEX(Kontenplan!$C$5:$C$90,MATCH($E195,Kontenplan!$A$5:$A$90,0)),"?"))</f>
        <v/>
      </c>
      <c r="V195" s="35" t="str">
        <f aca="false">IF($F195="","",IF(OR($D195="",$E195="",$T195="?",$U195="?"),"Konto prüfen!",IF($A195="","Datum fehlt",IF(YEAR($A195)&lt;&gt;Einstellungen!$B$7,"anderes Jahr!",IF($G195="","MWST-Code fehlt","OK")))))</f>
        <v/>
      </c>
      <c r="W195" s="35" t="str">
        <f aca="false">IF($F195="","",IF(OR($D195=Kontoauszug!$C$4,$E195=Kontoauszug!$C$4),MAX(W$4:W194)+1,""))</f>
        <v/>
      </c>
    </row>
    <row r="196" customFormat="false" ht="15" hidden="false" customHeight="false" outlineLevel="0" collapsed="false">
      <c r="A196" s="33"/>
      <c r="B196" s="32"/>
      <c r="C196" s="32"/>
      <c r="D196" s="32"/>
      <c r="E196" s="32"/>
      <c r="F196" s="30"/>
      <c r="G196" s="32"/>
      <c r="H196" s="34" t="n">
        <f aca="false">IF($G196="",0,IFERROR(INDEX(Einstellungen!$G$5:$G$11,MATCH($G196,Einstellungen!$E$5:$E$11,0)),0))</f>
        <v>0</v>
      </c>
      <c r="I196" s="35" t="str">
        <f aca="false">IF($G196="","-",IFERROR(INDEX(Einstellungen!$H$5:$H$11,MATCH($G196,Einstellungen!$E$5:$E$11,0)),"-"))</f>
        <v>-</v>
      </c>
      <c r="J196" s="35" t="str">
        <f aca="false">IF(AND(Einstellungen!$B$8="Ja",Einstellungen!$B$9="Effektiv"),$I196,"-")</f>
        <v>-</v>
      </c>
      <c r="K196" s="31" t="n">
        <f aca="false">IF(OR($F196="",$J196="-"),0,ROUND($F196-$F196/(1+$H196),2))</f>
        <v>0</v>
      </c>
      <c r="L196" s="31" t="n">
        <f aca="false">IF($F196="",0,$F196-$K196)</f>
        <v>0</v>
      </c>
      <c r="M196" s="31" t="n">
        <f aca="false">IF($F196="",0,IF($J196="V",$L196,$F196))</f>
        <v>0</v>
      </c>
      <c r="N196" s="31" t="n">
        <f aca="false">IF($F196="",0,IF($J196="U",$L196,$F196))</f>
        <v>0</v>
      </c>
      <c r="O196" s="35" t="str">
        <f aca="false">IF($A196="","",MONTH($A196))</f>
        <v/>
      </c>
      <c r="P196" s="35" t="str">
        <f aca="false">IF($A196="","",ROUNDUP(MONTH($A196)/3,0))</f>
        <v/>
      </c>
      <c r="Q196" s="35" t="str">
        <f aca="false">IF($A196="","",IF(MONTH($A196)&lt;=6,1,2))</f>
        <v/>
      </c>
      <c r="R196" s="35" t="str">
        <f aca="false">IF($E196="","",IFERROR(INDEX(Kontenplan!$F$5:$F$90,MATCH($E196,Kontenplan!$A$5:$A$90,0)),""))</f>
        <v/>
      </c>
      <c r="S196" s="35" t="str">
        <f aca="false">IF($D196="","",IFERROR(INDEX(Kontenplan!$F$5:$F$90,MATCH($D196,Kontenplan!$A$5:$A$90,0)),""))</f>
        <v/>
      </c>
      <c r="T196" s="35" t="str">
        <f aca="false">IF($D196="","",IFERROR(INDEX(Kontenplan!$C$5:$C$90,MATCH($D196,Kontenplan!$A$5:$A$90,0)),"?"))</f>
        <v/>
      </c>
      <c r="U196" s="35" t="str">
        <f aca="false">IF($E196="","",IFERROR(INDEX(Kontenplan!$C$5:$C$90,MATCH($E196,Kontenplan!$A$5:$A$90,0)),"?"))</f>
        <v/>
      </c>
      <c r="V196" s="35" t="str">
        <f aca="false">IF($F196="","",IF(OR($D196="",$E196="",$T196="?",$U196="?"),"Konto prüfen!",IF($A196="","Datum fehlt",IF(YEAR($A196)&lt;&gt;Einstellungen!$B$7,"anderes Jahr!",IF($G196="","MWST-Code fehlt","OK")))))</f>
        <v/>
      </c>
      <c r="W196" s="35" t="str">
        <f aca="false">IF($F196="","",IF(OR($D196=Kontoauszug!$C$4,$E196=Kontoauszug!$C$4),MAX(W$4:W195)+1,""))</f>
        <v/>
      </c>
    </row>
    <row r="197" customFormat="false" ht="15" hidden="false" customHeight="false" outlineLevel="0" collapsed="false">
      <c r="A197" s="33"/>
      <c r="B197" s="32"/>
      <c r="C197" s="32"/>
      <c r="D197" s="32"/>
      <c r="E197" s="32"/>
      <c r="F197" s="30"/>
      <c r="G197" s="32"/>
      <c r="H197" s="34" t="n">
        <f aca="false">IF($G197="",0,IFERROR(INDEX(Einstellungen!$G$5:$G$11,MATCH($G197,Einstellungen!$E$5:$E$11,0)),0))</f>
        <v>0</v>
      </c>
      <c r="I197" s="35" t="str">
        <f aca="false">IF($G197="","-",IFERROR(INDEX(Einstellungen!$H$5:$H$11,MATCH($G197,Einstellungen!$E$5:$E$11,0)),"-"))</f>
        <v>-</v>
      </c>
      <c r="J197" s="35" t="str">
        <f aca="false">IF(AND(Einstellungen!$B$8="Ja",Einstellungen!$B$9="Effektiv"),$I197,"-")</f>
        <v>-</v>
      </c>
      <c r="K197" s="31" t="n">
        <f aca="false">IF(OR($F197="",$J197="-"),0,ROUND($F197-$F197/(1+$H197),2))</f>
        <v>0</v>
      </c>
      <c r="L197" s="31" t="n">
        <f aca="false">IF($F197="",0,$F197-$K197)</f>
        <v>0</v>
      </c>
      <c r="M197" s="31" t="n">
        <f aca="false">IF($F197="",0,IF($J197="V",$L197,$F197))</f>
        <v>0</v>
      </c>
      <c r="N197" s="31" t="n">
        <f aca="false">IF($F197="",0,IF($J197="U",$L197,$F197))</f>
        <v>0</v>
      </c>
      <c r="O197" s="35" t="str">
        <f aca="false">IF($A197="","",MONTH($A197))</f>
        <v/>
      </c>
      <c r="P197" s="35" t="str">
        <f aca="false">IF($A197="","",ROUNDUP(MONTH($A197)/3,0))</f>
        <v/>
      </c>
      <c r="Q197" s="35" t="str">
        <f aca="false">IF($A197="","",IF(MONTH($A197)&lt;=6,1,2))</f>
        <v/>
      </c>
      <c r="R197" s="35" t="str">
        <f aca="false">IF($E197="","",IFERROR(INDEX(Kontenplan!$F$5:$F$90,MATCH($E197,Kontenplan!$A$5:$A$90,0)),""))</f>
        <v/>
      </c>
      <c r="S197" s="35" t="str">
        <f aca="false">IF($D197="","",IFERROR(INDEX(Kontenplan!$F$5:$F$90,MATCH($D197,Kontenplan!$A$5:$A$90,0)),""))</f>
        <v/>
      </c>
      <c r="T197" s="35" t="str">
        <f aca="false">IF($D197="","",IFERROR(INDEX(Kontenplan!$C$5:$C$90,MATCH($D197,Kontenplan!$A$5:$A$90,0)),"?"))</f>
        <v/>
      </c>
      <c r="U197" s="35" t="str">
        <f aca="false">IF($E197="","",IFERROR(INDEX(Kontenplan!$C$5:$C$90,MATCH($E197,Kontenplan!$A$5:$A$90,0)),"?"))</f>
        <v/>
      </c>
      <c r="V197" s="35" t="str">
        <f aca="false">IF($F197="","",IF(OR($D197="",$E197="",$T197="?",$U197="?"),"Konto prüfen!",IF($A197="","Datum fehlt",IF(YEAR($A197)&lt;&gt;Einstellungen!$B$7,"anderes Jahr!",IF($G197="","MWST-Code fehlt","OK")))))</f>
        <v/>
      </c>
      <c r="W197" s="35" t="str">
        <f aca="false">IF($F197="","",IF(OR($D197=Kontoauszug!$C$4,$E197=Kontoauszug!$C$4),MAX(W$4:W196)+1,""))</f>
        <v/>
      </c>
    </row>
    <row r="198" customFormat="false" ht="15" hidden="false" customHeight="false" outlineLevel="0" collapsed="false">
      <c r="A198" s="33"/>
      <c r="B198" s="32"/>
      <c r="C198" s="32"/>
      <c r="D198" s="32"/>
      <c r="E198" s="32"/>
      <c r="F198" s="30"/>
      <c r="G198" s="32"/>
      <c r="H198" s="34" t="n">
        <f aca="false">IF($G198="",0,IFERROR(INDEX(Einstellungen!$G$5:$G$11,MATCH($G198,Einstellungen!$E$5:$E$11,0)),0))</f>
        <v>0</v>
      </c>
      <c r="I198" s="35" t="str">
        <f aca="false">IF($G198="","-",IFERROR(INDEX(Einstellungen!$H$5:$H$11,MATCH($G198,Einstellungen!$E$5:$E$11,0)),"-"))</f>
        <v>-</v>
      </c>
      <c r="J198" s="35" t="str">
        <f aca="false">IF(AND(Einstellungen!$B$8="Ja",Einstellungen!$B$9="Effektiv"),$I198,"-")</f>
        <v>-</v>
      </c>
      <c r="K198" s="31" t="n">
        <f aca="false">IF(OR($F198="",$J198="-"),0,ROUND($F198-$F198/(1+$H198),2))</f>
        <v>0</v>
      </c>
      <c r="L198" s="31" t="n">
        <f aca="false">IF($F198="",0,$F198-$K198)</f>
        <v>0</v>
      </c>
      <c r="M198" s="31" t="n">
        <f aca="false">IF($F198="",0,IF($J198="V",$L198,$F198))</f>
        <v>0</v>
      </c>
      <c r="N198" s="31" t="n">
        <f aca="false">IF($F198="",0,IF($J198="U",$L198,$F198))</f>
        <v>0</v>
      </c>
      <c r="O198" s="35" t="str">
        <f aca="false">IF($A198="","",MONTH($A198))</f>
        <v/>
      </c>
      <c r="P198" s="35" t="str">
        <f aca="false">IF($A198="","",ROUNDUP(MONTH($A198)/3,0))</f>
        <v/>
      </c>
      <c r="Q198" s="35" t="str">
        <f aca="false">IF($A198="","",IF(MONTH($A198)&lt;=6,1,2))</f>
        <v/>
      </c>
      <c r="R198" s="35" t="str">
        <f aca="false">IF($E198="","",IFERROR(INDEX(Kontenplan!$F$5:$F$90,MATCH($E198,Kontenplan!$A$5:$A$90,0)),""))</f>
        <v/>
      </c>
      <c r="S198" s="35" t="str">
        <f aca="false">IF($D198="","",IFERROR(INDEX(Kontenplan!$F$5:$F$90,MATCH($D198,Kontenplan!$A$5:$A$90,0)),""))</f>
        <v/>
      </c>
      <c r="T198" s="35" t="str">
        <f aca="false">IF($D198="","",IFERROR(INDEX(Kontenplan!$C$5:$C$90,MATCH($D198,Kontenplan!$A$5:$A$90,0)),"?"))</f>
        <v/>
      </c>
      <c r="U198" s="35" t="str">
        <f aca="false">IF($E198="","",IFERROR(INDEX(Kontenplan!$C$5:$C$90,MATCH($E198,Kontenplan!$A$5:$A$90,0)),"?"))</f>
        <v/>
      </c>
      <c r="V198" s="35" t="str">
        <f aca="false">IF($F198="","",IF(OR($D198="",$E198="",$T198="?",$U198="?"),"Konto prüfen!",IF($A198="","Datum fehlt",IF(YEAR($A198)&lt;&gt;Einstellungen!$B$7,"anderes Jahr!",IF($G198="","MWST-Code fehlt","OK")))))</f>
        <v/>
      </c>
      <c r="W198" s="35" t="str">
        <f aca="false">IF($F198="","",IF(OR($D198=Kontoauszug!$C$4,$E198=Kontoauszug!$C$4),MAX(W$4:W197)+1,""))</f>
        <v/>
      </c>
    </row>
    <row r="199" customFormat="false" ht="15" hidden="false" customHeight="false" outlineLevel="0" collapsed="false">
      <c r="A199" s="33"/>
      <c r="B199" s="32"/>
      <c r="C199" s="32"/>
      <c r="D199" s="32"/>
      <c r="E199" s="32"/>
      <c r="F199" s="30"/>
      <c r="G199" s="32"/>
      <c r="H199" s="34" t="n">
        <f aca="false">IF($G199="",0,IFERROR(INDEX(Einstellungen!$G$5:$G$11,MATCH($G199,Einstellungen!$E$5:$E$11,0)),0))</f>
        <v>0</v>
      </c>
      <c r="I199" s="35" t="str">
        <f aca="false">IF($G199="","-",IFERROR(INDEX(Einstellungen!$H$5:$H$11,MATCH($G199,Einstellungen!$E$5:$E$11,0)),"-"))</f>
        <v>-</v>
      </c>
      <c r="J199" s="35" t="str">
        <f aca="false">IF(AND(Einstellungen!$B$8="Ja",Einstellungen!$B$9="Effektiv"),$I199,"-")</f>
        <v>-</v>
      </c>
      <c r="K199" s="31" t="n">
        <f aca="false">IF(OR($F199="",$J199="-"),0,ROUND($F199-$F199/(1+$H199),2))</f>
        <v>0</v>
      </c>
      <c r="L199" s="31" t="n">
        <f aca="false">IF($F199="",0,$F199-$K199)</f>
        <v>0</v>
      </c>
      <c r="M199" s="31" t="n">
        <f aca="false">IF($F199="",0,IF($J199="V",$L199,$F199))</f>
        <v>0</v>
      </c>
      <c r="N199" s="31" t="n">
        <f aca="false">IF($F199="",0,IF($J199="U",$L199,$F199))</f>
        <v>0</v>
      </c>
      <c r="O199" s="35" t="str">
        <f aca="false">IF($A199="","",MONTH($A199))</f>
        <v/>
      </c>
      <c r="P199" s="35" t="str">
        <f aca="false">IF($A199="","",ROUNDUP(MONTH($A199)/3,0))</f>
        <v/>
      </c>
      <c r="Q199" s="35" t="str">
        <f aca="false">IF($A199="","",IF(MONTH($A199)&lt;=6,1,2))</f>
        <v/>
      </c>
      <c r="R199" s="35" t="str">
        <f aca="false">IF($E199="","",IFERROR(INDEX(Kontenplan!$F$5:$F$90,MATCH($E199,Kontenplan!$A$5:$A$90,0)),""))</f>
        <v/>
      </c>
      <c r="S199" s="35" t="str">
        <f aca="false">IF($D199="","",IFERROR(INDEX(Kontenplan!$F$5:$F$90,MATCH($D199,Kontenplan!$A$5:$A$90,0)),""))</f>
        <v/>
      </c>
      <c r="T199" s="35" t="str">
        <f aca="false">IF($D199="","",IFERROR(INDEX(Kontenplan!$C$5:$C$90,MATCH($D199,Kontenplan!$A$5:$A$90,0)),"?"))</f>
        <v/>
      </c>
      <c r="U199" s="35" t="str">
        <f aca="false">IF($E199="","",IFERROR(INDEX(Kontenplan!$C$5:$C$90,MATCH($E199,Kontenplan!$A$5:$A$90,0)),"?"))</f>
        <v/>
      </c>
      <c r="V199" s="35" t="str">
        <f aca="false">IF($F199="","",IF(OR($D199="",$E199="",$T199="?",$U199="?"),"Konto prüfen!",IF($A199="","Datum fehlt",IF(YEAR($A199)&lt;&gt;Einstellungen!$B$7,"anderes Jahr!",IF($G199="","MWST-Code fehlt","OK")))))</f>
        <v/>
      </c>
      <c r="W199" s="35" t="str">
        <f aca="false">IF($F199="","",IF(OR($D199=Kontoauszug!$C$4,$E199=Kontoauszug!$C$4),MAX(W$4:W198)+1,""))</f>
        <v/>
      </c>
    </row>
    <row r="200" customFormat="false" ht="15" hidden="false" customHeight="false" outlineLevel="0" collapsed="false">
      <c r="A200" s="33"/>
      <c r="B200" s="32"/>
      <c r="C200" s="32"/>
      <c r="D200" s="32"/>
      <c r="E200" s="32"/>
      <c r="F200" s="30"/>
      <c r="G200" s="32"/>
      <c r="H200" s="34" t="n">
        <f aca="false">IF($G200="",0,IFERROR(INDEX(Einstellungen!$G$5:$G$11,MATCH($G200,Einstellungen!$E$5:$E$11,0)),0))</f>
        <v>0</v>
      </c>
      <c r="I200" s="35" t="str">
        <f aca="false">IF($G200="","-",IFERROR(INDEX(Einstellungen!$H$5:$H$11,MATCH($G200,Einstellungen!$E$5:$E$11,0)),"-"))</f>
        <v>-</v>
      </c>
      <c r="J200" s="35" t="str">
        <f aca="false">IF(AND(Einstellungen!$B$8="Ja",Einstellungen!$B$9="Effektiv"),$I200,"-")</f>
        <v>-</v>
      </c>
      <c r="K200" s="31" t="n">
        <f aca="false">IF(OR($F200="",$J200="-"),0,ROUND($F200-$F200/(1+$H200),2))</f>
        <v>0</v>
      </c>
      <c r="L200" s="31" t="n">
        <f aca="false">IF($F200="",0,$F200-$K200)</f>
        <v>0</v>
      </c>
      <c r="M200" s="31" t="n">
        <f aca="false">IF($F200="",0,IF($J200="V",$L200,$F200))</f>
        <v>0</v>
      </c>
      <c r="N200" s="31" t="n">
        <f aca="false">IF($F200="",0,IF($J200="U",$L200,$F200))</f>
        <v>0</v>
      </c>
      <c r="O200" s="35" t="str">
        <f aca="false">IF($A200="","",MONTH($A200))</f>
        <v/>
      </c>
      <c r="P200" s="35" t="str">
        <f aca="false">IF($A200="","",ROUNDUP(MONTH($A200)/3,0))</f>
        <v/>
      </c>
      <c r="Q200" s="35" t="str">
        <f aca="false">IF($A200="","",IF(MONTH($A200)&lt;=6,1,2))</f>
        <v/>
      </c>
      <c r="R200" s="35" t="str">
        <f aca="false">IF($E200="","",IFERROR(INDEX(Kontenplan!$F$5:$F$90,MATCH($E200,Kontenplan!$A$5:$A$90,0)),""))</f>
        <v/>
      </c>
      <c r="S200" s="35" t="str">
        <f aca="false">IF($D200="","",IFERROR(INDEX(Kontenplan!$F$5:$F$90,MATCH($D200,Kontenplan!$A$5:$A$90,0)),""))</f>
        <v/>
      </c>
      <c r="T200" s="35" t="str">
        <f aca="false">IF($D200="","",IFERROR(INDEX(Kontenplan!$C$5:$C$90,MATCH($D200,Kontenplan!$A$5:$A$90,0)),"?"))</f>
        <v/>
      </c>
      <c r="U200" s="35" t="str">
        <f aca="false">IF($E200="","",IFERROR(INDEX(Kontenplan!$C$5:$C$90,MATCH($E200,Kontenplan!$A$5:$A$90,0)),"?"))</f>
        <v/>
      </c>
      <c r="V200" s="35" t="str">
        <f aca="false">IF($F200="","",IF(OR($D200="",$E200="",$T200="?",$U200="?"),"Konto prüfen!",IF($A200="","Datum fehlt",IF(YEAR($A200)&lt;&gt;Einstellungen!$B$7,"anderes Jahr!",IF($G200="","MWST-Code fehlt","OK")))))</f>
        <v/>
      </c>
      <c r="W200" s="35" t="str">
        <f aca="false">IF($F200="","",IF(OR($D200=Kontoauszug!$C$4,$E200=Kontoauszug!$C$4),MAX(W$4:W199)+1,""))</f>
        <v/>
      </c>
    </row>
    <row r="201" customFormat="false" ht="15" hidden="false" customHeight="false" outlineLevel="0" collapsed="false">
      <c r="A201" s="33"/>
      <c r="B201" s="32"/>
      <c r="C201" s="32"/>
      <c r="D201" s="32"/>
      <c r="E201" s="32"/>
      <c r="F201" s="30"/>
      <c r="G201" s="32"/>
      <c r="H201" s="34" t="n">
        <f aca="false">IF($G201="",0,IFERROR(INDEX(Einstellungen!$G$5:$G$11,MATCH($G201,Einstellungen!$E$5:$E$11,0)),0))</f>
        <v>0</v>
      </c>
      <c r="I201" s="35" t="str">
        <f aca="false">IF($G201="","-",IFERROR(INDEX(Einstellungen!$H$5:$H$11,MATCH($G201,Einstellungen!$E$5:$E$11,0)),"-"))</f>
        <v>-</v>
      </c>
      <c r="J201" s="35" t="str">
        <f aca="false">IF(AND(Einstellungen!$B$8="Ja",Einstellungen!$B$9="Effektiv"),$I201,"-")</f>
        <v>-</v>
      </c>
      <c r="K201" s="31" t="n">
        <f aca="false">IF(OR($F201="",$J201="-"),0,ROUND($F201-$F201/(1+$H201),2))</f>
        <v>0</v>
      </c>
      <c r="L201" s="31" t="n">
        <f aca="false">IF($F201="",0,$F201-$K201)</f>
        <v>0</v>
      </c>
      <c r="M201" s="31" t="n">
        <f aca="false">IF($F201="",0,IF($J201="V",$L201,$F201))</f>
        <v>0</v>
      </c>
      <c r="N201" s="31" t="n">
        <f aca="false">IF($F201="",0,IF($J201="U",$L201,$F201))</f>
        <v>0</v>
      </c>
      <c r="O201" s="35" t="str">
        <f aca="false">IF($A201="","",MONTH($A201))</f>
        <v/>
      </c>
      <c r="P201" s="35" t="str">
        <f aca="false">IF($A201="","",ROUNDUP(MONTH($A201)/3,0))</f>
        <v/>
      </c>
      <c r="Q201" s="35" t="str">
        <f aca="false">IF($A201="","",IF(MONTH($A201)&lt;=6,1,2))</f>
        <v/>
      </c>
      <c r="R201" s="35" t="str">
        <f aca="false">IF($E201="","",IFERROR(INDEX(Kontenplan!$F$5:$F$90,MATCH($E201,Kontenplan!$A$5:$A$90,0)),""))</f>
        <v/>
      </c>
      <c r="S201" s="35" t="str">
        <f aca="false">IF($D201="","",IFERROR(INDEX(Kontenplan!$F$5:$F$90,MATCH($D201,Kontenplan!$A$5:$A$90,0)),""))</f>
        <v/>
      </c>
      <c r="T201" s="35" t="str">
        <f aca="false">IF($D201="","",IFERROR(INDEX(Kontenplan!$C$5:$C$90,MATCH($D201,Kontenplan!$A$5:$A$90,0)),"?"))</f>
        <v/>
      </c>
      <c r="U201" s="35" t="str">
        <f aca="false">IF($E201="","",IFERROR(INDEX(Kontenplan!$C$5:$C$90,MATCH($E201,Kontenplan!$A$5:$A$90,0)),"?"))</f>
        <v/>
      </c>
      <c r="V201" s="35" t="str">
        <f aca="false">IF($F201="","",IF(OR($D201="",$E201="",$T201="?",$U201="?"),"Konto prüfen!",IF($A201="","Datum fehlt",IF(YEAR($A201)&lt;&gt;Einstellungen!$B$7,"anderes Jahr!",IF($G201="","MWST-Code fehlt","OK")))))</f>
        <v/>
      </c>
      <c r="W201" s="35" t="str">
        <f aca="false">IF($F201="","",IF(OR($D201=Kontoauszug!$C$4,$E201=Kontoauszug!$C$4),MAX(W$4:W200)+1,""))</f>
        <v/>
      </c>
    </row>
    <row r="202" customFormat="false" ht="15" hidden="false" customHeight="false" outlineLevel="0" collapsed="false">
      <c r="A202" s="33"/>
      <c r="B202" s="32"/>
      <c r="C202" s="32"/>
      <c r="D202" s="32"/>
      <c r="E202" s="32"/>
      <c r="F202" s="30"/>
      <c r="G202" s="32"/>
      <c r="H202" s="34" t="n">
        <f aca="false">IF($G202="",0,IFERROR(INDEX(Einstellungen!$G$5:$G$11,MATCH($G202,Einstellungen!$E$5:$E$11,0)),0))</f>
        <v>0</v>
      </c>
      <c r="I202" s="35" t="str">
        <f aca="false">IF($G202="","-",IFERROR(INDEX(Einstellungen!$H$5:$H$11,MATCH($G202,Einstellungen!$E$5:$E$11,0)),"-"))</f>
        <v>-</v>
      </c>
      <c r="J202" s="35" t="str">
        <f aca="false">IF(AND(Einstellungen!$B$8="Ja",Einstellungen!$B$9="Effektiv"),$I202,"-")</f>
        <v>-</v>
      </c>
      <c r="K202" s="31" t="n">
        <f aca="false">IF(OR($F202="",$J202="-"),0,ROUND($F202-$F202/(1+$H202),2))</f>
        <v>0</v>
      </c>
      <c r="L202" s="31" t="n">
        <f aca="false">IF($F202="",0,$F202-$K202)</f>
        <v>0</v>
      </c>
      <c r="M202" s="31" t="n">
        <f aca="false">IF($F202="",0,IF($J202="V",$L202,$F202))</f>
        <v>0</v>
      </c>
      <c r="N202" s="31" t="n">
        <f aca="false">IF($F202="",0,IF($J202="U",$L202,$F202))</f>
        <v>0</v>
      </c>
      <c r="O202" s="35" t="str">
        <f aca="false">IF($A202="","",MONTH($A202))</f>
        <v/>
      </c>
      <c r="P202" s="35" t="str">
        <f aca="false">IF($A202="","",ROUNDUP(MONTH($A202)/3,0))</f>
        <v/>
      </c>
      <c r="Q202" s="35" t="str">
        <f aca="false">IF($A202="","",IF(MONTH($A202)&lt;=6,1,2))</f>
        <v/>
      </c>
      <c r="R202" s="35" t="str">
        <f aca="false">IF($E202="","",IFERROR(INDEX(Kontenplan!$F$5:$F$90,MATCH($E202,Kontenplan!$A$5:$A$90,0)),""))</f>
        <v/>
      </c>
      <c r="S202" s="35" t="str">
        <f aca="false">IF($D202="","",IFERROR(INDEX(Kontenplan!$F$5:$F$90,MATCH($D202,Kontenplan!$A$5:$A$90,0)),""))</f>
        <v/>
      </c>
      <c r="T202" s="35" t="str">
        <f aca="false">IF($D202="","",IFERROR(INDEX(Kontenplan!$C$5:$C$90,MATCH($D202,Kontenplan!$A$5:$A$90,0)),"?"))</f>
        <v/>
      </c>
      <c r="U202" s="35" t="str">
        <f aca="false">IF($E202="","",IFERROR(INDEX(Kontenplan!$C$5:$C$90,MATCH($E202,Kontenplan!$A$5:$A$90,0)),"?"))</f>
        <v/>
      </c>
      <c r="V202" s="35" t="str">
        <f aca="false">IF($F202="","",IF(OR($D202="",$E202="",$T202="?",$U202="?"),"Konto prüfen!",IF($A202="","Datum fehlt",IF(YEAR($A202)&lt;&gt;Einstellungen!$B$7,"anderes Jahr!",IF($G202="","MWST-Code fehlt","OK")))))</f>
        <v/>
      </c>
      <c r="W202" s="35" t="str">
        <f aca="false">IF($F202="","",IF(OR($D202=Kontoauszug!$C$4,$E202=Kontoauszug!$C$4),MAX(W$4:W201)+1,""))</f>
        <v/>
      </c>
    </row>
    <row r="203" customFormat="false" ht="15" hidden="false" customHeight="false" outlineLevel="0" collapsed="false">
      <c r="A203" s="33"/>
      <c r="B203" s="32"/>
      <c r="C203" s="32"/>
      <c r="D203" s="32"/>
      <c r="E203" s="32"/>
      <c r="F203" s="30"/>
      <c r="G203" s="32"/>
      <c r="H203" s="34" t="n">
        <f aca="false">IF($G203="",0,IFERROR(INDEX(Einstellungen!$G$5:$G$11,MATCH($G203,Einstellungen!$E$5:$E$11,0)),0))</f>
        <v>0</v>
      </c>
      <c r="I203" s="35" t="str">
        <f aca="false">IF($G203="","-",IFERROR(INDEX(Einstellungen!$H$5:$H$11,MATCH($G203,Einstellungen!$E$5:$E$11,0)),"-"))</f>
        <v>-</v>
      </c>
      <c r="J203" s="35" t="str">
        <f aca="false">IF(AND(Einstellungen!$B$8="Ja",Einstellungen!$B$9="Effektiv"),$I203,"-")</f>
        <v>-</v>
      </c>
      <c r="K203" s="31" t="n">
        <f aca="false">IF(OR($F203="",$J203="-"),0,ROUND($F203-$F203/(1+$H203),2))</f>
        <v>0</v>
      </c>
      <c r="L203" s="31" t="n">
        <f aca="false">IF($F203="",0,$F203-$K203)</f>
        <v>0</v>
      </c>
      <c r="M203" s="31" t="n">
        <f aca="false">IF($F203="",0,IF($J203="V",$L203,$F203))</f>
        <v>0</v>
      </c>
      <c r="N203" s="31" t="n">
        <f aca="false">IF($F203="",0,IF($J203="U",$L203,$F203))</f>
        <v>0</v>
      </c>
      <c r="O203" s="35" t="str">
        <f aca="false">IF($A203="","",MONTH($A203))</f>
        <v/>
      </c>
      <c r="P203" s="35" t="str">
        <f aca="false">IF($A203="","",ROUNDUP(MONTH($A203)/3,0))</f>
        <v/>
      </c>
      <c r="Q203" s="35" t="str">
        <f aca="false">IF($A203="","",IF(MONTH($A203)&lt;=6,1,2))</f>
        <v/>
      </c>
      <c r="R203" s="35" t="str">
        <f aca="false">IF($E203="","",IFERROR(INDEX(Kontenplan!$F$5:$F$90,MATCH($E203,Kontenplan!$A$5:$A$90,0)),""))</f>
        <v/>
      </c>
      <c r="S203" s="35" t="str">
        <f aca="false">IF($D203="","",IFERROR(INDEX(Kontenplan!$F$5:$F$90,MATCH($D203,Kontenplan!$A$5:$A$90,0)),""))</f>
        <v/>
      </c>
      <c r="T203" s="35" t="str">
        <f aca="false">IF($D203="","",IFERROR(INDEX(Kontenplan!$C$5:$C$90,MATCH($D203,Kontenplan!$A$5:$A$90,0)),"?"))</f>
        <v/>
      </c>
      <c r="U203" s="35" t="str">
        <f aca="false">IF($E203="","",IFERROR(INDEX(Kontenplan!$C$5:$C$90,MATCH($E203,Kontenplan!$A$5:$A$90,0)),"?"))</f>
        <v/>
      </c>
      <c r="V203" s="35" t="str">
        <f aca="false">IF($F203="","",IF(OR($D203="",$E203="",$T203="?",$U203="?"),"Konto prüfen!",IF($A203="","Datum fehlt",IF(YEAR($A203)&lt;&gt;Einstellungen!$B$7,"anderes Jahr!",IF($G203="","MWST-Code fehlt","OK")))))</f>
        <v/>
      </c>
      <c r="W203" s="35" t="str">
        <f aca="false">IF($F203="","",IF(OR($D203=Kontoauszug!$C$4,$E203=Kontoauszug!$C$4),MAX(W$4:W202)+1,""))</f>
        <v/>
      </c>
    </row>
    <row r="204" customFormat="false" ht="15" hidden="false" customHeight="false" outlineLevel="0" collapsed="false">
      <c r="A204" s="33"/>
      <c r="B204" s="32"/>
      <c r="C204" s="32"/>
      <c r="D204" s="32"/>
      <c r="E204" s="32"/>
      <c r="F204" s="30"/>
      <c r="G204" s="32"/>
      <c r="H204" s="34" t="n">
        <f aca="false">IF($G204="",0,IFERROR(INDEX(Einstellungen!$G$5:$G$11,MATCH($G204,Einstellungen!$E$5:$E$11,0)),0))</f>
        <v>0</v>
      </c>
      <c r="I204" s="35" t="str">
        <f aca="false">IF($G204="","-",IFERROR(INDEX(Einstellungen!$H$5:$H$11,MATCH($G204,Einstellungen!$E$5:$E$11,0)),"-"))</f>
        <v>-</v>
      </c>
      <c r="J204" s="35" t="str">
        <f aca="false">IF(AND(Einstellungen!$B$8="Ja",Einstellungen!$B$9="Effektiv"),$I204,"-")</f>
        <v>-</v>
      </c>
      <c r="K204" s="31" t="n">
        <f aca="false">IF(OR($F204="",$J204="-"),0,ROUND($F204-$F204/(1+$H204),2))</f>
        <v>0</v>
      </c>
      <c r="L204" s="31" t="n">
        <f aca="false">IF($F204="",0,$F204-$K204)</f>
        <v>0</v>
      </c>
      <c r="M204" s="31" t="n">
        <f aca="false">IF($F204="",0,IF($J204="V",$L204,$F204))</f>
        <v>0</v>
      </c>
      <c r="N204" s="31" t="n">
        <f aca="false">IF($F204="",0,IF($J204="U",$L204,$F204))</f>
        <v>0</v>
      </c>
      <c r="O204" s="35" t="str">
        <f aca="false">IF($A204="","",MONTH($A204))</f>
        <v/>
      </c>
      <c r="P204" s="35" t="str">
        <f aca="false">IF($A204="","",ROUNDUP(MONTH($A204)/3,0))</f>
        <v/>
      </c>
      <c r="Q204" s="35" t="str">
        <f aca="false">IF($A204="","",IF(MONTH($A204)&lt;=6,1,2))</f>
        <v/>
      </c>
      <c r="R204" s="35" t="str">
        <f aca="false">IF($E204="","",IFERROR(INDEX(Kontenplan!$F$5:$F$90,MATCH($E204,Kontenplan!$A$5:$A$90,0)),""))</f>
        <v/>
      </c>
      <c r="S204" s="35" t="str">
        <f aca="false">IF($D204="","",IFERROR(INDEX(Kontenplan!$F$5:$F$90,MATCH($D204,Kontenplan!$A$5:$A$90,0)),""))</f>
        <v/>
      </c>
      <c r="T204" s="35" t="str">
        <f aca="false">IF($D204="","",IFERROR(INDEX(Kontenplan!$C$5:$C$90,MATCH($D204,Kontenplan!$A$5:$A$90,0)),"?"))</f>
        <v/>
      </c>
      <c r="U204" s="35" t="str">
        <f aca="false">IF($E204="","",IFERROR(INDEX(Kontenplan!$C$5:$C$90,MATCH($E204,Kontenplan!$A$5:$A$90,0)),"?"))</f>
        <v/>
      </c>
      <c r="V204" s="35" t="str">
        <f aca="false">IF($F204="","",IF(OR($D204="",$E204="",$T204="?",$U204="?"),"Konto prüfen!",IF($A204="","Datum fehlt",IF(YEAR($A204)&lt;&gt;Einstellungen!$B$7,"anderes Jahr!",IF($G204="","MWST-Code fehlt","OK")))))</f>
        <v/>
      </c>
      <c r="W204" s="35" t="str">
        <f aca="false">IF($F204="","",IF(OR($D204=Kontoauszug!$C$4,$E204=Kontoauszug!$C$4),MAX(W$4:W203)+1,""))</f>
        <v/>
      </c>
    </row>
    <row r="205" customFormat="false" ht="15" hidden="false" customHeight="false" outlineLevel="0" collapsed="false">
      <c r="A205" s="33"/>
      <c r="B205" s="32"/>
      <c r="C205" s="32"/>
      <c r="D205" s="32"/>
      <c r="E205" s="32"/>
      <c r="F205" s="30"/>
      <c r="G205" s="32"/>
      <c r="H205" s="34" t="n">
        <f aca="false">IF($G205="",0,IFERROR(INDEX(Einstellungen!$G$5:$G$11,MATCH($G205,Einstellungen!$E$5:$E$11,0)),0))</f>
        <v>0</v>
      </c>
      <c r="I205" s="35" t="str">
        <f aca="false">IF($G205="","-",IFERROR(INDEX(Einstellungen!$H$5:$H$11,MATCH($G205,Einstellungen!$E$5:$E$11,0)),"-"))</f>
        <v>-</v>
      </c>
      <c r="J205" s="35" t="str">
        <f aca="false">IF(AND(Einstellungen!$B$8="Ja",Einstellungen!$B$9="Effektiv"),$I205,"-")</f>
        <v>-</v>
      </c>
      <c r="K205" s="31" t="n">
        <f aca="false">IF(OR($F205="",$J205="-"),0,ROUND($F205-$F205/(1+$H205),2))</f>
        <v>0</v>
      </c>
      <c r="L205" s="31" t="n">
        <f aca="false">IF($F205="",0,$F205-$K205)</f>
        <v>0</v>
      </c>
      <c r="M205" s="31" t="n">
        <f aca="false">IF($F205="",0,IF($J205="V",$L205,$F205))</f>
        <v>0</v>
      </c>
      <c r="N205" s="31" t="n">
        <f aca="false">IF($F205="",0,IF($J205="U",$L205,$F205))</f>
        <v>0</v>
      </c>
      <c r="O205" s="35" t="str">
        <f aca="false">IF($A205="","",MONTH($A205))</f>
        <v/>
      </c>
      <c r="P205" s="35" t="str">
        <f aca="false">IF($A205="","",ROUNDUP(MONTH($A205)/3,0))</f>
        <v/>
      </c>
      <c r="Q205" s="35" t="str">
        <f aca="false">IF($A205="","",IF(MONTH($A205)&lt;=6,1,2))</f>
        <v/>
      </c>
      <c r="R205" s="35" t="str">
        <f aca="false">IF($E205="","",IFERROR(INDEX(Kontenplan!$F$5:$F$90,MATCH($E205,Kontenplan!$A$5:$A$90,0)),""))</f>
        <v/>
      </c>
      <c r="S205" s="35" t="str">
        <f aca="false">IF($D205="","",IFERROR(INDEX(Kontenplan!$F$5:$F$90,MATCH($D205,Kontenplan!$A$5:$A$90,0)),""))</f>
        <v/>
      </c>
      <c r="T205" s="35" t="str">
        <f aca="false">IF($D205="","",IFERROR(INDEX(Kontenplan!$C$5:$C$90,MATCH($D205,Kontenplan!$A$5:$A$90,0)),"?"))</f>
        <v/>
      </c>
      <c r="U205" s="35" t="str">
        <f aca="false">IF($E205="","",IFERROR(INDEX(Kontenplan!$C$5:$C$90,MATCH($E205,Kontenplan!$A$5:$A$90,0)),"?"))</f>
        <v/>
      </c>
      <c r="V205" s="35" t="str">
        <f aca="false">IF($F205="","",IF(OR($D205="",$E205="",$T205="?",$U205="?"),"Konto prüfen!",IF($A205="","Datum fehlt",IF(YEAR($A205)&lt;&gt;Einstellungen!$B$7,"anderes Jahr!",IF($G205="","MWST-Code fehlt","OK")))))</f>
        <v/>
      </c>
      <c r="W205" s="35" t="str">
        <f aca="false">IF($F205="","",IF(OR($D205=Kontoauszug!$C$4,$E205=Kontoauszug!$C$4),MAX(W$4:W204)+1,""))</f>
        <v/>
      </c>
    </row>
    <row r="206" customFormat="false" ht="15" hidden="false" customHeight="false" outlineLevel="0" collapsed="false">
      <c r="A206" s="33"/>
      <c r="B206" s="32"/>
      <c r="C206" s="32"/>
      <c r="D206" s="32"/>
      <c r="E206" s="32"/>
      <c r="F206" s="30"/>
      <c r="G206" s="32"/>
      <c r="H206" s="34" t="n">
        <f aca="false">IF($G206="",0,IFERROR(INDEX(Einstellungen!$G$5:$G$11,MATCH($G206,Einstellungen!$E$5:$E$11,0)),0))</f>
        <v>0</v>
      </c>
      <c r="I206" s="35" t="str">
        <f aca="false">IF($G206="","-",IFERROR(INDEX(Einstellungen!$H$5:$H$11,MATCH($G206,Einstellungen!$E$5:$E$11,0)),"-"))</f>
        <v>-</v>
      </c>
      <c r="J206" s="35" t="str">
        <f aca="false">IF(AND(Einstellungen!$B$8="Ja",Einstellungen!$B$9="Effektiv"),$I206,"-")</f>
        <v>-</v>
      </c>
      <c r="K206" s="31" t="n">
        <f aca="false">IF(OR($F206="",$J206="-"),0,ROUND($F206-$F206/(1+$H206),2))</f>
        <v>0</v>
      </c>
      <c r="L206" s="31" t="n">
        <f aca="false">IF($F206="",0,$F206-$K206)</f>
        <v>0</v>
      </c>
      <c r="M206" s="31" t="n">
        <f aca="false">IF($F206="",0,IF($J206="V",$L206,$F206))</f>
        <v>0</v>
      </c>
      <c r="N206" s="31" t="n">
        <f aca="false">IF($F206="",0,IF($J206="U",$L206,$F206))</f>
        <v>0</v>
      </c>
      <c r="O206" s="35" t="str">
        <f aca="false">IF($A206="","",MONTH($A206))</f>
        <v/>
      </c>
      <c r="P206" s="35" t="str">
        <f aca="false">IF($A206="","",ROUNDUP(MONTH($A206)/3,0))</f>
        <v/>
      </c>
      <c r="Q206" s="35" t="str">
        <f aca="false">IF($A206="","",IF(MONTH($A206)&lt;=6,1,2))</f>
        <v/>
      </c>
      <c r="R206" s="35" t="str">
        <f aca="false">IF($E206="","",IFERROR(INDEX(Kontenplan!$F$5:$F$90,MATCH($E206,Kontenplan!$A$5:$A$90,0)),""))</f>
        <v/>
      </c>
      <c r="S206" s="35" t="str">
        <f aca="false">IF($D206="","",IFERROR(INDEX(Kontenplan!$F$5:$F$90,MATCH($D206,Kontenplan!$A$5:$A$90,0)),""))</f>
        <v/>
      </c>
      <c r="T206" s="35" t="str">
        <f aca="false">IF($D206="","",IFERROR(INDEX(Kontenplan!$C$5:$C$90,MATCH($D206,Kontenplan!$A$5:$A$90,0)),"?"))</f>
        <v/>
      </c>
      <c r="U206" s="35" t="str">
        <f aca="false">IF($E206="","",IFERROR(INDEX(Kontenplan!$C$5:$C$90,MATCH($E206,Kontenplan!$A$5:$A$90,0)),"?"))</f>
        <v/>
      </c>
      <c r="V206" s="35" t="str">
        <f aca="false">IF($F206="","",IF(OR($D206="",$E206="",$T206="?",$U206="?"),"Konto prüfen!",IF($A206="","Datum fehlt",IF(YEAR($A206)&lt;&gt;Einstellungen!$B$7,"anderes Jahr!",IF($G206="","MWST-Code fehlt","OK")))))</f>
        <v/>
      </c>
      <c r="W206" s="35" t="str">
        <f aca="false">IF($F206="","",IF(OR($D206=Kontoauszug!$C$4,$E206=Kontoauszug!$C$4),MAX(W$4:W205)+1,""))</f>
        <v/>
      </c>
    </row>
    <row r="207" customFormat="false" ht="15" hidden="false" customHeight="false" outlineLevel="0" collapsed="false">
      <c r="A207" s="33"/>
      <c r="B207" s="32"/>
      <c r="C207" s="32"/>
      <c r="D207" s="32"/>
      <c r="E207" s="32"/>
      <c r="F207" s="30"/>
      <c r="G207" s="32"/>
      <c r="H207" s="34" t="n">
        <f aca="false">IF($G207="",0,IFERROR(INDEX(Einstellungen!$G$5:$G$11,MATCH($G207,Einstellungen!$E$5:$E$11,0)),0))</f>
        <v>0</v>
      </c>
      <c r="I207" s="35" t="str">
        <f aca="false">IF($G207="","-",IFERROR(INDEX(Einstellungen!$H$5:$H$11,MATCH($G207,Einstellungen!$E$5:$E$11,0)),"-"))</f>
        <v>-</v>
      </c>
      <c r="J207" s="35" t="str">
        <f aca="false">IF(AND(Einstellungen!$B$8="Ja",Einstellungen!$B$9="Effektiv"),$I207,"-")</f>
        <v>-</v>
      </c>
      <c r="K207" s="31" t="n">
        <f aca="false">IF(OR($F207="",$J207="-"),0,ROUND($F207-$F207/(1+$H207),2))</f>
        <v>0</v>
      </c>
      <c r="L207" s="31" t="n">
        <f aca="false">IF($F207="",0,$F207-$K207)</f>
        <v>0</v>
      </c>
      <c r="M207" s="31" t="n">
        <f aca="false">IF($F207="",0,IF($J207="V",$L207,$F207))</f>
        <v>0</v>
      </c>
      <c r="N207" s="31" t="n">
        <f aca="false">IF($F207="",0,IF($J207="U",$L207,$F207))</f>
        <v>0</v>
      </c>
      <c r="O207" s="35" t="str">
        <f aca="false">IF($A207="","",MONTH($A207))</f>
        <v/>
      </c>
      <c r="P207" s="35" t="str">
        <f aca="false">IF($A207="","",ROUNDUP(MONTH($A207)/3,0))</f>
        <v/>
      </c>
      <c r="Q207" s="35" t="str">
        <f aca="false">IF($A207="","",IF(MONTH($A207)&lt;=6,1,2))</f>
        <v/>
      </c>
      <c r="R207" s="35" t="str">
        <f aca="false">IF($E207="","",IFERROR(INDEX(Kontenplan!$F$5:$F$90,MATCH($E207,Kontenplan!$A$5:$A$90,0)),""))</f>
        <v/>
      </c>
      <c r="S207" s="35" t="str">
        <f aca="false">IF($D207="","",IFERROR(INDEX(Kontenplan!$F$5:$F$90,MATCH($D207,Kontenplan!$A$5:$A$90,0)),""))</f>
        <v/>
      </c>
      <c r="T207" s="35" t="str">
        <f aca="false">IF($D207="","",IFERROR(INDEX(Kontenplan!$C$5:$C$90,MATCH($D207,Kontenplan!$A$5:$A$90,0)),"?"))</f>
        <v/>
      </c>
      <c r="U207" s="35" t="str">
        <f aca="false">IF($E207="","",IFERROR(INDEX(Kontenplan!$C$5:$C$90,MATCH($E207,Kontenplan!$A$5:$A$90,0)),"?"))</f>
        <v/>
      </c>
      <c r="V207" s="35" t="str">
        <f aca="false">IF($F207="","",IF(OR($D207="",$E207="",$T207="?",$U207="?"),"Konto prüfen!",IF($A207="","Datum fehlt",IF(YEAR($A207)&lt;&gt;Einstellungen!$B$7,"anderes Jahr!",IF($G207="","MWST-Code fehlt","OK")))))</f>
        <v/>
      </c>
      <c r="W207" s="35" t="str">
        <f aca="false">IF($F207="","",IF(OR($D207=Kontoauszug!$C$4,$E207=Kontoauszug!$C$4),MAX(W$4:W206)+1,""))</f>
        <v/>
      </c>
    </row>
    <row r="208" customFormat="false" ht="15" hidden="false" customHeight="false" outlineLevel="0" collapsed="false">
      <c r="A208" s="33"/>
      <c r="B208" s="32"/>
      <c r="C208" s="32"/>
      <c r="D208" s="32"/>
      <c r="E208" s="32"/>
      <c r="F208" s="30"/>
      <c r="G208" s="32"/>
      <c r="H208" s="34" t="n">
        <f aca="false">IF($G208="",0,IFERROR(INDEX(Einstellungen!$G$5:$G$11,MATCH($G208,Einstellungen!$E$5:$E$11,0)),0))</f>
        <v>0</v>
      </c>
      <c r="I208" s="35" t="str">
        <f aca="false">IF($G208="","-",IFERROR(INDEX(Einstellungen!$H$5:$H$11,MATCH($G208,Einstellungen!$E$5:$E$11,0)),"-"))</f>
        <v>-</v>
      </c>
      <c r="J208" s="35" t="str">
        <f aca="false">IF(AND(Einstellungen!$B$8="Ja",Einstellungen!$B$9="Effektiv"),$I208,"-")</f>
        <v>-</v>
      </c>
      <c r="K208" s="31" t="n">
        <f aca="false">IF(OR($F208="",$J208="-"),0,ROUND($F208-$F208/(1+$H208),2))</f>
        <v>0</v>
      </c>
      <c r="L208" s="31" t="n">
        <f aca="false">IF($F208="",0,$F208-$K208)</f>
        <v>0</v>
      </c>
      <c r="M208" s="31" t="n">
        <f aca="false">IF($F208="",0,IF($J208="V",$L208,$F208))</f>
        <v>0</v>
      </c>
      <c r="N208" s="31" t="n">
        <f aca="false">IF($F208="",0,IF($J208="U",$L208,$F208))</f>
        <v>0</v>
      </c>
      <c r="O208" s="35" t="str">
        <f aca="false">IF($A208="","",MONTH($A208))</f>
        <v/>
      </c>
      <c r="P208" s="35" t="str">
        <f aca="false">IF($A208="","",ROUNDUP(MONTH($A208)/3,0))</f>
        <v/>
      </c>
      <c r="Q208" s="35" t="str">
        <f aca="false">IF($A208="","",IF(MONTH($A208)&lt;=6,1,2))</f>
        <v/>
      </c>
      <c r="R208" s="35" t="str">
        <f aca="false">IF($E208="","",IFERROR(INDEX(Kontenplan!$F$5:$F$90,MATCH($E208,Kontenplan!$A$5:$A$90,0)),""))</f>
        <v/>
      </c>
      <c r="S208" s="35" t="str">
        <f aca="false">IF($D208="","",IFERROR(INDEX(Kontenplan!$F$5:$F$90,MATCH($D208,Kontenplan!$A$5:$A$90,0)),""))</f>
        <v/>
      </c>
      <c r="T208" s="35" t="str">
        <f aca="false">IF($D208="","",IFERROR(INDEX(Kontenplan!$C$5:$C$90,MATCH($D208,Kontenplan!$A$5:$A$90,0)),"?"))</f>
        <v/>
      </c>
      <c r="U208" s="35" t="str">
        <f aca="false">IF($E208="","",IFERROR(INDEX(Kontenplan!$C$5:$C$90,MATCH($E208,Kontenplan!$A$5:$A$90,0)),"?"))</f>
        <v/>
      </c>
      <c r="V208" s="35" t="str">
        <f aca="false">IF($F208="","",IF(OR($D208="",$E208="",$T208="?",$U208="?"),"Konto prüfen!",IF($A208="","Datum fehlt",IF(YEAR($A208)&lt;&gt;Einstellungen!$B$7,"anderes Jahr!",IF($G208="","MWST-Code fehlt","OK")))))</f>
        <v/>
      </c>
      <c r="W208" s="35" t="str">
        <f aca="false">IF($F208="","",IF(OR($D208=Kontoauszug!$C$4,$E208=Kontoauszug!$C$4),MAX(W$4:W207)+1,""))</f>
        <v/>
      </c>
    </row>
    <row r="209" customFormat="false" ht="15" hidden="false" customHeight="false" outlineLevel="0" collapsed="false">
      <c r="A209" s="33"/>
      <c r="B209" s="32"/>
      <c r="C209" s="32"/>
      <c r="D209" s="32"/>
      <c r="E209" s="32"/>
      <c r="F209" s="30"/>
      <c r="G209" s="32"/>
      <c r="H209" s="34" t="n">
        <f aca="false">IF($G209="",0,IFERROR(INDEX(Einstellungen!$G$5:$G$11,MATCH($G209,Einstellungen!$E$5:$E$11,0)),0))</f>
        <v>0</v>
      </c>
      <c r="I209" s="35" t="str">
        <f aca="false">IF($G209="","-",IFERROR(INDEX(Einstellungen!$H$5:$H$11,MATCH($G209,Einstellungen!$E$5:$E$11,0)),"-"))</f>
        <v>-</v>
      </c>
      <c r="J209" s="35" t="str">
        <f aca="false">IF(AND(Einstellungen!$B$8="Ja",Einstellungen!$B$9="Effektiv"),$I209,"-")</f>
        <v>-</v>
      </c>
      <c r="K209" s="31" t="n">
        <f aca="false">IF(OR($F209="",$J209="-"),0,ROUND($F209-$F209/(1+$H209),2))</f>
        <v>0</v>
      </c>
      <c r="L209" s="31" t="n">
        <f aca="false">IF($F209="",0,$F209-$K209)</f>
        <v>0</v>
      </c>
      <c r="M209" s="31" t="n">
        <f aca="false">IF($F209="",0,IF($J209="V",$L209,$F209))</f>
        <v>0</v>
      </c>
      <c r="N209" s="31" t="n">
        <f aca="false">IF($F209="",0,IF($J209="U",$L209,$F209))</f>
        <v>0</v>
      </c>
      <c r="O209" s="35" t="str">
        <f aca="false">IF($A209="","",MONTH($A209))</f>
        <v/>
      </c>
      <c r="P209" s="35" t="str">
        <f aca="false">IF($A209="","",ROUNDUP(MONTH($A209)/3,0))</f>
        <v/>
      </c>
      <c r="Q209" s="35" t="str">
        <f aca="false">IF($A209="","",IF(MONTH($A209)&lt;=6,1,2))</f>
        <v/>
      </c>
      <c r="R209" s="35" t="str">
        <f aca="false">IF($E209="","",IFERROR(INDEX(Kontenplan!$F$5:$F$90,MATCH($E209,Kontenplan!$A$5:$A$90,0)),""))</f>
        <v/>
      </c>
      <c r="S209" s="35" t="str">
        <f aca="false">IF($D209="","",IFERROR(INDEX(Kontenplan!$F$5:$F$90,MATCH($D209,Kontenplan!$A$5:$A$90,0)),""))</f>
        <v/>
      </c>
      <c r="T209" s="35" t="str">
        <f aca="false">IF($D209="","",IFERROR(INDEX(Kontenplan!$C$5:$C$90,MATCH($D209,Kontenplan!$A$5:$A$90,0)),"?"))</f>
        <v/>
      </c>
      <c r="U209" s="35" t="str">
        <f aca="false">IF($E209="","",IFERROR(INDEX(Kontenplan!$C$5:$C$90,MATCH($E209,Kontenplan!$A$5:$A$90,0)),"?"))</f>
        <v/>
      </c>
      <c r="V209" s="35" t="str">
        <f aca="false">IF($F209="","",IF(OR($D209="",$E209="",$T209="?",$U209="?"),"Konto prüfen!",IF($A209="","Datum fehlt",IF(YEAR($A209)&lt;&gt;Einstellungen!$B$7,"anderes Jahr!",IF($G209="","MWST-Code fehlt","OK")))))</f>
        <v/>
      </c>
      <c r="W209" s="35" t="str">
        <f aca="false">IF($F209="","",IF(OR($D209=Kontoauszug!$C$4,$E209=Kontoauszug!$C$4),MAX(W$4:W208)+1,""))</f>
        <v/>
      </c>
    </row>
    <row r="210" customFormat="false" ht="15" hidden="false" customHeight="false" outlineLevel="0" collapsed="false">
      <c r="A210" s="33"/>
      <c r="B210" s="32"/>
      <c r="C210" s="32"/>
      <c r="D210" s="32"/>
      <c r="E210" s="32"/>
      <c r="F210" s="30"/>
      <c r="G210" s="32"/>
      <c r="H210" s="34" t="n">
        <f aca="false">IF($G210="",0,IFERROR(INDEX(Einstellungen!$G$5:$G$11,MATCH($G210,Einstellungen!$E$5:$E$11,0)),0))</f>
        <v>0</v>
      </c>
      <c r="I210" s="35" t="str">
        <f aca="false">IF($G210="","-",IFERROR(INDEX(Einstellungen!$H$5:$H$11,MATCH($G210,Einstellungen!$E$5:$E$11,0)),"-"))</f>
        <v>-</v>
      </c>
      <c r="J210" s="35" t="str">
        <f aca="false">IF(AND(Einstellungen!$B$8="Ja",Einstellungen!$B$9="Effektiv"),$I210,"-")</f>
        <v>-</v>
      </c>
      <c r="K210" s="31" t="n">
        <f aca="false">IF(OR($F210="",$J210="-"),0,ROUND($F210-$F210/(1+$H210),2))</f>
        <v>0</v>
      </c>
      <c r="L210" s="31" t="n">
        <f aca="false">IF($F210="",0,$F210-$K210)</f>
        <v>0</v>
      </c>
      <c r="M210" s="31" t="n">
        <f aca="false">IF($F210="",0,IF($J210="V",$L210,$F210))</f>
        <v>0</v>
      </c>
      <c r="N210" s="31" t="n">
        <f aca="false">IF($F210="",0,IF($J210="U",$L210,$F210))</f>
        <v>0</v>
      </c>
      <c r="O210" s="35" t="str">
        <f aca="false">IF($A210="","",MONTH($A210))</f>
        <v/>
      </c>
      <c r="P210" s="35" t="str">
        <f aca="false">IF($A210="","",ROUNDUP(MONTH($A210)/3,0))</f>
        <v/>
      </c>
      <c r="Q210" s="35" t="str">
        <f aca="false">IF($A210="","",IF(MONTH($A210)&lt;=6,1,2))</f>
        <v/>
      </c>
      <c r="R210" s="35" t="str">
        <f aca="false">IF($E210="","",IFERROR(INDEX(Kontenplan!$F$5:$F$90,MATCH($E210,Kontenplan!$A$5:$A$90,0)),""))</f>
        <v/>
      </c>
      <c r="S210" s="35" t="str">
        <f aca="false">IF($D210="","",IFERROR(INDEX(Kontenplan!$F$5:$F$90,MATCH($D210,Kontenplan!$A$5:$A$90,0)),""))</f>
        <v/>
      </c>
      <c r="T210" s="35" t="str">
        <f aca="false">IF($D210="","",IFERROR(INDEX(Kontenplan!$C$5:$C$90,MATCH($D210,Kontenplan!$A$5:$A$90,0)),"?"))</f>
        <v/>
      </c>
      <c r="U210" s="35" t="str">
        <f aca="false">IF($E210="","",IFERROR(INDEX(Kontenplan!$C$5:$C$90,MATCH($E210,Kontenplan!$A$5:$A$90,0)),"?"))</f>
        <v/>
      </c>
      <c r="V210" s="35" t="str">
        <f aca="false">IF($F210="","",IF(OR($D210="",$E210="",$T210="?",$U210="?"),"Konto prüfen!",IF($A210="","Datum fehlt",IF(YEAR($A210)&lt;&gt;Einstellungen!$B$7,"anderes Jahr!",IF($G210="","MWST-Code fehlt","OK")))))</f>
        <v/>
      </c>
      <c r="W210" s="35" t="str">
        <f aca="false">IF($F210="","",IF(OR($D210=Kontoauszug!$C$4,$E210=Kontoauszug!$C$4),MAX(W$4:W209)+1,""))</f>
        <v/>
      </c>
    </row>
    <row r="211" customFormat="false" ht="15" hidden="false" customHeight="false" outlineLevel="0" collapsed="false">
      <c r="A211" s="33"/>
      <c r="B211" s="32"/>
      <c r="C211" s="32"/>
      <c r="D211" s="32"/>
      <c r="E211" s="32"/>
      <c r="F211" s="30"/>
      <c r="G211" s="32"/>
      <c r="H211" s="34" t="n">
        <f aca="false">IF($G211="",0,IFERROR(INDEX(Einstellungen!$G$5:$G$11,MATCH($G211,Einstellungen!$E$5:$E$11,0)),0))</f>
        <v>0</v>
      </c>
      <c r="I211" s="35" t="str">
        <f aca="false">IF($G211="","-",IFERROR(INDEX(Einstellungen!$H$5:$H$11,MATCH($G211,Einstellungen!$E$5:$E$11,0)),"-"))</f>
        <v>-</v>
      </c>
      <c r="J211" s="35" t="str">
        <f aca="false">IF(AND(Einstellungen!$B$8="Ja",Einstellungen!$B$9="Effektiv"),$I211,"-")</f>
        <v>-</v>
      </c>
      <c r="K211" s="31" t="n">
        <f aca="false">IF(OR($F211="",$J211="-"),0,ROUND($F211-$F211/(1+$H211),2))</f>
        <v>0</v>
      </c>
      <c r="L211" s="31" t="n">
        <f aca="false">IF($F211="",0,$F211-$K211)</f>
        <v>0</v>
      </c>
      <c r="M211" s="31" t="n">
        <f aca="false">IF($F211="",0,IF($J211="V",$L211,$F211))</f>
        <v>0</v>
      </c>
      <c r="N211" s="31" t="n">
        <f aca="false">IF($F211="",0,IF($J211="U",$L211,$F211))</f>
        <v>0</v>
      </c>
      <c r="O211" s="35" t="str">
        <f aca="false">IF($A211="","",MONTH($A211))</f>
        <v/>
      </c>
      <c r="P211" s="35" t="str">
        <f aca="false">IF($A211="","",ROUNDUP(MONTH($A211)/3,0))</f>
        <v/>
      </c>
      <c r="Q211" s="35" t="str">
        <f aca="false">IF($A211="","",IF(MONTH($A211)&lt;=6,1,2))</f>
        <v/>
      </c>
      <c r="R211" s="35" t="str">
        <f aca="false">IF($E211="","",IFERROR(INDEX(Kontenplan!$F$5:$F$90,MATCH($E211,Kontenplan!$A$5:$A$90,0)),""))</f>
        <v/>
      </c>
      <c r="S211" s="35" t="str">
        <f aca="false">IF($D211="","",IFERROR(INDEX(Kontenplan!$F$5:$F$90,MATCH($D211,Kontenplan!$A$5:$A$90,0)),""))</f>
        <v/>
      </c>
      <c r="T211" s="35" t="str">
        <f aca="false">IF($D211="","",IFERROR(INDEX(Kontenplan!$C$5:$C$90,MATCH($D211,Kontenplan!$A$5:$A$90,0)),"?"))</f>
        <v/>
      </c>
      <c r="U211" s="35" t="str">
        <f aca="false">IF($E211="","",IFERROR(INDEX(Kontenplan!$C$5:$C$90,MATCH($E211,Kontenplan!$A$5:$A$90,0)),"?"))</f>
        <v/>
      </c>
      <c r="V211" s="35" t="str">
        <f aca="false">IF($F211="","",IF(OR($D211="",$E211="",$T211="?",$U211="?"),"Konto prüfen!",IF($A211="","Datum fehlt",IF(YEAR($A211)&lt;&gt;Einstellungen!$B$7,"anderes Jahr!",IF($G211="","MWST-Code fehlt","OK")))))</f>
        <v/>
      </c>
      <c r="W211" s="35" t="str">
        <f aca="false">IF($F211="","",IF(OR($D211=Kontoauszug!$C$4,$E211=Kontoauszug!$C$4),MAX(W$4:W210)+1,""))</f>
        <v/>
      </c>
    </row>
    <row r="212" customFormat="false" ht="15" hidden="false" customHeight="false" outlineLevel="0" collapsed="false">
      <c r="A212" s="33"/>
      <c r="B212" s="32"/>
      <c r="C212" s="32"/>
      <c r="D212" s="32"/>
      <c r="E212" s="32"/>
      <c r="F212" s="30"/>
      <c r="G212" s="32"/>
      <c r="H212" s="34" t="n">
        <f aca="false">IF($G212="",0,IFERROR(INDEX(Einstellungen!$G$5:$G$11,MATCH($G212,Einstellungen!$E$5:$E$11,0)),0))</f>
        <v>0</v>
      </c>
      <c r="I212" s="35" t="str">
        <f aca="false">IF($G212="","-",IFERROR(INDEX(Einstellungen!$H$5:$H$11,MATCH($G212,Einstellungen!$E$5:$E$11,0)),"-"))</f>
        <v>-</v>
      </c>
      <c r="J212" s="35" t="str">
        <f aca="false">IF(AND(Einstellungen!$B$8="Ja",Einstellungen!$B$9="Effektiv"),$I212,"-")</f>
        <v>-</v>
      </c>
      <c r="K212" s="31" t="n">
        <f aca="false">IF(OR($F212="",$J212="-"),0,ROUND($F212-$F212/(1+$H212),2))</f>
        <v>0</v>
      </c>
      <c r="L212" s="31" t="n">
        <f aca="false">IF($F212="",0,$F212-$K212)</f>
        <v>0</v>
      </c>
      <c r="M212" s="31" t="n">
        <f aca="false">IF($F212="",0,IF($J212="V",$L212,$F212))</f>
        <v>0</v>
      </c>
      <c r="N212" s="31" t="n">
        <f aca="false">IF($F212="",0,IF($J212="U",$L212,$F212))</f>
        <v>0</v>
      </c>
      <c r="O212" s="35" t="str">
        <f aca="false">IF($A212="","",MONTH($A212))</f>
        <v/>
      </c>
      <c r="P212" s="35" t="str">
        <f aca="false">IF($A212="","",ROUNDUP(MONTH($A212)/3,0))</f>
        <v/>
      </c>
      <c r="Q212" s="35" t="str">
        <f aca="false">IF($A212="","",IF(MONTH($A212)&lt;=6,1,2))</f>
        <v/>
      </c>
      <c r="R212" s="35" t="str">
        <f aca="false">IF($E212="","",IFERROR(INDEX(Kontenplan!$F$5:$F$90,MATCH($E212,Kontenplan!$A$5:$A$90,0)),""))</f>
        <v/>
      </c>
      <c r="S212" s="35" t="str">
        <f aca="false">IF($D212="","",IFERROR(INDEX(Kontenplan!$F$5:$F$90,MATCH($D212,Kontenplan!$A$5:$A$90,0)),""))</f>
        <v/>
      </c>
      <c r="T212" s="35" t="str">
        <f aca="false">IF($D212="","",IFERROR(INDEX(Kontenplan!$C$5:$C$90,MATCH($D212,Kontenplan!$A$5:$A$90,0)),"?"))</f>
        <v/>
      </c>
      <c r="U212" s="35" t="str">
        <f aca="false">IF($E212="","",IFERROR(INDEX(Kontenplan!$C$5:$C$90,MATCH($E212,Kontenplan!$A$5:$A$90,0)),"?"))</f>
        <v/>
      </c>
      <c r="V212" s="35" t="str">
        <f aca="false">IF($F212="","",IF(OR($D212="",$E212="",$T212="?",$U212="?"),"Konto prüfen!",IF($A212="","Datum fehlt",IF(YEAR($A212)&lt;&gt;Einstellungen!$B$7,"anderes Jahr!",IF($G212="","MWST-Code fehlt","OK")))))</f>
        <v/>
      </c>
      <c r="W212" s="35" t="str">
        <f aca="false">IF($F212="","",IF(OR($D212=Kontoauszug!$C$4,$E212=Kontoauszug!$C$4),MAX(W$4:W211)+1,""))</f>
        <v/>
      </c>
    </row>
    <row r="213" customFormat="false" ht="15" hidden="false" customHeight="false" outlineLevel="0" collapsed="false">
      <c r="A213" s="33"/>
      <c r="B213" s="32"/>
      <c r="C213" s="32"/>
      <c r="D213" s="32"/>
      <c r="E213" s="32"/>
      <c r="F213" s="30"/>
      <c r="G213" s="32"/>
      <c r="H213" s="34" t="n">
        <f aca="false">IF($G213="",0,IFERROR(INDEX(Einstellungen!$G$5:$G$11,MATCH($G213,Einstellungen!$E$5:$E$11,0)),0))</f>
        <v>0</v>
      </c>
      <c r="I213" s="35" t="str">
        <f aca="false">IF($G213="","-",IFERROR(INDEX(Einstellungen!$H$5:$H$11,MATCH($G213,Einstellungen!$E$5:$E$11,0)),"-"))</f>
        <v>-</v>
      </c>
      <c r="J213" s="35" t="str">
        <f aca="false">IF(AND(Einstellungen!$B$8="Ja",Einstellungen!$B$9="Effektiv"),$I213,"-")</f>
        <v>-</v>
      </c>
      <c r="K213" s="31" t="n">
        <f aca="false">IF(OR($F213="",$J213="-"),0,ROUND($F213-$F213/(1+$H213),2))</f>
        <v>0</v>
      </c>
      <c r="L213" s="31" t="n">
        <f aca="false">IF($F213="",0,$F213-$K213)</f>
        <v>0</v>
      </c>
      <c r="M213" s="31" t="n">
        <f aca="false">IF($F213="",0,IF($J213="V",$L213,$F213))</f>
        <v>0</v>
      </c>
      <c r="N213" s="31" t="n">
        <f aca="false">IF($F213="",0,IF($J213="U",$L213,$F213))</f>
        <v>0</v>
      </c>
      <c r="O213" s="35" t="str">
        <f aca="false">IF($A213="","",MONTH($A213))</f>
        <v/>
      </c>
      <c r="P213" s="35" t="str">
        <f aca="false">IF($A213="","",ROUNDUP(MONTH($A213)/3,0))</f>
        <v/>
      </c>
      <c r="Q213" s="35" t="str">
        <f aca="false">IF($A213="","",IF(MONTH($A213)&lt;=6,1,2))</f>
        <v/>
      </c>
      <c r="R213" s="35" t="str">
        <f aca="false">IF($E213="","",IFERROR(INDEX(Kontenplan!$F$5:$F$90,MATCH($E213,Kontenplan!$A$5:$A$90,0)),""))</f>
        <v/>
      </c>
      <c r="S213" s="35" t="str">
        <f aca="false">IF($D213="","",IFERROR(INDEX(Kontenplan!$F$5:$F$90,MATCH($D213,Kontenplan!$A$5:$A$90,0)),""))</f>
        <v/>
      </c>
      <c r="T213" s="35" t="str">
        <f aca="false">IF($D213="","",IFERROR(INDEX(Kontenplan!$C$5:$C$90,MATCH($D213,Kontenplan!$A$5:$A$90,0)),"?"))</f>
        <v/>
      </c>
      <c r="U213" s="35" t="str">
        <f aca="false">IF($E213="","",IFERROR(INDEX(Kontenplan!$C$5:$C$90,MATCH($E213,Kontenplan!$A$5:$A$90,0)),"?"))</f>
        <v/>
      </c>
      <c r="V213" s="35" t="str">
        <f aca="false">IF($F213="","",IF(OR($D213="",$E213="",$T213="?",$U213="?"),"Konto prüfen!",IF($A213="","Datum fehlt",IF(YEAR($A213)&lt;&gt;Einstellungen!$B$7,"anderes Jahr!",IF($G213="","MWST-Code fehlt","OK")))))</f>
        <v/>
      </c>
      <c r="W213" s="35" t="str">
        <f aca="false">IF($F213="","",IF(OR($D213=Kontoauszug!$C$4,$E213=Kontoauszug!$C$4),MAX(W$4:W212)+1,""))</f>
        <v/>
      </c>
    </row>
    <row r="214" customFormat="false" ht="15" hidden="false" customHeight="false" outlineLevel="0" collapsed="false">
      <c r="A214" s="33"/>
      <c r="B214" s="32"/>
      <c r="C214" s="32"/>
      <c r="D214" s="32"/>
      <c r="E214" s="32"/>
      <c r="F214" s="30"/>
      <c r="G214" s="32"/>
      <c r="H214" s="34" t="n">
        <f aca="false">IF($G214="",0,IFERROR(INDEX(Einstellungen!$G$5:$G$11,MATCH($G214,Einstellungen!$E$5:$E$11,0)),0))</f>
        <v>0</v>
      </c>
      <c r="I214" s="35" t="str">
        <f aca="false">IF($G214="","-",IFERROR(INDEX(Einstellungen!$H$5:$H$11,MATCH($G214,Einstellungen!$E$5:$E$11,0)),"-"))</f>
        <v>-</v>
      </c>
      <c r="J214" s="35" t="str">
        <f aca="false">IF(AND(Einstellungen!$B$8="Ja",Einstellungen!$B$9="Effektiv"),$I214,"-")</f>
        <v>-</v>
      </c>
      <c r="K214" s="31" t="n">
        <f aca="false">IF(OR($F214="",$J214="-"),0,ROUND($F214-$F214/(1+$H214),2))</f>
        <v>0</v>
      </c>
      <c r="L214" s="31" t="n">
        <f aca="false">IF($F214="",0,$F214-$K214)</f>
        <v>0</v>
      </c>
      <c r="M214" s="31" t="n">
        <f aca="false">IF($F214="",0,IF($J214="V",$L214,$F214))</f>
        <v>0</v>
      </c>
      <c r="N214" s="31" t="n">
        <f aca="false">IF($F214="",0,IF($J214="U",$L214,$F214))</f>
        <v>0</v>
      </c>
      <c r="O214" s="35" t="str">
        <f aca="false">IF($A214="","",MONTH($A214))</f>
        <v/>
      </c>
      <c r="P214" s="35" t="str">
        <f aca="false">IF($A214="","",ROUNDUP(MONTH($A214)/3,0))</f>
        <v/>
      </c>
      <c r="Q214" s="35" t="str">
        <f aca="false">IF($A214="","",IF(MONTH($A214)&lt;=6,1,2))</f>
        <v/>
      </c>
      <c r="R214" s="35" t="str">
        <f aca="false">IF($E214="","",IFERROR(INDEX(Kontenplan!$F$5:$F$90,MATCH($E214,Kontenplan!$A$5:$A$90,0)),""))</f>
        <v/>
      </c>
      <c r="S214" s="35" t="str">
        <f aca="false">IF($D214="","",IFERROR(INDEX(Kontenplan!$F$5:$F$90,MATCH($D214,Kontenplan!$A$5:$A$90,0)),""))</f>
        <v/>
      </c>
      <c r="T214" s="35" t="str">
        <f aca="false">IF($D214="","",IFERROR(INDEX(Kontenplan!$C$5:$C$90,MATCH($D214,Kontenplan!$A$5:$A$90,0)),"?"))</f>
        <v/>
      </c>
      <c r="U214" s="35" t="str">
        <f aca="false">IF($E214="","",IFERROR(INDEX(Kontenplan!$C$5:$C$90,MATCH($E214,Kontenplan!$A$5:$A$90,0)),"?"))</f>
        <v/>
      </c>
      <c r="V214" s="35" t="str">
        <f aca="false">IF($F214="","",IF(OR($D214="",$E214="",$T214="?",$U214="?"),"Konto prüfen!",IF($A214="","Datum fehlt",IF(YEAR($A214)&lt;&gt;Einstellungen!$B$7,"anderes Jahr!",IF($G214="","MWST-Code fehlt","OK")))))</f>
        <v/>
      </c>
      <c r="W214" s="35" t="str">
        <f aca="false">IF($F214="","",IF(OR($D214=Kontoauszug!$C$4,$E214=Kontoauszug!$C$4),MAX(W$4:W213)+1,""))</f>
        <v/>
      </c>
    </row>
    <row r="215" customFormat="false" ht="15" hidden="false" customHeight="false" outlineLevel="0" collapsed="false">
      <c r="A215" s="33"/>
      <c r="B215" s="32"/>
      <c r="C215" s="32"/>
      <c r="D215" s="32"/>
      <c r="E215" s="32"/>
      <c r="F215" s="30"/>
      <c r="G215" s="32"/>
      <c r="H215" s="34" t="n">
        <f aca="false">IF($G215="",0,IFERROR(INDEX(Einstellungen!$G$5:$G$11,MATCH($G215,Einstellungen!$E$5:$E$11,0)),0))</f>
        <v>0</v>
      </c>
      <c r="I215" s="35" t="str">
        <f aca="false">IF($G215="","-",IFERROR(INDEX(Einstellungen!$H$5:$H$11,MATCH($G215,Einstellungen!$E$5:$E$11,0)),"-"))</f>
        <v>-</v>
      </c>
      <c r="J215" s="35" t="str">
        <f aca="false">IF(AND(Einstellungen!$B$8="Ja",Einstellungen!$B$9="Effektiv"),$I215,"-")</f>
        <v>-</v>
      </c>
      <c r="K215" s="31" t="n">
        <f aca="false">IF(OR($F215="",$J215="-"),0,ROUND($F215-$F215/(1+$H215),2))</f>
        <v>0</v>
      </c>
      <c r="L215" s="31" t="n">
        <f aca="false">IF($F215="",0,$F215-$K215)</f>
        <v>0</v>
      </c>
      <c r="M215" s="31" t="n">
        <f aca="false">IF($F215="",0,IF($J215="V",$L215,$F215))</f>
        <v>0</v>
      </c>
      <c r="N215" s="31" t="n">
        <f aca="false">IF($F215="",0,IF($J215="U",$L215,$F215))</f>
        <v>0</v>
      </c>
      <c r="O215" s="35" t="str">
        <f aca="false">IF($A215="","",MONTH($A215))</f>
        <v/>
      </c>
      <c r="P215" s="35" t="str">
        <f aca="false">IF($A215="","",ROUNDUP(MONTH($A215)/3,0))</f>
        <v/>
      </c>
      <c r="Q215" s="35" t="str">
        <f aca="false">IF($A215="","",IF(MONTH($A215)&lt;=6,1,2))</f>
        <v/>
      </c>
      <c r="R215" s="35" t="str">
        <f aca="false">IF($E215="","",IFERROR(INDEX(Kontenplan!$F$5:$F$90,MATCH($E215,Kontenplan!$A$5:$A$90,0)),""))</f>
        <v/>
      </c>
      <c r="S215" s="35" t="str">
        <f aca="false">IF($D215="","",IFERROR(INDEX(Kontenplan!$F$5:$F$90,MATCH($D215,Kontenplan!$A$5:$A$90,0)),""))</f>
        <v/>
      </c>
      <c r="T215" s="35" t="str">
        <f aca="false">IF($D215="","",IFERROR(INDEX(Kontenplan!$C$5:$C$90,MATCH($D215,Kontenplan!$A$5:$A$90,0)),"?"))</f>
        <v/>
      </c>
      <c r="U215" s="35" t="str">
        <f aca="false">IF($E215="","",IFERROR(INDEX(Kontenplan!$C$5:$C$90,MATCH($E215,Kontenplan!$A$5:$A$90,0)),"?"))</f>
        <v/>
      </c>
      <c r="V215" s="35" t="str">
        <f aca="false">IF($F215="","",IF(OR($D215="",$E215="",$T215="?",$U215="?"),"Konto prüfen!",IF($A215="","Datum fehlt",IF(YEAR($A215)&lt;&gt;Einstellungen!$B$7,"anderes Jahr!",IF($G215="","MWST-Code fehlt","OK")))))</f>
        <v/>
      </c>
      <c r="W215" s="35" t="str">
        <f aca="false">IF($F215="","",IF(OR($D215=Kontoauszug!$C$4,$E215=Kontoauszug!$C$4),MAX(W$4:W214)+1,""))</f>
        <v/>
      </c>
    </row>
    <row r="216" customFormat="false" ht="15" hidden="false" customHeight="false" outlineLevel="0" collapsed="false">
      <c r="A216" s="33"/>
      <c r="B216" s="32"/>
      <c r="C216" s="32"/>
      <c r="D216" s="32"/>
      <c r="E216" s="32"/>
      <c r="F216" s="30"/>
      <c r="G216" s="32"/>
      <c r="H216" s="34" t="n">
        <f aca="false">IF($G216="",0,IFERROR(INDEX(Einstellungen!$G$5:$G$11,MATCH($G216,Einstellungen!$E$5:$E$11,0)),0))</f>
        <v>0</v>
      </c>
      <c r="I216" s="35" t="str">
        <f aca="false">IF($G216="","-",IFERROR(INDEX(Einstellungen!$H$5:$H$11,MATCH($G216,Einstellungen!$E$5:$E$11,0)),"-"))</f>
        <v>-</v>
      </c>
      <c r="J216" s="35" t="str">
        <f aca="false">IF(AND(Einstellungen!$B$8="Ja",Einstellungen!$B$9="Effektiv"),$I216,"-")</f>
        <v>-</v>
      </c>
      <c r="K216" s="31" t="n">
        <f aca="false">IF(OR($F216="",$J216="-"),0,ROUND($F216-$F216/(1+$H216),2))</f>
        <v>0</v>
      </c>
      <c r="L216" s="31" t="n">
        <f aca="false">IF($F216="",0,$F216-$K216)</f>
        <v>0</v>
      </c>
      <c r="M216" s="31" t="n">
        <f aca="false">IF($F216="",0,IF($J216="V",$L216,$F216))</f>
        <v>0</v>
      </c>
      <c r="N216" s="31" t="n">
        <f aca="false">IF($F216="",0,IF($J216="U",$L216,$F216))</f>
        <v>0</v>
      </c>
      <c r="O216" s="35" t="str">
        <f aca="false">IF($A216="","",MONTH($A216))</f>
        <v/>
      </c>
      <c r="P216" s="35" t="str">
        <f aca="false">IF($A216="","",ROUNDUP(MONTH($A216)/3,0))</f>
        <v/>
      </c>
      <c r="Q216" s="35" t="str">
        <f aca="false">IF($A216="","",IF(MONTH($A216)&lt;=6,1,2))</f>
        <v/>
      </c>
      <c r="R216" s="35" t="str">
        <f aca="false">IF($E216="","",IFERROR(INDEX(Kontenplan!$F$5:$F$90,MATCH($E216,Kontenplan!$A$5:$A$90,0)),""))</f>
        <v/>
      </c>
      <c r="S216" s="35" t="str">
        <f aca="false">IF($D216="","",IFERROR(INDEX(Kontenplan!$F$5:$F$90,MATCH($D216,Kontenplan!$A$5:$A$90,0)),""))</f>
        <v/>
      </c>
      <c r="T216" s="35" t="str">
        <f aca="false">IF($D216="","",IFERROR(INDEX(Kontenplan!$C$5:$C$90,MATCH($D216,Kontenplan!$A$5:$A$90,0)),"?"))</f>
        <v/>
      </c>
      <c r="U216" s="35" t="str">
        <f aca="false">IF($E216="","",IFERROR(INDEX(Kontenplan!$C$5:$C$90,MATCH($E216,Kontenplan!$A$5:$A$90,0)),"?"))</f>
        <v/>
      </c>
      <c r="V216" s="35" t="str">
        <f aca="false">IF($F216="","",IF(OR($D216="",$E216="",$T216="?",$U216="?"),"Konto prüfen!",IF($A216="","Datum fehlt",IF(YEAR($A216)&lt;&gt;Einstellungen!$B$7,"anderes Jahr!",IF($G216="","MWST-Code fehlt","OK")))))</f>
        <v/>
      </c>
      <c r="W216" s="35" t="str">
        <f aca="false">IF($F216="","",IF(OR($D216=Kontoauszug!$C$4,$E216=Kontoauszug!$C$4),MAX(W$4:W215)+1,""))</f>
        <v/>
      </c>
    </row>
    <row r="217" customFormat="false" ht="15" hidden="false" customHeight="false" outlineLevel="0" collapsed="false">
      <c r="A217" s="33"/>
      <c r="B217" s="32"/>
      <c r="C217" s="32"/>
      <c r="D217" s="32"/>
      <c r="E217" s="32"/>
      <c r="F217" s="30"/>
      <c r="G217" s="32"/>
      <c r="H217" s="34" t="n">
        <f aca="false">IF($G217="",0,IFERROR(INDEX(Einstellungen!$G$5:$G$11,MATCH($G217,Einstellungen!$E$5:$E$11,0)),0))</f>
        <v>0</v>
      </c>
      <c r="I217" s="35" t="str">
        <f aca="false">IF($G217="","-",IFERROR(INDEX(Einstellungen!$H$5:$H$11,MATCH($G217,Einstellungen!$E$5:$E$11,0)),"-"))</f>
        <v>-</v>
      </c>
      <c r="J217" s="35" t="str">
        <f aca="false">IF(AND(Einstellungen!$B$8="Ja",Einstellungen!$B$9="Effektiv"),$I217,"-")</f>
        <v>-</v>
      </c>
      <c r="K217" s="31" t="n">
        <f aca="false">IF(OR($F217="",$J217="-"),0,ROUND($F217-$F217/(1+$H217),2))</f>
        <v>0</v>
      </c>
      <c r="L217" s="31" t="n">
        <f aca="false">IF($F217="",0,$F217-$K217)</f>
        <v>0</v>
      </c>
      <c r="M217" s="31" t="n">
        <f aca="false">IF($F217="",0,IF($J217="V",$L217,$F217))</f>
        <v>0</v>
      </c>
      <c r="N217" s="31" t="n">
        <f aca="false">IF($F217="",0,IF($J217="U",$L217,$F217))</f>
        <v>0</v>
      </c>
      <c r="O217" s="35" t="str">
        <f aca="false">IF($A217="","",MONTH($A217))</f>
        <v/>
      </c>
      <c r="P217" s="35" t="str">
        <f aca="false">IF($A217="","",ROUNDUP(MONTH($A217)/3,0))</f>
        <v/>
      </c>
      <c r="Q217" s="35" t="str">
        <f aca="false">IF($A217="","",IF(MONTH($A217)&lt;=6,1,2))</f>
        <v/>
      </c>
      <c r="R217" s="35" t="str">
        <f aca="false">IF($E217="","",IFERROR(INDEX(Kontenplan!$F$5:$F$90,MATCH($E217,Kontenplan!$A$5:$A$90,0)),""))</f>
        <v/>
      </c>
      <c r="S217" s="35" t="str">
        <f aca="false">IF($D217="","",IFERROR(INDEX(Kontenplan!$F$5:$F$90,MATCH($D217,Kontenplan!$A$5:$A$90,0)),""))</f>
        <v/>
      </c>
      <c r="T217" s="35" t="str">
        <f aca="false">IF($D217="","",IFERROR(INDEX(Kontenplan!$C$5:$C$90,MATCH($D217,Kontenplan!$A$5:$A$90,0)),"?"))</f>
        <v/>
      </c>
      <c r="U217" s="35" t="str">
        <f aca="false">IF($E217="","",IFERROR(INDEX(Kontenplan!$C$5:$C$90,MATCH($E217,Kontenplan!$A$5:$A$90,0)),"?"))</f>
        <v/>
      </c>
      <c r="V217" s="35" t="str">
        <f aca="false">IF($F217="","",IF(OR($D217="",$E217="",$T217="?",$U217="?"),"Konto prüfen!",IF($A217="","Datum fehlt",IF(YEAR($A217)&lt;&gt;Einstellungen!$B$7,"anderes Jahr!",IF($G217="","MWST-Code fehlt","OK")))))</f>
        <v/>
      </c>
      <c r="W217" s="35" t="str">
        <f aca="false">IF($F217="","",IF(OR($D217=Kontoauszug!$C$4,$E217=Kontoauszug!$C$4),MAX(W$4:W216)+1,""))</f>
        <v/>
      </c>
    </row>
    <row r="218" customFormat="false" ht="15" hidden="false" customHeight="false" outlineLevel="0" collapsed="false">
      <c r="A218" s="33"/>
      <c r="B218" s="32"/>
      <c r="C218" s="32"/>
      <c r="D218" s="32"/>
      <c r="E218" s="32"/>
      <c r="F218" s="30"/>
      <c r="G218" s="32"/>
      <c r="H218" s="34" t="n">
        <f aca="false">IF($G218="",0,IFERROR(INDEX(Einstellungen!$G$5:$G$11,MATCH($G218,Einstellungen!$E$5:$E$11,0)),0))</f>
        <v>0</v>
      </c>
      <c r="I218" s="35" t="str">
        <f aca="false">IF($G218="","-",IFERROR(INDEX(Einstellungen!$H$5:$H$11,MATCH($G218,Einstellungen!$E$5:$E$11,0)),"-"))</f>
        <v>-</v>
      </c>
      <c r="J218" s="35" t="str">
        <f aca="false">IF(AND(Einstellungen!$B$8="Ja",Einstellungen!$B$9="Effektiv"),$I218,"-")</f>
        <v>-</v>
      </c>
      <c r="K218" s="31" t="n">
        <f aca="false">IF(OR($F218="",$J218="-"),0,ROUND($F218-$F218/(1+$H218),2))</f>
        <v>0</v>
      </c>
      <c r="L218" s="31" t="n">
        <f aca="false">IF($F218="",0,$F218-$K218)</f>
        <v>0</v>
      </c>
      <c r="M218" s="31" t="n">
        <f aca="false">IF($F218="",0,IF($J218="V",$L218,$F218))</f>
        <v>0</v>
      </c>
      <c r="N218" s="31" t="n">
        <f aca="false">IF($F218="",0,IF($J218="U",$L218,$F218))</f>
        <v>0</v>
      </c>
      <c r="O218" s="35" t="str">
        <f aca="false">IF($A218="","",MONTH($A218))</f>
        <v/>
      </c>
      <c r="P218" s="35" t="str">
        <f aca="false">IF($A218="","",ROUNDUP(MONTH($A218)/3,0))</f>
        <v/>
      </c>
      <c r="Q218" s="35" t="str">
        <f aca="false">IF($A218="","",IF(MONTH($A218)&lt;=6,1,2))</f>
        <v/>
      </c>
      <c r="R218" s="35" t="str">
        <f aca="false">IF($E218="","",IFERROR(INDEX(Kontenplan!$F$5:$F$90,MATCH($E218,Kontenplan!$A$5:$A$90,0)),""))</f>
        <v/>
      </c>
      <c r="S218" s="35" t="str">
        <f aca="false">IF($D218="","",IFERROR(INDEX(Kontenplan!$F$5:$F$90,MATCH($D218,Kontenplan!$A$5:$A$90,0)),""))</f>
        <v/>
      </c>
      <c r="T218" s="35" t="str">
        <f aca="false">IF($D218="","",IFERROR(INDEX(Kontenplan!$C$5:$C$90,MATCH($D218,Kontenplan!$A$5:$A$90,0)),"?"))</f>
        <v/>
      </c>
      <c r="U218" s="35" t="str">
        <f aca="false">IF($E218="","",IFERROR(INDEX(Kontenplan!$C$5:$C$90,MATCH($E218,Kontenplan!$A$5:$A$90,0)),"?"))</f>
        <v/>
      </c>
      <c r="V218" s="35" t="str">
        <f aca="false">IF($F218="","",IF(OR($D218="",$E218="",$T218="?",$U218="?"),"Konto prüfen!",IF($A218="","Datum fehlt",IF(YEAR($A218)&lt;&gt;Einstellungen!$B$7,"anderes Jahr!",IF($G218="","MWST-Code fehlt","OK")))))</f>
        <v/>
      </c>
      <c r="W218" s="35" t="str">
        <f aca="false">IF($F218="","",IF(OR($D218=Kontoauszug!$C$4,$E218=Kontoauszug!$C$4),MAX(W$4:W217)+1,""))</f>
        <v/>
      </c>
    </row>
    <row r="219" customFormat="false" ht="15" hidden="false" customHeight="false" outlineLevel="0" collapsed="false">
      <c r="A219" s="33"/>
      <c r="B219" s="32"/>
      <c r="C219" s="32"/>
      <c r="D219" s="32"/>
      <c r="E219" s="32"/>
      <c r="F219" s="30"/>
      <c r="G219" s="32"/>
      <c r="H219" s="34" t="n">
        <f aca="false">IF($G219="",0,IFERROR(INDEX(Einstellungen!$G$5:$G$11,MATCH($G219,Einstellungen!$E$5:$E$11,0)),0))</f>
        <v>0</v>
      </c>
      <c r="I219" s="35" t="str">
        <f aca="false">IF($G219="","-",IFERROR(INDEX(Einstellungen!$H$5:$H$11,MATCH($G219,Einstellungen!$E$5:$E$11,0)),"-"))</f>
        <v>-</v>
      </c>
      <c r="J219" s="35" t="str">
        <f aca="false">IF(AND(Einstellungen!$B$8="Ja",Einstellungen!$B$9="Effektiv"),$I219,"-")</f>
        <v>-</v>
      </c>
      <c r="K219" s="31" t="n">
        <f aca="false">IF(OR($F219="",$J219="-"),0,ROUND($F219-$F219/(1+$H219),2))</f>
        <v>0</v>
      </c>
      <c r="L219" s="31" t="n">
        <f aca="false">IF($F219="",0,$F219-$K219)</f>
        <v>0</v>
      </c>
      <c r="M219" s="31" t="n">
        <f aca="false">IF($F219="",0,IF($J219="V",$L219,$F219))</f>
        <v>0</v>
      </c>
      <c r="N219" s="31" t="n">
        <f aca="false">IF($F219="",0,IF($J219="U",$L219,$F219))</f>
        <v>0</v>
      </c>
      <c r="O219" s="35" t="str">
        <f aca="false">IF($A219="","",MONTH($A219))</f>
        <v/>
      </c>
      <c r="P219" s="35" t="str">
        <f aca="false">IF($A219="","",ROUNDUP(MONTH($A219)/3,0))</f>
        <v/>
      </c>
      <c r="Q219" s="35" t="str">
        <f aca="false">IF($A219="","",IF(MONTH($A219)&lt;=6,1,2))</f>
        <v/>
      </c>
      <c r="R219" s="35" t="str">
        <f aca="false">IF($E219="","",IFERROR(INDEX(Kontenplan!$F$5:$F$90,MATCH($E219,Kontenplan!$A$5:$A$90,0)),""))</f>
        <v/>
      </c>
      <c r="S219" s="35" t="str">
        <f aca="false">IF($D219="","",IFERROR(INDEX(Kontenplan!$F$5:$F$90,MATCH($D219,Kontenplan!$A$5:$A$90,0)),""))</f>
        <v/>
      </c>
      <c r="T219" s="35" t="str">
        <f aca="false">IF($D219="","",IFERROR(INDEX(Kontenplan!$C$5:$C$90,MATCH($D219,Kontenplan!$A$5:$A$90,0)),"?"))</f>
        <v/>
      </c>
      <c r="U219" s="35" t="str">
        <f aca="false">IF($E219="","",IFERROR(INDEX(Kontenplan!$C$5:$C$90,MATCH($E219,Kontenplan!$A$5:$A$90,0)),"?"))</f>
        <v/>
      </c>
      <c r="V219" s="35" t="str">
        <f aca="false">IF($F219="","",IF(OR($D219="",$E219="",$T219="?",$U219="?"),"Konto prüfen!",IF($A219="","Datum fehlt",IF(YEAR($A219)&lt;&gt;Einstellungen!$B$7,"anderes Jahr!",IF($G219="","MWST-Code fehlt","OK")))))</f>
        <v/>
      </c>
      <c r="W219" s="35" t="str">
        <f aca="false">IF($F219="","",IF(OR($D219=Kontoauszug!$C$4,$E219=Kontoauszug!$C$4),MAX(W$4:W218)+1,""))</f>
        <v/>
      </c>
    </row>
    <row r="220" customFormat="false" ht="15" hidden="false" customHeight="false" outlineLevel="0" collapsed="false">
      <c r="A220" s="33"/>
      <c r="B220" s="32"/>
      <c r="C220" s="32"/>
      <c r="D220" s="32"/>
      <c r="E220" s="32"/>
      <c r="F220" s="30"/>
      <c r="G220" s="32"/>
      <c r="H220" s="34" t="n">
        <f aca="false">IF($G220="",0,IFERROR(INDEX(Einstellungen!$G$5:$G$11,MATCH($G220,Einstellungen!$E$5:$E$11,0)),0))</f>
        <v>0</v>
      </c>
      <c r="I220" s="35" t="str">
        <f aca="false">IF($G220="","-",IFERROR(INDEX(Einstellungen!$H$5:$H$11,MATCH($G220,Einstellungen!$E$5:$E$11,0)),"-"))</f>
        <v>-</v>
      </c>
      <c r="J220" s="35" t="str">
        <f aca="false">IF(AND(Einstellungen!$B$8="Ja",Einstellungen!$B$9="Effektiv"),$I220,"-")</f>
        <v>-</v>
      </c>
      <c r="K220" s="31" t="n">
        <f aca="false">IF(OR($F220="",$J220="-"),0,ROUND($F220-$F220/(1+$H220),2))</f>
        <v>0</v>
      </c>
      <c r="L220" s="31" t="n">
        <f aca="false">IF($F220="",0,$F220-$K220)</f>
        <v>0</v>
      </c>
      <c r="M220" s="31" t="n">
        <f aca="false">IF($F220="",0,IF($J220="V",$L220,$F220))</f>
        <v>0</v>
      </c>
      <c r="N220" s="31" t="n">
        <f aca="false">IF($F220="",0,IF($J220="U",$L220,$F220))</f>
        <v>0</v>
      </c>
      <c r="O220" s="35" t="str">
        <f aca="false">IF($A220="","",MONTH($A220))</f>
        <v/>
      </c>
      <c r="P220" s="35" t="str">
        <f aca="false">IF($A220="","",ROUNDUP(MONTH($A220)/3,0))</f>
        <v/>
      </c>
      <c r="Q220" s="35" t="str">
        <f aca="false">IF($A220="","",IF(MONTH($A220)&lt;=6,1,2))</f>
        <v/>
      </c>
      <c r="R220" s="35" t="str">
        <f aca="false">IF($E220="","",IFERROR(INDEX(Kontenplan!$F$5:$F$90,MATCH($E220,Kontenplan!$A$5:$A$90,0)),""))</f>
        <v/>
      </c>
      <c r="S220" s="35" t="str">
        <f aca="false">IF($D220="","",IFERROR(INDEX(Kontenplan!$F$5:$F$90,MATCH($D220,Kontenplan!$A$5:$A$90,0)),""))</f>
        <v/>
      </c>
      <c r="T220" s="35" t="str">
        <f aca="false">IF($D220="","",IFERROR(INDEX(Kontenplan!$C$5:$C$90,MATCH($D220,Kontenplan!$A$5:$A$90,0)),"?"))</f>
        <v/>
      </c>
      <c r="U220" s="35" t="str">
        <f aca="false">IF($E220="","",IFERROR(INDEX(Kontenplan!$C$5:$C$90,MATCH($E220,Kontenplan!$A$5:$A$90,0)),"?"))</f>
        <v/>
      </c>
      <c r="V220" s="35" t="str">
        <f aca="false">IF($F220="","",IF(OR($D220="",$E220="",$T220="?",$U220="?"),"Konto prüfen!",IF($A220="","Datum fehlt",IF(YEAR($A220)&lt;&gt;Einstellungen!$B$7,"anderes Jahr!",IF($G220="","MWST-Code fehlt","OK")))))</f>
        <v/>
      </c>
      <c r="W220" s="35" t="str">
        <f aca="false">IF($F220="","",IF(OR($D220=Kontoauszug!$C$4,$E220=Kontoauszug!$C$4),MAX(W$4:W219)+1,""))</f>
        <v/>
      </c>
    </row>
    <row r="221" customFormat="false" ht="15" hidden="false" customHeight="false" outlineLevel="0" collapsed="false">
      <c r="A221" s="33"/>
      <c r="B221" s="32"/>
      <c r="C221" s="32"/>
      <c r="D221" s="32"/>
      <c r="E221" s="32"/>
      <c r="F221" s="30"/>
      <c r="G221" s="32"/>
      <c r="H221" s="34" t="n">
        <f aca="false">IF($G221="",0,IFERROR(INDEX(Einstellungen!$G$5:$G$11,MATCH($G221,Einstellungen!$E$5:$E$11,0)),0))</f>
        <v>0</v>
      </c>
      <c r="I221" s="35" t="str">
        <f aca="false">IF($G221="","-",IFERROR(INDEX(Einstellungen!$H$5:$H$11,MATCH($G221,Einstellungen!$E$5:$E$11,0)),"-"))</f>
        <v>-</v>
      </c>
      <c r="J221" s="35" t="str">
        <f aca="false">IF(AND(Einstellungen!$B$8="Ja",Einstellungen!$B$9="Effektiv"),$I221,"-")</f>
        <v>-</v>
      </c>
      <c r="K221" s="31" t="n">
        <f aca="false">IF(OR($F221="",$J221="-"),0,ROUND($F221-$F221/(1+$H221),2))</f>
        <v>0</v>
      </c>
      <c r="L221" s="31" t="n">
        <f aca="false">IF($F221="",0,$F221-$K221)</f>
        <v>0</v>
      </c>
      <c r="M221" s="31" t="n">
        <f aca="false">IF($F221="",0,IF($J221="V",$L221,$F221))</f>
        <v>0</v>
      </c>
      <c r="N221" s="31" t="n">
        <f aca="false">IF($F221="",0,IF($J221="U",$L221,$F221))</f>
        <v>0</v>
      </c>
      <c r="O221" s="35" t="str">
        <f aca="false">IF($A221="","",MONTH($A221))</f>
        <v/>
      </c>
      <c r="P221" s="35" t="str">
        <f aca="false">IF($A221="","",ROUNDUP(MONTH($A221)/3,0))</f>
        <v/>
      </c>
      <c r="Q221" s="35" t="str">
        <f aca="false">IF($A221="","",IF(MONTH($A221)&lt;=6,1,2))</f>
        <v/>
      </c>
      <c r="R221" s="35" t="str">
        <f aca="false">IF($E221="","",IFERROR(INDEX(Kontenplan!$F$5:$F$90,MATCH($E221,Kontenplan!$A$5:$A$90,0)),""))</f>
        <v/>
      </c>
      <c r="S221" s="35" t="str">
        <f aca="false">IF($D221="","",IFERROR(INDEX(Kontenplan!$F$5:$F$90,MATCH($D221,Kontenplan!$A$5:$A$90,0)),""))</f>
        <v/>
      </c>
      <c r="T221" s="35" t="str">
        <f aca="false">IF($D221="","",IFERROR(INDEX(Kontenplan!$C$5:$C$90,MATCH($D221,Kontenplan!$A$5:$A$90,0)),"?"))</f>
        <v/>
      </c>
      <c r="U221" s="35" t="str">
        <f aca="false">IF($E221="","",IFERROR(INDEX(Kontenplan!$C$5:$C$90,MATCH($E221,Kontenplan!$A$5:$A$90,0)),"?"))</f>
        <v/>
      </c>
      <c r="V221" s="35" t="str">
        <f aca="false">IF($F221="","",IF(OR($D221="",$E221="",$T221="?",$U221="?"),"Konto prüfen!",IF($A221="","Datum fehlt",IF(YEAR($A221)&lt;&gt;Einstellungen!$B$7,"anderes Jahr!",IF($G221="","MWST-Code fehlt","OK")))))</f>
        <v/>
      </c>
      <c r="W221" s="35" t="str">
        <f aca="false">IF($F221="","",IF(OR($D221=Kontoauszug!$C$4,$E221=Kontoauszug!$C$4),MAX(W$4:W220)+1,""))</f>
        <v/>
      </c>
    </row>
    <row r="222" customFormat="false" ht="15" hidden="false" customHeight="false" outlineLevel="0" collapsed="false">
      <c r="A222" s="33"/>
      <c r="B222" s="32"/>
      <c r="C222" s="32"/>
      <c r="D222" s="32"/>
      <c r="E222" s="32"/>
      <c r="F222" s="30"/>
      <c r="G222" s="32"/>
      <c r="H222" s="34" t="n">
        <f aca="false">IF($G222="",0,IFERROR(INDEX(Einstellungen!$G$5:$G$11,MATCH($G222,Einstellungen!$E$5:$E$11,0)),0))</f>
        <v>0</v>
      </c>
      <c r="I222" s="35" t="str">
        <f aca="false">IF($G222="","-",IFERROR(INDEX(Einstellungen!$H$5:$H$11,MATCH($G222,Einstellungen!$E$5:$E$11,0)),"-"))</f>
        <v>-</v>
      </c>
      <c r="J222" s="35" t="str">
        <f aca="false">IF(AND(Einstellungen!$B$8="Ja",Einstellungen!$B$9="Effektiv"),$I222,"-")</f>
        <v>-</v>
      </c>
      <c r="K222" s="31" t="n">
        <f aca="false">IF(OR($F222="",$J222="-"),0,ROUND($F222-$F222/(1+$H222),2))</f>
        <v>0</v>
      </c>
      <c r="L222" s="31" t="n">
        <f aca="false">IF($F222="",0,$F222-$K222)</f>
        <v>0</v>
      </c>
      <c r="M222" s="31" t="n">
        <f aca="false">IF($F222="",0,IF($J222="V",$L222,$F222))</f>
        <v>0</v>
      </c>
      <c r="N222" s="31" t="n">
        <f aca="false">IF($F222="",0,IF($J222="U",$L222,$F222))</f>
        <v>0</v>
      </c>
      <c r="O222" s="35" t="str">
        <f aca="false">IF($A222="","",MONTH($A222))</f>
        <v/>
      </c>
      <c r="P222" s="35" t="str">
        <f aca="false">IF($A222="","",ROUNDUP(MONTH($A222)/3,0))</f>
        <v/>
      </c>
      <c r="Q222" s="35" t="str">
        <f aca="false">IF($A222="","",IF(MONTH($A222)&lt;=6,1,2))</f>
        <v/>
      </c>
      <c r="R222" s="35" t="str">
        <f aca="false">IF($E222="","",IFERROR(INDEX(Kontenplan!$F$5:$F$90,MATCH($E222,Kontenplan!$A$5:$A$90,0)),""))</f>
        <v/>
      </c>
      <c r="S222" s="35" t="str">
        <f aca="false">IF($D222="","",IFERROR(INDEX(Kontenplan!$F$5:$F$90,MATCH($D222,Kontenplan!$A$5:$A$90,0)),""))</f>
        <v/>
      </c>
      <c r="T222" s="35" t="str">
        <f aca="false">IF($D222="","",IFERROR(INDEX(Kontenplan!$C$5:$C$90,MATCH($D222,Kontenplan!$A$5:$A$90,0)),"?"))</f>
        <v/>
      </c>
      <c r="U222" s="35" t="str">
        <f aca="false">IF($E222="","",IFERROR(INDEX(Kontenplan!$C$5:$C$90,MATCH($E222,Kontenplan!$A$5:$A$90,0)),"?"))</f>
        <v/>
      </c>
      <c r="V222" s="35" t="str">
        <f aca="false">IF($F222="","",IF(OR($D222="",$E222="",$T222="?",$U222="?"),"Konto prüfen!",IF($A222="","Datum fehlt",IF(YEAR($A222)&lt;&gt;Einstellungen!$B$7,"anderes Jahr!",IF($G222="","MWST-Code fehlt","OK")))))</f>
        <v/>
      </c>
      <c r="W222" s="35" t="str">
        <f aca="false">IF($F222="","",IF(OR($D222=Kontoauszug!$C$4,$E222=Kontoauszug!$C$4),MAX(W$4:W221)+1,""))</f>
        <v/>
      </c>
    </row>
    <row r="223" customFormat="false" ht="15" hidden="false" customHeight="false" outlineLevel="0" collapsed="false">
      <c r="A223" s="33"/>
      <c r="B223" s="32"/>
      <c r="C223" s="32"/>
      <c r="D223" s="32"/>
      <c r="E223" s="32"/>
      <c r="F223" s="30"/>
      <c r="G223" s="32"/>
      <c r="H223" s="34" t="n">
        <f aca="false">IF($G223="",0,IFERROR(INDEX(Einstellungen!$G$5:$G$11,MATCH($G223,Einstellungen!$E$5:$E$11,0)),0))</f>
        <v>0</v>
      </c>
      <c r="I223" s="35" t="str">
        <f aca="false">IF($G223="","-",IFERROR(INDEX(Einstellungen!$H$5:$H$11,MATCH($G223,Einstellungen!$E$5:$E$11,0)),"-"))</f>
        <v>-</v>
      </c>
      <c r="J223" s="35" t="str">
        <f aca="false">IF(AND(Einstellungen!$B$8="Ja",Einstellungen!$B$9="Effektiv"),$I223,"-")</f>
        <v>-</v>
      </c>
      <c r="K223" s="31" t="n">
        <f aca="false">IF(OR($F223="",$J223="-"),0,ROUND($F223-$F223/(1+$H223),2))</f>
        <v>0</v>
      </c>
      <c r="L223" s="31" t="n">
        <f aca="false">IF($F223="",0,$F223-$K223)</f>
        <v>0</v>
      </c>
      <c r="M223" s="31" t="n">
        <f aca="false">IF($F223="",0,IF($J223="V",$L223,$F223))</f>
        <v>0</v>
      </c>
      <c r="N223" s="31" t="n">
        <f aca="false">IF($F223="",0,IF($J223="U",$L223,$F223))</f>
        <v>0</v>
      </c>
      <c r="O223" s="35" t="str">
        <f aca="false">IF($A223="","",MONTH($A223))</f>
        <v/>
      </c>
      <c r="P223" s="35" t="str">
        <f aca="false">IF($A223="","",ROUNDUP(MONTH($A223)/3,0))</f>
        <v/>
      </c>
      <c r="Q223" s="35" t="str">
        <f aca="false">IF($A223="","",IF(MONTH($A223)&lt;=6,1,2))</f>
        <v/>
      </c>
      <c r="R223" s="35" t="str">
        <f aca="false">IF($E223="","",IFERROR(INDEX(Kontenplan!$F$5:$F$90,MATCH($E223,Kontenplan!$A$5:$A$90,0)),""))</f>
        <v/>
      </c>
      <c r="S223" s="35" t="str">
        <f aca="false">IF($D223="","",IFERROR(INDEX(Kontenplan!$F$5:$F$90,MATCH($D223,Kontenplan!$A$5:$A$90,0)),""))</f>
        <v/>
      </c>
      <c r="T223" s="35" t="str">
        <f aca="false">IF($D223="","",IFERROR(INDEX(Kontenplan!$C$5:$C$90,MATCH($D223,Kontenplan!$A$5:$A$90,0)),"?"))</f>
        <v/>
      </c>
      <c r="U223" s="35" t="str">
        <f aca="false">IF($E223="","",IFERROR(INDEX(Kontenplan!$C$5:$C$90,MATCH($E223,Kontenplan!$A$5:$A$90,0)),"?"))</f>
        <v/>
      </c>
      <c r="V223" s="35" t="str">
        <f aca="false">IF($F223="","",IF(OR($D223="",$E223="",$T223="?",$U223="?"),"Konto prüfen!",IF($A223="","Datum fehlt",IF(YEAR($A223)&lt;&gt;Einstellungen!$B$7,"anderes Jahr!",IF($G223="","MWST-Code fehlt","OK")))))</f>
        <v/>
      </c>
      <c r="W223" s="35" t="str">
        <f aca="false">IF($F223="","",IF(OR($D223=Kontoauszug!$C$4,$E223=Kontoauszug!$C$4),MAX(W$4:W222)+1,""))</f>
        <v/>
      </c>
    </row>
    <row r="224" customFormat="false" ht="15" hidden="false" customHeight="false" outlineLevel="0" collapsed="false">
      <c r="A224" s="33"/>
      <c r="B224" s="32"/>
      <c r="C224" s="32"/>
      <c r="D224" s="32"/>
      <c r="E224" s="32"/>
      <c r="F224" s="30"/>
      <c r="G224" s="32"/>
      <c r="H224" s="34" t="n">
        <f aca="false">IF($G224="",0,IFERROR(INDEX(Einstellungen!$G$5:$G$11,MATCH($G224,Einstellungen!$E$5:$E$11,0)),0))</f>
        <v>0</v>
      </c>
      <c r="I224" s="35" t="str">
        <f aca="false">IF($G224="","-",IFERROR(INDEX(Einstellungen!$H$5:$H$11,MATCH($G224,Einstellungen!$E$5:$E$11,0)),"-"))</f>
        <v>-</v>
      </c>
      <c r="J224" s="35" t="str">
        <f aca="false">IF(AND(Einstellungen!$B$8="Ja",Einstellungen!$B$9="Effektiv"),$I224,"-")</f>
        <v>-</v>
      </c>
      <c r="K224" s="31" t="n">
        <f aca="false">IF(OR($F224="",$J224="-"),0,ROUND($F224-$F224/(1+$H224),2))</f>
        <v>0</v>
      </c>
      <c r="L224" s="31" t="n">
        <f aca="false">IF($F224="",0,$F224-$K224)</f>
        <v>0</v>
      </c>
      <c r="M224" s="31" t="n">
        <f aca="false">IF($F224="",0,IF($J224="V",$L224,$F224))</f>
        <v>0</v>
      </c>
      <c r="N224" s="31" t="n">
        <f aca="false">IF($F224="",0,IF($J224="U",$L224,$F224))</f>
        <v>0</v>
      </c>
      <c r="O224" s="35" t="str">
        <f aca="false">IF($A224="","",MONTH($A224))</f>
        <v/>
      </c>
      <c r="P224" s="35" t="str">
        <f aca="false">IF($A224="","",ROUNDUP(MONTH($A224)/3,0))</f>
        <v/>
      </c>
      <c r="Q224" s="35" t="str">
        <f aca="false">IF($A224="","",IF(MONTH($A224)&lt;=6,1,2))</f>
        <v/>
      </c>
      <c r="R224" s="35" t="str">
        <f aca="false">IF($E224="","",IFERROR(INDEX(Kontenplan!$F$5:$F$90,MATCH($E224,Kontenplan!$A$5:$A$90,0)),""))</f>
        <v/>
      </c>
      <c r="S224" s="35" t="str">
        <f aca="false">IF($D224="","",IFERROR(INDEX(Kontenplan!$F$5:$F$90,MATCH($D224,Kontenplan!$A$5:$A$90,0)),""))</f>
        <v/>
      </c>
      <c r="T224" s="35" t="str">
        <f aca="false">IF($D224="","",IFERROR(INDEX(Kontenplan!$C$5:$C$90,MATCH($D224,Kontenplan!$A$5:$A$90,0)),"?"))</f>
        <v/>
      </c>
      <c r="U224" s="35" t="str">
        <f aca="false">IF($E224="","",IFERROR(INDEX(Kontenplan!$C$5:$C$90,MATCH($E224,Kontenplan!$A$5:$A$90,0)),"?"))</f>
        <v/>
      </c>
      <c r="V224" s="35" t="str">
        <f aca="false">IF($F224="","",IF(OR($D224="",$E224="",$T224="?",$U224="?"),"Konto prüfen!",IF($A224="","Datum fehlt",IF(YEAR($A224)&lt;&gt;Einstellungen!$B$7,"anderes Jahr!",IF($G224="","MWST-Code fehlt","OK")))))</f>
        <v/>
      </c>
      <c r="W224" s="35" t="str">
        <f aca="false">IF($F224="","",IF(OR($D224=Kontoauszug!$C$4,$E224=Kontoauszug!$C$4),MAX(W$4:W223)+1,""))</f>
        <v/>
      </c>
    </row>
    <row r="225" customFormat="false" ht="15" hidden="false" customHeight="false" outlineLevel="0" collapsed="false">
      <c r="A225" s="33"/>
      <c r="B225" s="32"/>
      <c r="C225" s="32"/>
      <c r="D225" s="32"/>
      <c r="E225" s="32"/>
      <c r="F225" s="30"/>
      <c r="G225" s="32"/>
      <c r="H225" s="34" t="n">
        <f aca="false">IF($G225="",0,IFERROR(INDEX(Einstellungen!$G$5:$G$11,MATCH($G225,Einstellungen!$E$5:$E$11,0)),0))</f>
        <v>0</v>
      </c>
      <c r="I225" s="35" t="str">
        <f aca="false">IF($G225="","-",IFERROR(INDEX(Einstellungen!$H$5:$H$11,MATCH($G225,Einstellungen!$E$5:$E$11,0)),"-"))</f>
        <v>-</v>
      </c>
      <c r="J225" s="35" t="str">
        <f aca="false">IF(AND(Einstellungen!$B$8="Ja",Einstellungen!$B$9="Effektiv"),$I225,"-")</f>
        <v>-</v>
      </c>
      <c r="K225" s="31" t="n">
        <f aca="false">IF(OR($F225="",$J225="-"),0,ROUND($F225-$F225/(1+$H225),2))</f>
        <v>0</v>
      </c>
      <c r="L225" s="31" t="n">
        <f aca="false">IF($F225="",0,$F225-$K225)</f>
        <v>0</v>
      </c>
      <c r="M225" s="31" t="n">
        <f aca="false">IF($F225="",0,IF($J225="V",$L225,$F225))</f>
        <v>0</v>
      </c>
      <c r="N225" s="31" t="n">
        <f aca="false">IF($F225="",0,IF($J225="U",$L225,$F225))</f>
        <v>0</v>
      </c>
      <c r="O225" s="35" t="str">
        <f aca="false">IF($A225="","",MONTH($A225))</f>
        <v/>
      </c>
      <c r="P225" s="35" t="str">
        <f aca="false">IF($A225="","",ROUNDUP(MONTH($A225)/3,0))</f>
        <v/>
      </c>
      <c r="Q225" s="35" t="str">
        <f aca="false">IF($A225="","",IF(MONTH($A225)&lt;=6,1,2))</f>
        <v/>
      </c>
      <c r="R225" s="35" t="str">
        <f aca="false">IF($E225="","",IFERROR(INDEX(Kontenplan!$F$5:$F$90,MATCH($E225,Kontenplan!$A$5:$A$90,0)),""))</f>
        <v/>
      </c>
      <c r="S225" s="35" t="str">
        <f aca="false">IF($D225="","",IFERROR(INDEX(Kontenplan!$F$5:$F$90,MATCH($D225,Kontenplan!$A$5:$A$90,0)),""))</f>
        <v/>
      </c>
      <c r="T225" s="35" t="str">
        <f aca="false">IF($D225="","",IFERROR(INDEX(Kontenplan!$C$5:$C$90,MATCH($D225,Kontenplan!$A$5:$A$90,0)),"?"))</f>
        <v/>
      </c>
      <c r="U225" s="35" t="str">
        <f aca="false">IF($E225="","",IFERROR(INDEX(Kontenplan!$C$5:$C$90,MATCH($E225,Kontenplan!$A$5:$A$90,0)),"?"))</f>
        <v/>
      </c>
      <c r="V225" s="35" t="str">
        <f aca="false">IF($F225="","",IF(OR($D225="",$E225="",$T225="?",$U225="?"),"Konto prüfen!",IF($A225="","Datum fehlt",IF(YEAR($A225)&lt;&gt;Einstellungen!$B$7,"anderes Jahr!",IF($G225="","MWST-Code fehlt","OK")))))</f>
        <v/>
      </c>
      <c r="W225" s="35" t="str">
        <f aca="false">IF($F225="","",IF(OR($D225=Kontoauszug!$C$4,$E225=Kontoauszug!$C$4),MAX(W$4:W224)+1,""))</f>
        <v/>
      </c>
    </row>
    <row r="226" customFormat="false" ht="15" hidden="false" customHeight="false" outlineLevel="0" collapsed="false">
      <c r="A226" s="33"/>
      <c r="B226" s="32"/>
      <c r="C226" s="32"/>
      <c r="D226" s="32"/>
      <c r="E226" s="32"/>
      <c r="F226" s="30"/>
      <c r="G226" s="32"/>
      <c r="H226" s="34" t="n">
        <f aca="false">IF($G226="",0,IFERROR(INDEX(Einstellungen!$G$5:$G$11,MATCH($G226,Einstellungen!$E$5:$E$11,0)),0))</f>
        <v>0</v>
      </c>
      <c r="I226" s="35" t="str">
        <f aca="false">IF($G226="","-",IFERROR(INDEX(Einstellungen!$H$5:$H$11,MATCH($G226,Einstellungen!$E$5:$E$11,0)),"-"))</f>
        <v>-</v>
      </c>
      <c r="J226" s="35" t="str">
        <f aca="false">IF(AND(Einstellungen!$B$8="Ja",Einstellungen!$B$9="Effektiv"),$I226,"-")</f>
        <v>-</v>
      </c>
      <c r="K226" s="31" t="n">
        <f aca="false">IF(OR($F226="",$J226="-"),0,ROUND($F226-$F226/(1+$H226),2))</f>
        <v>0</v>
      </c>
      <c r="L226" s="31" t="n">
        <f aca="false">IF($F226="",0,$F226-$K226)</f>
        <v>0</v>
      </c>
      <c r="M226" s="31" t="n">
        <f aca="false">IF($F226="",0,IF($J226="V",$L226,$F226))</f>
        <v>0</v>
      </c>
      <c r="N226" s="31" t="n">
        <f aca="false">IF($F226="",0,IF($J226="U",$L226,$F226))</f>
        <v>0</v>
      </c>
      <c r="O226" s="35" t="str">
        <f aca="false">IF($A226="","",MONTH($A226))</f>
        <v/>
      </c>
      <c r="P226" s="35" t="str">
        <f aca="false">IF($A226="","",ROUNDUP(MONTH($A226)/3,0))</f>
        <v/>
      </c>
      <c r="Q226" s="35" t="str">
        <f aca="false">IF($A226="","",IF(MONTH($A226)&lt;=6,1,2))</f>
        <v/>
      </c>
      <c r="R226" s="35" t="str">
        <f aca="false">IF($E226="","",IFERROR(INDEX(Kontenplan!$F$5:$F$90,MATCH($E226,Kontenplan!$A$5:$A$90,0)),""))</f>
        <v/>
      </c>
      <c r="S226" s="35" t="str">
        <f aca="false">IF($D226="","",IFERROR(INDEX(Kontenplan!$F$5:$F$90,MATCH($D226,Kontenplan!$A$5:$A$90,0)),""))</f>
        <v/>
      </c>
      <c r="T226" s="35" t="str">
        <f aca="false">IF($D226="","",IFERROR(INDEX(Kontenplan!$C$5:$C$90,MATCH($D226,Kontenplan!$A$5:$A$90,0)),"?"))</f>
        <v/>
      </c>
      <c r="U226" s="35" t="str">
        <f aca="false">IF($E226="","",IFERROR(INDEX(Kontenplan!$C$5:$C$90,MATCH($E226,Kontenplan!$A$5:$A$90,0)),"?"))</f>
        <v/>
      </c>
      <c r="V226" s="35" t="str">
        <f aca="false">IF($F226="","",IF(OR($D226="",$E226="",$T226="?",$U226="?"),"Konto prüfen!",IF($A226="","Datum fehlt",IF(YEAR($A226)&lt;&gt;Einstellungen!$B$7,"anderes Jahr!",IF($G226="","MWST-Code fehlt","OK")))))</f>
        <v/>
      </c>
      <c r="W226" s="35" t="str">
        <f aca="false">IF($F226="","",IF(OR($D226=Kontoauszug!$C$4,$E226=Kontoauszug!$C$4),MAX(W$4:W225)+1,""))</f>
        <v/>
      </c>
    </row>
    <row r="227" customFormat="false" ht="15" hidden="false" customHeight="false" outlineLevel="0" collapsed="false">
      <c r="A227" s="33"/>
      <c r="B227" s="32"/>
      <c r="C227" s="32"/>
      <c r="D227" s="32"/>
      <c r="E227" s="32"/>
      <c r="F227" s="30"/>
      <c r="G227" s="32"/>
      <c r="H227" s="34" t="n">
        <f aca="false">IF($G227="",0,IFERROR(INDEX(Einstellungen!$G$5:$G$11,MATCH($G227,Einstellungen!$E$5:$E$11,0)),0))</f>
        <v>0</v>
      </c>
      <c r="I227" s="35" t="str">
        <f aca="false">IF($G227="","-",IFERROR(INDEX(Einstellungen!$H$5:$H$11,MATCH($G227,Einstellungen!$E$5:$E$11,0)),"-"))</f>
        <v>-</v>
      </c>
      <c r="J227" s="35" t="str">
        <f aca="false">IF(AND(Einstellungen!$B$8="Ja",Einstellungen!$B$9="Effektiv"),$I227,"-")</f>
        <v>-</v>
      </c>
      <c r="K227" s="31" t="n">
        <f aca="false">IF(OR($F227="",$J227="-"),0,ROUND($F227-$F227/(1+$H227),2))</f>
        <v>0</v>
      </c>
      <c r="L227" s="31" t="n">
        <f aca="false">IF($F227="",0,$F227-$K227)</f>
        <v>0</v>
      </c>
      <c r="M227" s="31" t="n">
        <f aca="false">IF($F227="",0,IF($J227="V",$L227,$F227))</f>
        <v>0</v>
      </c>
      <c r="N227" s="31" t="n">
        <f aca="false">IF($F227="",0,IF($J227="U",$L227,$F227))</f>
        <v>0</v>
      </c>
      <c r="O227" s="35" t="str">
        <f aca="false">IF($A227="","",MONTH($A227))</f>
        <v/>
      </c>
      <c r="P227" s="35" t="str">
        <f aca="false">IF($A227="","",ROUNDUP(MONTH($A227)/3,0))</f>
        <v/>
      </c>
      <c r="Q227" s="35" t="str">
        <f aca="false">IF($A227="","",IF(MONTH($A227)&lt;=6,1,2))</f>
        <v/>
      </c>
      <c r="R227" s="35" t="str">
        <f aca="false">IF($E227="","",IFERROR(INDEX(Kontenplan!$F$5:$F$90,MATCH($E227,Kontenplan!$A$5:$A$90,0)),""))</f>
        <v/>
      </c>
      <c r="S227" s="35" t="str">
        <f aca="false">IF($D227="","",IFERROR(INDEX(Kontenplan!$F$5:$F$90,MATCH($D227,Kontenplan!$A$5:$A$90,0)),""))</f>
        <v/>
      </c>
      <c r="T227" s="35" t="str">
        <f aca="false">IF($D227="","",IFERROR(INDEX(Kontenplan!$C$5:$C$90,MATCH($D227,Kontenplan!$A$5:$A$90,0)),"?"))</f>
        <v/>
      </c>
      <c r="U227" s="35" t="str">
        <f aca="false">IF($E227="","",IFERROR(INDEX(Kontenplan!$C$5:$C$90,MATCH($E227,Kontenplan!$A$5:$A$90,0)),"?"))</f>
        <v/>
      </c>
      <c r="V227" s="35" t="str">
        <f aca="false">IF($F227="","",IF(OR($D227="",$E227="",$T227="?",$U227="?"),"Konto prüfen!",IF($A227="","Datum fehlt",IF(YEAR($A227)&lt;&gt;Einstellungen!$B$7,"anderes Jahr!",IF($G227="","MWST-Code fehlt","OK")))))</f>
        <v/>
      </c>
      <c r="W227" s="35" t="str">
        <f aca="false">IF($F227="","",IF(OR($D227=Kontoauszug!$C$4,$E227=Kontoauszug!$C$4),MAX(W$4:W226)+1,""))</f>
        <v/>
      </c>
    </row>
    <row r="228" customFormat="false" ht="15" hidden="false" customHeight="false" outlineLevel="0" collapsed="false">
      <c r="A228" s="33"/>
      <c r="B228" s="32"/>
      <c r="C228" s="32"/>
      <c r="D228" s="32"/>
      <c r="E228" s="32"/>
      <c r="F228" s="30"/>
      <c r="G228" s="32"/>
      <c r="H228" s="34" t="n">
        <f aca="false">IF($G228="",0,IFERROR(INDEX(Einstellungen!$G$5:$G$11,MATCH($G228,Einstellungen!$E$5:$E$11,0)),0))</f>
        <v>0</v>
      </c>
      <c r="I228" s="35" t="str">
        <f aca="false">IF($G228="","-",IFERROR(INDEX(Einstellungen!$H$5:$H$11,MATCH($G228,Einstellungen!$E$5:$E$11,0)),"-"))</f>
        <v>-</v>
      </c>
      <c r="J228" s="35" t="str">
        <f aca="false">IF(AND(Einstellungen!$B$8="Ja",Einstellungen!$B$9="Effektiv"),$I228,"-")</f>
        <v>-</v>
      </c>
      <c r="K228" s="31" t="n">
        <f aca="false">IF(OR($F228="",$J228="-"),0,ROUND($F228-$F228/(1+$H228),2))</f>
        <v>0</v>
      </c>
      <c r="L228" s="31" t="n">
        <f aca="false">IF($F228="",0,$F228-$K228)</f>
        <v>0</v>
      </c>
      <c r="M228" s="31" t="n">
        <f aca="false">IF($F228="",0,IF($J228="V",$L228,$F228))</f>
        <v>0</v>
      </c>
      <c r="N228" s="31" t="n">
        <f aca="false">IF($F228="",0,IF($J228="U",$L228,$F228))</f>
        <v>0</v>
      </c>
      <c r="O228" s="35" t="str">
        <f aca="false">IF($A228="","",MONTH($A228))</f>
        <v/>
      </c>
      <c r="P228" s="35" t="str">
        <f aca="false">IF($A228="","",ROUNDUP(MONTH($A228)/3,0))</f>
        <v/>
      </c>
      <c r="Q228" s="35" t="str">
        <f aca="false">IF($A228="","",IF(MONTH($A228)&lt;=6,1,2))</f>
        <v/>
      </c>
      <c r="R228" s="35" t="str">
        <f aca="false">IF($E228="","",IFERROR(INDEX(Kontenplan!$F$5:$F$90,MATCH($E228,Kontenplan!$A$5:$A$90,0)),""))</f>
        <v/>
      </c>
      <c r="S228" s="35" t="str">
        <f aca="false">IF($D228="","",IFERROR(INDEX(Kontenplan!$F$5:$F$90,MATCH($D228,Kontenplan!$A$5:$A$90,0)),""))</f>
        <v/>
      </c>
      <c r="T228" s="35" t="str">
        <f aca="false">IF($D228="","",IFERROR(INDEX(Kontenplan!$C$5:$C$90,MATCH($D228,Kontenplan!$A$5:$A$90,0)),"?"))</f>
        <v/>
      </c>
      <c r="U228" s="35" t="str">
        <f aca="false">IF($E228="","",IFERROR(INDEX(Kontenplan!$C$5:$C$90,MATCH($E228,Kontenplan!$A$5:$A$90,0)),"?"))</f>
        <v/>
      </c>
      <c r="V228" s="35" t="str">
        <f aca="false">IF($F228="","",IF(OR($D228="",$E228="",$T228="?",$U228="?"),"Konto prüfen!",IF($A228="","Datum fehlt",IF(YEAR($A228)&lt;&gt;Einstellungen!$B$7,"anderes Jahr!",IF($G228="","MWST-Code fehlt","OK")))))</f>
        <v/>
      </c>
      <c r="W228" s="35" t="str">
        <f aca="false">IF($F228="","",IF(OR($D228=Kontoauszug!$C$4,$E228=Kontoauszug!$C$4),MAX(W$4:W227)+1,""))</f>
        <v/>
      </c>
    </row>
    <row r="229" customFormat="false" ht="15" hidden="false" customHeight="false" outlineLevel="0" collapsed="false">
      <c r="A229" s="33"/>
      <c r="B229" s="32"/>
      <c r="C229" s="32"/>
      <c r="D229" s="32"/>
      <c r="E229" s="32"/>
      <c r="F229" s="30"/>
      <c r="G229" s="32"/>
      <c r="H229" s="34" t="n">
        <f aca="false">IF($G229="",0,IFERROR(INDEX(Einstellungen!$G$5:$G$11,MATCH($G229,Einstellungen!$E$5:$E$11,0)),0))</f>
        <v>0</v>
      </c>
      <c r="I229" s="35" t="str">
        <f aca="false">IF($G229="","-",IFERROR(INDEX(Einstellungen!$H$5:$H$11,MATCH($G229,Einstellungen!$E$5:$E$11,0)),"-"))</f>
        <v>-</v>
      </c>
      <c r="J229" s="35" t="str">
        <f aca="false">IF(AND(Einstellungen!$B$8="Ja",Einstellungen!$B$9="Effektiv"),$I229,"-")</f>
        <v>-</v>
      </c>
      <c r="K229" s="31" t="n">
        <f aca="false">IF(OR($F229="",$J229="-"),0,ROUND($F229-$F229/(1+$H229),2))</f>
        <v>0</v>
      </c>
      <c r="L229" s="31" t="n">
        <f aca="false">IF($F229="",0,$F229-$K229)</f>
        <v>0</v>
      </c>
      <c r="M229" s="31" t="n">
        <f aca="false">IF($F229="",0,IF($J229="V",$L229,$F229))</f>
        <v>0</v>
      </c>
      <c r="N229" s="31" t="n">
        <f aca="false">IF($F229="",0,IF($J229="U",$L229,$F229))</f>
        <v>0</v>
      </c>
      <c r="O229" s="35" t="str">
        <f aca="false">IF($A229="","",MONTH($A229))</f>
        <v/>
      </c>
      <c r="P229" s="35" t="str">
        <f aca="false">IF($A229="","",ROUNDUP(MONTH($A229)/3,0))</f>
        <v/>
      </c>
      <c r="Q229" s="35" t="str">
        <f aca="false">IF($A229="","",IF(MONTH($A229)&lt;=6,1,2))</f>
        <v/>
      </c>
      <c r="R229" s="35" t="str">
        <f aca="false">IF($E229="","",IFERROR(INDEX(Kontenplan!$F$5:$F$90,MATCH($E229,Kontenplan!$A$5:$A$90,0)),""))</f>
        <v/>
      </c>
      <c r="S229" s="35" t="str">
        <f aca="false">IF($D229="","",IFERROR(INDEX(Kontenplan!$F$5:$F$90,MATCH($D229,Kontenplan!$A$5:$A$90,0)),""))</f>
        <v/>
      </c>
      <c r="T229" s="35" t="str">
        <f aca="false">IF($D229="","",IFERROR(INDEX(Kontenplan!$C$5:$C$90,MATCH($D229,Kontenplan!$A$5:$A$90,0)),"?"))</f>
        <v/>
      </c>
      <c r="U229" s="35" t="str">
        <f aca="false">IF($E229="","",IFERROR(INDEX(Kontenplan!$C$5:$C$90,MATCH($E229,Kontenplan!$A$5:$A$90,0)),"?"))</f>
        <v/>
      </c>
      <c r="V229" s="35" t="str">
        <f aca="false">IF($F229="","",IF(OR($D229="",$E229="",$T229="?",$U229="?"),"Konto prüfen!",IF($A229="","Datum fehlt",IF(YEAR($A229)&lt;&gt;Einstellungen!$B$7,"anderes Jahr!",IF($G229="","MWST-Code fehlt","OK")))))</f>
        <v/>
      </c>
      <c r="W229" s="35" t="str">
        <f aca="false">IF($F229="","",IF(OR($D229=Kontoauszug!$C$4,$E229=Kontoauszug!$C$4),MAX(W$4:W228)+1,""))</f>
        <v/>
      </c>
    </row>
    <row r="230" customFormat="false" ht="15" hidden="false" customHeight="false" outlineLevel="0" collapsed="false">
      <c r="A230" s="33"/>
      <c r="B230" s="32"/>
      <c r="C230" s="32"/>
      <c r="D230" s="32"/>
      <c r="E230" s="32"/>
      <c r="F230" s="30"/>
      <c r="G230" s="32"/>
      <c r="H230" s="34" t="n">
        <f aca="false">IF($G230="",0,IFERROR(INDEX(Einstellungen!$G$5:$G$11,MATCH($G230,Einstellungen!$E$5:$E$11,0)),0))</f>
        <v>0</v>
      </c>
      <c r="I230" s="35" t="str">
        <f aca="false">IF($G230="","-",IFERROR(INDEX(Einstellungen!$H$5:$H$11,MATCH($G230,Einstellungen!$E$5:$E$11,0)),"-"))</f>
        <v>-</v>
      </c>
      <c r="J230" s="35" t="str">
        <f aca="false">IF(AND(Einstellungen!$B$8="Ja",Einstellungen!$B$9="Effektiv"),$I230,"-")</f>
        <v>-</v>
      </c>
      <c r="K230" s="31" t="n">
        <f aca="false">IF(OR($F230="",$J230="-"),0,ROUND($F230-$F230/(1+$H230),2))</f>
        <v>0</v>
      </c>
      <c r="L230" s="31" t="n">
        <f aca="false">IF($F230="",0,$F230-$K230)</f>
        <v>0</v>
      </c>
      <c r="M230" s="31" t="n">
        <f aca="false">IF($F230="",0,IF($J230="V",$L230,$F230))</f>
        <v>0</v>
      </c>
      <c r="N230" s="31" t="n">
        <f aca="false">IF($F230="",0,IF($J230="U",$L230,$F230))</f>
        <v>0</v>
      </c>
      <c r="O230" s="35" t="str">
        <f aca="false">IF($A230="","",MONTH($A230))</f>
        <v/>
      </c>
      <c r="P230" s="35" t="str">
        <f aca="false">IF($A230="","",ROUNDUP(MONTH($A230)/3,0))</f>
        <v/>
      </c>
      <c r="Q230" s="35" t="str">
        <f aca="false">IF($A230="","",IF(MONTH($A230)&lt;=6,1,2))</f>
        <v/>
      </c>
      <c r="R230" s="35" t="str">
        <f aca="false">IF($E230="","",IFERROR(INDEX(Kontenplan!$F$5:$F$90,MATCH($E230,Kontenplan!$A$5:$A$90,0)),""))</f>
        <v/>
      </c>
      <c r="S230" s="35" t="str">
        <f aca="false">IF($D230="","",IFERROR(INDEX(Kontenplan!$F$5:$F$90,MATCH($D230,Kontenplan!$A$5:$A$90,0)),""))</f>
        <v/>
      </c>
      <c r="T230" s="35" t="str">
        <f aca="false">IF($D230="","",IFERROR(INDEX(Kontenplan!$C$5:$C$90,MATCH($D230,Kontenplan!$A$5:$A$90,0)),"?"))</f>
        <v/>
      </c>
      <c r="U230" s="35" t="str">
        <f aca="false">IF($E230="","",IFERROR(INDEX(Kontenplan!$C$5:$C$90,MATCH($E230,Kontenplan!$A$5:$A$90,0)),"?"))</f>
        <v/>
      </c>
      <c r="V230" s="35" t="str">
        <f aca="false">IF($F230="","",IF(OR($D230="",$E230="",$T230="?",$U230="?"),"Konto prüfen!",IF($A230="","Datum fehlt",IF(YEAR($A230)&lt;&gt;Einstellungen!$B$7,"anderes Jahr!",IF($G230="","MWST-Code fehlt","OK")))))</f>
        <v/>
      </c>
      <c r="W230" s="35" t="str">
        <f aca="false">IF($F230="","",IF(OR($D230=Kontoauszug!$C$4,$E230=Kontoauszug!$C$4),MAX(W$4:W229)+1,""))</f>
        <v/>
      </c>
    </row>
    <row r="231" customFormat="false" ht="15" hidden="false" customHeight="false" outlineLevel="0" collapsed="false">
      <c r="A231" s="33"/>
      <c r="B231" s="32"/>
      <c r="C231" s="32"/>
      <c r="D231" s="32"/>
      <c r="E231" s="32"/>
      <c r="F231" s="30"/>
      <c r="G231" s="32"/>
      <c r="H231" s="34" t="n">
        <f aca="false">IF($G231="",0,IFERROR(INDEX(Einstellungen!$G$5:$G$11,MATCH($G231,Einstellungen!$E$5:$E$11,0)),0))</f>
        <v>0</v>
      </c>
      <c r="I231" s="35" t="str">
        <f aca="false">IF($G231="","-",IFERROR(INDEX(Einstellungen!$H$5:$H$11,MATCH($G231,Einstellungen!$E$5:$E$11,0)),"-"))</f>
        <v>-</v>
      </c>
      <c r="J231" s="35" t="str">
        <f aca="false">IF(AND(Einstellungen!$B$8="Ja",Einstellungen!$B$9="Effektiv"),$I231,"-")</f>
        <v>-</v>
      </c>
      <c r="K231" s="31" t="n">
        <f aca="false">IF(OR($F231="",$J231="-"),0,ROUND($F231-$F231/(1+$H231),2))</f>
        <v>0</v>
      </c>
      <c r="L231" s="31" t="n">
        <f aca="false">IF($F231="",0,$F231-$K231)</f>
        <v>0</v>
      </c>
      <c r="M231" s="31" t="n">
        <f aca="false">IF($F231="",0,IF($J231="V",$L231,$F231))</f>
        <v>0</v>
      </c>
      <c r="N231" s="31" t="n">
        <f aca="false">IF($F231="",0,IF($J231="U",$L231,$F231))</f>
        <v>0</v>
      </c>
      <c r="O231" s="35" t="str">
        <f aca="false">IF($A231="","",MONTH($A231))</f>
        <v/>
      </c>
      <c r="P231" s="35" t="str">
        <f aca="false">IF($A231="","",ROUNDUP(MONTH($A231)/3,0))</f>
        <v/>
      </c>
      <c r="Q231" s="35" t="str">
        <f aca="false">IF($A231="","",IF(MONTH($A231)&lt;=6,1,2))</f>
        <v/>
      </c>
      <c r="R231" s="35" t="str">
        <f aca="false">IF($E231="","",IFERROR(INDEX(Kontenplan!$F$5:$F$90,MATCH($E231,Kontenplan!$A$5:$A$90,0)),""))</f>
        <v/>
      </c>
      <c r="S231" s="35" t="str">
        <f aca="false">IF($D231="","",IFERROR(INDEX(Kontenplan!$F$5:$F$90,MATCH($D231,Kontenplan!$A$5:$A$90,0)),""))</f>
        <v/>
      </c>
      <c r="T231" s="35" t="str">
        <f aca="false">IF($D231="","",IFERROR(INDEX(Kontenplan!$C$5:$C$90,MATCH($D231,Kontenplan!$A$5:$A$90,0)),"?"))</f>
        <v/>
      </c>
      <c r="U231" s="35" t="str">
        <f aca="false">IF($E231="","",IFERROR(INDEX(Kontenplan!$C$5:$C$90,MATCH($E231,Kontenplan!$A$5:$A$90,0)),"?"))</f>
        <v/>
      </c>
      <c r="V231" s="35" t="str">
        <f aca="false">IF($F231="","",IF(OR($D231="",$E231="",$T231="?",$U231="?"),"Konto prüfen!",IF($A231="","Datum fehlt",IF(YEAR($A231)&lt;&gt;Einstellungen!$B$7,"anderes Jahr!",IF($G231="","MWST-Code fehlt","OK")))))</f>
        <v/>
      </c>
      <c r="W231" s="35" t="str">
        <f aca="false">IF($F231="","",IF(OR($D231=Kontoauszug!$C$4,$E231=Kontoauszug!$C$4),MAX(W$4:W230)+1,""))</f>
        <v/>
      </c>
    </row>
    <row r="232" customFormat="false" ht="15" hidden="false" customHeight="false" outlineLevel="0" collapsed="false">
      <c r="A232" s="33"/>
      <c r="B232" s="32"/>
      <c r="C232" s="32"/>
      <c r="D232" s="32"/>
      <c r="E232" s="32"/>
      <c r="F232" s="30"/>
      <c r="G232" s="32"/>
      <c r="H232" s="34" t="n">
        <f aca="false">IF($G232="",0,IFERROR(INDEX(Einstellungen!$G$5:$G$11,MATCH($G232,Einstellungen!$E$5:$E$11,0)),0))</f>
        <v>0</v>
      </c>
      <c r="I232" s="35" t="str">
        <f aca="false">IF($G232="","-",IFERROR(INDEX(Einstellungen!$H$5:$H$11,MATCH($G232,Einstellungen!$E$5:$E$11,0)),"-"))</f>
        <v>-</v>
      </c>
      <c r="J232" s="35" t="str">
        <f aca="false">IF(AND(Einstellungen!$B$8="Ja",Einstellungen!$B$9="Effektiv"),$I232,"-")</f>
        <v>-</v>
      </c>
      <c r="K232" s="31" t="n">
        <f aca="false">IF(OR($F232="",$J232="-"),0,ROUND($F232-$F232/(1+$H232),2))</f>
        <v>0</v>
      </c>
      <c r="L232" s="31" t="n">
        <f aca="false">IF($F232="",0,$F232-$K232)</f>
        <v>0</v>
      </c>
      <c r="M232" s="31" t="n">
        <f aca="false">IF($F232="",0,IF($J232="V",$L232,$F232))</f>
        <v>0</v>
      </c>
      <c r="N232" s="31" t="n">
        <f aca="false">IF($F232="",0,IF($J232="U",$L232,$F232))</f>
        <v>0</v>
      </c>
      <c r="O232" s="35" t="str">
        <f aca="false">IF($A232="","",MONTH($A232))</f>
        <v/>
      </c>
      <c r="P232" s="35" t="str">
        <f aca="false">IF($A232="","",ROUNDUP(MONTH($A232)/3,0))</f>
        <v/>
      </c>
      <c r="Q232" s="35" t="str">
        <f aca="false">IF($A232="","",IF(MONTH($A232)&lt;=6,1,2))</f>
        <v/>
      </c>
      <c r="R232" s="35" t="str">
        <f aca="false">IF($E232="","",IFERROR(INDEX(Kontenplan!$F$5:$F$90,MATCH($E232,Kontenplan!$A$5:$A$90,0)),""))</f>
        <v/>
      </c>
      <c r="S232" s="35" t="str">
        <f aca="false">IF($D232="","",IFERROR(INDEX(Kontenplan!$F$5:$F$90,MATCH($D232,Kontenplan!$A$5:$A$90,0)),""))</f>
        <v/>
      </c>
      <c r="T232" s="35" t="str">
        <f aca="false">IF($D232="","",IFERROR(INDEX(Kontenplan!$C$5:$C$90,MATCH($D232,Kontenplan!$A$5:$A$90,0)),"?"))</f>
        <v/>
      </c>
      <c r="U232" s="35" t="str">
        <f aca="false">IF($E232="","",IFERROR(INDEX(Kontenplan!$C$5:$C$90,MATCH($E232,Kontenplan!$A$5:$A$90,0)),"?"))</f>
        <v/>
      </c>
      <c r="V232" s="35" t="str">
        <f aca="false">IF($F232="","",IF(OR($D232="",$E232="",$T232="?",$U232="?"),"Konto prüfen!",IF($A232="","Datum fehlt",IF(YEAR($A232)&lt;&gt;Einstellungen!$B$7,"anderes Jahr!",IF($G232="","MWST-Code fehlt","OK")))))</f>
        <v/>
      </c>
      <c r="W232" s="35" t="str">
        <f aca="false">IF($F232="","",IF(OR($D232=Kontoauszug!$C$4,$E232=Kontoauszug!$C$4),MAX(W$4:W231)+1,""))</f>
        <v/>
      </c>
    </row>
    <row r="233" customFormat="false" ht="15" hidden="false" customHeight="false" outlineLevel="0" collapsed="false">
      <c r="A233" s="33"/>
      <c r="B233" s="32"/>
      <c r="C233" s="32"/>
      <c r="D233" s="32"/>
      <c r="E233" s="32"/>
      <c r="F233" s="30"/>
      <c r="G233" s="32"/>
      <c r="H233" s="34" t="n">
        <f aca="false">IF($G233="",0,IFERROR(INDEX(Einstellungen!$G$5:$G$11,MATCH($G233,Einstellungen!$E$5:$E$11,0)),0))</f>
        <v>0</v>
      </c>
      <c r="I233" s="35" t="str">
        <f aca="false">IF($G233="","-",IFERROR(INDEX(Einstellungen!$H$5:$H$11,MATCH($G233,Einstellungen!$E$5:$E$11,0)),"-"))</f>
        <v>-</v>
      </c>
      <c r="J233" s="35" t="str">
        <f aca="false">IF(AND(Einstellungen!$B$8="Ja",Einstellungen!$B$9="Effektiv"),$I233,"-")</f>
        <v>-</v>
      </c>
      <c r="K233" s="31" t="n">
        <f aca="false">IF(OR($F233="",$J233="-"),0,ROUND($F233-$F233/(1+$H233),2))</f>
        <v>0</v>
      </c>
      <c r="L233" s="31" t="n">
        <f aca="false">IF($F233="",0,$F233-$K233)</f>
        <v>0</v>
      </c>
      <c r="M233" s="31" t="n">
        <f aca="false">IF($F233="",0,IF($J233="V",$L233,$F233))</f>
        <v>0</v>
      </c>
      <c r="N233" s="31" t="n">
        <f aca="false">IF($F233="",0,IF($J233="U",$L233,$F233))</f>
        <v>0</v>
      </c>
      <c r="O233" s="35" t="str">
        <f aca="false">IF($A233="","",MONTH($A233))</f>
        <v/>
      </c>
      <c r="P233" s="35" t="str">
        <f aca="false">IF($A233="","",ROUNDUP(MONTH($A233)/3,0))</f>
        <v/>
      </c>
      <c r="Q233" s="35" t="str">
        <f aca="false">IF($A233="","",IF(MONTH($A233)&lt;=6,1,2))</f>
        <v/>
      </c>
      <c r="R233" s="35" t="str">
        <f aca="false">IF($E233="","",IFERROR(INDEX(Kontenplan!$F$5:$F$90,MATCH($E233,Kontenplan!$A$5:$A$90,0)),""))</f>
        <v/>
      </c>
      <c r="S233" s="35" t="str">
        <f aca="false">IF($D233="","",IFERROR(INDEX(Kontenplan!$F$5:$F$90,MATCH($D233,Kontenplan!$A$5:$A$90,0)),""))</f>
        <v/>
      </c>
      <c r="T233" s="35" t="str">
        <f aca="false">IF($D233="","",IFERROR(INDEX(Kontenplan!$C$5:$C$90,MATCH($D233,Kontenplan!$A$5:$A$90,0)),"?"))</f>
        <v/>
      </c>
      <c r="U233" s="35" t="str">
        <f aca="false">IF($E233="","",IFERROR(INDEX(Kontenplan!$C$5:$C$90,MATCH($E233,Kontenplan!$A$5:$A$90,0)),"?"))</f>
        <v/>
      </c>
      <c r="V233" s="35" t="str">
        <f aca="false">IF($F233="","",IF(OR($D233="",$E233="",$T233="?",$U233="?"),"Konto prüfen!",IF($A233="","Datum fehlt",IF(YEAR($A233)&lt;&gt;Einstellungen!$B$7,"anderes Jahr!",IF($G233="","MWST-Code fehlt","OK")))))</f>
        <v/>
      </c>
      <c r="W233" s="35" t="str">
        <f aca="false">IF($F233="","",IF(OR($D233=Kontoauszug!$C$4,$E233=Kontoauszug!$C$4),MAX(W$4:W232)+1,""))</f>
        <v/>
      </c>
    </row>
    <row r="234" customFormat="false" ht="15" hidden="false" customHeight="false" outlineLevel="0" collapsed="false">
      <c r="A234" s="33"/>
      <c r="B234" s="32"/>
      <c r="C234" s="32"/>
      <c r="D234" s="32"/>
      <c r="E234" s="32"/>
      <c r="F234" s="30"/>
      <c r="G234" s="32"/>
      <c r="H234" s="34" t="n">
        <f aca="false">IF($G234="",0,IFERROR(INDEX(Einstellungen!$G$5:$G$11,MATCH($G234,Einstellungen!$E$5:$E$11,0)),0))</f>
        <v>0</v>
      </c>
      <c r="I234" s="35" t="str">
        <f aca="false">IF($G234="","-",IFERROR(INDEX(Einstellungen!$H$5:$H$11,MATCH($G234,Einstellungen!$E$5:$E$11,0)),"-"))</f>
        <v>-</v>
      </c>
      <c r="J234" s="35" t="str">
        <f aca="false">IF(AND(Einstellungen!$B$8="Ja",Einstellungen!$B$9="Effektiv"),$I234,"-")</f>
        <v>-</v>
      </c>
      <c r="K234" s="31" t="n">
        <f aca="false">IF(OR($F234="",$J234="-"),0,ROUND($F234-$F234/(1+$H234),2))</f>
        <v>0</v>
      </c>
      <c r="L234" s="31" t="n">
        <f aca="false">IF($F234="",0,$F234-$K234)</f>
        <v>0</v>
      </c>
      <c r="M234" s="31" t="n">
        <f aca="false">IF($F234="",0,IF($J234="V",$L234,$F234))</f>
        <v>0</v>
      </c>
      <c r="N234" s="31" t="n">
        <f aca="false">IF($F234="",0,IF($J234="U",$L234,$F234))</f>
        <v>0</v>
      </c>
      <c r="O234" s="35" t="str">
        <f aca="false">IF($A234="","",MONTH($A234))</f>
        <v/>
      </c>
      <c r="P234" s="35" t="str">
        <f aca="false">IF($A234="","",ROUNDUP(MONTH($A234)/3,0))</f>
        <v/>
      </c>
      <c r="Q234" s="35" t="str">
        <f aca="false">IF($A234="","",IF(MONTH($A234)&lt;=6,1,2))</f>
        <v/>
      </c>
      <c r="R234" s="35" t="str">
        <f aca="false">IF($E234="","",IFERROR(INDEX(Kontenplan!$F$5:$F$90,MATCH($E234,Kontenplan!$A$5:$A$90,0)),""))</f>
        <v/>
      </c>
      <c r="S234" s="35" t="str">
        <f aca="false">IF($D234="","",IFERROR(INDEX(Kontenplan!$F$5:$F$90,MATCH($D234,Kontenplan!$A$5:$A$90,0)),""))</f>
        <v/>
      </c>
      <c r="T234" s="35" t="str">
        <f aca="false">IF($D234="","",IFERROR(INDEX(Kontenplan!$C$5:$C$90,MATCH($D234,Kontenplan!$A$5:$A$90,0)),"?"))</f>
        <v/>
      </c>
      <c r="U234" s="35" t="str">
        <f aca="false">IF($E234="","",IFERROR(INDEX(Kontenplan!$C$5:$C$90,MATCH($E234,Kontenplan!$A$5:$A$90,0)),"?"))</f>
        <v/>
      </c>
      <c r="V234" s="35" t="str">
        <f aca="false">IF($F234="","",IF(OR($D234="",$E234="",$T234="?",$U234="?"),"Konto prüfen!",IF($A234="","Datum fehlt",IF(YEAR($A234)&lt;&gt;Einstellungen!$B$7,"anderes Jahr!",IF($G234="","MWST-Code fehlt","OK")))))</f>
        <v/>
      </c>
      <c r="W234" s="35" t="str">
        <f aca="false">IF($F234="","",IF(OR($D234=Kontoauszug!$C$4,$E234=Kontoauszug!$C$4),MAX(W$4:W233)+1,""))</f>
        <v/>
      </c>
    </row>
    <row r="235" customFormat="false" ht="15" hidden="false" customHeight="false" outlineLevel="0" collapsed="false">
      <c r="A235" s="33"/>
      <c r="B235" s="32"/>
      <c r="C235" s="32"/>
      <c r="D235" s="32"/>
      <c r="E235" s="32"/>
      <c r="F235" s="30"/>
      <c r="G235" s="32"/>
      <c r="H235" s="34" t="n">
        <f aca="false">IF($G235="",0,IFERROR(INDEX(Einstellungen!$G$5:$G$11,MATCH($G235,Einstellungen!$E$5:$E$11,0)),0))</f>
        <v>0</v>
      </c>
      <c r="I235" s="35" t="str">
        <f aca="false">IF($G235="","-",IFERROR(INDEX(Einstellungen!$H$5:$H$11,MATCH($G235,Einstellungen!$E$5:$E$11,0)),"-"))</f>
        <v>-</v>
      </c>
      <c r="J235" s="35" t="str">
        <f aca="false">IF(AND(Einstellungen!$B$8="Ja",Einstellungen!$B$9="Effektiv"),$I235,"-")</f>
        <v>-</v>
      </c>
      <c r="K235" s="31" t="n">
        <f aca="false">IF(OR($F235="",$J235="-"),0,ROUND($F235-$F235/(1+$H235),2))</f>
        <v>0</v>
      </c>
      <c r="L235" s="31" t="n">
        <f aca="false">IF($F235="",0,$F235-$K235)</f>
        <v>0</v>
      </c>
      <c r="M235" s="31" t="n">
        <f aca="false">IF($F235="",0,IF($J235="V",$L235,$F235))</f>
        <v>0</v>
      </c>
      <c r="N235" s="31" t="n">
        <f aca="false">IF($F235="",0,IF($J235="U",$L235,$F235))</f>
        <v>0</v>
      </c>
      <c r="O235" s="35" t="str">
        <f aca="false">IF($A235="","",MONTH($A235))</f>
        <v/>
      </c>
      <c r="P235" s="35" t="str">
        <f aca="false">IF($A235="","",ROUNDUP(MONTH($A235)/3,0))</f>
        <v/>
      </c>
      <c r="Q235" s="35" t="str">
        <f aca="false">IF($A235="","",IF(MONTH($A235)&lt;=6,1,2))</f>
        <v/>
      </c>
      <c r="R235" s="35" t="str">
        <f aca="false">IF($E235="","",IFERROR(INDEX(Kontenplan!$F$5:$F$90,MATCH($E235,Kontenplan!$A$5:$A$90,0)),""))</f>
        <v/>
      </c>
      <c r="S235" s="35" t="str">
        <f aca="false">IF($D235="","",IFERROR(INDEX(Kontenplan!$F$5:$F$90,MATCH($D235,Kontenplan!$A$5:$A$90,0)),""))</f>
        <v/>
      </c>
      <c r="T235" s="35" t="str">
        <f aca="false">IF($D235="","",IFERROR(INDEX(Kontenplan!$C$5:$C$90,MATCH($D235,Kontenplan!$A$5:$A$90,0)),"?"))</f>
        <v/>
      </c>
      <c r="U235" s="35" t="str">
        <f aca="false">IF($E235="","",IFERROR(INDEX(Kontenplan!$C$5:$C$90,MATCH($E235,Kontenplan!$A$5:$A$90,0)),"?"))</f>
        <v/>
      </c>
      <c r="V235" s="35" t="str">
        <f aca="false">IF($F235="","",IF(OR($D235="",$E235="",$T235="?",$U235="?"),"Konto prüfen!",IF($A235="","Datum fehlt",IF(YEAR($A235)&lt;&gt;Einstellungen!$B$7,"anderes Jahr!",IF($G235="","MWST-Code fehlt","OK")))))</f>
        <v/>
      </c>
      <c r="W235" s="35" t="str">
        <f aca="false">IF($F235="","",IF(OR($D235=Kontoauszug!$C$4,$E235=Kontoauszug!$C$4),MAX(W$4:W234)+1,""))</f>
        <v/>
      </c>
    </row>
    <row r="236" customFormat="false" ht="15" hidden="false" customHeight="false" outlineLevel="0" collapsed="false">
      <c r="A236" s="33"/>
      <c r="B236" s="32"/>
      <c r="C236" s="32"/>
      <c r="D236" s="32"/>
      <c r="E236" s="32"/>
      <c r="F236" s="30"/>
      <c r="G236" s="32"/>
      <c r="H236" s="34" t="n">
        <f aca="false">IF($G236="",0,IFERROR(INDEX(Einstellungen!$G$5:$G$11,MATCH($G236,Einstellungen!$E$5:$E$11,0)),0))</f>
        <v>0</v>
      </c>
      <c r="I236" s="35" t="str">
        <f aca="false">IF($G236="","-",IFERROR(INDEX(Einstellungen!$H$5:$H$11,MATCH($G236,Einstellungen!$E$5:$E$11,0)),"-"))</f>
        <v>-</v>
      </c>
      <c r="J236" s="35" t="str">
        <f aca="false">IF(AND(Einstellungen!$B$8="Ja",Einstellungen!$B$9="Effektiv"),$I236,"-")</f>
        <v>-</v>
      </c>
      <c r="K236" s="31" t="n">
        <f aca="false">IF(OR($F236="",$J236="-"),0,ROUND($F236-$F236/(1+$H236),2))</f>
        <v>0</v>
      </c>
      <c r="L236" s="31" t="n">
        <f aca="false">IF($F236="",0,$F236-$K236)</f>
        <v>0</v>
      </c>
      <c r="M236" s="31" t="n">
        <f aca="false">IF($F236="",0,IF($J236="V",$L236,$F236))</f>
        <v>0</v>
      </c>
      <c r="N236" s="31" t="n">
        <f aca="false">IF($F236="",0,IF($J236="U",$L236,$F236))</f>
        <v>0</v>
      </c>
      <c r="O236" s="35" t="str">
        <f aca="false">IF($A236="","",MONTH($A236))</f>
        <v/>
      </c>
      <c r="P236" s="35" t="str">
        <f aca="false">IF($A236="","",ROUNDUP(MONTH($A236)/3,0))</f>
        <v/>
      </c>
      <c r="Q236" s="35" t="str">
        <f aca="false">IF($A236="","",IF(MONTH($A236)&lt;=6,1,2))</f>
        <v/>
      </c>
      <c r="R236" s="35" t="str">
        <f aca="false">IF($E236="","",IFERROR(INDEX(Kontenplan!$F$5:$F$90,MATCH($E236,Kontenplan!$A$5:$A$90,0)),""))</f>
        <v/>
      </c>
      <c r="S236" s="35" t="str">
        <f aca="false">IF($D236="","",IFERROR(INDEX(Kontenplan!$F$5:$F$90,MATCH($D236,Kontenplan!$A$5:$A$90,0)),""))</f>
        <v/>
      </c>
      <c r="T236" s="35" t="str">
        <f aca="false">IF($D236="","",IFERROR(INDEX(Kontenplan!$C$5:$C$90,MATCH($D236,Kontenplan!$A$5:$A$90,0)),"?"))</f>
        <v/>
      </c>
      <c r="U236" s="35" t="str">
        <f aca="false">IF($E236="","",IFERROR(INDEX(Kontenplan!$C$5:$C$90,MATCH($E236,Kontenplan!$A$5:$A$90,0)),"?"))</f>
        <v/>
      </c>
      <c r="V236" s="35" t="str">
        <f aca="false">IF($F236="","",IF(OR($D236="",$E236="",$T236="?",$U236="?"),"Konto prüfen!",IF($A236="","Datum fehlt",IF(YEAR($A236)&lt;&gt;Einstellungen!$B$7,"anderes Jahr!",IF($G236="","MWST-Code fehlt","OK")))))</f>
        <v/>
      </c>
      <c r="W236" s="35" t="str">
        <f aca="false">IF($F236="","",IF(OR($D236=Kontoauszug!$C$4,$E236=Kontoauszug!$C$4),MAX(W$4:W235)+1,""))</f>
        <v/>
      </c>
    </row>
    <row r="237" customFormat="false" ht="15" hidden="false" customHeight="false" outlineLevel="0" collapsed="false">
      <c r="A237" s="33"/>
      <c r="B237" s="32"/>
      <c r="C237" s="32"/>
      <c r="D237" s="32"/>
      <c r="E237" s="32"/>
      <c r="F237" s="30"/>
      <c r="G237" s="32"/>
      <c r="H237" s="34" t="n">
        <f aca="false">IF($G237="",0,IFERROR(INDEX(Einstellungen!$G$5:$G$11,MATCH($G237,Einstellungen!$E$5:$E$11,0)),0))</f>
        <v>0</v>
      </c>
      <c r="I237" s="35" t="str">
        <f aca="false">IF($G237="","-",IFERROR(INDEX(Einstellungen!$H$5:$H$11,MATCH($G237,Einstellungen!$E$5:$E$11,0)),"-"))</f>
        <v>-</v>
      </c>
      <c r="J237" s="35" t="str">
        <f aca="false">IF(AND(Einstellungen!$B$8="Ja",Einstellungen!$B$9="Effektiv"),$I237,"-")</f>
        <v>-</v>
      </c>
      <c r="K237" s="31" t="n">
        <f aca="false">IF(OR($F237="",$J237="-"),0,ROUND($F237-$F237/(1+$H237),2))</f>
        <v>0</v>
      </c>
      <c r="L237" s="31" t="n">
        <f aca="false">IF($F237="",0,$F237-$K237)</f>
        <v>0</v>
      </c>
      <c r="M237" s="31" t="n">
        <f aca="false">IF($F237="",0,IF($J237="V",$L237,$F237))</f>
        <v>0</v>
      </c>
      <c r="N237" s="31" t="n">
        <f aca="false">IF($F237="",0,IF($J237="U",$L237,$F237))</f>
        <v>0</v>
      </c>
      <c r="O237" s="35" t="str">
        <f aca="false">IF($A237="","",MONTH($A237))</f>
        <v/>
      </c>
      <c r="P237" s="35" t="str">
        <f aca="false">IF($A237="","",ROUNDUP(MONTH($A237)/3,0))</f>
        <v/>
      </c>
      <c r="Q237" s="35" t="str">
        <f aca="false">IF($A237="","",IF(MONTH($A237)&lt;=6,1,2))</f>
        <v/>
      </c>
      <c r="R237" s="35" t="str">
        <f aca="false">IF($E237="","",IFERROR(INDEX(Kontenplan!$F$5:$F$90,MATCH($E237,Kontenplan!$A$5:$A$90,0)),""))</f>
        <v/>
      </c>
      <c r="S237" s="35" t="str">
        <f aca="false">IF($D237="","",IFERROR(INDEX(Kontenplan!$F$5:$F$90,MATCH($D237,Kontenplan!$A$5:$A$90,0)),""))</f>
        <v/>
      </c>
      <c r="T237" s="35" t="str">
        <f aca="false">IF($D237="","",IFERROR(INDEX(Kontenplan!$C$5:$C$90,MATCH($D237,Kontenplan!$A$5:$A$90,0)),"?"))</f>
        <v/>
      </c>
      <c r="U237" s="35" t="str">
        <f aca="false">IF($E237="","",IFERROR(INDEX(Kontenplan!$C$5:$C$90,MATCH($E237,Kontenplan!$A$5:$A$90,0)),"?"))</f>
        <v/>
      </c>
      <c r="V237" s="35" t="str">
        <f aca="false">IF($F237="","",IF(OR($D237="",$E237="",$T237="?",$U237="?"),"Konto prüfen!",IF($A237="","Datum fehlt",IF(YEAR($A237)&lt;&gt;Einstellungen!$B$7,"anderes Jahr!",IF($G237="","MWST-Code fehlt","OK")))))</f>
        <v/>
      </c>
      <c r="W237" s="35" t="str">
        <f aca="false">IF($F237="","",IF(OR($D237=Kontoauszug!$C$4,$E237=Kontoauszug!$C$4),MAX(W$4:W236)+1,""))</f>
        <v/>
      </c>
    </row>
    <row r="238" customFormat="false" ht="15" hidden="false" customHeight="false" outlineLevel="0" collapsed="false">
      <c r="A238" s="33"/>
      <c r="B238" s="32"/>
      <c r="C238" s="32"/>
      <c r="D238" s="32"/>
      <c r="E238" s="32"/>
      <c r="F238" s="30"/>
      <c r="G238" s="32"/>
      <c r="H238" s="34" t="n">
        <f aca="false">IF($G238="",0,IFERROR(INDEX(Einstellungen!$G$5:$G$11,MATCH($G238,Einstellungen!$E$5:$E$11,0)),0))</f>
        <v>0</v>
      </c>
      <c r="I238" s="35" t="str">
        <f aca="false">IF($G238="","-",IFERROR(INDEX(Einstellungen!$H$5:$H$11,MATCH($G238,Einstellungen!$E$5:$E$11,0)),"-"))</f>
        <v>-</v>
      </c>
      <c r="J238" s="35" t="str">
        <f aca="false">IF(AND(Einstellungen!$B$8="Ja",Einstellungen!$B$9="Effektiv"),$I238,"-")</f>
        <v>-</v>
      </c>
      <c r="K238" s="31" t="n">
        <f aca="false">IF(OR($F238="",$J238="-"),0,ROUND($F238-$F238/(1+$H238),2))</f>
        <v>0</v>
      </c>
      <c r="L238" s="31" t="n">
        <f aca="false">IF($F238="",0,$F238-$K238)</f>
        <v>0</v>
      </c>
      <c r="M238" s="31" t="n">
        <f aca="false">IF($F238="",0,IF($J238="V",$L238,$F238))</f>
        <v>0</v>
      </c>
      <c r="N238" s="31" t="n">
        <f aca="false">IF($F238="",0,IF($J238="U",$L238,$F238))</f>
        <v>0</v>
      </c>
      <c r="O238" s="35" t="str">
        <f aca="false">IF($A238="","",MONTH($A238))</f>
        <v/>
      </c>
      <c r="P238" s="35" t="str">
        <f aca="false">IF($A238="","",ROUNDUP(MONTH($A238)/3,0))</f>
        <v/>
      </c>
      <c r="Q238" s="35" t="str">
        <f aca="false">IF($A238="","",IF(MONTH($A238)&lt;=6,1,2))</f>
        <v/>
      </c>
      <c r="R238" s="35" t="str">
        <f aca="false">IF($E238="","",IFERROR(INDEX(Kontenplan!$F$5:$F$90,MATCH($E238,Kontenplan!$A$5:$A$90,0)),""))</f>
        <v/>
      </c>
      <c r="S238" s="35" t="str">
        <f aca="false">IF($D238="","",IFERROR(INDEX(Kontenplan!$F$5:$F$90,MATCH($D238,Kontenplan!$A$5:$A$90,0)),""))</f>
        <v/>
      </c>
      <c r="T238" s="35" t="str">
        <f aca="false">IF($D238="","",IFERROR(INDEX(Kontenplan!$C$5:$C$90,MATCH($D238,Kontenplan!$A$5:$A$90,0)),"?"))</f>
        <v/>
      </c>
      <c r="U238" s="35" t="str">
        <f aca="false">IF($E238="","",IFERROR(INDEX(Kontenplan!$C$5:$C$90,MATCH($E238,Kontenplan!$A$5:$A$90,0)),"?"))</f>
        <v/>
      </c>
      <c r="V238" s="35" t="str">
        <f aca="false">IF($F238="","",IF(OR($D238="",$E238="",$T238="?",$U238="?"),"Konto prüfen!",IF($A238="","Datum fehlt",IF(YEAR($A238)&lt;&gt;Einstellungen!$B$7,"anderes Jahr!",IF($G238="","MWST-Code fehlt","OK")))))</f>
        <v/>
      </c>
      <c r="W238" s="35" t="str">
        <f aca="false">IF($F238="","",IF(OR($D238=Kontoauszug!$C$4,$E238=Kontoauszug!$C$4),MAX(W$4:W237)+1,""))</f>
        <v/>
      </c>
    </row>
    <row r="239" customFormat="false" ht="15" hidden="false" customHeight="false" outlineLevel="0" collapsed="false">
      <c r="A239" s="33"/>
      <c r="B239" s="32"/>
      <c r="C239" s="32"/>
      <c r="D239" s="32"/>
      <c r="E239" s="32"/>
      <c r="F239" s="30"/>
      <c r="G239" s="32"/>
      <c r="H239" s="34" t="n">
        <f aca="false">IF($G239="",0,IFERROR(INDEX(Einstellungen!$G$5:$G$11,MATCH($G239,Einstellungen!$E$5:$E$11,0)),0))</f>
        <v>0</v>
      </c>
      <c r="I239" s="35" t="str">
        <f aca="false">IF($G239="","-",IFERROR(INDEX(Einstellungen!$H$5:$H$11,MATCH($G239,Einstellungen!$E$5:$E$11,0)),"-"))</f>
        <v>-</v>
      </c>
      <c r="J239" s="35" t="str">
        <f aca="false">IF(AND(Einstellungen!$B$8="Ja",Einstellungen!$B$9="Effektiv"),$I239,"-")</f>
        <v>-</v>
      </c>
      <c r="K239" s="31" t="n">
        <f aca="false">IF(OR($F239="",$J239="-"),0,ROUND($F239-$F239/(1+$H239),2))</f>
        <v>0</v>
      </c>
      <c r="L239" s="31" t="n">
        <f aca="false">IF($F239="",0,$F239-$K239)</f>
        <v>0</v>
      </c>
      <c r="M239" s="31" t="n">
        <f aca="false">IF($F239="",0,IF($J239="V",$L239,$F239))</f>
        <v>0</v>
      </c>
      <c r="N239" s="31" t="n">
        <f aca="false">IF($F239="",0,IF($J239="U",$L239,$F239))</f>
        <v>0</v>
      </c>
      <c r="O239" s="35" t="str">
        <f aca="false">IF($A239="","",MONTH($A239))</f>
        <v/>
      </c>
      <c r="P239" s="35" t="str">
        <f aca="false">IF($A239="","",ROUNDUP(MONTH($A239)/3,0))</f>
        <v/>
      </c>
      <c r="Q239" s="35" t="str">
        <f aca="false">IF($A239="","",IF(MONTH($A239)&lt;=6,1,2))</f>
        <v/>
      </c>
      <c r="R239" s="35" t="str">
        <f aca="false">IF($E239="","",IFERROR(INDEX(Kontenplan!$F$5:$F$90,MATCH($E239,Kontenplan!$A$5:$A$90,0)),""))</f>
        <v/>
      </c>
      <c r="S239" s="35" t="str">
        <f aca="false">IF($D239="","",IFERROR(INDEX(Kontenplan!$F$5:$F$90,MATCH($D239,Kontenplan!$A$5:$A$90,0)),""))</f>
        <v/>
      </c>
      <c r="T239" s="35" t="str">
        <f aca="false">IF($D239="","",IFERROR(INDEX(Kontenplan!$C$5:$C$90,MATCH($D239,Kontenplan!$A$5:$A$90,0)),"?"))</f>
        <v/>
      </c>
      <c r="U239" s="35" t="str">
        <f aca="false">IF($E239="","",IFERROR(INDEX(Kontenplan!$C$5:$C$90,MATCH($E239,Kontenplan!$A$5:$A$90,0)),"?"))</f>
        <v/>
      </c>
      <c r="V239" s="35" t="str">
        <f aca="false">IF($F239="","",IF(OR($D239="",$E239="",$T239="?",$U239="?"),"Konto prüfen!",IF($A239="","Datum fehlt",IF(YEAR($A239)&lt;&gt;Einstellungen!$B$7,"anderes Jahr!",IF($G239="","MWST-Code fehlt","OK")))))</f>
        <v/>
      </c>
      <c r="W239" s="35" t="str">
        <f aca="false">IF($F239="","",IF(OR($D239=Kontoauszug!$C$4,$E239=Kontoauszug!$C$4),MAX(W$4:W238)+1,""))</f>
        <v/>
      </c>
    </row>
    <row r="240" customFormat="false" ht="15" hidden="false" customHeight="false" outlineLevel="0" collapsed="false">
      <c r="A240" s="33"/>
      <c r="B240" s="32"/>
      <c r="C240" s="32"/>
      <c r="D240" s="32"/>
      <c r="E240" s="32"/>
      <c r="F240" s="30"/>
      <c r="G240" s="32"/>
      <c r="H240" s="34" t="n">
        <f aca="false">IF($G240="",0,IFERROR(INDEX(Einstellungen!$G$5:$G$11,MATCH($G240,Einstellungen!$E$5:$E$11,0)),0))</f>
        <v>0</v>
      </c>
      <c r="I240" s="35" t="str">
        <f aca="false">IF($G240="","-",IFERROR(INDEX(Einstellungen!$H$5:$H$11,MATCH($G240,Einstellungen!$E$5:$E$11,0)),"-"))</f>
        <v>-</v>
      </c>
      <c r="J240" s="35" t="str">
        <f aca="false">IF(AND(Einstellungen!$B$8="Ja",Einstellungen!$B$9="Effektiv"),$I240,"-")</f>
        <v>-</v>
      </c>
      <c r="K240" s="31" t="n">
        <f aca="false">IF(OR($F240="",$J240="-"),0,ROUND($F240-$F240/(1+$H240),2))</f>
        <v>0</v>
      </c>
      <c r="L240" s="31" t="n">
        <f aca="false">IF($F240="",0,$F240-$K240)</f>
        <v>0</v>
      </c>
      <c r="M240" s="31" t="n">
        <f aca="false">IF($F240="",0,IF($J240="V",$L240,$F240))</f>
        <v>0</v>
      </c>
      <c r="N240" s="31" t="n">
        <f aca="false">IF($F240="",0,IF($J240="U",$L240,$F240))</f>
        <v>0</v>
      </c>
      <c r="O240" s="35" t="str">
        <f aca="false">IF($A240="","",MONTH($A240))</f>
        <v/>
      </c>
      <c r="P240" s="35" t="str">
        <f aca="false">IF($A240="","",ROUNDUP(MONTH($A240)/3,0))</f>
        <v/>
      </c>
      <c r="Q240" s="35" t="str">
        <f aca="false">IF($A240="","",IF(MONTH($A240)&lt;=6,1,2))</f>
        <v/>
      </c>
      <c r="R240" s="35" t="str">
        <f aca="false">IF($E240="","",IFERROR(INDEX(Kontenplan!$F$5:$F$90,MATCH($E240,Kontenplan!$A$5:$A$90,0)),""))</f>
        <v/>
      </c>
      <c r="S240" s="35" t="str">
        <f aca="false">IF($D240="","",IFERROR(INDEX(Kontenplan!$F$5:$F$90,MATCH($D240,Kontenplan!$A$5:$A$90,0)),""))</f>
        <v/>
      </c>
      <c r="T240" s="35" t="str">
        <f aca="false">IF($D240="","",IFERROR(INDEX(Kontenplan!$C$5:$C$90,MATCH($D240,Kontenplan!$A$5:$A$90,0)),"?"))</f>
        <v/>
      </c>
      <c r="U240" s="35" t="str">
        <f aca="false">IF($E240="","",IFERROR(INDEX(Kontenplan!$C$5:$C$90,MATCH($E240,Kontenplan!$A$5:$A$90,0)),"?"))</f>
        <v/>
      </c>
      <c r="V240" s="35" t="str">
        <f aca="false">IF($F240="","",IF(OR($D240="",$E240="",$T240="?",$U240="?"),"Konto prüfen!",IF($A240="","Datum fehlt",IF(YEAR($A240)&lt;&gt;Einstellungen!$B$7,"anderes Jahr!",IF($G240="","MWST-Code fehlt","OK")))))</f>
        <v/>
      </c>
      <c r="W240" s="35" t="str">
        <f aca="false">IF($F240="","",IF(OR($D240=Kontoauszug!$C$4,$E240=Kontoauszug!$C$4),MAX(W$4:W239)+1,""))</f>
        <v/>
      </c>
    </row>
    <row r="241" customFormat="false" ht="15" hidden="false" customHeight="false" outlineLevel="0" collapsed="false">
      <c r="A241" s="33"/>
      <c r="B241" s="32"/>
      <c r="C241" s="32"/>
      <c r="D241" s="32"/>
      <c r="E241" s="32"/>
      <c r="F241" s="30"/>
      <c r="G241" s="32"/>
      <c r="H241" s="34" t="n">
        <f aca="false">IF($G241="",0,IFERROR(INDEX(Einstellungen!$G$5:$G$11,MATCH($G241,Einstellungen!$E$5:$E$11,0)),0))</f>
        <v>0</v>
      </c>
      <c r="I241" s="35" t="str">
        <f aca="false">IF($G241="","-",IFERROR(INDEX(Einstellungen!$H$5:$H$11,MATCH($G241,Einstellungen!$E$5:$E$11,0)),"-"))</f>
        <v>-</v>
      </c>
      <c r="J241" s="35" t="str">
        <f aca="false">IF(AND(Einstellungen!$B$8="Ja",Einstellungen!$B$9="Effektiv"),$I241,"-")</f>
        <v>-</v>
      </c>
      <c r="K241" s="31" t="n">
        <f aca="false">IF(OR($F241="",$J241="-"),0,ROUND($F241-$F241/(1+$H241),2))</f>
        <v>0</v>
      </c>
      <c r="L241" s="31" t="n">
        <f aca="false">IF($F241="",0,$F241-$K241)</f>
        <v>0</v>
      </c>
      <c r="M241" s="31" t="n">
        <f aca="false">IF($F241="",0,IF($J241="V",$L241,$F241))</f>
        <v>0</v>
      </c>
      <c r="N241" s="31" t="n">
        <f aca="false">IF($F241="",0,IF($J241="U",$L241,$F241))</f>
        <v>0</v>
      </c>
      <c r="O241" s="35" t="str">
        <f aca="false">IF($A241="","",MONTH($A241))</f>
        <v/>
      </c>
      <c r="P241" s="35" t="str">
        <f aca="false">IF($A241="","",ROUNDUP(MONTH($A241)/3,0))</f>
        <v/>
      </c>
      <c r="Q241" s="35" t="str">
        <f aca="false">IF($A241="","",IF(MONTH($A241)&lt;=6,1,2))</f>
        <v/>
      </c>
      <c r="R241" s="35" t="str">
        <f aca="false">IF($E241="","",IFERROR(INDEX(Kontenplan!$F$5:$F$90,MATCH($E241,Kontenplan!$A$5:$A$90,0)),""))</f>
        <v/>
      </c>
      <c r="S241" s="35" t="str">
        <f aca="false">IF($D241="","",IFERROR(INDEX(Kontenplan!$F$5:$F$90,MATCH($D241,Kontenplan!$A$5:$A$90,0)),""))</f>
        <v/>
      </c>
      <c r="T241" s="35" t="str">
        <f aca="false">IF($D241="","",IFERROR(INDEX(Kontenplan!$C$5:$C$90,MATCH($D241,Kontenplan!$A$5:$A$90,0)),"?"))</f>
        <v/>
      </c>
      <c r="U241" s="35" t="str">
        <f aca="false">IF($E241="","",IFERROR(INDEX(Kontenplan!$C$5:$C$90,MATCH($E241,Kontenplan!$A$5:$A$90,0)),"?"))</f>
        <v/>
      </c>
      <c r="V241" s="35" t="str">
        <f aca="false">IF($F241="","",IF(OR($D241="",$E241="",$T241="?",$U241="?"),"Konto prüfen!",IF($A241="","Datum fehlt",IF(YEAR($A241)&lt;&gt;Einstellungen!$B$7,"anderes Jahr!",IF($G241="","MWST-Code fehlt","OK")))))</f>
        <v/>
      </c>
      <c r="W241" s="35" t="str">
        <f aca="false">IF($F241="","",IF(OR($D241=Kontoauszug!$C$4,$E241=Kontoauszug!$C$4),MAX(W$4:W240)+1,""))</f>
        <v/>
      </c>
    </row>
    <row r="242" customFormat="false" ht="15" hidden="false" customHeight="false" outlineLevel="0" collapsed="false">
      <c r="A242" s="33"/>
      <c r="B242" s="32"/>
      <c r="C242" s="32"/>
      <c r="D242" s="32"/>
      <c r="E242" s="32"/>
      <c r="F242" s="30"/>
      <c r="G242" s="32"/>
      <c r="H242" s="34" t="n">
        <f aca="false">IF($G242="",0,IFERROR(INDEX(Einstellungen!$G$5:$G$11,MATCH($G242,Einstellungen!$E$5:$E$11,0)),0))</f>
        <v>0</v>
      </c>
      <c r="I242" s="35" t="str">
        <f aca="false">IF($G242="","-",IFERROR(INDEX(Einstellungen!$H$5:$H$11,MATCH($G242,Einstellungen!$E$5:$E$11,0)),"-"))</f>
        <v>-</v>
      </c>
      <c r="J242" s="35" t="str">
        <f aca="false">IF(AND(Einstellungen!$B$8="Ja",Einstellungen!$B$9="Effektiv"),$I242,"-")</f>
        <v>-</v>
      </c>
      <c r="K242" s="31" t="n">
        <f aca="false">IF(OR($F242="",$J242="-"),0,ROUND($F242-$F242/(1+$H242),2))</f>
        <v>0</v>
      </c>
      <c r="L242" s="31" t="n">
        <f aca="false">IF($F242="",0,$F242-$K242)</f>
        <v>0</v>
      </c>
      <c r="M242" s="31" t="n">
        <f aca="false">IF($F242="",0,IF($J242="V",$L242,$F242))</f>
        <v>0</v>
      </c>
      <c r="N242" s="31" t="n">
        <f aca="false">IF($F242="",0,IF($J242="U",$L242,$F242))</f>
        <v>0</v>
      </c>
      <c r="O242" s="35" t="str">
        <f aca="false">IF($A242="","",MONTH($A242))</f>
        <v/>
      </c>
      <c r="P242" s="35" t="str">
        <f aca="false">IF($A242="","",ROUNDUP(MONTH($A242)/3,0))</f>
        <v/>
      </c>
      <c r="Q242" s="35" t="str">
        <f aca="false">IF($A242="","",IF(MONTH($A242)&lt;=6,1,2))</f>
        <v/>
      </c>
      <c r="R242" s="35" t="str">
        <f aca="false">IF($E242="","",IFERROR(INDEX(Kontenplan!$F$5:$F$90,MATCH($E242,Kontenplan!$A$5:$A$90,0)),""))</f>
        <v/>
      </c>
      <c r="S242" s="35" t="str">
        <f aca="false">IF($D242="","",IFERROR(INDEX(Kontenplan!$F$5:$F$90,MATCH($D242,Kontenplan!$A$5:$A$90,0)),""))</f>
        <v/>
      </c>
      <c r="T242" s="35" t="str">
        <f aca="false">IF($D242="","",IFERROR(INDEX(Kontenplan!$C$5:$C$90,MATCH($D242,Kontenplan!$A$5:$A$90,0)),"?"))</f>
        <v/>
      </c>
      <c r="U242" s="35" t="str">
        <f aca="false">IF($E242="","",IFERROR(INDEX(Kontenplan!$C$5:$C$90,MATCH($E242,Kontenplan!$A$5:$A$90,0)),"?"))</f>
        <v/>
      </c>
      <c r="V242" s="35" t="str">
        <f aca="false">IF($F242="","",IF(OR($D242="",$E242="",$T242="?",$U242="?"),"Konto prüfen!",IF($A242="","Datum fehlt",IF(YEAR($A242)&lt;&gt;Einstellungen!$B$7,"anderes Jahr!",IF($G242="","MWST-Code fehlt","OK")))))</f>
        <v/>
      </c>
      <c r="W242" s="35" t="str">
        <f aca="false">IF($F242="","",IF(OR($D242=Kontoauszug!$C$4,$E242=Kontoauszug!$C$4),MAX(W$4:W241)+1,""))</f>
        <v/>
      </c>
    </row>
    <row r="243" customFormat="false" ht="15" hidden="false" customHeight="false" outlineLevel="0" collapsed="false">
      <c r="A243" s="33"/>
      <c r="B243" s="32"/>
      <c r="C243" s="32"/>
      <c r="D243" s="32"/>
      <c r="E243" s="32"/>
      <c r="F243" s="30"/>
      <c r="G243" s="32"/>
      <c r="H243" s="34" t="n">
        <f aca="false">IF($G243="",0,IFERROR(INDEX(Einstellungen!$G$5:$G$11,MATCH($G243,Einstellungen!$E$5:$E$11,0)),0))</f>
        <v>0</v>
      </c>
      <c r="I243" s="35" t="str">
        <f aca="false">IF($G243="","-",IFERROR(INDEX(Einstellungen!$H$5:$H$11,MATCH($G243,Einstellungen!$E$5:$E$11,0)),"-"))</f>
        <v>-</v>
      </c>
      <c r="J243" s="35" t="str">
        <f aca="false">IF(AND(Einstellungen!$B$8="Ja",Einstellungen!$B$9="Effektiv"),$I243,"-")</f>
        <v>-</v>
      </c>
      <c r="K243" s="31" t="n">
        <f aca="false">IF(OR($F243="",$J243="-"),0,ROUND($F243-$F243/(1+$H243),2))</f>
        <v>0</v>
      </c>
      <c r="L243" s="31" t="n">
        <f aca="false">IF($F243="",0,$F243-$K243)</f>
        <v>0</v>
      </c>
      <c r="M243" s="31" t="n">
        <f aca="false">IF($F243="",0,IF($J243="V",$L243,$F243))</f>
        <v>0</v>
      </c>
      <c r="N243" s="31" t="n">
        <f aca="false">IF($F243="",0,IF($J243="U",$L243,$F243))</f>
        <v>0</v>
      </c>
      <c r="O243" s="35" t="str">
        <f aca="false">IF($A243="","",MONTH($A243))</f>
        <v/>
      </c>
      <c r="P243" s="35" t="str">
        <f aca="false">IF($A243="","",ROUNDUP(MONTH($A243)/3,0))</f>
        <v/>
      </c>
      <c r="Q243" s="35" t="str">
        <f aca="false">IF($A243="","",IF(MONTH($A243)&lt;=6,1,2))</f>
        <v/>
      </c>
      <c r="R243" s="35" t="str">
        <f aca="false">IF($E243="","",IFERROR(INDEX(Kontenplan!$F$5:$F$90,MATCH($E243,Kontenplan!$A$5:$A$90,0)),""))</f>
        <v/>
      </c>
      <c r="S243" s="35" t="str">
        <f aca="false">IF($D243="","",IFERROR(INDEX(Kontenplan!$F$5:$F$90,MATCH($D243,Kontenplan!$A$5:$A$90,0)),""))</f>
        <v/>
      </c>
      <c r="T243" s="35" t="str">
        <f aca="false">IF($D243="","",IFERROR(INDEX(Kontenplan!$C$5:$C$90,MATCH($D243,Kontenplan!$A$5:$A$90,0)),"?"))</f>
        <v/>
      </c>
      <c r="U243" s="35" t="str">
        <f aca="false">IF($E243="","",IFERROR(INDEX(Kontenplan!$C$5:$C$90,MATCH($E243,Kontenplan!$A$5:$A$90,0)),"?"))</f>
        <v/>
      </c>
      <c r="V243" s="35" t="str">
        <f aca="false">IF($F243="","",IF(OR($D243="",$E243="",$T243="?",$U243="?"),"Konto prüfen!",IF($A243="","Datum fehlt",IF(YEAR($A243)&lt;&gt;Einstellungen!$B$7,"anderes Jahr!",IF($G243="","MWST-Code fehlt","OK")))))</f>
        <v/>
      </c>
      <c r="W243" s="35" t="str">
        <f aca="false">IF($F243="","",IF(OR($D243=Kontoauszug!$C$4,$E243=Kontoauszug!$C$4),MAX(W$4:W242)+1,""))</f>
        <v/>
      </c>
    </row>
    <row r="244" customFormat="false" ht="15" hidden="false" customHeight="false" outlineLevel="0" collapsed="false">
      <c r="A244" s="33"/>
      <c r="B244" s="32"/>
      <c r="C244" s="32"/>
      <c r="D244" s="32"/>
      <c r="E244" s="32"/>
      <c r="F244" s="30"/>
      <c r="G244" s="32"/>
      <c r="H244" s="34" t="n">
        <f aca="false">IF($G244="",0,IFERROR(INDEX(Einstellungen!$G$5:$G$11,MATCH($G244,Einstellungen!$E$5:$E$11,0)),0))</f>
        <v>0</v>
      </c>
      <c r="I244" s="35" t="str">
        <f aca="false">IF($G244="","-",IFERROR(INDEX(Einstellungen!$H$5:$H$11,MATCH($G244,Einstellungen!$E$5:$E$11,0)),"-"))</f>
        <v>-</v>
      </c>
      <c r="J244" s="35" t="str">
        <f aca="false">IF(AND(Einstellungen!$B$8="Ja",Einstellungen!$B$9="Effektiv"),$I244,"-")</f>
        <v>-</v>
      </c>
      <c r="K244" s="31" t="n">
        <f aca="false">IF(OR($F244="",$J244="-"),0,ROUND($F244-$F244/(1+$H244),2))</f>
        <v>0</v>
      </c>
      <c r="L244" s="31" t="n">
        <f aca="false">IF($F244="",0,$F244-$K244)</f>
        <v>0</v>
      </c>
      <c r="M244" s="31" t="n">
        <f aca="false">IF($F244="",0,IF($J244="V",$L244,$F244))</f>
        <v>0</v>
      </c>
      <c r="N244" s="31" t="n">
        <f aca="false">IF($F244="",0,IF($J244="U",$L244,$F244))</f>
        <v>0</v>
      </c>
      <c r="O244" s="35" t="str">
        <f aca="false">IF($A244="","",MONTH($A244))</f>
        <v/>
      </c>
      <c r="P244" s="35" t="str">
        <f aca="false">IF($A244="","",ROUNDUP(MONTH($A244)/3,0))</f>
        <v/>
      </c>
      <c r="Q244" s="35" t="str">
        <f aca="false">IF($A244="","",IF(MONTH($A244)&lt;=6,1,2))</f>
        <v/>
      </c>
      <c r="R244" s="35" t="str">
        <f aca="false">IF($E244="","",IFERROR(INDEX(Kontenplan!$F$5:$F$90,MATCH($E244,Kontenplan!$A$5:$A$90,0)),""))</f>
        <v/>
      </c>
      <c r="S244" s="35" t="str">
        <f aca="false">IF($D244="","",IFERROR(INDEX(Kontenplan!$F$5:$F$90,MATCH($D244,Kontenplan!$A$5:$A$90,0)),""))</f>
        <v/>
      </c>
      <c r="T244" s="35" t="str">
        <f aca="false">IF($D244="","",IFERROR(INDEX(Kontenplan!$C$5:$C$90,MATCH($D244,Kontenplan!$A$5:$A$90,0)),"?"))</f>
        <v/>
      </c>
      <c r="U244" s="35" t="str">
        <f aca="false">IF($E244="","",IFERROR(INDEX(Kontenplan!$C$5:$C$90,MATCH($E244,Kontenplan!$A$5:$A$90,0)),"?"))</f>
        <v/>
      </c>
      <c r="V244" s="35" t="str">
        <f aca="false">IF($F244="","",IF(OR($D244="",$E244="",$T244="?",$U244="?"),"Konto prüfen!",IF($A244="","Datum fehlt",IF(YEAR($A244)&lt;&gt;Einstellungen!$B$7,"anderes Jahr!",IF($G244="","MWST-Code fehlt","OK")))))</f>
        <v/>
      </c>
      <c r="W244" s="35" t="str">
        <f aca="false">IF($F244="","",IF(OR($D244=Kontoauszug!$C$4,$E244=Kontoauszug!$C$4),MAX(W$4:W243)+1,""))</f>
        <v/>
      </c>
    </row>
    <row r="245" customFormat="false" ht="15" hidden="false" customHeight="false" outlineLevel="0" collapsed="false">
      <c r="A245" s="33"/>
      <c r="B245" s="32"/>
      <c r="C245" s="32"/>
      <c r="D245" s="32"/>
      <c r="E245" s="32"/>
      <c r="F245" s="30"/>
      <c r="G245" s="32"/>
      <c r="H245" s="34" t="n">
        <f aca="false">IF($G245="",0,IFERROR(INDEX(Einstellungen!$G$5:$G$11,MATCH($G245,Einstellungen!$E$5:$E$11,0)),0))</f>
        <v>0</v>
      </c>
      <c r="I245" s="35" t="str">
        <f aca="false">IF($G245="","-",IFERROR(INDEX(Einstellungen!$H$5:$H$11,MATCH($G245,Einstellungen!$E$5:$E$11,0)),"-"))</f>
        <v>-</v>
      </c>
      <c r="J245" s="35" t="str">
        <f aca="false">IF(AND(Einstellungen!$B$8="Ja",Einstellungen!$B$9="Effektiv"),$I245,"-")</f>
        <v>-</v>
      </c>
      <c r="K245" s="31" t="n">
        <f aca="false">IF(OR($F245="",$J245="-"),0,ROUND($F245-$F245/(1+$H245),2))</f>
        <v>0</v>
      </c>
      <c r="L245" s="31" t="n">
        <f aca="false">IF($F245="",0,$F245-$K245)</f>
        <v>0</v>
      </c>
      <c r="M245" s="31" t="n">
        <f aca="false">IF($F245="",0,IF($J245="V",$L245,$F245))</f>
        <v>0</v>
      </c>
      <c r="N245" s="31" t="n">
        <f aca="false">IF($F245="",0,IF($J245="U",$L245,$F245))</f>
        <v>0</v>
      </c>
      <c r="O245" s="35" t="str">
        <f aca="false">IF($A245="","",MONTH($A245))</f>
        <v/>
      </c>
      <c r="P245" s="35" t="str">
        <f aca="false">IF($A245="","",ROUNDUP(MONTH($A245)/3,0))</f>
        <v/>
      </c>
      <c r="Q245" s="35" t="str">
        <f aca="false">IF($A245="","",IF(MONTH($A245)&lt;=6,1,2))</f>
        <v/>
      </c>
      <c r="R245" s="35" t="str">
        <f aca="false">IF($E245="","",IFERROR(INDEX(Kontenplan!$F$5:$F$90,MATCH($E245,Kontenplan!$A$5:$A$90,0)),""))</f>
        <v/>
      </c>
      <c r="S245" s="35" t="str">
        <f aca="false">IF($D245="","",IFERROR(INDEX(Kontenplan!$F$5:$F$90,MATCH($D245,Kontenplan!$A$5:$A$90,0)),""))</f>
        <v/>
      </c>
      <c r="T245" s="35" t="str">
        <f aca="false">IF($D245="","",IFERROR(INDEX(Kontenplan!$C$5:$C$90,MATCH($D245,Kontenplan!$A$5:$A$90,0)),"?"))</f>
        <v/>
      </c>
      <c r="U245" s="35" t="str">
        <f aca="false">IF($E245="","",IFERROR(INDEX(Kontenplan!$C$5:$C$90,MATCH($E245,Kontenplan!$A$5:$A$90,0)),"?"))</f>
        <v/>
      </c>
      <c r="V245" s="35" t="str">
        <f aca="false">IF($F245="","",IF(OR($D245="",$E245="",$T245="?",$U245="?"),"Konto prüfen!",IF($A245="","Datum fehlt",IF(YEAR($A245)&lt;&gt;Einstellungen!$B$7,"anderes Jahr!",IF($G245="","MWST-Code fehlt","OK")))))</f>
        <v/>
      </c>
      <c r="W245" s="35" t="str">
        <f aca="false">IF($F245="","",IF(OR($D245=Kontoauszug!$C$4,$E245=Kontoauszug!$C$4),MAX(W$4:W244)+1,""))</f>
        <v/>
      </c>
    </row>
    <row r="246" customFormat="false" ht="15" hidden="false" customHeight="false" outlineLevel="0" collapsed="false">
      <c r="A246" s="33"/>
      <c r="B246" s="32"/>
      <c r="C246" s="32"/>
      <c r="D246" s="32"/>
      <c r="E246" s="32"/>
      <c r="F246" s="30"/>
      <c r="G246" s="32"/>
      <c r="H246" s="34" t="n">
        <f aca="false">IF($G246="",0,IFERROR(INDEX(Einstellungen!$G$5:$G$11,MATCH($G246,Einstellungen!$E$5:$E$11,0)),0))</f>
        <v>0</v>
      </c>
      <c r="I246" s="35" t="str">
        <f aca="false">IF($G246="","-",IFERROR(INDEX(Einstellungen!$H$5:$H$11,MATCH($G246,Einstellungen!$E$5:$E$11,0)),"-"))</f>
        <v>-</v>
      </c>
      <c r="J246" s="35" t="str">
        <f aca="false">IF(AND(Einstellungen!$B$8="Ja",Einstellungen!$B$9="Effektiv"),$I246,"-")</f>
        <v>-</v>
      </c>
      <c r="K246" s="31" t="n">
        <f aca="false">IF(OR($F246="",$J246="-"),0,ROUND($F246-$F246/(1+$H246),2))</f>
        <v>0</v>
      </c>
      <c r="L246" s="31" t="n">
        <f aca="false">IF($F246="",0,$F246-$K246)</f>
        <v>0</v>
      </c>
      <c r="M246" s="31" t="n">
        <f aca="false">IF($F246="",0,IF($J246="V",$L246,$F246))</f>
        <v>0</v>
      </c>
      <c r="N246" s="31" t="n">
        <f aca="false">IF($F246="",0,IF($J246="U",$L246,$F246))</f>
        <v>0</v>
      </c>
      <c r="O246" s="35" t="str">
        <f aca="false">IF($A246="","",MONTH($A246))</f>
        <v/>
      </c>
      <c r="P246" s="35" t="str">
        <f aca="false">IF($A246="","",ROUNDUP(MONTH($A246)/3,0))</f>
        <v/>
      </c>
      <c r="Q246" s="35" t="str">
        <f aca="false">IF($A246="","",IF(MONTH($A246)&lt;=6,1,2))</f>
        <v/>
      </c>
      <c r="R246" s="35" t="str">
        <f aca="false">IF($E246="","",IFERROR(INDEX(Kontenplan!$F$5:$F$90,MATCH($E246,Kontenplan!$A$5:$A$90,0)),""))</f>
        <v/>
      </c>
      <c r="S246" s="35" t="str">
        <f aca="false">IF($D246="","",IFERROR(INDEX(Kontenplan!$F$5:$F$90,MATCH($D246,Kontenplan!$A$5:$A$90,0)),""))</f>
        <v/>
      </c>
      <c r="T246" s="35" t="str">
        <f aca="false">IF($D246="","",IFERROR(INDEX(Kontenplan!$C$5:$C$90,MATCH($D246,Kontenplan!$A$5:$A$90,0)),"?"))</f>
        <v/>
      </c>
      <c r="U246" s="35" t="str">
        <f aca="false">IF($E246="","",IFERROR(INDEX(Kontenplan!$C$5:$C$90,MATCH($E246,Kontenplan!$A$5:$A$90,0)),"?"))</f>
        <v/>
      </c>
      <c r="V246" s="35" t="str">
        <f aca="false">IF($F246="","",IF(OR($D246="",$E246="",$T246="?",$U246="?"),"Konto prüfen!",IF($A246="","Datum fehlt",IF(YEAR($A246)&lt;&gt;Einstellungen!$B$7,"anderes Jahr!",IF($G246="","MWST-Code fehlt","OK")))))</f>
        <v/>
      </c>
      <c r="W246" s="35" t="str">
        <f aca="false">IF($F246="","",IF(OR($D246=Kontoauszug!$C$4,$E246=Kontoauszug!$C$4),MAX(W$4:W245)+1,""))</f>
        <v/>
      </c>
    </row>
    <row r="247" customFormat="false" ht="15" hidden="false" customHeight="false" outlineLevel="0" collapsed="false">
      <c r="A247" s="33"/>
      <c r="B247" s="32"/>
      <c r="C247" s="32"/>
      <c r="D247" s="32"/>
      <c r="E247" s="32"/>
      <c r="F247" s="30"/>
      <c r="G247" s="32"/>
      <c r="H247" s="34" t="n">
        <f aca="false">IF($G247="",0,IFERROR(INDEX(Einstellungen!$G$5:$G$11,MATCH($G247,Einstellungen!$E$5:$E$11,0)),0))</f>
        <v>0</v>
      </c>
      <c r="I247" s="35" t="str">
        <f aca="false">IF($G247="","-",IFERROR(INDEX(Einstellungen!$H$5:$H$11,MATCH($G247,Einstellungen!$E$5:$E$11,0)),"-"))</f>
        <v>-</v>
      </c>
      <c r="J247" s="35" t="str">
        <f aca="false">IF(AND(Einstellungen!$B$8="Ja",Einstellungen!$B$9="Effektiv"),$I247,"-")</f>
        <v>-</v>
      </c>
      <c r="K247" s="31" t="n">
        <f aca="false">IF(OR($F247="",$J247="-"),0,ROUND($F247-$F247/(1+$H247),2))</f>
        <v>0</v>
      </c>
      <c r="L247" s="31" t="n">
        <f aca="false">IF($F247="",0,$F247-$K247)</f>
        <v>0</v>
      </c>
      <c r="M247" s="31" t="n">
        <f aca="false">IF($F247="",0,IF($J247="V",$L247,$F247))</f>
        <v>0</v>
      </c>
      <c r="N247" s="31" t="n">
        <f aca="false">IF($F247="",0,IF($J247="U",$L247,$F247))</f>
        <v>0</v>
      </c>
      <c r="O247" s="35" t="str">
        <f aca="false">IF($A247="","",MONTH($A247))</f>
        <v/>
      </c>
      <c r="P247" s="35" t="str">
        <f aca="false">IF($A247="","",ROUNDUP(MONTH($A247)/3,0))</f>
        <v/>
      </c>
      <c r="Q247" s="35" t="str">
        <f aca="false">IF($A247="","",IF(MONTH($A247)&lt;=6,1,2))</f>
        <v/>
      </c>
      <c r="R247" s="35" t="str">
        <f aca="false">IF($E247="","",IFERROR(INDEX(Kontenplan!$F$5:$F$90,MATCH($E247,Kontenplan!$A$5:$A$90,0)),""))</f>
        <v/>
      </c>
      <c r="S247" s="35" t="str">
        <f aca="false">IF($D247="","",IFERROR(INDEX(Kontenplan!$F$5:$F$90,MATCH($D247,Kontenplan!$A$5:$A$90,0)),""))</f>
        <v/>
      </c>
      <c r="T247" s="35" t="str">
        <f aca="false">IF($D247="","",IFERROR(INDEX(Kontenplan!$C$5:$C$90,MATCH($D247,Kontenplan!$A$5:$A$90,0)),"?"))</f>
        <v/>
      </c>
      <c r="U247" s="35" t="str">
        <f aca="false">IF($E247="","",IFERROR(INDEX(Kontenplan!$C$5:$C$90,MATCH($E247,Kontenplan!$A$5:$A$90,0)),"?"))</f>
        <v/>
      </c>
      <c r="V247" s="35" t="str">
        <f aca="false">IF($F247="","",IF(OR($D247="",$E247="",$T247="?",$U247="?"),"Konto prüfen!",IF($A247="","Datum fehlt",IF(YEAR($A247)&lt;&gt;Einstellungen!$B$7,"anderes Jahr!",IF($G247="","MWST-Code fehlt","OK")))))</f>
        <v/>
      </c>
      <c r="W247" s="35" t="str">
        <f aca="false">IF($F247="","",IF(OR($D247=Kontoauszug!$C$4,$E247=Kontoauszug!$C$4),MAX(W$4:W246)+1,""))</f>
        <v/>
      </c>
    </row>
    <row r="248" customFormat="false" ht="15" hidden="false" customHeight="false" outlineLevel="0" collapsed="false">
      <c r="A248" s="33"/>
      <c r="B248" s="32"/>
      <c r="C248" s="32"/>
      <c r="D248" s="32"/>
      <c r="E248" s="32"/>
      <c r="F248" s="30"/>
      <c r="G248" s="32"/>
      <c r="H248" s="34" t="n">
        <f aca="false">IF($G248="",0,IFERROR(INDEX(Einstellungen!$G$5:$G$11,MATCH($G248,Einstellungen!$E$5:$E$11,0)),0))</f>
        <v>0</v>
      </c>
      <c r="I248" s="35" t="str">
        <f aca="false">IF($G248="","-",IFERROR(INDEX(Einstellungen!$H$5:$H$11,MATCH($G248,Einstellungen!$E$5:$E$11,0)),"-"))</f>
        <v>-</v>
      </c>
      <c r="J248" s="35" t="str">
        <f aca="false">IF(AND(Einstellungen!$B$8="Ja",Einstellungen!$B$9="Effektiv"),$I248,"-")</f>
        <v>-</v>
      </c>
      <c r="K248" s="31" t="n">
        <f aca="false">IF(OR($F248="",$J248="-"),0,ROUND($F248-$F248/(1+$H248),2))</f>
        <v>0</v>
      </c>
      <c r="L248" s="31" t="n">
        <f aca="false">IF($F248="",0,$F248-$K248)</f>
        <v>0</v>
      </c>
      <c r="M248" s="31" t="n">
        <f aca="false">IF($F248="",0,IF($J248="V",$L248,$F248))</f>
        <v>0</v>
      </c>
      <c r="N248" s="31" t="n">
        <f aca="false">IF($F248="",0,IF($J248="U",$L248,$F248))</f>
        <v>0</v>
      </c>
      <c r="O248" s="35" t="str">
        <f aca="false">IF($A248="","",MONTH($A248))</f>
        <v/>
      </c>
      <c r="P248" s="35" t="str">
        <f aca="false">IF($A248="","",ROUNDUP(MONTH($A248)/3,0))</f>
        <v/>
      </c>
      <c r="Q248" s="35" t="str">
        <f aca="false">IF($A248="","",IF(MONTH($A248)&lt;=6,1,2))</f>
        <v/>
      </c>
      <c r="R248" s="35" t="str">
        <f aca="false">IF($E248="","",IFERROR(INDEX(Kontenplan!$F$5:$F$90,MATCH($E248,Kontenplan!$A$5:$A$90,0)),""))</f>
        <v/>
      </c>
      <c r="S248" s="35" t="str">
        <f aca="false">IF($D248="","",IFERROR(INDEX(Kontenplan!$F$5:$F$90,MATCH($D248,Kontenplan!$A$5:$A$90,0)),""))</f>
        <v/>
      </c>
      <c r="T248" s="35" t="str">
        <f aca="false">IF($D248="","",IFERROR(INDEX(Kontenplan!$C$5:$C$90,MATCH($D248,Kontenplan!$A$5:$A$90,0)),"?"))</f>
        <v/>
      </c>
      <c r="U248" s="35" t="str">
        <f aca="false">IF($E248="","",IFERROR(INDEX(Kontenplan!$C$5:$C$90,MATCH($E248,Kontenplan!$A$5:$A$90,0)),"?"))</f>
        <v/>
      </c>
      <c r="V248" s="35" t="str">
        <f aca="false">IF($F248="","",IF(OR($D248="",$E248="",$T248="?",$U248="?"),"Konto prüfen!",IF($A248="","Datum fehlt",IF(YEAR($A248)&lt;&gt;Einstellungen!$B$7,"anderes Jahr!",IF($G248="","MWST-Code fehlt","OK")))))</f>
        <v/>
      </c>
      <c r="W248" s="35" t="str">
        <f aca="false">IF($F248="","",IF(OR($D248=Kontoauszug!$C$4,$E248=Kontoauszug!$C$4),MAX(W$4:W247)+1,""))</f>
        <v/>
      </c>
    </row>
    <row r="249" customFormat="false" ht="15" hidden="false" customHeight="false" outlineLevel="0" collapsed="false">
      <c r="A249" s="33"/>
      <c r="B249" s="32"/>
      <c r="C249" s="32"/>
      <c r="D249" s="32"/>
      <c r="E249" s="32"/>
      <c r="F249" s="30"/>
      <c r="G249" s="32"/>
      <c r="H249" s="34" t="n">
        <f aca="false">IF($G249="",0,IFERROR(INDEX(Einstellungen!$G$5:$G$11,MATCH($G249,Einstellungen!$E$5:$E$11,0)),0))</f>
        <v>0</v>
      </c>
      <c r="I249" s="35" t="str">
        <f aca="false">IF($G249="","-",IFERROR(INDEX(Einstellungen!$H$5:$H$11,MATCH($G249,Einstellungen!$E$5:$E$11,0)),"-"))</f>
        <v>-</v>
      </c>
      <c r="J249" s="35" t="str">
        <f aca="false">IF(AND(Einstellungen!$B$8="Ja",Einstellungen!$B$9="Effektiv"),$I249,"-")</f>
        <v>-</v>
      </c>
      <c r="K249" s="31" t="n">
        <f aca="false">IF(OR($F249="",$J249="-"),0,ROUND($F249-$F249/(1+$H249),2))</f>
        <v>0</v>
      </c>
      <c r="L249" s="31" t="n">
        <f aca="false">IF($F249="",0,$F249-$K249)</f>
        <v>0</v>
      </c>
      <c r="M249" s="31" t="n">
        <f aca="false">IF($F249="",0,IF($J249="V",$L249,$F249))</f>
        <v>0</v>
      </c>
      <c r="N249" s="31" t="n">
        <f aca="false">IF($F249="",0,IF($J249="U",$L249,$F249))</f>
        <v>0</v>
      </c>
      <c r="O249" s="35" t="str">
        <f aca="false">IF($A249="","",MONTH($A249))</f>
        <v/>
      </c>
      <c r="P249" s="35" t="str">
        <f aca="false">IF($A249="","",ROUNDUP(MONTH($A249)/3,0))</f>
        <v/>
      </c>
      <c r="Q249" s="35" t="str">
        <f aca="false">IF($A249="","",IF(MONTH($A249)&lt;=6,1,2))</f>
        <v/>
      </c>
      <c r="R249" s="35" t="str">
        <f aca="false">IF($E249="","",IFERROR(INDEX(Kontenplan!$F$5:$F$90,MATCH($E249,Kontenplan!$A$5:$A$90,0)),""))</f>
        <v/>
      </c>
      <c r="S249" s="35" t="str">
        <f aca="false">IF($D249="","",IFERROR(INDEX(Kontenplan!$F$5:$F$90,MATCH($D249,Kontenplan!$A$5:$A$90,0)),""))</f>
        <v/>
      </c>
      <c r="T249" s="35" t="str">
        <f aca="false">IF($D249="","",IFERROR(INDEX(Kontenplan!$C$5:$C$90,MATCH($D249,Kontenplan!$A$5:$A$90,0)),"?"))</f>
        <v/>
      </c>
      <c r="U249" s="35" t="str">
        <f aca="false">IF($E249="","",IFERROR(INDEX(Kontenplan!$C$5:$C$90,MATCH($E249,Kontenplan!$A$5:$A$90,0)),"?"))</f>
        <v/>
      </c>
      <c r="V249" s="35" t="str">
        <f aca="false">IF($F249="","",IF(OR($D249="",$E249="",$T249="?",$U249="?"),"Konto prüfen!",IF($A249="","Datum fehlt",IF(YEAR($A249)&lt;&gt;Einstellungen!$B$7,"anderes Jahr!",IF($G249="","MWST-Code fehlt","OK")))))</f>
        <v/>
      </c>
      <c r="W249" s="35" t="str">
        <f aca="false">IF($F249="","",IF(OR($D249=Kontoauszug!$C$4,$E249=Kontoauszug!$C$4),MAX(W$4:W248)+1,""))</f>
        <v/>
      </c>
    </row>
    <row r="250" customFormat="false" ht="15" hidden="false" customHeight="false" outlineLevel="0" collapsed="false">
      <c r="A250" s="33"/>
      <c r="B250" s="32"/>
      <c r="C250" s="32"/>
      <c r="D250" s="32"/>
      <c r="E250" s="32"/>
      <c r="F250" s="30"/>
      <c r="G250" s="32"/>
      <c r="H250" s="34" t="n">
        <f aca="false">IF($G250="",0,IFERROR(INDEX(Einstellungen!$G$5:$G$11,MATCH($G250,Einstellungen!$E$5:$E$11,0)),0))</f>
        <v>0</v>
      </c>
      <c r="I250" s="35" t="str">
        <f aca="false">IF($G250="","-",IFERROR(INDEX(Einstellungen!$H$5:$H$11,MATCH($G250,Einstellungen!$E$5:$E$11,0)),"-"))</f>
        <v>-</v>
      </c>
      <c r="J250" s="35" t="str">
        <f aca="false">IF(AND(Einstellungen!$B$8="Ja",Einstellungen!$B$9="Effektiv"),$I250,"-")</f>
        <v>-</v>
      </c>
      <c r="K250" s="31" t="n">
        <f aca="false">IF(OR($F250="",$J250="-"),0,ROUND($F250-$F250/(1+$H250),2))</f>
        <v>0</v>
      </c>
      <c r="L250" s="31" t="n">
        <f aca="false">IF($F250="",0,$F250-$K250)</f>
        <v>0</v>
      </c>
      <c r="M250" s="31" t="n">
        <f aca="false">IF($F250="",0,IF($J250="V",$L250,$F250))</f>
        <v>0</v>
      </c>
      <c r="N250" s="31" t="n">
        <f aca="false">IF($F250="",0,IF($J250="U",$L250,$F250))</f>
        <v>0</v>
      </c>
      <c r="O250" s="35" t="str">
        <f aca="false">IF($A250="","",MONTH($A250))</f>
        <v/>
      </c>
      <c r="P250" s="35" t="str">
        <f aca="false">IF($A250="","",ROUNDUP(MONTH($A250)/3,0))</f>
        <v/>
      </c>
      <c r="Q250" s="35" t="str">
        <f aca="false">IF($A250="","",IF(MONTH($A250)&lt;=6,1,2))</f>
        <v/>
      </c>
      <c r="R250" s="35" t="str">
        <f aca="false">IF($E250="","",IFERROR(INDEX(Kontenplan!$F$5:$F$90,MATCH($E250,Kontenplan!$A$5:$A$90,0)),""))</f>
        <v/>
      </c>
      <c r="S250" s="35" t="str">
        <f aca="false">IF($D250="","",IFERROR(INDEX(Kontenplan!$F$5:$F$90,MATCH($D250,Kontenplan!$A$5:$A$90,0)),""))</f>
        <v/>
      </c>
      <c r="T250" s="35" t="str">
        <f aca="false">IF($D250="","",IFERROR(INDEX(Kontenplan!$C$5:$C$90,MATCH($D250,Kontenplan!$A$5:$A$90,0)),"?"))</f>
        <v/>
      </c>
      <c r="U250" s="35" t="str">
        <f aca="false">IF($E250="","",IFERROR(INDEX(Kontenplan!$C$5:$C$90,MATCH($E250,Kontenplan!$A$5:$A$90,0)),"?"))</f>
        <v/>
      </c>
      <c r="V250" s="35" t="str">
        <f aca="false">IF($F250="","",IF(OR($D250="",$E250="",$T250="?",$U250="?"),"Konto prüfen!",IF($A250="","Datum fehlt",IF(YEAR($A250)&lt;&gt;Einstellungen!$B$7,"anderes Jahr!",IF($G250="","MWST-Code fehlt","OK")))))</f>
        <v/>
      </c>
      <c r="W250" s="35" t="str">
        <f aca="false">IF($F250="","",IF(OR($D250=Kontoauszug!$C$4,$E250=Kontoauszug!$C$4),MAX(W$4:W249)+1,""))</f>
        <v/>
      </c>
    </row>
    <row r="251" customFormat="false" ht="15" hidden="false" customHeight="false" outlineLevel="0" collapsed="false">
      <c r="A251" s="33"/>
      <c r="B251" s="32"/>
      <c r="C251" s="32"/>
      <c r="D251" s="32"/>
      <c r="E251" s="32"/>
      <c r="F251" s="30"/>
      <c r="G251" s="32"/>
      <c r="H251" s="34" t="n">
        <f aca="false">IF($G251="",0,IFERROR(INDEX(Einstellungen!$G$5:$G$11,MATCH($G251,Einstellungen!$E$5:$E$11,0)),0))</f>
        <v>0</v>
      </c>
      <c r="I251" s="35" t="str">
        <f aca="false">IF($G251="","-",IFERROR(INDEX(Einstellungen!$H$5:$H$11,MATCH($G251,Einstellungen!$E$5:$E$11,0)),"-"))</f>
        <v>-</v>
      </c>
      <c r="J251" s="35" t="str">
        <f aca="false">IF(AND(Einstellungen!$B$8="Ja",Einstellungen!$B$9="Effektiv"),$I251,"-")</f>
        <v>-</v>
      </c>
      <c r="K251" s="31" t="n">
        <f aca="false">IF(OR($F251="",$J251="-"),0,ROUND($F251-$F251/(1+$H251),2))</f>
        <v>0</v>
      </c>
      <c r="L251" s="31" t="n">
        <f aca="false">IF($F251="",0,$F251-$K251)</f>
        <v>0</v>
      </c>
      <c r="M251" s="31" t="n">
        <f aca="false">IF($F251="",0,IF($J251="V",$L251,$F251))</f>
        <v>0</v>
      </c>
      <c r="N251" s="31" t="n">
        <f aca="false">IF($F251="",0,IF($J251="U",$L251,$F251))</f>
        <v>0</v>
      </c>
      <c r="O251" s="35" t="str">
        <f aca="false">IF($A251="","",MONTH($A251))</f>
        <v/>
      </c>
      <c r="P251" s="35" t="str">
        <f aca="false">IF($A251="","",ROUNDUP(MONTH($A251)/3,0))</f>
        <v/>
      </c>
      <c r="Q251" s="35" t="str">
        <f aca="false">IF($A251="","",IF(MONTH($A251)&lt;=6,1,2))</f>
        <v/>
      </c>
      <c r="R251" s="35" t="str">
        <f aca="false">IF($E251="","",IFERROR(INDEX(Kontenplan!$F$5:$F$90,MATCH($E251,Kontenplan!$A$5:$A$90,0)),""))</f>
        <v/>
      </c>
      <c r="S251" s="35" t="str">
        <f aca="false">IF($D251="","",IFERROR(INDEX(Kontenplan!$F$5:$F$90,MATCH($D251,Kontenplan!$A$5:$A$90,0)),""))</f>
        <v/>
      </c>
      <c r="T251" s="35" t="str">
        <f aca="false">IF($D251="","",IFERROR(INDEX(Kontenplan!$C$5:$C$90,MATCH($D251,Kontenplan!$A$5:$A$90,0)),"?"))</f>
        <v/>
      </c>
      <c r="U251" s="35" t="str">
        <f aca="false">IF($E251="","",IFERROR(INDEX(Kontenplan!$C$5:$C$90,MATCH($E251,Kontenplan!$A$5:$A$90,0)),"?"))</f>
        <v/>
      </c>
      <c r="V251" s="35" t="str">
        <f aca="false">IF($F251="","",IF(OR($D251="",$E251="",$T251="?",$U251="?"),"Konto prüfen!",IF($A251="","Datum fehlt",IF(YEAR($A251)&lt;&gt;Einstellungen!$B$7,"anderes Jahr!",IF($G251="","MWST-Code fehlt","OK")))))</f>
        <v/>
      </c>
      <c r="W251" s="35" t="str">
        <f aca="false">IF($F251="","",IF(OR($D251=Kontoauszug!$C$4,$E251=Kontoauszug!$C$4),MAX(W$4:W250)+1,""))</f>
        <v/>
      </c>
    </row>
    <row r="252" customFormat="false" ht="15" hidden="false" customHeight="false" outlineLevel="0" collapsed="false">
      <c r="A252" s="33"/>
      <c r="B252" s="32"/>
      <c r="C252" s="32"/>
      <c r="D252" s="32"/>
      <c r="E252" s="32"/>
      <c r="F252" s="30"/>
      <c r="G252" s="32"/>
      <c r="H252" s="34" t="n">
        <f aca="false">IF($G252="",0,IFERROR(INDEX(Einstellungen!$G$5:$G$11,MATCH($G252,Einstellungen!$E$5:$E$11,0)),0))</f>
        <v>0</v>
      </c>
      <c r="I252" s="35" t="str">
        <f aca="false">IF($G252="","-",IFERROR(INDEX(Einstellungen!$H$5:$H$11,MATCH($G252,Einstellungen!$E$5:$E$11,0)),"-"))</f>
        <v>-</v>
      </c>
      <c r="J252" s="35" t="str">
        <f aca="false">IF(AND(Einstellungen!$B$8="Ja",Einstellungen!$B$9="Effektiv"),$I252,"-")</f>
        <v>-</v>
      </c>
      <c r="K252" s="31" t="n">
        <f aca="false">IF(OR($F252="",$J252="-"),0,ROUND($F252-$F252/(1+$H252),2))</f>
        <v>0</v>
      </c>
      <c r="L252" s="31" t="n">
        <f aca="false">IF($F252="",0,$F252-$K252)</f>
        <v>0</v>
      </c>
      <c r="M252" s="31" t="n">
        <f aca="false">IF($F252="",0,IF($J252="V",$L252,$F252))</f>
        <v>0</v>
      </c>
      <c r="N252" s="31" t="n">
        <f aca="false">IF($F252="",0,IF($J252="U",$L252,$F252))</f>
        <v>0</v>
      </c>
      <c r="O252" s="35" t="str">
        <f aca="false">IF($A252="","",MONTH($A252))</f>
        <v/>
      </c>
      <c r="P252" s="35" t="str">
        <f aca="false">IF($A252="","",ROUNDUP(MONTH($A252)/3,0))</f>
        <v/>
      </c>
      <c r="Q252" s="35" t="str">
        <f aca="false">IF($A252="","",IF(MONTH($A252)&lt;=6,1,2))</f>
        <v/>
      </c>
      <c r="R252" s="35" t="str">
        <f aca="false">IF($E252="","",IFERROR(INDEX(Kontenplan!$F$5:$F$90,MATCH($E252,Kontenplan!$A$5:$A$90,0)),""))</f>
        <v/>
      </c>
      <c r="S252" s="35" t="str">
        <f aca="false">IF($D252="","",IFERROR(INDEX(Kontenplan!$F$5:$F$90,MATCH($D252,Kontenplan!$A$5:$A$90,0)),""))</f>
        <v/>
      </c>
      <c r="T252" s="35" t="str">
        <f aca="false">IF($D252="","",IFERROR(INDEX(Kontenplan!$C$5:$C$90,MATCH($D252,Kontenplan!$A$5:$A$90,0)),"?"))</f>
        <v/>
      </c>
      <c r="U252" s="35" t="str">
        <f aca="false">IF($E252="","",IFERROR(INDEX(Kontenplan!$C$5:$C$90,MATCH($E252,Kontenplan!$A$5:$A$90,0)),"?"))</f>
        <v/>
      </c>
      <c r="V252" s="35" t="str">
        <f aca="false">IF($F252="","",IF(OR($D252="",$E252="",$T252="?",$U252="?"),"Konto prüfen!",IF($A252="","Datum fehlt",IF(YEAR($A252)&lt;&gt;Einstellungen!$B$7,"anderes Jahr!",IF($G252="","MWST-Code fehlt","OK")))))</f>
        <v/>
      </c>
      <c r="W252" s="35" t="str">
        <f aca="false">IF($F252="","",IF(OR($D252=Kontoauszug!$C$4,$E252=Kontoauszug!$C$4),MAX(W$4:W251)+1,""))</f>
        <v/>
      </c>
    </row>
    <row r="253" customFormat="false" ht="15" hidden="false" customHeight="false" outlineLevel="0" collapsed="false">
      <c r="A253" s="33"/>
      <c r="B253" s="32"/>
      <c r="C253" s="32"/>
      <c r="D253" s="32"/>
      <c r="E253" s="32"/>
      <c r="F253" s="30"/>
      <c r="G253" s="32"/>
      <c r="H253" s="34" t="n">
        <f aca="false">IF($G253="",0,IFERROR(INDEX(Einstellungen!$G$5:$G$11,MATCH($G253,Einstellungen!$E$5:$E$11,0)),0))</f>
        <v>0</v>
      </c>
      <c r="I253" s="35" t="str">
        <f aca="false">IF($G253="","-",IFERROR(INDEX(Einstellungen!$H$5:$H$11,MATCH($G253,Einstellungen!$E$5:$E$11,0)),"-"))</f>
        <v>-</v>
      </c>
      <c r="J253" s="35" t="str">
        <f aca="false">IF(AND(Einstellungen!$B$8="Ja",Einstellungen!$B$9="Effektiv"),$I253,"-")</f>
        <v>-</v>
      </c>
      <c r="K253" s="31" t="n">
        <f aca="false">IF(OR($F253="",$J253="-"),0,ROUND($F253-$F253/(1+$H253),2))</f>
        <v>0</v>
      </c>
      <c r="L253" s="31" t="n">
        <f aca="false">IF($F253="",0,$F253-$K253)</f>
        <v>0</v>
      </c>
      <c r="M253" s="31" t="n">
        <f aca="false">IF($F253="",0,IF($J253="V",$L253,$F253))</f>
        <v>0</v>
      </c>
      <c r="N253" s="31" t="n">
        <f aca="false">IF($F253="",0,IF($J253="U",$L253,$F253))</f>
        <v>0</v>
      </c>
      <c r="O253" s="35" t="str">
        <f aca="false">IF($A253="","",MONTH($A253))</f>
        <v/>
      </c>
      <c r="P253" s="35" t="str">
        <f aca="false">IF($A253="","",ROUNDUP(MONTH($A253)/3,0))</f>
        <v/>
      </c>
      <c r="Q253" s="35" t="str">
        <f aca="false">IF($A253="","",IF(MONTH($A253)&lt;=6,1,2))</f>
        <v/>
      </c>
      <c r="R253" s="35" t="str">
        <f aca="false">IF($E253="","",IFERROR(INDEX(Kontenplan!$F$5:$F$90,MATCH($E253,Kontenplan!$A$5:$A$90,0)),""))</f>
        <v/>
      </c>
      <c r="S253" s="35" t="str">
        <f aca="false">IF($D253="","",IFERROR(INDEX(Kontenplan!$F$5:$F$90,MATCH($D253,Kontenplan!$A$5:$A$90,0)),""))</f>
        <v/>
      </c>
      <c r="T253" s="35" t="str">
        <f aca="false">IF($D253="","",IFERROR(INDEX(Kontenplan!$C$5:$C$90,MATCH($D253,Kontenplan!$A$5:$A$90,0)),"?"))</f>
        <v/>
      </c>
      <c r="U253" s="35" t="str">
        <f aca="false">IF($E253="","",IFERROR(INDEX(Kontenplan!$C$5:$C$90,MATCH($E253,Kontenplan!$A$5:$A$90,0)),"?"))</f>
        <v/>
      </c>
      <c r="V253" s="35" t="str">
        <f aca="false">IF($F253="","",IF(OR($D253="",$E253="",$T253="?",$U253="?"),"Konto prüfen!",IF($A253="","Datum fehlt",IF(YEAR($A253)&lt;&gt;Einstellungen!$B$7,"anderes Jahr!",IF($G253="","MWST-Code fehlt","OK")))))</f>
        <v/>
      </c>
      <c r="W253" s="35" t="str">
        <f aca="false">IF($F253="","",IF(OR($D253=Kontoauszug!$C$4,$E253=Kontoauszug!$C$4),MAX(W$4:W252)+1,""))</f>
        <v/>
      </c>
    </row>
    <row r="254" customFormat="false" ht="15" hidden="false" customHeight="false" outlineLevel="0" collapsed="false">
      <c r="A254" s="33"/>
      <c r="B254" s="32"/>
      <c r="C254" s="32"/>
      <c r="D254" s="32"/>
      <c r="E254" s="32"/>
      <c r="F254" s="30"/>
      <c r="G254" s="32"/>
      <c r="H254" s="34" t="n">
        <f aca="false">IF($G254="",0,IFERROR(INDEX(Einstellungen!$G$5:$G$11,MATCH($G254,Einstellungen!$E$5:$E$11,0)),0))</f>
        <v>0</v>
      </c>
      <c r="I254" s="35" t="str">
        <f aca="false">IF($G254="","-",IFERROR(INDEX(Einstellungen!$H$5:$H$11,MATCH($G254,Einstellungen!$E$5:$E$11,0)),"-"))</f>
        <v>-</v>
      </c>
      <c r="J254" s="35" t="str">
        <f aca="false">IF(AND(Einstellungen!$B$8="Ja",Einstellungen!$B$9="Effektiv"),$I254,"-")</f>
        <v>-</v>
      </c>
      <c r="K254" s="31" t="n">
        <f aca="false">IF(OR($F254="",$J254="-"),0,ROUND($F254-$F254/(1+$H254),2))</f>
        <v>0</v>
      </c>
      <c r="L254" s="31" t="n">
        <f aca="false">IF($F254="",0,$F254-$K254)</f>
        <v>0</v>
      </c>
      <c r="M254" s="31" t="n">
        <f aca="false">IF($F254="",0,IF($J254="V",$L254,$F254))</f>
        <v>0</v>
      </c>
      <c r="N254" s="31" t="n">
        <f aca="false">IF($F254="",0,IF($J254="U",$L254,$F254))</f>
        <v>0</v>
      </c>
      <c r="O254" s="35" t="str">
        <f aca="false">IF($A254="","",MONTH($A254))</f>
        <v/>
      </c>
      <c r="P254" s="35" t="str">
        <f aca="false">IF($A254="","",ROUNDUP(MONTH($A254)/3,0))</f>
        <v/>
      </c>
      <c r="Q254" s="35" t="str">
        <f aca="false">IF($A254="","",IF(MONTH($A254)&lt;=6,1,2))</f>
        <v/>
      </c>
      <c r="R254" s="35" t="str">
        <f aca="false">IF($E254="","",IFERROR(INDEX(Kontenplan!$F$5:$F$90,MATCH($E254,Kontenplan!$A$5:$A$90,0)),""))</f>
        <v/>
      </c>
      <c r="S254" s="35" t="str">
        <f aca="false">IF($D254="","",IFERROR(INDEX(Kontenplan!$F$5:$F$90,MATCH($D254,Kontenplan!$A$5:$A$90,0)),""))</f>
        <v/>
      </c>
      <c r="T254" s="35" t="str">
        <f aca="false">IF($D254="","",IFERROR(INDEX(Kontenplan!$C$5:$C$90,MATCH($D254,Kontenplan!$A$5:$A$90,0)),"?"))</f>
        <v/>
      </c>
      <c r="U254" s="35" t="str">
        <f aca="false">IF($E254="","",IFERROR(INDEX(Kontenplan!$C$5:$C$90,MATCH($E254,Kontenplan!$A$5:$A$90,0)),"?"))</f>
        <v/>
      </c>
      <c r="V254" s="35" t="str">
        <f aca="false">IF($F254="","",IF(OR($D254="",$E254="",$T254="?",$U254="?"),"Konto prüfen!",IF($A254="","Datum fehlt",IF(YEAR($A254)&lt;&gt;Einstellungen!$B$7,"anderes Jahr!",IF($G254="","MWST-Code fehlt","OK")))))</f>
        <v/>
      </c>
      <c r="W254" s="35" t="str">
        <f aca="false">IF($F254="","",IF(OR($D254=Kontoauszug!$C$4,$E254=Kontoauszug!$C$4),MAX(W$4:W253)+1,""))</f>
        <v/>
      </c>
    </row>
    <row r="255" customFormat="false" ht="15" hidden="false" customHeight="false" outlineLevel="0" collapsed="false">
      <c r="A255" s="33"/>
      <c r="B255" s="32"/>
      <c r="C255" s="32"/>
      <c r="D255" s="32"/>
      <c r="E255" s="32"/>
      <c r="F255" s="30"/>
      <c r="G255" s="32"/>
      <c r="H255" s="34" t="n">
        <f aca="false">IF($G255="",0,IFERROR(INDEX(Einstellungen!$G$5:$G$11,MATCH($G255,Einstellungen!$E$5:$E$11,0)),0))</f>
        <v>0</v>
      </c>
      <c r="I255" s="35" t="str">
        <f aca="false">IF($G255="","-",IFERROR(INDEX(Einstellungen!$H$5:$H$11,MATCH($G255,Einstellungen!$E$5:$E$11,0)),"-"))</f>
        <v>-</v>
      </c>
      <c r="J255" s="35" t="str">
        <f aca="false">IF(AND(Einstellungen!$B$8="Ja",Einstellungen!$B$9="Effektiv"),$I255,"-")</f>
        <v>-</v>
      </c>
      <c r="K255" s="31" t="n">
        <f aca="false">IF(OR($F255="",$J255="-"),0,ROUND($F255-$F255/(1+$H255),2))</f>
        <v>0</v>
      </c>
      <c r="L255" s="31" t="n">
        <f aca="false">IF($F255="",0,$F255-$K255)</f>
        <v>0</v>
      </c>
      <c r="M255" s="31" t="n">
        <f aca="false">IF($F255="",0,IF($J255="V",$L255,$F255))</f>
        <v>0</v>
      </c>
      <c r="N255" s="31" t="n">
        <f aca="false">IF($F255="",0,IF($J255="U",$L255,$F255))</f>
        <v>0</v>
      </c>
      <c r="O255" s="35" t="str">
        <f aca="false">IF($A255="","",MONTH($A255))</f>
        <v/>
      </c>
      <c r="P255" s="35" t="str">
        <f aca="false">IF($A255="","",ROUNDUP(MONTH($A255)/3,0))</f>
        <v/>
      </c>
      <c r="Q255" s="35" t="str">
        <f aca="false">IF($A255="","",IF(MONTH($A255)&lt;=6,1,2))</f>
        <v/>
      </c>
      <c r="R255" s="35" t="str">
        <f aca="false">IF($E255="","",IFERROR(INDEX(Kontenplan!$F$5:$F$90,MATCH($E255,Kontenplan!$A$5:$A$90,0)),""))</f>
        <v/>
      </c>
      <c r="S255" s="35" t="str">
        <f aca="false">IF($D255="","",IFERROR(INDEX(Kontenplan!$F$5:$F$90,MATCH($D255,Kontenplan!$A$5:$A$90,0)),""))</f>
        <v/>
      </c>
      <c r="T255" s="35" t="str">
        <f aca="false">IF($D255="","",IFERROR(INDEX(Kontenplan!$C$5:$C$90,MATCH($D255,Kontenplan!$A$5:$A$90,0)),"?"))</f>
        <v/>
      </c>
      <c r="U255" s="35" t="str">
        <f aca="false">IF($E255="","",IFERROR(INDEX(Kontenplan!$C$5:$C$90,MATCH($E255,Kontenplan!$A$5:$A$90,0)),"?"))</f>
        <v/>
      </c>
      <c r="V255" s="35" t="str">
        <f aca="false">IF($F255="","",IF(OR($D255="",$E255="",$T255="?",$U255="?"),"Konto prüfen!",IF($A255="","Datum fehlt",IF(YEAR($A255)&lt;&gt;Einstellungen!$B$7,"anderes Jahr!",IF($G255="","MWST-Code fehlt","OK")))))</f>
        <v/>
      </c>
      <c r="W255" s="35" t="str">
        <f aca="false">IF($F255="","",IF(OR($D255=Kontoauszug!$C$4,$E255=Kontoauszug!$C$4),MAX(W$4:W254)+1,""))</f>
        <v/>
      </c>
    </row>
    <row r="256" customFormat="false" ht="15" hidden="false" customHeight="false" outlineLevel="0" collapsed="false">
      <c r="A256" s="33"/>
      <c r="B256" s="32"/>
      <c r="C256" s="32"/>
      <c r="D256" s="32"/>
      <c r="E256" s="32"/>
      <c r="F256" s="30"/>
      <c r="G256" s="32"/>
      <c r="H256" s="34" t="n">
        <f aca="false">IF($G256="",0,IFERROR(INDEX(Einstellungen!$G$5:$G$11,MATCH($G256,Einstellungen!$E$5:$E$11,0)),0))</f>
        <v>0</v>
      </c>
      <c r="I256" s="35" t="str">
        <f aca="false">IF($G256="","-",IFERROR(INDEX(Einstellungen!$H$5:$H$11,MATCH($G256,Einstellungen!$E$5:$E$11,0)),"-"))</f>
        <v>-</v>
      </c>
      <c r="J256" s="35" t="str">
        <f aca="false">IF(AND(Einstellungen!$B$8="Ja",Einstellungen!$B$9="Effektiv"),$I256,"-")</f>
        <v>-</v>
      </c>
      <c r="K256" s="31" t="n">
        <f aca="false">IF(OR($F256="",$J256="-"),0,ROUND($F256-$F256/(1+$H256),2))</f>
        <v>0</v>
      </c>
      <c r="L256" s="31" t="n">
        <f aca="false">IF($F256="",0,$F256-$K256)</f>
        <v>0</v>
      </c>
      <c r="M256" s="31" t="n">
        <f aca="false">IF($F256="",0,IF($J256="V",$L256,$F256))</f>
        <v>0</v>
      </c>
      <c r="N256" s="31" t="n">
        <f aca="false">IF($F256="",0,IF($J256="U",$L256,$F256))</f>
        <v>0</v>
      </c>
      <c r="O256" s="35" t="str">
        <f aca="false">IF($A256="","",MONTH($A256))</f>
        <v/>
      </c>
      <c r="P256" s="35" t="str">
        <f aca="false">IF($A256="","",ROUNDUP(MONTH($A256)/3,0))</f>
        <v/>
      </c>
      <c r="Q256" s="35" t="str">
        <f aca="false">IF($A256="","",IF(MONTH($A256)&lt;=6,1,2))</f>
        <v/>
      </c>
      <c r="R256" s="35" t="str">
        <f aca="false">IF($E256="","",IFERROR(INDEX(Kontenplan!$F$5:$F$90,MATCH($E256,Kontenplan!$A$5:$A$90,0)),""))</f>
        <v/>
      </c>
      <c r="S256" s="35" t="str">
        <f aca="false">IF($D256="","",IFERROR(INDEX(Kontenplan!$F$5:$F$90,MATCH($D256,Kontenplan!$A$5:$A$90,0)),""))</f>
        <v/>
      </c>
      <c r="T256" s="35" t="str">
        <f aca="false">IF($D256="","",IFERROR(INDEX(Kontenplan!$C$5:$C$90,MATCH($D256,Kontenplan!$A$5:$A$90,0)),"?"))</f>
        <v/>
      </c>
      <c r="U256" s="35" t="str">
        <f aca="false">IF($E256="","",IFERROR(INDEX(Kontenplan!$C$5:$C$90,MATCH($E256,Kontenplan!$A$5:$A$90,0)),"?"))</f>
        <v/>
      </c>
      <c r="V256" s="35" t="str">
        <f aca="false">IF($F256="","",IF(OR($D256="",$E256="",$T256="?",$U256="?"),"Konto prüfen!",IF($A256="","Datum fehlt",IF(YEAR($A256)&lt;&gt;Einstellungen!$B$7,"anderes Jahr!",IF($G256="","MWST-Code fehlt","OK")))))</f>
        <v/>
      </c>
      <c r="W256" s="35" t="str">
        <f aca="false">IF($F256="","",IF(OR($D256=Kontoauszug!$C$4,$E256=Kontoauszug!$C$4),MAX(W$4:W255)+1,""))</f>
        <v/>
      </c>
    </row>
    <row r="257" customFormat="false" ht="15" hidden="false" customHeight="false" outlineLevel="0" collapsed="false">
      <c r="A257" s="33"/>
      <c r="B257" s="32"/>
      <c r="C257" s="32"/>
      <c r="D257" s="32"/>
      <c r="E257" s="32"/>
      <c r="F257" s="30"/>
      <c r="G257" s="32"/>
      <c r="H257" s="34" t="n">
        <f aca="false">IF($G257="",0,IFERROR(INDEX(Einstellungen!$G$5:$G$11,MATCH($G257,Einstellungen!$E$5:$E$11,0)),0))</f>
        <v>0</v>
      </c>
      <c r="I257" s="35" t="str">
        <f aca="false">IF($G257="","-",IFERROR(INDEX(Einstellungen!$H$5:$H$11,MATCH($G257,Einstellungen!$E$5:$E$11,0)),"-"))</f>
        <v>-</v>
      </c>
      <c r="J257" s="35" t="str">
        <f aca="false">IF(AND(Einstellungen!$B$8="Ja",Einstellungen!$B$9="Effektiv"),$I257,"-")</f>
        <v>-</v>
      </c>
      <c r="K257" s="31" t="n">
        <f aca="false">IF(OR($F257="",$J257="-"),0,ROUND($F257-$F257/(1+$H257),2))</f>
        <v>0</v>
      </c>
      <c r="L257" s="31" t="n">
        <f aca="false">IF($F257="",0,$F257-$K257)</f>
        <v>0</v>
      </c>
      <c r="M257" s="31" t="n">
        <f aca="false">IF($F257="",0,IF($J257="V",$L257,$F257))</f>
        <v>0</v>
      </c>
      <c r="N257" s="31" t="n">
        <f aca="false">IF($F257="",0,IF($J257="U",$L257,$F257))</f>
        <v>0</v>
      </c>
      <c r="O257" s="35" t="str">
        <f aca="false">IF($A257="","",MONTH($A257))</f>
        <v/>
      </c>
      <c r="P257" s="35" t="str">
        <f aca="false">IF($A257="","",ROUNDUP(MONTH($A257)/3,0))</f>
        <v/>
      </c>
      <c r="Q257" s="35" t="str">
        <f aca="false">IF($A257="","",IF(MONTH($A257)&lt;=6,1,2))</f>
        <v/>
      </c>
      <c r="R257" s="35" t="str">
        <f aca="false">IF($E257="","",IFERROR(INDEX(Kontenplan!$F$5:$F$90,MATCH($E257,Kontenplan!$A$5:$A$90,0)),""))</f>
        <v/>
      </c>
      <c r="S257" s="35" t="str">
        <f aca="false">IF($D257="","",IFERROR(INDEX(Kontenplan!$F$5:$F$90,MATCH($D257,Kontenplan!$A$5:$A$90,0)),""))</f>
        <v/>
      </c>
      <c r="T257" s="35" t="str">
        <f aca="false">IF($D257="","",IFERROR(INDEX(Kontenplan!$C$5:$C$90,MATCH($D257,Kontenplan!$A$5:$A$90,0)),"?"))</f>
        <v/>
      </c>
      <c r="U257" s="35" t="str">
        <f aca="false">IF($E257="","",IFERROR(INDEX(Kontenplan!$C$5:$C$90,MATCH($E257,Kontenplan!$A$5:$A$90,0)),"?"))</f>
        <v/>
      </c>
      <c r="V257" s="35" t="str">
        <f aca="false">IF($F257="","",IF(OR($D257="",$E257="",$T257="?",$U257="?"),"Konto prüfen!",IF($A257="","Datum fehlt",IF(YEAR($A257)&lt;&gt;Einstellungen!$B$7,"anderes Jahr!",IF($G257="","MWST-Code fehlt","OK")))))</f>
        <v/>
      </c>
      <c r="W257" s="35" t="str">
        <f aca="false">IF($F257="","",IF(OR($D257=Kontoauszug!$C$4,$E257=Kontoauszug!$C$4),MAX(W$4:W256)+1,""))</f>
        <v/>
      </c>
    </row>
    <row r="258" customFormat="false" ht="15" hidden="false" customHeight="false" outlineLevel="0" collapsed="false">
      <c r="A258" s="33"/>
      <c r="B258" s="32"/>
      <c r="C258" s="32"/>
      <c r="D258" s="32"/>
      <c r="E258" s="32"/>
      <c r="F258" s="30"/>
      <c r="G258" s="32"/>
      <c r="H258" s="34" t="n">
        <f aca="false">IF($G258="",0,IFERROR(INDEX(Einstellungen!$G$5:$G$11,MATCH($G258,Einstellungen!$E$5:$E$11,0)),0))</f>
        <v>0</v>
      </c>
      <c r="I258" s="35" t="str">
        <f aca="false">IF($G258="","-",IFERROR(INDEX(Einstellungen!$H$5:$H$11,MATCH($G258,Einstellungen!$E$5:$E$11,0)),"-"))</f>
        <v>-</v>
      </c>
      <c r="J258" s="35" t="str">
        <f aca="false">IF(AND(Einstellungen!$B$8="Ja",Einstellungen!$B$9="Effektiv"),$I258,"-")</f>
        <v>-</v>
      </c>
      <c r="K258" s="31" t="n">
        <f aca="false">IF(OR($F258="",$J258="-"),0,ROUND($F258-$F258/(1+$H258),2))</f>
        <v>0</v>
      </c>
      <c r="L258" s="31" t="n">
        <f aca="false">IF($F258="",0,$F258-$K258)</f>
        <v>0</v>
      </c>
      <c r="M258" s="31" t="n">
        <f aca="false">IF($F258="",0,IF($J258="V",$L258,$F258))</f>
        <v>0</v>
      </c>
      <c r="N258" s="31" t="n">
        <f aca="false">IF($F258="",0,IF($J258="U",$L258,$F258))</f>
        <v>0</v>
      </c>
      <c r="O258" s="35" t="str">
        <f aca="false">IF($A258="","",MONTH($A258))</f>
        <v/>
      </c>
      <c r="P258" s="35" t="str">
        <f aca="false">IF($A258="","",ROUNDUP(MONTH($A258)/3,0))</f>
        <v/>
      </c>
      <c r="Q258" s="35" t="str">
        <f aca="false">IF($A258="","",IF(MONTH($A258)&lt;=6,1,2))</f>
        <v/>
      </c>
      <c r="R258" s="35" t="str">
        <f aca="false">IF($E258="","",IFERROR(INDEX(Kontenplan!$F$5:$F$90,MATCH($E258,Kontenplan!$A$5:$A$90,0)),""))</f>
        <v/>
      </c>
      <c r="S258" s="35" t="str">
        <f aca="false">IF($D258="","",IFERROR(INDEX(Kontenplan!$F$5:$F$90,MATCH($D258,Kontenplan!$A$5:$A$90,0)),""))</f>
        <v/>
      </c>
      <c r="T258" s="35" t="str">
        <f aca="false">IF($D258="","",IFERROR(INDEX(Kontenplan!$C$5:$C$90,MATCH($D258,Kontenplan!$A$5:$A$90,0)),"?"))</f>
        <v/>
      </c>
      <c r="U258" s="35" t="str">
        <f aca="false">IF($E258="","",IFERROR(INDEX(Kontenplan!$C$5:$C$90,MATCH($E258,Kontenplan!$A$5:$A$90,0)),"?"))</f>
        <v/>
      </c>
      <c r="V258" s="35" t="str">
        <f aca="false">IF($F258="","",IF(OR($D258="",$E258="",$T258="?",$U258="?"),"Konto prüfen!",IF($A258="","Datum fehlt",IF(YEAR($A258)&lt;&gt;Einstellungen!$B$7,"anderes Jahr!",IF($G258="","MWST-Code fehlt","OK")))))</f>
        <v/>
      </c>
      <c r="W258" s="35" t="str">
        <f aca="false">IF($F258="","",IF(OR($D258=Kontoauszug!$C$4,$E258=Kontoauszug!$C$4),MAX(W$4:W257)+1,""))</f>
        <v/>
      </c>
    </row>
    <row r="259" customFormat="false" ht="15" hidden="false" customHeight="false" outlineLevel="0" collapsed="false">
      <c r="A259" s="33"/>
      <c r="B259" s="32"/>
      <c r="C259" s="32"/>
      <c r="D259" s="32"/>
      <c r="E259" s="32"/>
      <c r="F259" s="30"/>
      <c r="G259" s="32"/>
      <c r="H259" s="34" t="n">
        <f aca="false">IF($G259="",0,IFERROR(INDEX(Einstellungen!$G$5:$G$11,MATCH($G259,Einstellungen!$E$5:$E$11,0)),0))</f>
        <v>0</v>
      </c>
      <c r="I259" s="35" t="str">
        <f aca="false">IF($G259="","-",IFERROR(INDEX(Einstellungen!$H$5:$H$11,MATCH($G259,Einstellungen!$E$5:$E$11,0)),"-"))</f>
        <v>-</v>
      </c>
      <c r="J259" s="35" t="str">
        <f aca="false">IF(AND(Einstellungen!$B$8="Ja",Einstellungen!$B$9="Effektiv"),$I259,"-")</f>
        <v>-</v>
      </c>
      <c r="K259" s="31" t="n">
        <f aca="false">IF(OR($F259="",$J259="-"),0,ROUND($F259-$F259/(1+$H259),2))</f>
        <v>0</v>
      </c>
      <c r="L259" s="31" t="n">
        <f aca="false">IF($F259="",0,$F259-$K259)</f>
        <v>0</v>
      </c>
      <c r="M259" s="31" t="n">
        <f aca="false">IF($F259="",0,IF($J259="V",$L259,$F259))</f>
        <v>0</v>
      </c>
      <c r="N259" s="31" t="n">
        <f aca="false">IF($F259="",0,IF($J259="U",$L259,$F259))</f>
        <v>0</v>
      </c>
      <c r="O259" s="35" t="str">
        <f aca="false">IF($A259="","",MONTH($A259))</f>
        <v/>
      </c>
      <c r="P259" s="35" t="str">
        <f aca="false">IF($A259="","",ROUNDUP(MONTH($A259)/3,0))</f>
        <v/>
      </c>
      <c r="Q259" s="35" t="str">
        <f aca="false">IF($A259="","",IF(MONTH($A259)&lt;=6,1,2))</f>
        <v/>
      </c>
      <c r="R259" s="35" t="str">
        <f aca="false">IF($E259="","",IFERROR(INDEX(Kontenplan!$F$5:$F$90,MATCH($E259,Kontenplan!$A$5:$A$90,0)),""))</f>
        <v/>
      </c>
      <c r="S259" s="35" t="str">
        <f aca="false">IF($D259="","",IFERROR(INDEX(Kontenplan!$F$5:$F$90,MATCH($D259,Kontenplan!$A$5:$A$90,0)),""))</f>
        <v/>
      </c>
      <c r="T259" s="35" t="str">
        <f aca="false">IF($D259="","",IFERROR(INDEX(Kontenplan!$C$5:$C$90,MATCH($D259,Kontenplan!$A$5:$A$90,0)),"?"))</f>
        <v/>
      </c>
      <c r="U259" s="35" t="str">
        <f aca="false">IF($E259="","",IFERROR(INDEX(Kontenplan!$C$5:$C$90,MATCH($E259,Kontenplan!$A$5:$A$90,0)),"?"))</f>
        <v/>
      </c>
      <c r="V259" s="35" t="str">
        <f aca="false">IF($F259="","",IF(OR($D259="",$E259="",$T259="?",$U259="?"),"Konto prüfen!",IF($A259="","Datum fehlt",IF(YEAR($A259)&lt;&gt;Einstellungen!$B$7,"anderes Jahr!",IF($G259="","MWST-Code fehlt","OK")))))</f>
        <v/>
      </c>
      <c r="W259" s="35" t="str">
        <f aca="false">IF($F259="","",IF(OR($D259=Kontoauszug!$C$4,$E259=Kontoauszug!$C$4),MAX(W$4:W258)+1,""))</f>
        <v/>
      </c>
    </row>
    <row r="260" customFormat="false" ht="15" hidden="false" customHeight="false" outlineLevel="0" collapsed="false">
      <c r="A260" s="33"/>
      <c r="B260" s="32"/>
      <c r="C260" s="32"/>
      <c r="D260" s="32"/>
      <c r="E260" s="32"/>
      <c r="F260" s="30"/>
      <c r="G260" s="32"/>
      <c r="H260" s="34" t="n">
        <f aca="false">IF($G260="",0,IFERROR(INDEX(Einstellungen!$G$5:$G$11,MATCH($G260,Einstellungen!$E$5:$E$11,0)),0))</f>
        <v>0</v>
      </c>
      <c r="I260" s="35" t="str">
        <f aca="false">IF($G260="","-",IFERROR(INDEX(Einstellungen!$H$5:$H$11,MATCH($G260,Einstellungen!$E$5:$E$11,0)),"-"))</f>
        <v>-</v>
      </c>
      <c r="J260" s="35" t="str">
        <f aca="false">IF(AND(Einstellungen!$B$8="Ja",Einstellungen!$B$9="Effektiv"),$I260,"-")</f>
        <v>-</v>
      </c>
      <c r="K260" s="31" t="n">
        <f aca="false">IF(OR($F260="",$J260="-"),0,ROUND($F260-$F260/(1+$H260),2))</f>
        <v>0</v>
      </c>
      <c r="L260" s="31" t="n">
        <f aca="false">IF($F260="",0,$F260-$K260)</f>
        <v>0</v>
      </c>
      <c r="M260" s="31" t="n">
        <f aca="false">IF($F260="",0,IF($J260="V",$L260,$F260))</f>
        <v>0</v>
      </c>
      <c r="N260" s="31" t="n">
        <f aca="false">IF($F260="",0,IF($J260="U",$L260,$F260))</f>
        <v>0</v>
      </c>
      <c r="O260" s="35" t="str">
        <f aca="false">IF($A260="","",MONTH($A260))</f>
        <v/>
      </c>
      <c r="P260" s="35" t="str">
        <f aca="false">IF($A260="","",ROUNDUP(MONTH($A260)/3,0))</f>
        <v/>
      </c>
      <c r="Q260" s="35" t="str">
        <f aca="false">IF($A260="","",IF(MONTH($A260)&lt;=6,1,2))</f>
        <v/>
      </c>
      <c r="R260" s="35" t="str">
        <f aca="false">IF($E260="","",IFERROR(INDEX(Kontenplan!$F$5:$F$90,MATCH($E260,Kontenplan!$A$5:$A$90,0)),""))</f>
        <v/>
      </c>
      <c r="S260" s="35" t="str">
        <f aca="false">IF($D260="","",IFERROR(INDEX(Kontenplan!$F$5:$F$90,MATCH($D260,Kontenplan!$A$5:$A$90,0)),""))</f>
        <v/>
      </c>
      <c r="T260" s="35" t="str">
        <f aca="false">IF($D260="","",IFERROR(INDEX(Kontenplan!$C$5:$C$90,MATCH($D260,Kontenplan!$A$5:$A$90,0)),"?"))</f>
        <v/>
      </c>
      <c r="U260" s="35" t="str">
        <f aca="false">IF($E260="","",IFERROR(INDEX(Kontenplan!$C$5:$C$90,MATCH($E260,Kontenplan!$A$5:$A$90,0)),"?"))</f>
        <v/>
      </c>
      <c r="V260" s="35" t="str">
        <f aca="false">IF($F260="","",IF(OR($D260="",$E260="",$T260="?",$U260="?"),"Konto prüfen!",IF($A260="","Datum fehlt",IF(YEAR($A260)&lt;&gt;Einstellungen!$B$7,"anderes Jahr!",IF($G260="","MWST-Code fehlt","OK")))))</f>
        <v/>
      </c>
      <c r="W260" s="35" t="str">
        <f aca="false">IF($F260="","",IF(OR($D260=Kontoauszug!$C$4,$E260=Kontoauszug!$C$4),MAX(W$4:W259)+1,""))</f>
        <v/>
      </c>
    </row>
    <row r="261" customFormat="false" ht="15" hidden="false" customHeight="false" outlineLevel="0" collapsed="false">
      <c r="A261" s="33"/>
      <c r="B261" s="32"/>
      <c r="C261" s="32"/>
      <c r="D261" s="32"/>
      <c r="E261" s="32"/>
      <c r="F261" s="30"/>
      <c r="G261" s="32"/>
      <c r="H261" s="34" t="n">
        <f aca="false">IF($G261="",0,IFERROR(INDEX(Einstellungen!$G$5:$G$11,MATCH($G261,Einstellungen!$E$5:$E$11,0)),0))</f>
        <v>0</v>
      </c>
      <c r="I261" s="35" t="str">
        <f aca="false">IF($G261="","-",IFERROR(INDEX(Einstellungen!$H$5:$H$11,MATCH($G261,Einstellungen!$E$5:$E$11,0)),"-"))</f>
        <v>-</v>
      </c>
      <c r="J261" s="35" t="str">
        <f aca="false">IF(AND(Einstellungen!$B$8="Ja",Einstellungen!$B$9="Effektiv"),$I261,"-")</f>
        <v>-</v>
      </c>
      <c r="K261" s="31" t="n">
        <f aca="false">IF(OR($F261="",$J261="-"),0,ROUND($F261-$F261/(1+$H261),2))</f>
        <v>0</v>
      </c>
      <c r="L261" s="31" t="n">
        <f aca="false">IF($F261="",0,$F261-$K261)</f>
        <v>0</v>
      </c>
      <c r="M261" s="31" t="n">
        <f aca="false">IF($F261="",0,IF($J261="V",$L261,$F261))</f>
        <v>0</v>
      </c>
      <c r="N261" s="31" t="n">
        <f aca="false">IF($F261="",0,IF($J261="U",$L261,$F261))</f>
        <v>0</v>
      </c>
      <c r="O261" s="35" t="str">
        <f aca="false">IF($A261="","",MONTH($A261))</f>
        <v/>
      </c>
      <c r="P261" s="35" t="str">
        <f aca="false">IF($A261="","",ROUNDUP(MONTH($A261)/3,0))</f>
        <v/>
      </c>
      <c r="Q261" s="35" t="str">
        <f aca="false">IF($A261="","",IF(MONTH($A261)&lt;=6,1,2))</f>
        <v/>
      </c>
      <c r="R261" s="35" t="str">
        <f aca="false">IF($E261="","",IFERROR(INDEX(Kontenplan!$F$5:$F$90,MATCH($E261,Kontenplan!$A$5:$A$90,0)),""))</f>
        <v/>
      </c>
      <c r="S261" s="35" t="str">
        <f aca="false">IF($D261="","",IFERROR(INDEX(Kontenplan!$F$5:$F$90,MATCH($D261,Kontenplan!$A$5:$A$90,0)),""))</f>
        <v/>
      </c>
      <c r="T261" s="35" t="str">
        <f aca="false">IF($D261="","",IFERROR(INDEX(Kontenplan!$C$5:$C$90,MATCH($D261,Kontenplan!$A$5:$A$90,0)),"?"))</f>
        <v/>
      </c>
      <c r="U261" s="35" t="str">
        <f aca="false">IF($E261="","",IFERROR(INDEX(Kontenplan!$C$5:$C$90,MATCH($E261,Kontenplan!$A$5:$A$90,0)),"?"))</f>
        <v/>
      </c>
      <c r="V261" s="35" t="str">
        <f aca="false">IF($F261="","",IF(OR($D261="",$E261="",$T261="?",$U261="?"),"Konto prüfen!",IF($A261="","Datum fehlt",IF(YEAR($A261)&lt;&gt;Einstellungen!$B$7,"anderes Jahr!",IF($G261="","MWST-Code fehlt","OK")))))</f>
        <v/>
      </c>
      <c r="W261" s="35" t="str">
        <f aca="false">IF($F261="","",IF(OR($D261=Kontoauszug!$C$4,$E261=Kontoauszug!$C$4),MAX(W$4:W260)+1,""))</f>
        <v/>
      </c>
    </row>
    <row r="262" customFormat="false" ht="15" hidden="false" customHeight="false" outlineLevel="0" collapsed="false">
      <c r="A262" s="33"/>
      <c r="B262" s="32"/>
      <c r="C262" s="32"/>
      <c r="D262" s="32"/>
      <c r="E262" s="32"/>
      <c r="F262" s="30"/>
      <c r="G262" s="32"/>
      <c r="H262" s="34" t="n">
        <f aca="false">IF($G262="",0,IFERROR(INDEX(Einstellungen!$G$5:$G$11,MATCH($G262,Einstellungen!$E$5:$E$11,0)),0))</f>
        <v>0</v>
      </c>
      <c r="I262" s="35" t="str">
        <f aca="false">IF($G262="","-",IFERROR(INDEX(Einstellungen!$H$5:$H$11,MATCH($G262,Einstellungen!$E$5:$E$11,0)),"-"))</f>
        <v>-</v>
      </c>
      <c r="J262" s="35" t="str">
        <f aca="false">IF(AND(Einstellungen!$B$8="Ja",Einstellungen!$B$9="Effektiv"),$I262,"-")</f>
        <v>-</v>
      </c>
      <c r="K262" s="31" t="n">
        <f aca="false">IF(OR($F262="",$J262="-"),0,ROUND($F262-$F262/(1+$H262),2))</f>
        <v>0</v>
      </c>
      <c r="L262" s="31" t="n">
        <f aca="false">IF($F262="",0,$F262-$K262)</f>
        <v>0</v>
      </c>
      <c r="M262" s="31" t="n">
        <f aca="false">IF($F262="",0,IF($J262="V",$L262,$F262))</f>
        <v>0</v>
      </c>
      <c r="N262" s="31" t="n">
        <f aca="false">IF($F262="",0,IF($J262="U",$L262,$F262))</f>
        <v>0</v>
      </c>
      <c r="O262" s="35" t="str">
        <f aca="false">IF($A262="","",MONTH($A262))</f>
        <v/>
      </c>
      <c r="P262" s="35" t="str">
        <f aca="false">IF($A262="","",ROUNDUP(MONTH($A262)/3,0))</f>
        <v/>
      </c>
      <c r="Q262" s="35" t="str">
        <f aca="false">IF($A262="","",IF(MONTH($A262)&lt;=6,1,2))</f>
        <v/>
      </c>
      <c r="R262" s="35" t="str">
        <f aca="false">IF($E262="","",IFERROR(INDEX(Kontenplan!$F$5:$F$90,MATCH($E262,Kontenplan!$A$5:$A$90,0)),""))</f>
        <v/>
      </c>
      <c r="S262" s="35" t="str">
        <f aca="false">IF($D262="","",IFERROR(INDEX(Kontenplan!$F$5:$F$90,MATCH($D262,Kontenplan!$A$5:$A$90,0)),""))</f>
        <v/>
      </c>
      <c r="T262" s="35" t="str">
        <f aca="false">IF($D262="","",IFERROR(INDEX(Kontenplan!$C$5:$C$90,MATCH($D262,Kontenplan!$A$5:$A$90,0)),"?"))</f>
        <v/>
      </c>
      <c r="U262" s="35" t="str">
        <f aca="false">IF($E262="","",IFERROR(INDEX(Kontenplan!$C$5:$C$90,MATCH($E262,Kontenplan!$A$5:$A$90,0)),"?"))</f>
        <v/>
      </c>
      <c r="V262" s="35" t="str">
        <f aca="false">IF($F262="","",IF(OR($D262="",$E262="",$T262="?",$U262="?"),"Konto prüfen!",IF($A262="","Datum fehlt",IF(YEAR($A262)&lt;&gt;Einstellungen!$B$7,"anderes Jahr!",IF($G262="","MWST-Code fehlt","OK")))))</f>
        <v/>
      </c>
      <c r="W262" s="35" t="str">
        <f aca="false">IF($F262="","",IF(OR($D262=Kontoauszug!$C$4,$E262=Kontoauszug!$C$4),MAX(W$4:W261)+1,""))</f>
        <v/>
      </c>
    </row>
    <row r="263" customFormat="false" ht="15" hidden="false" customHeight="false" outlineLevel="0" collapsed="false">
      <c r="A263" s="33"/>
      <c r="B263" s="32"/>
      <c r="C263" s="32"/>
      <c r="D263" s="32"/>
      <c r="E263" s="32"/>
      <c r="F263" s="30"/>
      <c r="G263" s="32"/>
      <c r="H263" s="34" t="n">
        <f aca="false">IF($G263="",0,IFERROR(INDEX(Einstellungen!$G$5:$G$11,MATCH($G263,Einstellungen!$E$5:$E$11,0)),0))</f>
        <v>0</v>
      </c>
      <c r="I263" s="35" t="str">
        <f aca="false">IF($G263="","-",IFERROR(INDEX(Einstellungen!$H$5:$H$11,MATCH($G263,Einstellungen!$E$5:$E$11,0)),"-"))</f>
        <v>-</v>
      </c>
      <c r="J263" s="35" t="str">
        <f aca="false">IF(AND(Einstellungen!$B$8="Ja",Einstellungen!$B$9="Effektiv"),$I263,"-")</f>
        <v>-</v>
      </c>
      <c r="K263" s="31" t="n">
        <f aca="false">IF(OR($F263="",$J263="-"),0,ROUND($F263-$F263/(1+$H263),2))</f>
        <v>0</v>
      </c>
      <c r="L263" s="31" t="n">
        <f aca="false">IF($F263="",0,$F263-$K263)</f>
        <v>0</v>
      </c>
      <c r="M263" s="31" t="n">
        <f aca="false">IF($F263="",0,IF($J263="V",$L263,$F263))</f>
        <v>0</v>
      </c>
      <c r="N263" s="31" t="n">
        <f aca="false">IF($F263="",0,IF($J263="U",$L263,$F263))</f>
        <v>0</v>
      </c>
      <c r="O263" s="35" t="str">
        <f aca="false">IF($A263="","",MONTH($A263))</f>
        <v/>
      </c>
      <c r="P263" s="35" t="str">
        <f aca="false">IF($A263="","",ROUNDUP(MONTH($A263)/3,0))</f>
        <v/>
      </c>
      <c r="Q263" s="35" t="str">
        <f aca="false">IF($A263="","",IF(MONTH($A263)&lt;=6,1,2))</f>
        <v/>
      </c>
      <c r="R263" s="35" t="str">
        <f aca="false">IF($E263="","",IFERROR(INDEX(Kontenplan!$F$5:$F$90,MATCH($E263,Kontenplan!$A$5:$A$90,0)),""))</f>
        <v/>
      </c>
      <c r="S263" s="35" t="str">
        <f aca="false">IF($D263="","",IFERROR(INDEX(Kontenplan!$F$5:$F$90,MATCH($D263,Kontenplan!$A$5:$A$90,0)),""))</f>
        <v/>
      </c>
      <c r="T263" s="35" t="str">
        <f aca="false">IF($D263="","",IFERROR(INDEX(Kontenplan!$C$5:$C$90,MATCH($D263,Kontenplan!$A$5:$A$90,0)),"?"))</f>
        <v/>
      </c>
      <c r="U263" s="35" t="str">
        <f aca="false">IF($E263="","",IFERROR(INDEX(Kontenplan!$C$5:$C$90,MATCH($E263,Kontenplan!$A$5:$A$90,0)),"?"))</f>
        <v/>
      </c>
      <c r="V263" s="35" t="str">
        <f aca="false">IF($F263="","",IF(OR($D263="",$E263="",$T263="?",$U263="?"),"Konto prüfen!",IF($A263="","Datum fehlt",IF(YEAR($A263)&lt;&gt;Einstellungen!$B$7,"anderes Jahr!",IF($G263="","MWST-Code fehlt","OK")))))</f>
        <v/>
      </c>
      <c r="W263" s="35" t="str">
        <f aca="false">IF($F263="","",IF(OR($D263=Kontoauszug!$C$4,$E263=Kontoauszug!$C$4),MAX(W$4:W262)+1,""))</f>
        <v/>
      </c>
    </row>
    <row r="264" customFormat="false" ht="15" hidden="false" customHeight="false" outlineLevel="0" collapsed="false">
      <c r="A264" s="33"/>
      <c r="B264" s="32"/>
      <c r="C264" s="32"/>
      <c r="D264" s="32"/>
      <c r="E264" s="32"/>
      <c r="F264" s="30"/>
      <c r="G264" s="32"/>
      <c r="H264" s="34" t="n">
        <f aca="false">IF($G264="",0,IFERROR(INDEX(Einstellungen!$G$5:$G$11,MATCH($G264,Einstellungen!$E$5:$E$11,0)),0))</f>
        <v>0</v>
      </c>
      <c r="I264" s="35" t="str">
        <f aca="false">IF($G264="","-",IFERROR(INDEX(Einstellungen!$H$5:$H$11,MATCH($G264,Einstellungen!$E$5:$E$11,0)),"-"))</f>
        <v>-</v>
      </c>
      <c r="J264" s="35" t="str">
        <f aca="false">IF(AND(Einstellungen!$B$8="Ja",Einstellungen!$B$9="Effektiv"),$I264,"-")</f>
        <v>-</v>
      </c>
      <c r="K264" s="31" t="n">
        <f aca="false">IF(OR($F264="",$J264="-"),0,ROUND($F264-$F264/(1+$H264),2))</f>
        <v>0</v>
      </c>
      <c r="L264" s="31" t="n">
        <f aca="false">IF($F264="",0,$F264-$K264)</f>
        <v>0</v>
      </c>
      <c r="M264" s="31" t="n">
        <f aca="false">IF($F264="",0,IF($J264="V",$L264,$F264))</f>
        <v>0</v>
      </c>
      <c r="N264" s="31" t="n">
        <f aca="false">IF($F264="",0,IF($J264="U",$L264,$F264))</f>
        <v>0</v>
      </c>
      <c r="O264" s="35" t="str">
        <f aca="false">IF($A264="","",MONTH($A264))</f>
        <v/>
      </c>
      <c r="P264" s="35" t="str">
        <f aca="false">IF($A264="","",ROUNDUP(MONTH($A264)/3,0))</f>
        <v/>
      </c>
      <c r="Q264" s="35" t="str">
        <f aca="false">IF($A264="","",IF(MONTH($A264)&lt;=6,1,2))</f>
        <v/>
      </c>
      <c r="R264" s="35" t="str">
        <f aca="false">IF($E264="","",IFERROR(INDEX(Kontenplan!$F$5:$F$90,MATCH($E264,Kontenplan!$A$5:$A$90,0)),""))</f>
        <v/>
      </c>
      <c r="S264" s="35" t="str">
        <f aca="false">IF($D264="","",IFERROR(INDEX(Kontenplan!$F$5:$F$90,MATCH($D264,Kontenplan!$A$5:$A$90,0)),""))</f>
        <v/>
      </c>
      <c r="T264" s="35" t="str">
        <f aca="false">IF($D264="","",IFERROR(INDEX(Kontenplan!$C$5:$C$90,MATCH($D264,Kontenplan!$A$5:$A$90,0)),"?"))</f>
        <v/>
      </c>
      <c r="U264" s="35" t="str">
        <f aca="false">IF($E264="","",IFERROR(INDEX(Kontenplan!$C$5:$C$90,MATCH($E264,Kontenplan!$A$5:$A$90,0)),"?"))</f>
        <v/>
      </c>
      <c r="V264" s="35" t="str">
        <f aca="false">IF($F264="","",IF(OR($D264="",$E264="",$T264="?",$U264="?"),"Konto prüfen!",IF($A264="","Datum fehlt",IF(YEAR($A264)&lt;&gt;Einstellungen!$B$7,"anderes Jahr!",IF($G264="","MWST-Code fehlt","OK")))))</f>
        <v/>
      </c>
      <c r="W264" s="35" t="str">
        <f aca="false">IF($F264="","",IF(OR($D264=Kontoauszug!$C$4,$E264=Kontoauszug!$C$4),MAX(W$4:W263)+1,""))</f>
        <v/>
      </c>
    </row>
    <row r="265" customFormat="false" ht="15" hidden="false" customHeight="false" outlineLevel="0" collapsed="false">
      <c r="A265" s="33"/>
      <c r="B265" s="32"/>
      <c r="C265" s="32"/>
      <c r="D265" s="32"/>
      <c r="E265" s="32"/>
      <c r="F265" s="30"/>
      <c r="G265" s="32"/>
      <c r="H265" s="34" t="n">
        <f aca="false">IF($G265="",0,IFERROR(INDEX(Einstellungen!$G$5:$G$11,MATCH($G265,Einstellungen!$E$5:$E$11,0)),0))</f>
        <v>0</v>
      </c>
      <c r="I265" s="35" t="str">
        <f aca="false">IF($G265="","-",IFERROR(INDEX(Einstellungen!$H$5:$H$11,MATCH($G265,Einstellungen!$E$5:$E$11,0)),"-"))</f>
        <v>-</v>
      </c>
      <c r="J265" s="35" t="str">
        <f aca="false">IF(AND(Einstellungen!$B$8="Ja",Einstellungen!$B$9="Effektiv"),$I265,"-")</f>
        <v>-</v>
      </c>
      <c r="K265" s="31" t="n">
        <f aca="false">IF(OR($F265="",$J265="-"),0,ROUND($F265-$F265/(1+$H265),2))</f>
        <v>0</v>
      </c>
      <c r="L265" s="31" t="n">
        <f aca="false">IF($F265="",0,$F265-$K265)</f>
        <v>0</v>
      </c>
      <c r="M265" s="31" t="n">
        <f aca="false">IF($F265="",0,IF($J265="V",$L265,$F265))</f>
        <v>0</v>
      </c>
      <c r="N265" s="31" t="n">
        <f aca="false">IF($F265="",0,IF($J265="U",$L265,$F265))</f>
        <v>0</v>
      </c>
      <c r="O265" s="35" t="str">
        <f aca="false">IF($A265="","",MONTH($A265))</f>
        <v/>
      </c>
      <c r="P265" s="35" t="str">
        <f aca="false">IF($A265="","",ROUNDUP(MONTH($A265)/3,0))</f>
        <v/>
      </c>
      <c r="Q265" s="35" t="str">
        <f aca="false">IF($A265="","",IF(MONTH($A265)&lt;=6,1,2))</f>
        <v/>
      </c>
      <c r="R265" s="35" t="str">
        <f aca="false">IF($E265="","",IFERROR(INDEX(Kontenplan!$F$5:$F$90,MATCH($E265,Kontenplan!$A$5:$A$90,0)),""))</f>
        <v/>
      </c>
      <c r="S265" s="35" t="str">
        <f aca="false">IF($D265="","",IFERROR(INDEX(Kontenplan!$F$5:$F$90,MATCH($D265,Kontenplan!$A$5:$A$90,0)),""))</f>
        <v/>
      </c>
      <c r="T265" s="35" t="str">
        <f aca="false">IF($D265="","",IFERROR(INDEX(Kontenplan!$C$5:$C$90,MATCH($D265,Kontenplan!$A$5:$A$90,0)),"?"))</f>
        <v/>
      </c>
      <c r="U265" s="35" t="str">
        <f aca="false">IF($E265="","",IFERROR(INDEX(Kontenplan!$C$5:$C$90,MATCH($E265,Kontenplan!$A$5:$A$90,0)),"?"))</f>
        <v/>
      </c>
      <c r="V265" s="35" t="str">
        <f aca="false">IF($F265="","",IF(OR($D265="",$E265="",$T265="?",$U265="?"),"Konto prüfen!",IF($A265="","Datum fehlt",IF(YEAR($A265)&lt;&gt;Einstellungen!$B$7,"anderes Jahr!",IF($G265="","MWST-Code fehlt","OK")))))</f>
        <v/>
      </c>
      <c r="W265" s="35" t="str">
        <f aca="false">IF($F265="","",IF(OR($D265=Kontoauszug!$C$4,$E265=Kontoauszug!$C$4),MAX(W$4:W264)+1,""))</f>
        <v/>
      </c>
    </row>
    <row r="266" customFormat="false" ht="15" hidden="false" customHeight="false" outlineLevel="0" collapsed="false">
      <c r="A266" s="33"/>
      <c r="B266" s="32"/>
      <c r="C266" s="32"/>
      <c r="D266" s="32"/>
      <c r="E266" s="32"/>
      <c r="F266" s="30"/>
      <c r="G266" s="32"/>
      <c r="H266" s="34" t="n">
        <f aca="false">IF($G266="",0,IFERROR(INDEX(Einstellungen!$G$5:$G$11,MATCH($G266,Einstellungen!$E$5:$E$11,0)),0))</f>
        <v>0</v>
      </c>
      <c r="I266" s="35" t="str">
        <f aca="false">IF($G266="","-",IFERROR(INDEX(Einstellungen!$H$5:$H$11,MATCH($G266,Einstellungen!$E$5:$E$11,0)),"-"))</f>
        <v>-</v>
      </c>
      <c r="J266" s="35" t="str">
        <f aca="false">IF(AND(Einstellungen!$B$8="Ja",Einstellungen!$B$9="Effektiv"),$I266,"-")</f>
        <v>-</v>
      </c>
      <c r="K266" s="31" t="n">
        <f aca="false">IF(OR($F266="",$J266="-"),0,ROUND($F266-$F266/(1+$H266),2))</f>
        <v>0</v>
      </c>
      <c r="L266" s="31" t="n">
        <f aca="false">IF($F266="",0,$F266-$K266)</f>
        <v>0</v>
      </c>
      <c r="M266" s="31" t="n">
        <f aca="false">IF($F266="",0,IF($J266="V",$L266,$F266))</f>
        <v>0</v>
      </c>
      <c r="N266" s="31" t="n">
        <f aca="false">IF($F266="",0,IF($J266="U",$L266,$F266))</f>
        <v>0</v>
      </c>
      <c r="O266" s="35" t="str">
        <f aca="false">IF($A266="","",MONTH($A266))</f>
        <v/>
      </c>
      <c r="P266" s="35" t="str">
        <f aca="false">IF($A266="","",ROUNDUP(MONTH($A266)/3,0))</f>
        <v/>
      </c>
      <c r="Q266" s="35" t="str">
        <f aca="false">IF($A266="","",IF(MONTH($A266)&lt;=6,1,2))</f>
        <v/>
      </c>
      <c r="R266" s="35" t="str">
        <f aca="false">IF($E266="","",IFERROR(INDEX(Kontenplan!$F$5:$F$90,MATCH($E266,Kontenplan!$A$5:$A$90,0)),""))</f>
        <v/>
      </c>
      <c r="S266" s="35" t="str">
        <f aca="false">IF($D266="","",IFERROR(INDEX(Kontenplan!$F$5:$F$90,MATCH($D266,Kontenplan!$A$5:$A$90,0)),""))</f>
        <v/>
      </c>
      <c r="T266" s="35" t="str">
        <f aca="false">IF($D266="","",IFERROR(INDEX(Kontenplan!$C$5:$C$90,MATCH($D266,Kontenplan!$A$5:$A$90,0)),"?"))</f>
        <v/>
      </c>
      <c r="U266" s="35" t="str">
        <f aca="false">IF($E266="","",IFERROR(INDEX(Kontenplan!$C$5:$C$90,MATCH($E266,Kontenplan!$A$5:$A$90,0)),"?"))</f>
        <v/>
      </c>
      <c r="V266" s="35" t="str">
        <f aca="false">IF($F266="","",IF(OR($D266="",$E266="",$T266="?",$U266="?"),"Konto prüfen!",IF($A266="","Datum fehlt",IF(YEAR($A266)&lt;&gt;Einstellungen!$B$7,"anderes Jahr!",IF($G266="","MWST-Code fehlt","OK")))))</f>
        <v/>
      </c>
      <c r="W266" s="35" t="str">
        <f aca="false">IF($F266="","",IF(OR($D266=Kontoauszug!$C$4,$E266=Kontoauszug!$C$4),MAX(W$4:W265)+1,""))</f>
        <v/>
      </c>
    </row>
    <row r="267" customFormat="false" ht="15" hidden="false" customHeight="false" outlineLevel="0" collapsed="false">
      <c r="A267" s="33"/>
      <c r="B267" s="32"/>
      <c r="C267" s="32"/>
      <c r="D267" s="32"/>
      <c r="E267" s="32"/>
      <c r="F267" s="30"/>
      <c r="G267" s="32"/>
      <c r="H267" s="34" t="n">
        <f aca="false">IF($G267="",0,IFERROR(INDEX(Einstellungen!$G$5:$G$11,MATCH($G267,Einstellungen!$E$5:$E$11,0)),0))</f>
        <v>0</v>
      </c>
      <c r="I267" s="35" t="str">
        <f aca="false">IF($G267="","-",IFERROR(INDEX(Einstellungen!$H$5:$H$11,MATCH($G267,Einstellungen!$E$5:$E$11,0)),"-"))</f>
        <v>-</v>
      </c>
      <c r="J267" s="35" t="str">
        <f aca="false">IF(AND(Einstellungen!$B$8="Ja",Einstellungen!$B$9="Effektiv"),$I267,"-")</f>
        <v>-</v>
      </c>
      <c r="K267" s="31" t="n">
        <f aca="false">IF(OR($F267="",$J267="-"),0,ROUND($F267-$F267/(1+$H267),2))</f>
        <v>0</v>
      </c>
      <c r="L267" s="31" t="n">
        <f aca="false">IF($F267="",0,$F267-$K267)</f>
        <v>0</v>
      </c>
      <c r="M267" s="31" t="n">
        <f aca="false">IF($F267="",0,IF($J267="V",$L267,$F267))</f>
        <v>0</v>
      </c>
      <c r="N267" s="31" t="n">
        <f aca="false">IF($F267="",0,IF($J267="U",$L267,$F267))</f>
        <v>0</v>
      </c>
      <c r="O267" s="35" t="str">
        <f aca="false">IF($A267="","",MONTH($A267))</f>
        <v/>
      </c>
      <c r="P267" s="35" t="str">
        <f aca="false">IF($A267="","",ROUNDUP(MONTH($A267)/3,0))</f>
        <v/>
      </c>
      <c r="Q267" s="35" t="str">
        <f aca="false">IF($A267="","",IF(MONTH($A267)&lt;=6,1,2))</f>
        <v/>
      </c>
      <c r="R267" s="35" t="str">
        <f aca="false">IF($E267="","",IFERROR(INDEX(Kontenplan!$F$5:$F$90,MATCH($E267,Kontenplan!$A$5:$A$90,0)),""))</f>
        <v/>
      </c>
      <c r="S267" s="35" t="str">
        <f aca="false">IF($D267="","",IFERROR(INDEX(Kontenplan!$F$5:$F$90,MATCH($D267,Kontenplan!$A$5:$A$90,0)),""))</f>
        <v/>
      </c>
      <c r="T267" s="35" t="str">
        <f aca="false">IF($D267="","",IFERROR(INDEX(Kontenplan!$C$5:$C$90,MATCH($D267,Kontenplan!$A$5:$A$90,0)),"?"))</f>
        <v/>
      </c>
      <c r="U267" s="35" t="str">
        <f aca="false">IF($E267="","",IFERROR(INDEX(Kontenplan!$C$5:$C$90,MATCH($E267,Kontenplan!$A$5:$A$90,0)),"?"))</f>
        <v/>
      </c>
      <c r="V267" s="35" t="str">
        <f aca="false">IF($F267="","",IF(OR($D267="",$E267="",$T267="?",$U267="?"),"Konto prüfen!",IF($A267="","Datum fehlt",IF(YEAR($A267)&lt;&gt;Einstellungen!$B$7,"anderes Jahr!",IF($G267="","MWST-Code fehlt","OK")))))</f>
        <v/>
      </c>
      <c r="W267" s="35" t="str">
        <f aca="false">IF($F267="","",IF(OR($D267=Kontoauszug!$C$4,$E267=Kontoauszug!$C$4),MAX(W$4:W266)+1,""))</f>
        <v/>
      </c>
    </row>
    <row r="268" customFormat="false" ht="15" hidden="false" customHeight="false" outlineLevel="0" collapsed="false">
      <c r="A268" s="33"/>
      <c r="B268" s="32"/>
      <c r="C268" s="32"/>
      <c r="D268" s="32"/>
      <c r="E268" s="32"/>
      <c r="F268" s="30"/>
      <c r="G268" s="32"/>
      <c r="H268" s="34" t="n">
        <f aca="false">IF($G268="",0,IFERROR(INDEX(Einstellungen!$G$5:$G$11,MATCH($G268,Einstellungen!$E$5:$E$11,0)),0))</f>
        <v>0</v>
      </c>
      <c r="I268" s="35" t="str">
        <f aca="false">IF($G268="","-",IFERROR(INDEX(Einstellungen!$H$5:$H$11,MATCH($G268,Einstellungen!$E$5:$E$11,0)),"-"))</f>
        <v>-</v>
      </c>
      <c r="J268" s="35" t="str">
        <f aca="false">IF(AND(Einstellungen!$B$8="Ja",Einstellungen!$B$9="Effektiv"),$I268,"-")</f>
        <v>-</v>
      </c>
      <c r="K268" s="31" t="n">
        <f aca="false">IF(OR($F268="",$J268="-"),0,ROUND($F268-$F268/(1+$H268),2))</f>
        <v>0</v>
      </c>
      <c r="L268" s="31" t="n">
        <f aca="false">IF($F268="",0,$F268-$K268)</f>
        <v>0</v>
      </c>
      <c r="M268" s="31" t="n">
        <f aca="false">IF($F268="",0,IF($J268="V",$L268,$F268))</f>
        <v>0</v>
      </c>
      <c r="N268" s="31" t="n">
        <f aca="false">IF($F268="",0,IF($J268="U",$L268,$F268))</f>
        <v>0</v>
      </c>
      <c r="O268" s="35" t="str">
        <f aca="false">IF($A268="","",MONTH($A268))</f>
        <v/>
      </c>
      <c r="P268" s="35" t="str">
        <f aca="false">IF($A268="","",ROUNDUP(MONTH($A268)/3,0))</f>
        <v/>
      </c>
      <c r="Q268" s="35" t="str">
        <f aca="false">IF($A268="","",IF(MONTH($A268)&lt;=6,1,2))</f>
        <v/>
      </c>
      <c r="R268" s="35" t="str">
        <f aca="false">IF($E268="","",IFERROR(INDEX(Kontenplan!$F$5:$F$90,MATCH($E268,Kontenplan!$A$5:$A$90,0)),""))</f>
        <v/>
      </c>
      <c r="S268" s="35" t="str">
        <f aca="false">IF($D268="","",IFERROR(INDEX(Kontenplan!$F$5:$F$90,MATCH($D268,Kontenplan!$A$5:$A$90,0)),""))</f>
        <v/>
      </c>
      <c r="T268" s="35" t="str">
        <f aca="false">IF($D268="","",IFERROR(INDEX(Kontenplan!$C$5:$C$90,MATCH($D268,Kontenplan!$A$5:$A$90,0)),"?"))</f>
        <v/>
      </c>
      <c r="U268" s="35" t="str">
        <f aca="false">IF($E268="","",IFERROR(INDEX(Kontenplan!$C$5:$C$90,MATCH($E268,Kontenplan!$A$5:$A$90,0)),"?"))</f>
        <v/>
      </c>
      <c r="V268" s="35" t="str">
        <f aca="false">IF($F268="","",IF(OR($D268="",$E268="",$T268="?",$U268="?"),"Konto prüfen!",IF($A268="","Datum fehlt",IF(YEAR($A268)&lt;&gt;Einstellungen!$B$7,"anderes Jahr!",IF($G268="","MWST-Code fehlt","OK")))))</f>
        <v/>
      </c>
      <c r="W268" s="35" t="str">
        <f aca="false">IF($F268="","",IF(OR($D268=Kontoauszug!$C$4,$E268=Kontoauszug!$C$4),MAX(W$4:W267)+1,""))</f>
        <v/>
      </c>
    </row>
    <row r="269" customFormat="false" ht="15" hidden="false" customHeight="false" outlineLevel="0" collapsed="false">
      <c r="A269" s="33"/>
      <c r="B269" s="32"/>
      <c r="C269" s="32"/>
      <c r="D269" s="32"/>
      <c r="E269" s="32"/>
      <c r="F269" s="30"/>
      <c r="G269" s="32"/>
      <c r="H269" s="34" t="n">
        <f aca="false">IF($G269="",0,IFERROR(INDEX(Einstellungen!$G$5:$G$11,MATCH($G269,Einstellungen!$E$5:$E$11,0)),0))</f>
        <v>0</v>
      </c>
      <c r="I269" s="35" t="str">
        <f aca="false">IF($G269="","-",IFERROR(INDEX(Einstellungen!$H$5:$H$11,MATCH($G269,Einstellungen!$E$5:$E$11,0)),"-"))</f>
        <v>-</v>
      </c>
      <c r="J269" s="35" t="str">
        <f aca="false">IF(AND(Einstellungen!$B$8="Ja",Einstellungen!$B$9="Effektiv"),$I269,"-")</f>
        <v>-</v>
      </c>
      <c r="K269" s="31" t="n">
        <f aca="false">IF(OR($F269="",$J269="-"),0,ROUND($F269-$F269/(1+$H269),2))</f>
        <v>0</v>
      </c>
      <c r="L269" s="31" t="n">
        <f aca="false">IF($F269="",0,$F269-$K269)</f>
        <v>0</v>
      </c>
      <c r="M269" s="31" t="n">
        <f aca="false">IF($F269="",0,IF($J269="V",$L269,$F269))</f>
        <v>0</v>
      </c>
      <c r="N269" s="31" t="n">
        <f aca="false">IF($F269="",0,IF($J269="U",$L269,$F269))</f>
        <v>0</v>
      </c>
      <c r="O269" s="35" t="str">
        <f aca="false">IF($A269="","",MONTH($A269))</f>
        <v/>
      </c>
      <c r="P269" s="35" t="str">
        <f aca="false">IF($A269="","",ROUNDUP(MONTH($A269)/3,0))</f>
        <v/>
      </c>
      <c r="Q269" s="35" t="str">
        <f aca="false">IF($A269="","",IF(MONTH($A269)&lt;=6,1,2))</f>
        <v/>
      </c>
      <c r="R269" s="35" t="str">
        <f aca="false">IF($E269="","",IFERROR(INDEX(Kontenplan!$F$5:$F$90,MATCH($E269,Kontenplan!$A$5:$A$90,0)),""))</f>
        <v/>
      </c>
      <c r="S269" s="35" t="str">
        <f aca="false">IF($D269="","",IFERROR(INDEX(Kontenplan!$F$5:$F$90,MATCH($D269,Kontenplan!$A$5:$A$90,0)),""))</f>
        <v/>
      </c>
      <c r="T269" s="35" t="str">
        <f aca="false">IF($D269="","",IFERROR(INDEX(Kontenplan!$C$5:$C$90,MATCH($D269,Kontenplan!$A$5:$A$90,0)),"?"))</f>
        <v/>
      </c>
      <c r="U269" s="35" t="str">
        <f aca="false">IF($E269="","",IFERROR(INDEX(Kontenplan!$C$5:$C$90,MATCH($E269,Kontenplan!$A$5:$A$90,0)),"?"))</f>
        <v/>
      </c>
      <c r="V269" s="35" t="str">
        <f aca="false">IF($F269="","",IF(OR($D269="",$E269="",$T269="?",$U269="?"),"Konto prüfen!",IF($A269="","Datum fehlt",IF(YEAR($A269)&lt;&gt;Einstellungen!$B$7,"anderes Jahr!",IF($G269="","MWST-Code fehlt","OK")))))</f>
        <v/>
      </c>
      <c r="W269" s="35" t="str">
        <f aca="false">IF($F269="","",IF(OR($D269=Kontoauszug!$C$4,$E269=Kontoauszug!$C$4),MAX(W$4:W268)+1,""))</f>
        <v/>
      </c>
    </row>
    <row r="270" customFormat="false" ht="15" hidden="false" customHeight="false" outlineLevel="0" collapsed="false">
      <c r="A270" s="33"/>
      <c r="B270" s="32"/>
      <c r="C270" s="32"/>
      <c r="D270" s="32"/>
      <c r="E270" s="32"/>
      <c r="F270" s="30"/>
      <c r="G270" s="32"/>
      <c r="H270" s="34" t="n">
        <f aca="false">IF($G270="",0,IFERROR(INDEX(Einstellungen!$G$5:$G$11,MATCH($G270,Einstellungen!$E$5:$E$11,0)),0))</f>
        <v>0</v>
      </c>
      <c r="I270" s="35" t="str">
        <f aca="false">IF($G270="","-",IFERROR(INDEX(Einstellungen!$H$5:$H$11,MATCH($G270,Einstellungen!$E$5:$E$11,0)),"-"))</f>
        <v>-</v>
      </c>
      <c r="J270" s="35" t="str">
        <f aca="false">IF(AND(Einstellungen!$B$8="Ja",Einstellungen!$B$9="Effektiv"),$I270,"-")</f>
        <v>-</v>
      </c>
      <c r="K270" s="31" t="n">
        <f aca="false">IF(OR($F270="",$J270="-"),0,ROUND($F270-$F270/(1+$H270),2))</f>
        <v>0</v>
      </c>
      <c r="L270" s="31" t="n">
        <f aca="false">IF($F270="",0,$F270-$K270)</f>
        <v>0</v>
      </c>
      <c r="M270" s="31" t="n">
        <f aca="false">IF($F270="",0,IF($J270="V",$L270,$F270))</f>
        <v>0</v>
      </c>
      <c r="N270" s="31" t="n">
        <f aca="false">IF($F270="",0,IF($J270="U",$L270,$F270))</f>
        <v>0</v>
      </c>
      <c r="O270" s="35" t="str">
        <f aca="false">IF($A270="","",MONTH($A270))</f>
        <v/>
      </c>
      <c r="P270" s="35" t="str">
        <f aca="false">IF($A270="","",ROUNDUP(MONTH($A270)/3,0))</f>
        <v/>
      </c>
      <c r="Q270" s="35" t="str">
        <f aca="false">IF($A270="","",IF(MONTH($A270)&lt;=6,1,2))</f>
        <v/>
      </c>
      <c r="R270" s="35" t="str">
        <f aca="false">IF($E270="","",IFERROR(INDEX(Kontenplan!$F$5:$F$90,MATCH($E270,Kontenplan!$A$5:$A$90,0)),""))</f>
        <v/>
      </c>
      <c r="S270" s="35" t="str">
        <f aca="false">IF($D270="","",IFERROR(INDEX(Kontenplan!$F$5:$F$90,MATCH($D270,Kontenplan!$A$5:$A$90,0)),""))</f>
        <v/>
      </c>
      <c r="T270" s="35" t="str">
        <f aca="false">IF($D270="","",IFERROR(INDEX(Kontenplan!$C$5:$C$90,MATCH($D270,Kontenplan!$A$5:$A$90,0)),"?"))</f>
        <v/>
      </c>
      <c r="U270" s="35" t="str">
        <f aca="false">IF($E270="","",IFERROR(INDEX(Kontenplan!$C$5:$C$90,MATCH($E270,Kontenplan!$A$5:$A$90,0)),"?"))</f>
        <v/>
      </c>
      <c r="V270" s="35" t="str">
        <f aca="false">IF($F270="","",IF(OR($D270="",$E270="",$T270="?",$U270="?"),"Konto prüfen!",IF($A270="","Datum fehlt",IF(YEAR($A270)&lt;&gt;Einstellungen!$B$7,"anderes Jahr!",IF($G270="","MWST-Code fehlt","OK")))))</f>
        <v/>
      </c>
      <c r="W270" s="35" t="str">
        <f aca="false">IF($F270="","",IF(OR($D270=Kontoauszug!$C$4,$E270=Kontoauszug!$C$4),MAX(W$4:W269)+1,""))</f>
        <v/>
      </c>
    </row>
    <row r="271" customFormat="false" ht="15" hidden="false" customHeight="false" outlineLevel="0" collapsed="false">
      <c r="A271" s="33"/>
      <c r="B271" s="32"/>
      <c r="C271" s="32"/>
      <c r="D271" s="32"/>
      <c r="E271" s="32"/>
      <c r="F271" s="30"/>
      <c r="G271" s="32"/>
      <c r="H271" s="34" t="n">
        <f aca="false">IF($G271="",0,IFERROR(INDEX(Einstellungen!$G$5:$G$11,MATCH($G271,Einstellungen!$E$5:$E$11,0)),0))</f>
        <v>0</v>
      </c>
      <c r="I271" s="35" t="str">
        <f aca="false">IF($G271="","-",IFERROR(INDEX(Einstellungen!$H$5:$H$11,MATCH($G271,Einstellungen!$E$5:$E$11,0)),"-"))</f>
        <v>-</v>
      </c>
      <c r="J271" s="35" t="str">
        <f aca="false">IF(AND(Einstellungen!$B$8="Ja",Einstellungen!$B$9="Effektiv"),$I271,"-")</f>
        <v>-</v>
      </c>
      <c r="K271" s="31" t="n">
        <f aca="false">IF(OR($F271="",$J271="-"),0,ROUND($F271-$F271/(1+$H271),2))</f>
        <v>0</v>
      </c>
      <c r="L271" s="31" t="n">
        <f aca="false">IF($F271="",0,$F271-$K271)</f>
        <v>0</v>
      </c>
      <c r="M271" s="31" t="n">
        <f aca="false">IF($F271="",0,IF($J271="V",$L271,$F271))</f>
        <v>0</v>
      </c>
      <c r="N271" s="31" t="n">
        <f aca="false">IF($F271="",0,IF($J271="U",$L271,$F271))</f>
        <v>0</v>
      </c>
      <c r="O271" s="35" t="str">
        <f aca="false">IF($A271="","",MONTH($A271))</f>
        <v/>
      </c>
      <c r="P271" s="35" t="str">
        <f aca="false">IF($A271="","",ROUNDUP(MONTH($A271)/3,0))</f>
        <v/>
      </c>
      <c r="Q271" s="35" t="str">
        <f aca="false">IF($A271="","",IF(MONTH($A271)&lt;=6,1,2))</f>
        <v/>
      </c>
      <c r="R271" s="35" t="str">
        <f aca="false">IF($E271="","",IFERROR(INDEX(Kontenplan!$F$5:$F$90,MATCH($E271,Kontenplan!$A$5:$A$90,0)),""))</f>
        <v/>
      </c>
      <c r="S271" s="35" t="str">
        <f aca="false">IF($D271="","",IFERROR(INDEX(Kontenplan!$F$5:$F$90,MATCH($D271,Kontenplan!$A$5:$A$90,0)),""))</f>
        <v/>
      </c>
      <c r="T271" s="35" t="str">
        <f aca="false">IF($D271="","",IFERROR(INDEX(Kontenplan!$C$5:$C$90,MATCH($D271,Kontenplan!$A$5:$A$90,0)),"?"))</f>
        <v/>
      </c>
      <c r="U271" s="35" t="str">
        <f aca="false">IF($E271="","",IFERROR(INDEX(Kontenplan!$C$5:$C$90,MATCH($E271,Kontenplan!$A$5:$A$90,0)),"?"))</f>
        <v/>
      </c>
      <c r="V271" s="35" t="str">
        <f aca="false">IF($F271="","",IF(OR($D271="",$E271="",$T271="?",$U271="?"),"Konto prüfen!",IF($A271="","Datum fehlt",IF(YEAR($A271)&lt;&gt;Einstellungen!$B$7,"anderes Jahr!",IF($G271="","MWST-Code fehlt","OK")))))</f>
        <v/>
      </c>
      <c r="W271" s="35" t="str">
        <f aca="false">IF($F271="","",IF(OR($D271=Kontoauszug!$C$4,$E271=Kontoauszug!$C$4),MAX(W$4:W270)+1,""))</f>
        <v/>
      </c>
    </row>
    <row r="272" customFormat="false" ht="15" hidden="false" customHeight="false" outlineLevel="0" collapsed="false">
      <c r="A272" s="33"/>
      <c r="B272" s="32"/>
      <c r="C272" s="32"/>
      <c r="D272" s="32"/>
      <c r="E272" s="32"/>
      <c r="F272" s="30"/>
      <c r="G272" s="32"/>
      <c r="H272" s="34" t="n">
        <f aca="false">IF($G272="",0,IFERROR(INDEX(Einstellungen!$G$5:$G$11,MATCH($G272,Einstellungen!$E$5:$E$11,0)),0))</f>
        <v>0</v>
      </c>
      <c r="I272" s="35" t="str">
        <f aca="false">IF($G272="","-",IFERROR(INDEX(Einstellungen!$H$5:$H$11,MATCH($G272,Einstellungen!$E$5:$E$11,0)),"-"))</f>
        <v>-</v>
      </c>
      <c r="J272" s="35" t="str">
        <f aca="false">IF(AND(Einstellungen!$B$8="Ja",Einstellungen!$B$9="Effektiv"),$I272,"-")</f>
        <v>-</v>
      </c>
      <c r="K272" s="31" t="n">
        <f aca="false">IF(OR($F272="",$J272="-"),0,ROUND($F272-$F272/(1+$H272),2))</f>
        <v>0</v>
      </c>
      <c r="L272" s="31" t="n">
        <f aca="false">IF($F272="",0,$F272-$K272)</f>
        <v>0</v>
      </c>
      <c r="M272" s="31" t="n">
        <f aca="false">IF($F272="",0,IF($J272="V",$L272,$F272))</f>
        <v>0</v>
      </c>
      <c r="N272" s="31" t="n">
        <f aca="false">IF($F272="",0,IF($J272="U",$L272,$F272))</f>
        <v>0</v>
      </c>
      <c r="O272" s="35" t="str">
        <f aca="false">IF($A272="","",MONTH($A272))</f>
        <v/>
      </c>
      <c r="P272" s="35" t="str">
        <f aca="false">IF($A272="","",ROUNDUP(MONTH($A272)/3,0))</f>
        <v/>
      </c>
      <c r="Q272" s="35" t="str">
        <f aca="false">IF($A272="","",IF(MONTH($A272)&lt;=6,1,2))</f>
        <v/>
      </c>
      <c r="R272" s="35" t="str">
        <f aca="false">IF($E272="","",IFERROR(INDEX(Kontenplan!$F$5:$F$90,MATCH($E272,Kontenplan!$A$5:$A$90,0)),""))</f>
        <v/>
      </c>
      <c r="S272" s="35" t="str">
        <f aca="false">IF($D272="","",IFERROR(INDEX(Kontenplan!$F$5:$F$90,MATCH($D272,Kontenplan!$A$5:$A$90,0)),""))</f>
        <v/>
      </c>
      <c r="T272" s="35" t="str">
        <f aca="false">IF($D272="","",IFERROR(INDEX(Kontenplan!$C$5:$C$90,MATCH($D272,Kontenplan!$A$5:$A$90,0)),"?"))</f>
        <v/>
      </c>
      <c r="U272" s="35" t="str">
        <f aca="false">IF($E272="","",IFERROR(INDEX(Kontenplan!$C$5:$C$90,MATCH($E272,Kontenplan!$A$5:$A$90,0)),"?"))</f>
        <v/>
      </c>
      <c r="V272" s="35" t="str">
        <f aca="false">IF($F272="","",IF(OR($D272="",$E272="",$T272="?",$U272="?"),"Konto prüfen!",IF($A272="","Datum fehlt",IF(YEAR($A272)&lt;&gt;Einstellungen!$B$7,"anderes Jahr!",IF($G272="","MWST-Code fehlt","OK")))))</f>
        <v/>
      </c>
      <c r="W272" s="35" t="str">
        <f aca="false">IF($F272="","",IF(OR($D272=Kontoauszug!$C$4,$E272=Kontoauszug!$C$4),MAX(W$4:W271)+1,""))</f>
        <v/>
      </c>
    </row>
    <row r="273" customFormat="false" ht="15" hidden="false" customHeight="false" outlineLevel="0" collapsed="false">
      <c r="A273" s="33"/>
      <c r="B273" s="32"/>
      <c r="C273" s="32"/>
      <c r="D273" s="32"/>
      <c r="E273" s="32"/>
      <c r="F273" s="30"/>
      <c r="G273" s="32"/>
      <c r="H273" s="34" t="n">
        <f aca="false">IF($G273="",0,IFERROR(INDEX(Einstellungen!$G$5:$G$11,MATCH($G273,Einstellungen!$E$5:$E$11,0)),0))</f>
        <v>0</v>
      </c>
      <c r="I273" s="35" t="str">
        <f aca="false">IF($G273="","-",IFERROR(INDEX(Einstellungen!$H$5:$H$11,MATCH($G273,Einstellungen!$E$5:$E$11,0)),"-"))</f>
        <v>-</v>
      </c>
      <c r="J273" s="35" t="str">
        <f aca="false">IF(AND(Einstellungen!$B$8="Ja",Einstellungen!$B$9="Effektiv"),$I273,"-")</f>
        <v>-</v>
      </c>
      <c r="K273" s="31" t="n">
        <f aca="false">IF(OR($F273="",$J273="-"),0,ROUND($F273-$F273/(1+$H273),2))</f>
        <v>0</v>
      </c>
      <c r="L273" s="31" t="n">
        <f aca="false">IF($F273="",0,$F273-$K273)</f>
        <v>0</v>
      </c>
      <c r="M273" s="31" t="n">
        <f aca="false">IF($F273="",0,IF($J273="V",$L273,$F273))</f>
        <v>0</v>
      </c>
      <c r="N273" s="31" t="n">
        <f aca="false">IF($F273="",0,IF($J273="U",$L273,$F273))</f>
        <v>0</v>
      </c>
      <c r="O273" s="35" t="str">
        <f aca="false">IF($A273="","",MONTH($A273))</f>
        <v/>
      </c>
      <c r="P273" s="35" t="str">
        <f aca="false">IF($A273="","",ROUNDUP(MONTH($A273)/3,0))</f>
        <v/>
      </c>
      <c r="Q273" s="35" t="str">
        <f aca="false">IF($A273="","",IF(MONTH($A273)&lt;=6,1,2))</f>
        <v/>
      </c>
      <c r="R273" s="35" t="str">
        <f aca="false">IF($E273="","",IFERROR(INDEX(Kontenplan!$F$5:$F$90,MATCH($E273,Kontenplan!$A$5:$A$90,0)),""))</f>
        <v/>
      </c>
      <c r="S273" s="35" t="str">
        <f aca="false">IF($D273="","",IFERROR(INDEX(Kontenplan!$F$5:$F$90,MATCH($D273,Kontenplan!$A$5:$A$90,0)),""))</f>
        <v/>
      </c>
      <c r="T273" s="35" t="str">
        <f aca="false">IF($D273="","",IFERROR(INDEX(Kontenplan!$C$5:$C$90,MATCH($D273,Kontenplan!$A$5:$A$90,0)),"?"))</f>
        <v/>
      </c>
      <c r="U273" s="35" t="str">
        <f aca="false">IF($E273="","",IFERROR(INDEX(Kontenplan!$C$5:$C$90,MATCH($E273,Kontenplan!$A$5:$A$90,0)),"?"))</f>
        <v/>
      </c>
      <c r="V273" s="35" t="str">
        <f aca="false">IF($F273="","",IF(OR($D273="",$E273="",$T273="?",$U273="?"),"Konto prüfen!",IF($A273="","Datum fehlt",IF(YEAR($A273)&lt;&gt;Einstellungen!$B$7,"anderes Jahr!",IF($G273="","MWST-Code fehlt","OK")))))</f>
        <v/>
      </c>
      <c r="W273" s="35" t="str">
        <f aca="false">IF($F273="","",IF(OR($D273=Kontoauszug!$C$4,$E273=Kontoauszug!$C$4),MAX(W$4:W272)+1,""))</f>
        <v/>
      </c>
    </row>
    <row r="274" customFormat="false" ht="15" hidden="false" customHeight="false" outlineLevel="0" collapsed="false">
      <c r="A274" s="33"/>
      <c r="B274" s="32"/>
      <c r="C274" s="32"/>
      <c r="D274" s="32"/>
      <c r="E274" s="32"/>
      <c r="F274" s="30"/>
      <c r="G274" s="32"/>
      <c r="H274" s="34" t="n">
        <f aca="false">IF($G274="",0,IFERROR(INDEX(Einstellungen!$G$5:$G$11,MATCH($G274,Einstellungen!$E$5:$E$11,0)),0))</f>
        <v>0</v>
      </c>
      <c r="I274" s="35" t="str">
        <f aca="false">IF($G274="","-",IFERROR(INDEX(Einstellungen!$H$5:$H$11,MATCH($G274,Einstellungen!$E$5:$E$11,0)),"-"))</f>
        <v>-</v>
      </c>
      <c r="J274" s="35" t="str">
        <f aca="false">IF(AND(Einstellungen!$B$8="Ja",Einstellungen!$B$9="Effektiv"),$I274,"-")</f>
        <v>-</v>
      </c>
      <c r="K274" s="31" t="n">
        <f aca="false">IF(OR($F274="",$J274="-"),0,ROUND($F274-$F274/(1+$H274),2))</f>
        <v>0</v>
      </c>
      <c r="L274" s="31" t="n">
        <f aca="false">IF($F274="",0,$F274-$K274)</f>
        <v>0</v>
      </c>
      <c r="M274" s="31" t="n">
        <f aca="false">IF($F274="",0,IF($J274="V",$L274,$F274))</f>
        <v>0</v>
      </c>
      <c r="N274" s="31" t="n">
        <f aca="false">IF($F274="",0,IF($J274="U",$L274,$F274))</f>
        <v>0</v>
      </c>
      <c r="O274" s="35" t="str">
        <f aca="false">IF($A274="","",MONTH($A274))</f>
        <v/>
      </c>
      <c r="P274" s="35" t="str">
        <f aca="false">IF($A274="","",ROUNDUP(MONTH($A274)/3,0))</f>
        <v/>
      </c>
      <c r="Q274" s="35" t="str">
        <f aca="false">IF($A274="","",IF(MONTH($A274)&lt;=6,1,2))</f>
        <v/>
      </c>
      <c r="R274" s="35" t="str">
        <f aca="false">IF($E274="","",IFERROR(INDEX(Kontenplan!$F$5:$F$90,MATCH($E274,Kontenplan!$A$5:$A$90,0)),""))</f>
        <v/>
      </c>
      <c r="S274" s="35" t="str">
        <f aca="false">IF($D274="","",IFERROR(INDEX(Kontenplan!$F$5:$F$90,MATCH($D274,Kontenplan!$A$5:$A$90,0)),""))</f>
        <v/>
      </c>
      <c r="T274" s="35" t="str">
        <f aca="false">IF($D274="","",IFERROR(INDEX(Kontenplan!$C$5:$C$90,MATCH($D274,Kontenplan!$A$5:$A$90,0)),"?"))</f>
        <v/>
      </c>
      <c r="U274" s="35" t="str">
        <f aca="false">IF($E274="","",IFERROR(INDEX(Kontenplan!$C$5:$C$90,MATCH($E274,Kontenplan!$A$5:$A$90,0)),"?"))</f>
        <v/>
      </c>
      <c r="V274" s="35" t="str">
        <f aca="false">IF($F274="","",IF(OR($D274="",$E274="",$T274="?",$U274="?"),"Konto prüfen!",IF($A274="","Datum fehlt",IF(YEAR($A274)&lt;&gt;Einstellungen!$B$7,"anderes Jahr!",IF($G274="","MWST-Code fehlt","OK")))))</f>
        <v/>
      </c>
      <c r="W274" s="35" t="str">
        <f aca="false">IF($F274="","",IF(OR($D274=Kontoauszug!$C$4,$E274=Kontoauszug!$C$4),MAX(W$4:W273)+1,""))</f>
        <v/>
      </c>
    </row>
    <row r="275" customFormat="false" ht="15" hidden="false" customHeight="false" outlineLevel="0" collapsed="false">
      <c r="A275" s="33"/>
      <c r="B275" s="32"/>
      <c r="C275" s="32"/>
      <c r="D275" s="32"/>
      <c r="E275" s="32"/>
      <c r="F275" s="30"/>
      <c r="G275" s="32"/>
      <c r="H275" s="34" t="n">
        <f aca="false">IF($G275="",0,IFERROR(INDEX(Einstellungen!$G$5:$G$11,MATCH($G275,Einstellungen!$E$5:$E$11,0)),0))</f>
        <v>0</v>
      </c>
      <c r="I275" s="35" t="str">
        <f aca="false">IF($G275="","-",IFERROR(INDEX(Einstellungen!$H$5:$H$11,MATCH($G275,Einstellungen!$E$5:$E$11,0)),"-"))</f>
        <v>-</v>
      </c>
      <c r="J275" s="35" t="str">
        <f aca="false">IF(AND(Einstellungen!$B$8="Ja",Einstellungen!$B$9="Effektiv"),$I275,"-")</f>
        <v>-</v>
      </c>
      <c r="K275" s="31" t="n">
        <f aca="false">IF(OR($F275="",$J275="-"),0,ROUND($F275-$F275/(1+$H275),2))</f>
        <v>0</v>
      </c>
      <c r="L275" s="31" t="n">
        <f aca="false">IF($F275="",0,$F275-$K275)</f>
        <v>0</v>
      </c>
      <c r="M275" s="31" t="n">
        <f aca="false">IF($F275="",0,IF($J275="V",$L275,$F275))</f>
        <v>0</v>
      </c>
      <c r="N275" s="31" t="n">
        <f aca="false">IF($F275="",0,IF($J275="U",$L275,$F275))</f>
        <v>0</v>
      </c>
      <c r="O275" s="35" t="str">
        <f aca="false">IF($A275="","",MONTH($A275))</f>
        <v/>
      </c>
      <c r="P275" s="35" t="str">
        <f aca="false">IF($A275="","",ROUNDUP(MONTH($A275)/3,0))</f>
        <v/>
      </c>
      <c r="Q275" s="35" t="str">
        <f aca="false">IF($A275="","",IF(MONTH($A275)&lt;=6,1,2))</f>
        <v/>
      </c>
      <c r="R275" s="35" t="str">
        <f aca="false">IF($E275="","",IFERROR(INDEX(Kontenplan!$F$5:$F$90,MATCH($E275,Kontenplan!$A$5:$A$90,0)),""))</f>
        <v/>
      </c>
      <c r="S275" s="35" t="str">
        <f aca="false">IF($D275="","",IFERROR(INDEX(Kontenplan!$F$5:$F$90,MATCH($D275,Kontenplan!$A$5:$A$90,0)),""))</f>
        <v/>
      </c>
      <c r="T275" s="35" t="str">
        <f aca="false">IF($D275="","",IFERROR(INDEX(Kontenplan!$C$5:$C$90,MATCH($D275,Kontenplan!$A$5:$A$90,0)),"?"))</f>
        <v/>
      </c>
      <c r="U275" s="35" t="str">
        <f aca="false">IF($E275="","",IFERROR(INDEX(Kontenplan!$C$5:$C$90,MATCH($E275,Kontenplan!$A$5:$A$90,0)),"?"))</f>
        <v/>
      </c>
      <c r="V275" s="35" t="str">
        <f aca="false">IF($F275="","",IF(OR($D275="",$E275="",$T275="?",$U275="?"),"Konto prüfen!",IF($A275="","Datum fehlt",IF(YEAR($A275)&lt;&gt;Einstellungen!$B$7,"anderes Jahr!",IF($G275="","MWST-Code fehlt","OK")))))</f>
        <v/>
      </c>
      <c r="W275" s="35" t="str">
        <f aca="false">IF($F275="","",IF(OR($D275=Kontoauszug!$C$4,$E275=Kontoauszug!$C$4),MAX(W$4:W274)+1,""))</f>
        <v/>
      </c>
    </row>
    <row r="276" customFormat="false" ht="15" hidden="false" customHeight="false" outlineLevel="0" collapsed="false">
      <c r="A276" s="33"/>
      <c r="B276" s="32"/>
      <c r="C276" s="32"/>
      <c r="D276" s="32"/>
      <c r="E276" s="32"/>
      <c r="F276" s="30"/>
      <c r="G276" s="32"/>
      <c r="H276" s="34" t="n">
        <f aca="false">IF($G276="",0,IFERROR(INDEX(Einstellungen!$G$5:$G$11,MATCH($G276,Einstellungen!$E$5:$E$11,0)),0))</f>
        <v>0</v>
      </c>
      <c r="I276" s="35" t="str">
        <f aca="false">IF($G276="","-",IFERROR(INDEX(Einstellungen!$H$5:$H$11,MATCH($G276,Einstellungen!$E$5:$E$11,0)),"-"))</f>
        <v>-</v>
      </c>
      <c r="J276" s="35" t="str">
        <f aca="false">IF(AND(Einstellungen!$B$8="Ja",Einstellungen!$B$9="Effektiv"),$I276,"-")</f>
        <v>-</v>
      </c>
      <c r="K276" s="31" t="n">
        <f aca="false">IF(OR($F276="",$J276="-"),0,ROUND($F276-$F276/(1+$H276),2))</f>
        <v>0</v>
      </c>
      <c r="L276" s="31" t="n">
        <f aca="false">IF($F276="",0,$F276-$K276)</f>
        <v>0</v>
      </c>
      <c r="M276" s="31" t="n">
        <f aca="false">IF($F276="",0,IF($J276="V",$L276,$F276))</f>
        <v>0</v>
      </c>
      <c r="N276" s="31" t="n">
        <f aca="false">IF($F276="",0,IF($J276="U",$L276,$F276))</f>
        <v>0</v>
      </c>
      <c r="O276" s="35" t="str">
        <f aca="false">IF($A276="","",MONTH($A276))</f>
        <v/>
      </c>
      <c r="P276" s="35" t="str">
        <f aca="false">IF($A276="","",ROUNDUP(MONTH($A276)/3,0))</f>
        <v/>
      </c>
      <c r="Q276" s="35" t="str">
        <f aca="false">IF($A276="","",IF(MONTH($A276)&lt;=6,1,2))</f>
        <v/>
      </c>
      <c r="R276" s="35" t="str">
        <f aca="false">IF($E276="","",IFERROR(INDEX(Kontenplan!$F$5:$F$90,MATCH($E276,Kontenplan!$A$5:$A$90,0)),""))</f>
        <v/>
      </c>
      <c r="S276" s="35" t="str">
        <f aca="false">IF($D276="","",IFERROR(INDEX(Kontenplan!$F$5:$F$90,MATCH($D276,Kontenplan!$A$5:$A$90,0)),""))</f>
        <v/>
      </c>
      <c r="T276" s="35" t="str">
        <f aca="false">IF($D276="","",IFERROR(INDEX(Kontenplan!$C$5:$C$90,MATCH($D276,Kontenplan!$A$5:$A$90,0)),"?"))</f>
        <v/>
      </c>
      <c r="U276" s="35" t="str">
        <f aca="false">IF($E276="","",IFERROR(INDEX(Kontenplan!$C$5:$C$90,MATCH($E276,Kontenplan!$A$5:$A$90,0)),"?"))</f>
        <v/>
      </c>
      <c r="V276" s="35" t="str">
        <f aca="false">IF($F276="","",IF(OR($D276="",$E276="",$T276="?",$U276="?"),"Konto prüfen!",IF($A276="","Datum fehlt",IF(YEAR($A276)&lt;&gt;Einstellungen!$B$7,"anderes Jahr!",IF($G276="","MWST-Code fehlt","OK")))))</f>
        <v/>
      </c>
      <c r="W276" s="35" t="str">
        <f aca="false">IF($F276="","",IF(OR($D276=Kontoauszug!$C$4,$E276=Kontoauszug!$C$4),MAX(W$4:W275)+1,""))</f>
        <v/>
      </c>
    </row>
    <row r="277" customFormat="false" ht="15" hidden="false" customHeight="false" outlineLevel="0" collapsed="false">
      <c r="A277" s="33"/>
      <c r="B277" s="32"/>
      <c r="C277" s="32"/>
      <c r="D277" s="32"/>
      <c r="E277" s="32"/>
      <c r="F277" s="30"/>
      <c r="G277" s="32"/>
      <c r="H277" s="34" t="n">
        <f aca="false">IF($G277="",0,IFERROR(INDEX(Einstellungen!$G$5:$G$11,MATCH($G277,Einstellungen!$E$5:$E$11,0)),0))</f>
        <v>0</v>
      </c>
      <c r="I277" s="35" t="str">
        <f aca="false">IF($G277="","-",IFERROR(INDEX(Einstellungen!$H$5:$H$11,MATCH($G277,Einstellungen!$E$5:$E$11,0)),"-"))</f>
        <v>-</v>
      </c>
      <c r="J277" s="35" t="str">
        <f aca="false">IF(AND(Einstellungen!$B$8="Ja",Einstellungen!$B$9="Effektiv"),$I277,"-")</f>
        <v>-</v>
      </c>
      <c r="K277" s="31" t="n">
        <f aca="false">IF(OR($F277="",$J277="-"),0,ROUND($F277-$F277/(1+$H277),2))</f>
        <v>0</v>
      </c>
      <c r="L277" s="31" t="n">
        <f aca="false">IF($F277="",0,$F277-$K277)</f>
        <v>0</v>
      </c>
      <c r="M277" s="31" t="n">
        <f aca="false">IF($F277="",0,IF($J277="V",$L277,$F277))</f>
        <v>0</v>
      </c>
      <c r="N277" s="31" t="n">
        <f aca="false">IF($F277="",0,IF($J277="U",$L277,$F277))</f>
        <v>0</v>
      </c>
      <c r="O277" s="35" t="str">
        <f aca="false">IF($A277="","",MONTH($A277))</f>
        <v/>
      </c>
      <c r="P277" s="35" t="str">
        <f aca="false">IF($A277="","",ROUNDUP(MONTH($A277)/3,0))</f>
        <v/>
      </c>
      <c r="Q277" s="35" t="str">
        <f aca="false">IF($A277="","",IF(MONTH($A277)&lt;=6,1,2))</f>
        <v/>
      </c>
      <c r="R277" s="35" t="str">
        <f aca="false">IF($E277="","",IFERROR(INDEX(Kontenplan!$F$5:$F$90,MATCH($E277,Kontenplan!$A$5:$A$90,0)),""))</f>
        <v/>
      </c>
      <c r="S277" s="35" t="str">
        <f aca="false">IF($D277="","",IFERROR(INDEX(Kontenplan!$F$5:$F$90,MATCH($D277,Kontenplan!$A$5:$A$90,0)),""))</f>
        <v/>
      </c>
      <c r="T277" s="35" t="str">
        <f aca="false">IF($D277="","",IFERROR(INDEX(Kontenplan!$C$5:$C$90,MATCH($D277,Kontenplan!$A$5:$A$90,0)),"?"))</f>
        <v/>
      </c>
      <c r="U277" s="35" t="str">
        <f aca="false">IF($E277="","",IFERROR(INDEX(Kontenplan!$C$5:$C$90,MATCH($E277,Kontenplan!$A$5:$A$90,0)),"?"))</f>
        <v/>
      </c>
      <c r="V277" s="35" t="str">
        <f aca="false">IF($F277="","",IF(OR($D277="",$E277="",$T277="?",$U277="?"),"Konto prüfen!",IF($A277="","Datum fehlt",IF(YEAR($A277)&lt;&gt;Einstellungen!$B$7,"anderes Jahr!",IF($G277="","MWST-Code fehlt","OK")))))</f>
        <v/>
      </c>
      <c r="W277" s="35" t="str">
        <f aca="false">IF($F277="","",IF(OR($D277=Kontoauszug!$C$4,$E277=Kontoauszug!$C$4),MAX(W$4:W276)+1,""))</f>
        <v/>
      </c>
    </row>
    <row r="278" customFormat="false" ht="15" hidden="false" customHeight="false" outlineLevel="0" collapsed="false">
      <c r="A278" s="33"/>
      <c r="B278" s="32"/>
      <c r="C278" s="32"/>
      <c r="D278" s="32"/>
      <c r="E278" s="32"/>
      <c r="F278" s="30"/>
      <c r="G278" s="32"/>
      <c r="H278" s="34" t="n">
        <f aca="false">IF($G278="",0,IFERROR(INDEX(Einstellungen!$G$5:$G$11,MATCH($G278,Einstellungen!$E$5:$E$11,0)),0))</f>
        <v>0</v>
      </c>
      <c r="I278" s="35" t="str">
        <f aca="false">IF($G278="","-",IFERROR(INDEX(Einstellungen!$H$5:$H$11,MATCH($G278,Einstellungen!$E$5:$E$11,0)),"-"))</f>
        <v>-</v>
      </c>
      <c r="J278" s="35" t="str">
        <f aca="false">IF(AND(Einstellungen!$B$8="Ja",Einstellungen!$B$9="Effektiv"),$I278,"-")</f>
        <v>-</v>
      </c>
      <c r="K278" s="31" t="n">
        <f aca="false">IF(OR($F278="",$J278="-"),0,ROUND($F278-$F278/(1+$H278),2))</f>
        <v>0</v>
      </c>
      <c r="L278" s="31" t="n">
        <f aca="false">IF($F278="",0,$F278-$K278)</f>
        <v>0</v>
      </c>
      <c r="M278" s="31" t="n">
        <f aca="false">IF($F278="",0,IF($J278="V",$L278,$F278))</f>
        <v>0</v>
      </c>
      <c r="N278" s="31" t="n">
        <f aca="false">IF($F278="",0,IF($J278="U",$L278,$F278))</f>
        <v>0</v>
      </c>
      <c r="O278" s="35" t="str">
        <f aca="false">IF($A278="","",MONTH($A278))</f>
        <v/>
      </c>
      <c r="P278" s="35" t="str">
        <f aca="false">IF($A278="","",ROUNDUP(MONTH($A278)/3,0))</f>
        <v/>
      </c>
      <c r="Q278" s="35" t="str">
        <f aca="false">IF($A278="","",IF(MONTH($A278)&lt;=6,1,2))</f>
        <v/>
      </c>
      <c r="R278" s="35" t="str">
        <f aca="false">IF($E278="","",IFERROR(INDEX(Kontenplan!$F$5:$F$90,MATCH($E278,Kontenplan!$A$5:$A$90,0)),""))</f>
        <v/>
      </c>
      <c r="S278" s="35" t="str">
        <f aca="false">IF($D278="","",IFERROR(INDEX(Kontenplan!$F$5:$F$90,MATCH($D278,Kontenplan!$A$5:$A$90,0)),""))</f>
        <v/>
      </c>
      <c r="T278" s="35" t="str">
        <f aca="false">IF($D278="","",IFERROR(INDEX(Kontenplan!$C$5:$C$90,MATCH($D278,Kontenplan!$A$5:$A$90,0)),"?"))</f>
        <v/>
      </c>
      <c r="U278" s="35" t="str">
        <f aca="false">IF($E278="","",IFERROR(INDEX(Kontenplan!$C$5:$C$90,MATCH($E278,Kontenplan!$A$5:$A$90,0)),"?"))</f>
        <v/>
      </c>
      <c r="V278" s="35" t="str">
        <f aca="false">IF($F278="","",IF(OR($D278="",$E278="",$T278="?",$U278="?"),"Konto prüfen!",IF($A278="","Datum fehlt",IF(YEAR($A278)&lt;&gt;Einstellungen!$B$7,"anderes Jahr!",IF($G278="","MWST-Code fehlt","OK")))))</f>
        <v/>
      </c>
      <c r="W278" s="35" t="str">
        <f aca="false">IF($F278="","",IF(OR($D278=Kontoauszug!$C$4,$E278=Kontoauszug!$C$4),MAX(W$4:W277)+1,""))</f>
        <v/>
      </c>
    </row>
    <row r="279" customFormat="false" ht="15" hidden="false" customHeight="false" outlineLevel="0" collapsed="false">
      <c r="A279" s="33"/>
      <c r="B279" s="32"/>
      <c r="C279" s="32"/>
      <c r="D279" s="32"/>
      <c r="E279" s="32"/>
      <c r="F279" s="30"/>
      <c r="G279" s="32"/>
      <c r="H279" s="34" t="n">
        <f aca="false">IF($G279="",0,IFERROR(INDEX(Einstellungen!$G$5:$G$11,MATCH($G279,Einstellungen!$E$5:$E$11,0)),0))</f>
        <v>0</v>
      </c>
      <c r="I279" s="35" t="str">
        <f aca="false">IF($G279="","-",IFERROR(INDEX(Einstellungen!$H$5:$H$11,MATCH($G279,Einstellungen!$E$5:$E$11,0)),"-"))</f>
        <v>-</v>
      </c>
      <c r="J279" s="35" t="str">
        <f aca="false">IF(AND(Einstellungen!$B$8="Ja",Einstellungen!$B$9="Effektiv"),$I279,"-")</f>
        <v>-</v>
      </c>
      <c r="K279" s="31" t="n">
        <f aca="false">IF(OR($F279="",$J279="-"),0,ROUND($F279-$F279/(1+$H279),2))</f>
        <v>0</v>
      </c>
      <c r="L279" s="31" t="n">
        <f aca="false">IF($F279="",0,$F279-$K279)</f>
        <v>0</v>
      </c>
      <c r="M279" s="31" t="n">
        <f aca="false">IF($F279="",0,IF($J279="V",$L279,$F279))</f>
        <v>0</v>
      </c>
      <c r="N279" s="31" t="n">
        <f aca="false">IF($F279="",0,IF($J279="U",$L279,$F279))</f>
        <v>0</v>
      </c>
      <c r="O279" s="35" t="str">
        <f aca="false">IF($A279="","",MONTH($A279))</f>
        <v/>
      </c>
      <c r="P279" s="35" t="str">
        <f aca="false">IF($A279="","",ROUNDUP(MONTH($A279)/3,0))</f>
        <v/>
      </c>
      <c r="Q279" s="35" t="str">
        <f aca="false">IF($A279="","",IF(MONTH($A279)&lt;=6,1,2))</f>
        <v/>
      </c>
      <c r="R279" s="35" t="str">
        <f aca="false">IF($E279="","",IFERROR(INDEX(Kontenplan!$F$5:$F$90,MATCH($E279,Kontenplan!$A$5:$A$90,0)),""))</f>
        <v/>
      </c>
      <c r="S279" s="35" t="str">
        <f aca="false">IF($D279="","",IFERROR(INDEX(Kontenplan!$F$5:$F$90,MATCH($D279,Kontenplan!$A$5:$A$90,0)),""))</f>
        <v/>
      </c>
      <c r="T279" s="35" t="str">
        <f aca="false">IF($D279="","",IFERROR(INDEX(Kontenplan!$C$5:$C$90,MATCH($D279,Kontenplan!$A$5:$A$90,0)),"?"))</f>
        <v/>
      </c>
      <c r="U279" s="35" t="str">
        <f aca="false">IF($E279="","",IFERROR(INDEX(Kontenplan!$C$5:$C$90,MATCH($E279,Kontenplan!$A$5:$A$90,0)),"?"))</f>
        <v/>
      </c>
      <c r="V279" s="35" t="str">
        <f aca="false">IF($F279="","",IF(OR($D279="",$E279="",$T279="?",$U279="?"),"Konto prüfen!",IF($A279="","Datum fehlt",IF(YEAR($A279)&lt;&gt;Einstellungen!$B$7,"anderes Jahr!",IF($G279="","MWST-Code fehlt","OK")))))</f>
        <v/>
      </c>
      <c r="W279" s="35" t="str">
        <f aca="false">IF($F279="","",IF(OR($D279=Kontoauszug!$C$4,$E279=Kontoauszug!$C$4),MAX(W$4:W278)+1,""))</f>
        <v/>
      </c>
    </row>
    <row r="280" customFormat="false" ht="15" hidden="false" customHeight="false" outlineLevel="0" collapsed="false">
      <c r="A280" s="33"/>
      <c r="B280" s="32"/>
      <c r="C280" s="32"/>
      <c r="D280" s="32"/>
      <c r="E280" s="32"/>
      <c r="F280" s="30"/>
      <c r="G280" s="32"/>
      <c r="H280" s="34" t="n">
        <f aca="false">IF($G280="",0,IFERROR(INDEX(Einstellungen!$G$5:$G$11,MATCH($G280,Einstellungen!$E$5:$E$11,0)),0))</f>
        <v>0</v>
      </c>
      <c r="I280" s="35" t="str">
        <f aca="false">IF($G280="","-",IFERROR(INDEX(Einstellungen!$H$5:$H$11,MATCH($G280,Einstellungen!$E$5:$E$11,0)),"-"))</f>
        <v>-</v>
      </c>
      <c r="J280" s="35" t="str">
        <f aca="false">IF(AND(Einstellungen!$B$8="Ja",Einstellungen!$B$9="Effektiv"),$I280,"-")</f>
        <v>-</v>
      </c>
      <c r="K280" s="31" t="n">
        <f aca="false">IF(OR($F280="",$J280="-"),0,ROUND($F280-$F280/(1+$H280),2))</f>
        <v>0</v>
      </c>
      <c r="L280" s="31" t="n">
        <f aca="false">IF($F280="",0,$F280-$K280)</f>
        <v>0</v>
      </c>
      <c r="M280" s="31" t="n">
        <f aca="false">IF($F280="",0,IF($J280="V",$L280,$F280))</f>
        <v>0</v>
      </c>
      <c r="N280" s="31" t="n">
        <f aca="false">IF($F280="",0,IF($J280="U",$L280,$F280))</f>
        <v>0</v>
      </c>
      <c r="O280" s="35" t="str">
        <f aca="false">IF($A280="","",MONTH($A280))</f>
        <v/>
      </c>
      <c r="P280" s="35" t="str">
        <f aca="false">IF($A280="","",ROUNDUP(MONTH($A280)/3,0))</f>
        <v/>
      </c>
      <c r="Q280" s="35" t="str">
        <f aca="false">IF($A280="","",IF(MONTH($A280)&lt;=6,1,2))</f>
        <v/>
      </c>
      <c r="R280" s="35" t="str">
        <f aca="false">IF($E280="","",IFERROR(INDEX(Kontenplan!$F$5:$F$90,MATCH($E280,Kontenplan!$A$5:$A$90,0)),""))</f>
        <v/>
      </c>
      <c r="S280" s="35" t="str">
        <f aca="false">IF($D280="","",IFERROR(INDEX(Kontenplan!$F$5:$F$90,MATCH($D280,Kontenplan!$A$5:$A$90,0)),""))</f>
        <v/>
      </c>
      <c r="T280" s="35" t="str">
        <f aca="false">IF($D280="","",IFERROR(INDEX(Kontenplan!$C$5:$C$90,MATCH($D280,Kontenplan!$A$5:$A$90,0)),"?"))</f>
        <v/>
      </c>
      <c r="U280" s="35" t="str">
        <f aca="false">IF($E280="","",IFERROR(INDEX(Kontenplan!$C$5:$C$90,MATCH($E280,Kontenplan!$A$5:$A$90,0)),"?"))</f>
        <v/>
      </c>
      <c r="V280" s="35" t="str">
        <f aca="false">IF($F280="","",IF(OR($D280="",$E280="",$T280="?",$U280="?"),"Konto prüfen!",IF($A280="","Datum fehlt",IF(YEAR($A280)&lt;&gt;Einstellungen!$B$7,"anderes Jahr!",IF($G280="","MWST-Code fehlt","OK")))))</f>
        <v/>
      </c>
      <c r="W280" s="35" t="str">
        <f aca="false">IF($F280="","",IF(OR($D280=Kontoauszug!$C$4,$E280=Kontoauszug!$C$4),MAX(W$4:W279)+1,""))</f>
        <v/>
      </c>
    </row>
    <row r="281" customFormat="false" ht="15" hidden="false" customHeight="false" outlineLevel="0" collapsed="false">
      <c r="A281" s="33"/>
      <c r="B281" s="32"/>
      <c r="C281" s="32"/>
      <c r="D281" s="32"/>
      <c r="E281" s="32"/>
      <c r="F281" s="30"/>
      <c r="G281" s="32"/>
      <c r="H281" s="34" t="n">
        <f aca="false">IF($G281="",0,IFERROR(INDEX(Einstellungen!$G$5:$G$11,MATCH($G281,Einstellungen!$E$5:$E$11,0)),0))</f>
        <v>0</v>
      </c>
      <c r="I281" s="35" t="str">
        <f aca="false">IF($G281="","-",IFERROR(INDEX(Einstellungen!$H$5:$H$11,MATCH($G281,Einstellungen!$E$5:$E$11,0)),"-"))</f>
        <v>-</v>
      </c>
      <c r="J281" s="35" t="str">
        <f aca="false">IF(AND(Einstellungen!$B$8="Ja",Einstellungen!$B$9="Effektiv"),$I281,"-")</f>
        <v>-</v>
      </c>
      <c r="K281" s="31" t="n">
        <f aca="false">IF(OR($F281="",$J281="-"),0,ROUND($F281-$F281/(1+$H281),2))</f>
        <v>0</v>
      </c>
      <c r="L281" s="31" t="n">
        <f aca="false">IF($F281="",0,$F281-$K281)</f>
        <v>0</v>
      </c>
      <c r="M281" s="31" t="n">
        <f aca="false">IF($F281="",0,IF($J281="V",$L281,$F281))</f>
        <v>0</v>
      </c>
      <c r="N281" s="31" t="n">
        <f aca="false">IF($F281="",0,IF($J281="U",$L281,$F281))</f>
        <v>0</v>
      </c>
      <c r="O281" s="35" t="str">
        <f aca="false">IF($A281="","",MONTH($A281))</f>
        <v/>
      </c>
      <c r="P281" s="35" t="str">
        <f aca="false">IF($A281="","",ROUNDUP(MONTH($A281)/3,0))</f>
        <v/>
      </c>
      <c r="Q281" s="35" t="str">
        <f aca="false">IF($A281="","",IF(MONTH($A281)&lt;=6,1,2))</f>
        <v/>
      </c>
      <c r="R281" s="35" t="str">
        <f aca="false">IF($E281="","",IFERROR(INDEX(Kontenplan!$F$5:$F$90,MATCH($E281,Kontenplan!$A$5:$A$90,0)),""))</f>
        <v/>
      </c>
      <c r="S281" s="35" t="str">
        <f aca="false">IF($D281="","",IFERROR(INDEX(Kontenplan!$F$5:$F$90,MATCH($D281,Kontenplan!$A$5:$A$90,0)),""))</f>
        <v/>
      </c>
      <c r="T281" s="35" t="str">
        <f aca="false">IF($D281="","",IFERROR(INDEX(Kontenplan!$C$5:$C$90,MATCH($D281,Kontenplan!$A$5:$A$90,0)),"?"))</f>
        <v/>
      </c>
      <c r="U281" s="35" t="str">
        <f aca="false">IF($E281="","",IFERROR(INDEX(Kontenplan!$C$5:$C$90,MATCH($E281,Kontenplan!$A$5:$A$90,0)),"?"))</f>
        <v/>
      </c>
      <c r="V281" s="35" t="str">
        <f aca="false">IF($F281="","",IF(OR($D281="",$E281="",$T281="?",$U281="?"),"Konto prüfen!",IF($A281="","Datum fehlt",IF(YEAR($A281)&lt;&gt;Einstellungen!$B$7,"anderes Jahr!",IF($G281="","MWST-Code fehlt","OK")))))</f>
        <v/>
      </c>
      <c r="W281" s="35" t="str">
        <f aca="false">IF($F281="","",IF(OR($D281=Kontoauszug!$C$4,$E281=Kontoauszug!$C$4),MAX(W$4:W280)+1,""))</f>
        <v/>
      </c>
    </row>
    <row r="282" customFormat="false" ht="15" hidden="false" customHeight="false" outlineLevel="0" collapsed="false">
      <c r="A282" s="33"/>
      <c r="B282" s="32"/>
      <c r="C282" s="32"/>
      <c r="D282" s="32"/>
      <c r="E282" s="32"/>
      <c r="F282" s="30"/>
      <c r="G282" s="32"/>
      <c r="H282" s="34" t="n">
        <f aca="false">IF($G282="",0,IFERROR(INDEX(Einstellungen!$G$5:$G$11,MATCH($G282,Einstellungen!$E$5:$E$11,0)),0))</f>
        <v>0</v>
      </c>
      <c r="I282" s="35" t="str">
        <f aca="false">IF($G282="","-",IFERROR(INDEX(Einstellungen!$H$5:$H$11,MATCH($G282,Einstellungen!$E$5:$E$11,0)),"-"))</f>
        <v>-</v>
      </c>
      <c r="J282" s="35" t="str">
        <f aca="false">IF(AND(Einstellungen!$B$8="Ja",Einstellungen!$B$9="Effektiv"),$I282,"-")</f>
        <v>-</v>
      </c>
      <c r="K282" s="31" t="n">
        <f aca="false">IF(OR($F282="",$J282="-"),0,ROUND($F282-$F282/(1+$H282),2))</f>
        <v>0</v>
      </c>
      <c r="L282" s="31" t="n">
        <f aca="false">IF($F282="",0,$F282-$K282)</f>
        <v>0</v>
      </c>
      <c r="M282" s="31" t="n">
        <f aca="false">IF($F282="",0,IF($J282="V",$L282,$F282))</f>
        <v>0</v>
      </c>
      <c r="N282" s="31" t="n">
        <f aca="false">IF($F282="",0,IF($J282="U",$L282,$F282))</f>
        <v>0</v>
      </c>
      <c r="O282" s="35" t="str">
        <f aca="false">IF($A282="","",MONTH($A282))</f>
        <v/>
      </c>
      <c r="P282" s="35" t="str">
        <f aca="false">IF($A282="","",ROUNDUP(MONTH($A282)/3,0))</f>
        <v/>
      </c>
      <c r="Q282" s="35" t="str">
        <f aca="false">IF($A282="","",IF(MONTH($A282)&lt;=6,1,2))</f>
        <v/>
      </c>
      <c r="R282" s="35" t="str">
        <f aca="false">IF($E282="","",IFERROR(INDEX(Kontenplan!$F$5:$F$90,MATCH($E282,Kontenplan!$A$5:$A$90,0)),""))</f>
        <v/>
      </c>
      <c r="S282" s="35" t="str">
        <f aca="false">IF($D282="","",IFERROR(INDEX(Kontenplan!$F$5:$F$90,MATCH($D282,Kontenplan!$A$5:$A$90,0)),""))</f>
        <v/>
      </c>
      <c r="T282" s="35" t="str">
        <f aca="false">IF($D282="","",IFERROR(INDEX(Kontenplan!$C$5:$C$90,MATCH($D282,Kontenplan!$A$5:$A$90,0)),"?"))</f>
        <v/>
      </c>
      <c r="U282" s="35" t="str">
        <f aca="false">IF($E282="","",IFERROR(INDEX(Kontenplan!$C$5:$C$90,MATCH($E282,Kontenplan!$A$5:$A$90,0)),"?"))</f>
        <v/>
      </c>
      <c r="V282" s="35" t="str">
        <f aca="false">IF($F282="","",IF(OR($D282="",$E282="",$T282="?",$U282="?"),"Konto prüfen!",IF($A282="","Datum fehlt",IF(YEAR($A282)&lt;&gt;Einstellungen!$B$7,"anderes Jahr!",IF($G282="","MWST-Code fehlt","OK")))))</f>
        <v/>
      </c>
      <c r="W282" s="35" t="str">
        <f aca="false">IF($F282="","",IF(OR($D282=Kontoauszug!$C$4,$E282=Kontoauszug!$C$4),MAX(W$4:W281)+1,""))</f>
        <v/>
      </c>
    </row>
    <row r="283" customFormat="false" ht="15" hidden="false" customHeight="false" outlineLevel="0" collapsed="false">
      <c r="A283" s="33"/>
      <c r="B283" s="32"/>
      <c r="C283" s="32"/>
      <c r="D283" s="32"/>
      <c r="E283" s="32"/>
      <c r="F283" s="30"/>
      <c r="G283" s="32"/>
      <c r="H283" s="34" t="n">
        <f aca="false">IF($G283="",0,IFERROR(INDEX(Einstellungen!$G$5:$G$11,MATCH($G283,Einstellungen!$E$5:$E$11,0)),0))</f>
        <v>0</v>
      </c>
      <c r="I283" s="35" t="str">
        <f aca="false">IF($G283="","-",IFERROR(INDEX(Einstellungen!$H$5:$H$11,MATCH($G283,Einstellungen!$E$5:$E$11,0)),"-"))</f>
        <v>-</v>
      </c>
      <c r="J283" s="35" t="str">
        <f aca="false">IF(AND(Einstellungen!$B$8="Ja",Einstellungen!$B$9="Effektiv"),$I283,"-")</f>
        <v>-</v>
      </c>
      <c r="K283" s="31" t="n">
        <f aca="false">IF(OR($F283="",$J283="-"),0,ROUND($F283-$F283/(1+$H283),2))</f>
        <v>0</v>
      </c>
      <c r="L283" s="31" t="n">
        <f aca="false">IF($F283="",0,$F283-$K283)</f>
        <v>0</v>
      </c>
      <c r="M283" s="31" t="n">
        <f aca="false">IF($F283="",0,IF($J283="V",$L283,$F283))</f>
        <v>0</v>
      </c>
      <c r="N283" s="31" t="n">
        <f aca="false">IF($F283="",0,IF($J283="U",$L283,$F283))</f>
        <v>0</v>
      </c>
      <c r="O283" s="35" t="str">
        <f aca="false">IF($A283="","",MONTH($A283))</f>
        <v/>
      </c>
      <c r="P283" s="35" t="str">
        <f aca="false">IF($A283="","",ROUNDUP(MONTH($A283)/3,0))</f>
        <v/>
      </c>
      <c r="Q283" s="35" t="str">
        <f aca="false">IF($A283="","",IF(MONTH($A283)&lt;=6,1,2))</f>
        <v/>
      </c>
      <c r="R283" s="35" t="str">
        <f aca="false">IF($E283="","",IFERROR(INDEX(Kontenplan!$F$5:$F$90,MATCH($E283,Kontenplan!$A$5:$A$90,0)),""))</f>
        <v/>
      </c>
      <c r="S283" s="35" t="str">
        <f aca="false">IF($D283="","",IFERROR(INDEX(Kontenplan!$F$5:$F$90,MATCH($D283,Kontenplan!$A$5:$A$90,0)),""))</f>
        <v/>
      </c>
      <c r="T283" s="35" t="str">
        <f aca="false">IF($D283="","",IFERROR(INDEX(Kontenplan!$C$5:$C$90,MATCH($D283,Kontenplan!$A$5:$A$90,0)),"?"))</f>
        <v/>
      </c>
      <c r="U283" s="35" t="str">
        <f aca="false">IF($E283="","",IFERROR(INDEX(Kontenplan!$C$5:$C$90,MATCH($E283,Kontenplan!$A$5:$A$90,0)),"?"))</f>
        <v/>
      </c>
      <c r="V283" s="35" t="str">
        <f aca="false">IF($F283="","",IF(OR($D283="",$E283="",$T283="?",$U283="?"),"Konto prüfen!",IF($A283="","Datum fehlt",IF(YEAR($A283)&lt;&gt;Einstellungen!$B$7,"anderes Jahr!",IF($G283="","MWST-Code fehlt","OK")))))</f>
        <v/>
      </c>
      <c r="W283" s="35" t="str">
        <f aca="false">IF($F283="","",IF(OR($D283=Kontoauszug!$C$4,$E283=Kontoauszug!$C$4),MAX(W$4:W282)+1,""))</f>
        <v/>
      </c>
    </row>
    <row r="284" customFormat="false" ht="15" hidden="false" customHeight="false" outlineLevel="0" collapsed="false">
      <c r="A284" s="33"/>
      <c r="B284" s="32"/>
      <c r="C284" s="32"/>
      <c r="D284" s="32"/>
      <c r="E284" s="32"/>
      <c r="F284" s="30"/>
      <c r="G284" s="32"/>
      <c r="H284" s="34" t="n">
        <f aca="false">IF($G284="",0,IFERROR(INDEX(Einstellungen!$G$5:$G$11,MATCH($G284,Einstellungen!$E$5:$E$11,0)),0))</f>
        <v>0</v>
      </c>
      <c r="I284" s="35" t="str">
        <f aca="false">IF($G284="","-",IFERROR(INDEX(Einstellungen!$H$5:$H$11,MATCH($G284,Einstellungen!$E$5:$E$11,0)),"-"))</f>
        <v>-</v>
      </c>
      <c r="J284" s="35" t="str">
        <f aca="false">IF(AND(Einstellungen!$B$8="Ja",Einstellungen!$B$9="Effektiv"),$I284,"-")</f>
        <v>-</v>
      </c>
      <c r="K284" s="31" t="n">
        <f aca="false">IF(OR($F284="",$J284="-"),0,ROUND($F284-$F284/(1+$H284),2))</f>
        <v>0</v>
      </c>
      <c r="L284" s="31" t="n">
        <f aca="false">IF($F284="",0,$F284-$K284)</f>
        <v>0</v>
      </c>
      <c r="M284" s="31" t="n">
        <f aca="false">IF($F284="",0,IF($J284="V",$L284,$F284))</f>
        <v>0</v>
      </c>
      <c r="N284" s="31" t="n">
        <f aca="false">IF($F284="",0,IF($J284="U",$L284,$F284))</f>
        <v>0</v>
      </c>
      <c r="O284" s="35" t="str">
        <f aca="false">IF($A284="","",MONTH($A284))</f>
        <v/>
      </c>
      <c r="P284" s="35" t="str">
        <f aca="false">IF($A284="","",ROUNDUP(MONTH($A284)/3,0))</f>
        <v/>
      </c>
      <c r="Q284" s="35" t="str">
        <f aca="false">IF($A284="","",IF(MONTH($A284)&lt;=6,1,2))</f>
        <v/>
      </c>
      <c r="R284" s="35" t="str">
        <f aca="false">IF($E284="","",IFERROR(INDEX(Kontenplan!$F$5:$F$90,MATCH($E284,Kontenplan!$A$5:$A$90,0)),""))</f>
        <v/>
      </c>
      <c r="S284" s="35" t="str">
        <f aca="false">IF($D284="","",IFERROR(INDEX(Kontenplan!$F$5:$F$90,MATCH($D284,Kontenplan!$A$5:$A$90,0)),""))</f>
        <v/>
      </c>
      <c r="T284" s="35" t="str">
        <f aca="false">IF($D284="","",IFERROR(INDEX(Kontenplan!$C$5:$C$90,MATCH($D284,Kontenplan!$A$5:$A$90,0)),"?"))</f>
        <v/>
      </c>
      <c r="U284" s="35" t="str">
        <f aca="false">IF($E284="","",IFERROR(INDEX(Kontenplan!$C$5:$C$90,MATCH($E284,Kontenplan!$A$5:$A$90,0)),"?"))</f>
        <v/>
      </c>
      <c r="V284" s="35" t="str">
        <f aca="false">IF($F284="","",IF(OR($D284="",$E284="",$T284="?",$U284="?"),"Konto prüfen!",IF($A284="","Datum fehlt",IF(YEAR($A284)&lt;&gt;Einstellungen!$B$7,"anderes Jahr!",IF($G284="","MWST-Code fehlt","OK")))))</f>
        <v/>
      </c>
      <c r="W284" s="35" t="str">
        <f aca="false">IF($F284="","",IF(OR($D284=Kontoauszug!$C$4,$E284=Kontoauszug!$C$4),MAX(W$4:W283)+1,""))</f>
        <v/>
      </c>
    </row>
    <row r="285" customFormat="false" ht="15" hidden="false" customHeight="false" outlineLevel="0" collapsed="false">
      <c r="A285" s="33"/>
      <c r="B285" s="32"/>
      <c r="C285" s="32"/>
      <c r="D285" s="32"/>
      <c r="E285" s="32"/>
      <c r="F285" s="30"/>
      <c r="G285" s="32"/>
      <c r="H285" s="34" t="n">
        <f aca="false">IF($G285="",0,IFERROR(INDEX(Einstellungen!$G$5:$G$11,MATCH($G285,Einstellungen!$E$5:$E$11,0)),0))</f>
        <v>0</v>
      </c>
      <c r="I285" s="35" t="str">
        <f aca="false">IF($G285="","-",IFERROR(INDEX(Einstellungen!$H$5:$H$11,MATCH($G285,Einstellungen!$E$5:$E$11,0)),"-"))</f>
        <v>-</v>
      </c>
      <c r="J285" s="35" t="str">
        <f aca="false">IF(AND(Einstellungen!$B$8="Ja",Einstellungen!$B$9="Effektiv"),$I285,"-")</f>
        <v>-</v>
      </c>
      <c r="K285" s="31" t="n">
        <f aca="false">IF(OR($F285="",$J285="-"),0,ROUND($F285-$F285/(1+$H285),2))</f>
        <v>0</v>
      </c>
      <c r="L285" s="31" t="n">
        <f aca="false">IF($F285="",0,$F285-$K285)</f>
        <v>0</v>
      </c>
      <c r="M285" s="31" t="n">
        <f aca="false">IF($F285="",0,IF($J285="V",$L285,$F285))</f>
        <v>0</v>
      </c>
      <c r="N285" s="31" t="n">
        <f aca="false">IF($F285="",0,IF($J285="U",$L285,$F285))</f>
        <v>0</v>
      </c>
      <c r="O285" s="35" t="str">
        <f aca="false">IF($A285="","",MONTH($A285))</f>
        <v/>
      </c>
      <c r="P285" s="35" t="str">
        <f aca="false">IF($A285="","",ROUNDUP(MONTH($A285)/3,0))</f>
        <v/>
      </c>
      <c r="Q285" s="35" t="str">
        <f aca="false">IF($A285="","",IF(MONTH($A285)&lt;=6,1,2))</f>
        <v/>
      </c>
      <c r="R285" s="35" t="str">
        <f aca="false">IF($E285="","",IFERROR(INDEX(Kontenplan!$F$5:$F$90,MATCH($E285,Kontenplan!$A$5:$A$90,0)),""))</f>
        <v/>
      </c>
      <c r="S285" s="35" t="str">
        <f aca="false">IF($D285="","",IFERROR(INDEX(Kontenplan!$F$5:$F$90,MATCH($D285,Kontenplan!$A$5:$A$90,0)),""))</f>
        <v/>
      </c>
      <c r="T285" s="35" t="str">
        <f aca="false">IF($D285="","",IFERROR(INDEX(Kontenplan!$C$5:$C$90,MATCH($D285,Kontenplan!$A$5:$A$90,0)),"?"))</f>
        <v/>
      </c>
      <c r="U285" s="35" t="str">
        <f aca="false">IF($E285="","",IFERROR(INDEX(Kontenplan!$C$5:$C$90,MATCH($E285,Kontenplan!$A$5:$A$90,0)),"?"))</f>
        <v/>
      </c>
      <c r="V285" s="35" t="str">
        <f aca="false">IF($F285="","",IF(OR($D285="",$E285="",$T285="?",$U285="?"),"Konto prüfen!",IF($A285="","Datum fehlt",IF(YEAR($A285)&lt;&gt;Einstellungen!$B$7,"anderes Jahr!",IF($G285="","MWST-Code fehlt","OK")))))</f>
        <v/>
      </c>
      <c r="W285" s="35" t="str">
        <f aca="false">IF($F285="","",IF(OR($D285=Kontoauszug!$C$4,$E285=Kontoauszug!$C$4),MAX(W$4:W284)+1,""))</f>
        <v/>
      </c>
    </row>
    <row r="286" customFormat="false" ht="15" hidden="false" customHeight="false" outlineLevel="0" collapsed="false">
      <c r="A286" s="33"/>
      <c r="B286" s="32"/>
      <c r="C286" s="32"/>
      <c r="D286" s="32"/>
      <c r="E286" s="32"/>
      <c r="F286" s="30"/>
      <c r="G286" s="32"/>
      <c r="H286" s="34" t="n">
        <f aca="false">IF($G286="",0,IFERROR(INDEX(Einstellungen!$G$5:$G$11,MATCH($G286,Einstellungen!$E$5:$E$11,0)),0))</f>
        <v>0</v>
      </c>
      <c r="I286" s="35" t="str">
        <f aca="false">IF($G286="","-",IFERROR(INDEX(Einstellungen!$H$5:$H$11,MATCH($G286,Einstellungen!$E$5:$E$11,0)),"-"))</f>
        <v>-</v>
      </c>
      <c r="J286" s="35" t="str">
        <f aca="false">IF(AND(Einstellungen!$B$8="Ja",Einstellungen!$B$9="Effektiv"),$I286,"-")</f>
        <v>-</v>
      </c>
      <c r="K286" s="31" t="n">
        <f aca="false">IF(OR($F286="",$J286="-"),0,ROUND($F286-$F286/(1+$H286),2))</f>
        <v>0</v>
      </c>
      <c r="L286" s="31" t="n">
        <f aca="false">IF($F286="",0,$F286-$K286)</f>
        <v>0</v>
      </c>
      <c r="M286" s="31" t="n">
        <f aca="false">IF($F286="",0,IF($J286="V",$L286,$F286))</f>
        <v>0</v>
      </c>
      <c r="N286" s="31" t="n">
        <f aca="false">IF($F286="",0,IF($J286="U",$L286,$F286))</f>
        <v>0</v>
      </c>
      <c r="O286" s="35" t="str">
        <f aca="false">IF($A286="","",MONTH($A286))</f>
        <v/>
      </c>
      <c r="P286" s="35" t="str">
        <f aca="false">IF($A286="","",ROUNDUP(MONTH($A286)/3,0))</f>
        <v/>
      </c>
      <c r="Q286" s="35" t="str">
        <f aca="false">IF($A286="","",IF(MONTH($A286)&lt;=6,1,2))</f>
        <v/>
      </c>
      <c r="R286" s="35" t="str">
        <f aca="false">IF($E286="","",IFERROR(INDEX(Kontenplan!$F$5:$F$90,MATCH($E286,Kontenplan!$A$5:$A$90,0)),""))</f>
        <v/>
      </c>
      <c r="S286" s="35" t="str">
        <f aca="false">IF($D286="","",IFERROR(INDEX(Kontenplan!$F$5:$F$90,MATCH($D286,Kontenplan!$A$5:$A$90,0)),""))</f>
        <v/>
      </c>
      <c r="T286" s="35" t="str">
        <f aca="false">IF($D286="","",IFERROR(INDEX(Kontenplan!$C$5:$C$90,MATCH($D286,Kontenplan!$A$5:$A$90,0)),"?"))</f>
        <v/>
      </c>
      <c r="U286" s="35" t="str">
        <f aca="false">IF($E286="","",IFERROR(INDEX(Kontenplan!$C$5:$C$90,MATCH($E286,Kontenplan!$A$5:$A$90,0)),"?"))</f>
        <v/>
      </c>
      <c r="V286" s="35" t="str">
        <f aca="false">IF($F286="","",IF(OR($D286="",$E286="",$T286="?",$U286="?"),"Konto prüfen!",IF($A286="","Datum fehlt",IF(YEAR($A286)&lt;&gt;Einstellungen!$B$7,"anderes Jahr!",IF($G286="","MWST-Code fehlt","OK")))))</f>
        <v/>
      </c>
      <c r="W286" s="35" t="str">
        <f aca="false">IF($F286="","",IF(OR($D286=Kontoauszug!$C$4,$E286=Kontoauszug!$C$4),MAX(W$4:W285)+1,""))</f>
        <v/>
      </c>
    </row>
    <row r="287" customFormat="false" ht="15" hidden="false" customHeight="false" outlineLevel="0" collapsed="false">
      <c r="A287" s="33"/>
      <c r="B287" s="32"/>
      <c r="C287" s="32"/>
      <c r="D287" s="32"/>
      <c r="E287" s="32"/>
      <c r="F287" s="30"/>
      <c r="G287" s="32"/>
      <c r="H287" s="34" t="n">
        <f aca="false">IF($G287="",0,IFERROR(INDEX(Einstellungen!$G$5:$G$11,MATCH($G287,Einstellungen!$E$5:$E$11,0)),0))</f>
        <v>0</v>
      </c>
      <c r="I287" s="35" t="str">
        <f aca="false">IF($G287="","-",IFERROR(INDEX(Einstellungen!$H$5:$H$11,MATCH($G287,Einstellungen!$E$5:$E$11,0)),"-"))</f>
        <v>-</v>
      </c>
      <c r="J287" s="35" t="str">
        <f aca="false">IF(AND(Einstellungen!$B$8="Ja",Einstellungen!$B$9="Effektiv"),$I287,"-")</f>
        <v>-</v>
      </c>
      <c r="K287" s="31" t="n">
        <f aca="false">IF(OR($F287="",$J287="-"),0,ROUND($F287-$F287/(1+$H287),2))</f>
        <v>0</v>
      </c>
      <c r="L287" s="31" t="n">
        <f aca="false">IF($F287="",0,$F287-$K287)</f>
        <v>0</v>
      </c>
      <c r="M287" s="31" t="n">
        <f aca="false">IF($F287="",0,IF($J287="V",$L287,$F287))</f>
        <v>0</v>
      </c>
      <c r="N287" s="31" t="n">
        <f aca="false">IF($F287="",0,IF($J287="U",$L287,$F287))</f>
        <v>0</v>
      </c>
      <c r="O287" s="35" t="str">
        <f aca="false">IF($A287="","",MONTH($A287))</f>
        <v/>
      </c>
      <c r="P287" s="35" t="str">
        <f aca="false">IF($A287="","",ROUNDUP(MONTH($A287)/3,0))</f>
        <v/>
      </c>
      <c r="Q287" s="35" t="str">
        <f aca="false">IF($A287="","",IF(MONTH($A287)&lt;=6,1,2))</f>
        <v/>
      </c>
      <c r="R287" s="35" t="str">
        <f aca="false">IF($E287="","",IFERROR(INDEX(Kontenplan!$F$5:$F$90,MATCH($E287,Kontenplan!$A$5:$A$90,0)),""))</f>
        <v/>
      </c>
      <c r="S287" s="35" t="str">
        <f aca="false">IF($D287="","",IFERROR(INDEX(Kontenplan!$F$5:$F$90,MATCH($D287,Kontenplan!$A$5:$A$90,0)),""))</f>
        <v/>
      </c>
      <c r="T287" s="35" t="str">
        <f aca="false">IF($D287="","",IFERROR(INDEX(Kontenplan!$C$5:$C$90,MATCH($D287,Kontenplan!$A$5:$A$90,0)),"?"))</f>
        <v/>
      </c>
      <c r="U287" s="35" t="str">
        <f aca="false">IF($E287="","",IFERROR(INDEX(Kontenplan!$C$5:$C$90,MATCH($E287,Kontenplan!$A$5:$A$90,0)),"?"))</f>
        <v/>
      </c>
      <c r="V287" s="35" t="str">
        <f aca="false">IF($F287="","",IF(OR($D287="",$E287="",$T287="?",$U287="?"),"Konto prüfen!",IF($A287="","Datum fehlt",IF(YEAR($A287)&lt;&gt;Einstellungen!$B$7,"anderes Jahr!",IF($G287="","MWST-Code fehlt","OK")))))</f>
        <v/>
      </c>
      <c r="W287" s="35" t="str">
        <f aca="false">IF($F287="","",IF(OR($D287=Kontoauszug!$C$4,$E287=Kontoauszug!$C$4),MAX(W$4:W286)+1,""))</f>
        <v/>
      </c>
    </row>
    <row r="288" customFormat="false" ht="15" hidden="false" customHeight="false" outlineLevel="0" collapsed="false">
      <c r="A288" s="33"/>
      <c r="B288" s="32"/>
      <c r="C288" s="32"/>
      <c r="D288" s="32"/>
      <c r="E288" s="32"/>
      <c r="F288" s="30"/>
      <c r="G288" s="32"/>
      <c r="H288" s="34" t="n">
        <f aca="false">IF($G288="",0,IFERROR(INDEX(Einstellungen!$G$5:$G$11,MATCH($G288,Einstellungen!$E$5:$E$11,0)),0))</f>
        <v>0</v>
      </c>
      <c r="I288" s="35" t="str">
        <f aca="false">IF($G288="","-",IFERROR(INDEX(Einstellungen!$H$5:$H$11,MATCH($G288,Einstellungen!$E$5:$E$11,0)),"-"))</f>
        <v>-</v>
      </c>
      <c r="J288" s="35" t="str">
        <f aca="false">IF(AND(Einstellungen!$B$8="Ja",Einstellungen!$B$9="Effektiv"),$I288,"-")</f>
        <v>-</v>
      </c>
      <c r="K288" s="31" t="n">
        <f aca="false">IF(OR($F288="",$J288="-"),0,ROUND($F288-$F288/(1+$H288),2))</f>
        <v>0</v>
      </c>
      <c r="L288" s="31" t="n">
        <f aca="false">IF($F288="",0,$F288-$K288)</f>
        <v>0</v>
      </c>
      <c r="M288" s="31" t="n">
        <f aca="false">IF($F288="",0,IF($J288="V",$L288,$F288))</f>
        <v>0</v>
      </c>
      <c r="N288" s="31" t="n">
        <f aca="false">IF($F288="",0,IF($J288="U",$L288,$F288))</f>
        <v>0</v>
      </c>
      <c r="O288" s="35" t="str">
        <f aca="false">IF($A288="","",MONTH($A288))</f>
        <v/>
      </c>
      <c r="P288" s="35" t="str">
        <f aca="false">IF($A288="","",ROUNDUP(MONTH($A288)/3,0))</f>
        <v/>
      </c>
      <c r="Q288" s="35" t="str">
        <f aca="false">IF($A288="","",IF(MONTH($A288)&lt;=6,1,2))</f>
        <v/>
      </c>
      <c r="R288" s="35" t="str">
        <f aca="false">IF($E288="","",IFERROR(INDEX(Kontenplan!$F$5:$F$90,MATCH($E288,Kontenplan!$A$5:$A$90,0)),""))</f>
        <v/>
      </c>
      <c r="S288" s="35" t="str">
        <f aca="false">IF($D288="","",IFERROR(INDEX(Kontenplan!$F$5:$F$90,MATCH($D288,Kontenplan!$A$5:$A$90,0)),""))</f>
        <v/>
      </c>
      <c r="T288" s="35" t="str">
        <f aca="false">IF($D288="","",IFERROR(INDEX(Kontenplan!$C$5:$C$90,MATCH($D288,Kontenplan!$A$5:$A$90,0)),"?"))</f>
        <v/>
      </c>
      <c r="U288" s="35" t="str">
        <f aca="false">IF($E288="","",IFERROR(INDEX(Kontenplan!$C$5:$C$90,MATCH($E288,Kontenplan!$A$5:$A$90,0)),"?"))</f>
        <v/>
      </c>
      <c r="V288" s="35" t="str">
        <f aca="false">IF($F288="","",IF(OR($D288="",$E288="",$T288="?",$U288="?"),"Konto prüfen!",IF($A288="","Datum fehlt",IF(YEAR($A288)&lt;&gt;Einstellungen!$B$7,"anderes Jahr!",IF($G288="","MWST-Code fehlt","OK")))))</f>
        <v/>
      </c>
      <c r="W288" s="35" t="str">
        <f aca="false">IF($F288="","",IF(OR($D288=Kontoauszug!$C$4,$E288=Kontoauszug!$C$4),MAX(W$4:W287)+1,""))</f>
        <v/>
      </c>
    </row>
    <row r="289" customFormat="false" ht="15" hidden="false" customHeight="false" outlineLevel="0" collapsed="false">
      <c r="A289" s="33"/>
      <c r="B289" s="32"/>
      <c r="C289" s="32"/>
      <c r="D289" s="32"/>
      <c r="E289" s="32"/>
      <c r="F289" s="30"/>
      <c r="G289" s="32"/>
      <c r="H289" s="34" t="n">
        <f aca="false">IF($G289="",0,IFERROR(INDEX(Einstellungen!$G$5:$G$11,MATCH($G289,Einstellungen!$E$5:$E$11,0)),0))</f>
        <v>0</v>
      </c>
      <c r="I289" s="35" t="str">
        <f aca="false">IF($G289="","-",IFERROR(INDEX(Einstellungen!$H$5:$H$11,MATCH($G289,Einstellungen!$E$5:$E$11,0)),"-"))</f>
        <v>-</v>
      </c>
      <c r="J289" s="35" t="str">
        <f aca="false">IF(AND(Einstellungen!$B$8="Ja",Einstellungen!$B$9="Effektiv"),$I289,"-")</f>
        <v>-</v>
      </c>
      <c r="K289" s="31" t="n">
        <f aca="false">IF(OR($F289="",$J289="-"),0,ROUND($F289-$F289/(1+$H289),2))</f>
        <v>0</v>
      </c>
      <c r="L289" s="31" t="n">
        <f aca="false">IF($F289="",0,$F289-$K289)</f>
        <v>0</v>
      </c>
      <c r="M289" s="31" t="n">
        <f aca="false">IF($F289="",0,IF($J289="V",$L289,$F289))</f>
        <v>0</v>
      </c>
      <c r="N289" s="31" t="n">
        <f aca="false">IF($F289="",0,IF($J289="U",$L289,$F289))</f>
        <v>0</v>
      </c>
      <c r="O289" s="35" t="str">
        <f aca="false">IF($A289="","",MONTH($A289))</f>
        <v/>
      </c>
      <c r="P289" s="35" t="str">
        <f aca="false">IF($A289="","",ROUNDUP(MONTH($A289)/3,0))</f>
        <v/>
      </c>
      <c r="Q289" s="35" t="str">
        <f aca="false">IF($A289="","",IF(MONTH($A289)&lt;=6,1,2))</f>
        <v/>
      </c>
      <c r="R289" s="35" t="str">
        <f aca="false">IF($E289="","",IFERROR(INDEX(Kontenplan!$F$5:$F$90,MATCH($E289,Kontenplan!$A$5:$A$90,0)),""))</f>
        <v/>
      </c>
      <c r="S289" s="35" t="str">
        <f aca="false">IF($D289="","",IFERROR(INDEX(Kontenplan!$F$5:$F$90,MATCH($D289,Kontenplan!$A$5:$A$90,0)),""))</f>
        <v/>
      </c>
      <c r="T289" s="35" t="str">
        <f aca="false">IF($D289="","",IFERROR(INDEX(Kontenplan!$C$5:$C$90,MATCH($D289,Kontenplan!$A$5:$A$90,0)),"?"))</f>
        <v/>
      </c>
      <c r="U289" s="35" t="str">
        <f aca="false">IF($E289="","",IFERROR(INDEX(Kontenplan!$C$5:$C$90,MATCH($E289,Kontenplan!$A$5:$A$90,0)),"?"))</f>
        <v/>
      </c>
      <c r="V289" s="35" t="str">
        <f aca="false">IF($F289="","",IF(OR($D289="",$E289="",$T289="?",$U289="?"),"Konto prüfen!",IF($A289="","Datum fehlt",IF(YEAR($A289)&lt;&gt;Einstellungen!$B$7,"anderes Jahr!",IF($G289="","MWST-Code fehlt","OK")))))</f>
        <v/>
      </c>
      <c r="W289" s="35" t="str">
        <f aca="false">IF($F289="","",IF(OR($D289=Kontoauszug!$C$4,$E289=Kontoauszug!$C$4),MAX(W$4:W288)+1,""))</f>
        <v/>
      </c>
    </row>
    <row r="290" customFormat="false" ht="15" hidden="false" customHeight="false" outlineLevel="0" collapsed="false">
      <c r="A290" s="33"/>
      <c r="B290" s="32"/>
      <c r="C290" s="32"/>
      <c r="D290" s="32"/>
      <c r="E290" s="32"/>
      <c r="F290" s="30"/>
      <c r="G290" s="32"/>
      <c r="H290" s="34" t="n">
        <f aca="false">IF($G290="",0,IFERROR(INDEX(Einstellungen!$G$5:$G$11,MATCH($G290,Einstellungen!$E$5:$E$11,0)),0))</f>
        <v>0</v>
      </c>
      <c r="I290" s="35" t="str">
        <f aca="false">IF($G290="","-",IFERROR(INDEX(Einstellungen!$H$5:$H$11,MATCH($G290,Einstellungen!$E$5:$E$11,0)),"-"))</f>
        <v>-</v>
      </c>
      <c r="J290" s="35" t="str">
        <f aca="false">IF(AND(Einstellungen!$B$8="Ja",Einstellungen!$B$9="Effektiv"),$I290,"-")</f>
        <v>-</v>
      </c>
      <c r="K290" s="31" t="n">
        <f aca="false">IF(OR($F290="",$J290="-"),0,ROUND($F290-$F290/(1+$H290),2))</f>
        <v>0</v>
      </c>
      <c r="L290" s="31" t="n">
        <f aca="false">IF($F290="",0,$F290-$K290)</f>
        <v>0</v>
      </c>
      <c r="M290" s="31" t="n">
        <f aca="false">IF($F290="",0,IF($J290="V",$L290,$F290))</f>
        <v>0</v>
      </c>
      <c r="N290" s="31" t="n">
        <f aca="false">IF($F290="",0,IF($J290="U",$L290,$F290))</f>
        <v>0</v>
      </c>
      <c r="O290" s="35" t="str">
        <f aca="false">IF($A290="","",MONTH($A290))</f>
        <v/>
      </c>
      <c r="P290" s="35" t="str">
        <f aca="false">IF($A290="","",ROUNDUP(MONTH($A290)/3,0))</f>
        <v/>
      </c>
      <c r="Q290" s="35" t="str">
        <f aca="false">IF($A290="","",IF(MONTH($A290)&lt;=6,1,2))</f>
        <v/>
      </c>
      <c r="R290" s="35" t="str">
        <f aca="false">IF($E290="","",IFERROR(INDEX(Kontenplan!$F$5:$F$90,MATCH($E290,Kontenplan!$A$5:$A$90,0)),""))</f>
        <v/>
      </c>
      <c r="S290" s="35" t="str">
        <f aca="false">IF($D290="","",IFERROR(INDEX(Kontenplan!$F$5:$F$90,MATCH($D290,Kontenplan!$A$5:$A$90,0)),""))</f>
        <v/>
      </c>
      <c r="T290" s="35" t="str">
        <f aca="false">IF($D290="","",IFERROR(INDEX(Kontenplan!$C$5:$C$90,MATCH($D290,Kontenplan!$A$5:$A$90,0)),"?"))</f>
        <v/>
      </c>
      <c r="U290" s="35" t="str">
        <f aca="false">IF($E290="","",IFERROR(INDEX(Kontenplan!$C$5:$C$90,MATCH($E290,Kontenplan!$A$5:$A$90,0)),"?"))</f>
        <v/>
      </c>
      <c r="V290" s="35" t="str">
        <f aca="false">IF($F290="","",IF(OR($D290="",$E290="",$T290="?",$U290="?"),"Konto prüfen!",IF($A290="","Datum fehlt",IF(YEAR($A290)&lt;&gt;Einstellungen!$B$7,"anderes Jahr!",IF($G290="","MWST-Code fehlt","OK")))))</f>
        <v/>
      </c>
      <c r="W290" s="35" t="str">
        <f aca="false">IF($F290="","",IF(OR($D290=Kontoauszug!$C$4,$E290=Kontoauszug!$C$4),MAX(W$4:W289)+1,""))</f>
        <v/>
      </c>
    </row>
    <row r="291" customFormat="false" ht="15" hidden="false" customHeight="false" outlineLevel="0" collapsed="false">
      <c r="A291" s="33"/>
      <c r="B291" s="32"/>
      <c r="C291" s="32"/>
      <c r="D291" s="32"/>
      <c r="E291" s="32"/>
      <c r="F291" s="30"/>
      <c r="G291" s="32"/>
      <c r="H291" s="34" t="n">
        <f aca="false">IF($G291="",0,IFERROR(INDEX(Einstellungen!$G$5:$G$11,MATCH($G291,Einstellungen!$E$5:$E$11,0)),0))</f>
        <v>0</v>
      </c>
      <c r="I291" s="35" t="str">
        <f aca="false">IF($G291="","-",IFERROR(INDEX(Einstellungen!$H$5:$H$11,MATCH($G291,Einstellungen!$E$5:$E$11,0)),"-"))</f>
        <v>-</v>
      </c>
      <c r="J291" s="35" t="str">
        <f aca="false">IF(AND(Einstellungen!$B$8="Ja",Einstellungen!$B$9="Effektiv"),$I291,"-")</f>
        <v>-</v>
      </c>
      <c r="K291" s="31" t="n">
        <f aca="false">IF(OR($F291="",$J291="-"),0,ROUND($F291-$F291/(1+$H291),2))</f>
        <v>0</v>
      </c>
      <c r="L291" s="31" t="n">
        <f aca="false">IF($F291="",0,$F291-$K291)</f>
        <v>0</v>
      </c>
      <c r="M291" s="31" t="n">
        <f aca="false">IF($F291="",0,IF($J291="V",$L291,$F291))</f>
        <v>0</v>
      </c>
      <c r="N291" s="31" t="n">
        <f aca="false">IF($F291="",0,IF($J291="U",$L291,$F291))</f>
        <v>0</v>
      </c>
      <c r="O291" s="35" t="str">
        <f aca="false">IF($A291="","",MONTH($A291))</f>
        <v/>
      </c>
      <c r="P291" s="35" t="str">
        <f aca="false">IF($A291="","",ROUNDUP(MONTH($A291)/3,0))</f>
        <v/>
      </c>
      <c r="Q291" s="35" t="str">
        <f aca="false">IF($A291="","",IF(MONTH($A291)&lt;=6,1,2))</f>
        <v/>
      </c>
      <c r="R291" s="35" t="str">
        <f aca="false">IF($E291="","",IFERROR(INDEX(Kontenplan!$F$5:$F$90,MATCH($E291,Kontenplan!$A$5:$A$90,0)),""))</f>
        <v/>
      </c>
      <c r="S291" s="35" t="str">
        <f aca="false">IF($D291="","",IFERROR(INDEX(Kontenplan!$F$5:$F$90,MATCH($D291,Kontenplan!$A$5:$A$90,0)),""))</f>
        <v/>
      </c>
      <c r="T291" s="35" t="str">
        <f aca="false">IF($D291="","",IFERROR(INDEX(Kontenplan!$C$5:$C$90,MATCH($D291,Kontenplan!$A$5:$A$90,0)),"?"))</f>
        <v/>
      </c>
      <c r="U291" s="35" t="str">
        <f aca="false">IF($E291="","",IFERROR(INDEX(Kontenplan!$C$5:$C$90,MATCH($E291,Kontenplan!$A$5:$A$90,0)),"?"))</f>
        <v/>
      </c>
      <c r="V291" s="35" t="str">
        <f aca="false">IF($F291="","",IF(OR($D291="",$E291="",$T291="?",$U291="?"),"Konto prüfen!",IF($A291="","Datum fehlt",IF(YEAR($A291)&lt;&gt;Einstellungen!$B$7,"anderes Jahr!",IF($G291="","MWST-Code fehlt","OK")))))</f>
        <v/>
      </c>
      <c r="W291" s="35" t="str">
        <f aca="false">IF($F291="","",IF(OR($D291=Kontoauszug!$C$4,$E291=Kontoauszug!$C$4),MAX(W$4:W290)+1,""))</f>
        <v/>
      </c>
    </row>
    <row r="292" customFormat="false" ht="15" hidden="false" customHeight="false" outlineLevel="0" collapsed="false">
      <c r="A292" s="33"/>
      <c r="B292" s="32"/>
      <c r="C292" s="32"/>
      <c r="D292" s="32"/>
      <c r="E292" s="32"/>
      <c r="F292" s="30"/>
      <c r="G292" s="32"/>
      <c r="H292" s="34" t="n">
        <f aca="false">IF($G292="",0,IFERROR(INDEX(Einstellungen!$G$5:$G$11,MATCH($G292,Einstellungen!$E$5:$E$11,0)),0))</f>
        <v>0</v>
      </c>
      <c r="I292" s="35" t="str">
        <f aca="false">IF($G292="","-",IFERROR(INDEX(Einstellungen!$H$5:$H$11,MATCH($G292,Einstellungen!$E$5:$E$11,0)),"-"))</f>
        <v>-</v>
      </c>
      <c r="J292" s="35" t="str">
        <f aca="false">IF(AND(Einstellungen!$B$8="Ja",Einstellungen!$B$9="Effektiv"),$I292,"-")</f>
        <v>-</v>
      </c>
      <c r="K292" s="31" t="n">
        <f aca="false">IF(OR($F292="",$J292="-"),0,ROUND($F292-$F292/(1+$H292),2))</f>
        <v>0</v>
      </c>
      <c r="L292" s="31" t="n">
        <f aca="false">IF($F292="",0,$F292-$K292)</f>
        <v>0</v>
      </c>
      <c r="M292" s="31" t="n">
        <f aca="false">IF($F292="",0,IF($J292="V",$L292,$F292))</f>
        <v>0</v>
      </c>
      <c r="N292" s="31" t="n">
        <f aca="false">IF($F292="",0,IF($J292="U",$L292,$F292))</f>
        <v>0</v>
      </c>
      <c r="O292" s="35" t="str">
        <f aca="false">IF($A292="","",MONTH($A292))</f>
        <v/>
      </c>
      <c r="P292" s="35" t="str">
        <f aca="false">IF($A292="","",ROUNDUP(MONTH($A292)/3,0))</f>
        <v/>
      </c>
      <c r="Q292" s="35" t="str">
        <f aca="false">IF($A292="","",IF(MONTH($A292)&lt;=6,1,2))</f>
        <v/>
      </c>
      <c r="R292" s="35" t="str">
        <f aca="false">IF($E292="","",IFERROR(INDEX(Kontenplan!$F$5:$F$90,MATCH($E292,Kontenplan!$A$5:$A$90,0)),""))</f>
        <v/>
      </c>
      <c r="S292" s="35" t="str">
        <f aca="false">IF($D292="","",IFERROR(INDEX(Kontenplan!$F$5:$F$90,MATCH($D292,Kontenplan!$A$5:$A$90,0)),""))</f>
        <v/>
      </c>
      <c r="T292" s="35" t="str">
        <f aca="false">IF($D292="","",IFERROR(INDEX(Kontenplan!$C$5:$C$90,MATCH($D292,Kontenplan!$A$5:$A$90,0)),"?"))</f>
        <v/>
      </c>
      <c r="U292" s="35" t="str">
        <f aca="false">IF($E292="","",IFERROR(INDEX(Kontenplan!$C$5:$C$90,MATCH($E292,Kontenplan!$A$5:$A$90,0)),"?"))</f>
        <v/>
      </c>
      <c r="V292" s="35" t="str">
        <f aca="false">IF($F292="","",IF(OR($D292="",$E292="",$T292="?",$U292="?"),"Konto prüfen!",IF($A292="","Datum fehlt",IF(YEAR($A292)&lt;&gt;Einstellungen!$B$7,"anderes Jahr!",IF($G292="","MWST-Code fehlt","OK")))))</f>
        <v/>
      </c>
      <c r="W292" s="35" t="str">
        <f aca="false">IF($F292="","",IF(OR($D292=Kontoauszug!$C$4,$E292=Kontoauszug!$C$4),MAX(W$4:W291)+1,""))</f>
        <v/>
      </c>
    </row>
    <row r="293" customFormat="false" ht="15" hidden="false" customHeight="false" outlineLevel="0" collapsed="false">
      <c r="A293" s="33"/>
      <c r="B293" s="32"/>
      <c r="C293" s="32"/>
      <c r="D293" s="32"/>
      <c r="E293" s="32"/>
      <c r="F293" s="30"/>
      <c r="G293" s="32"/>
      <c r="H293" s="34" t="n">
        <f aca="false">IF($G293="",0,IFERROR(INDEX(Einstellungen!$G$5:$G$11,MATCH($G293,Einstellungen!$E$5:$E$11,0)),0))</f>
        <v>0</v>
      </c>
      <c r="I293" s="35" t="str">
        <f aca="false">IF($G293="","-",IFERROR(INDEX(Einstellungen!$H$5:$H$11,MATCH($G293,Einstellungen!$E$5:$E$11,0)),"-"))</f>
        <v>-</v>
      </c>
      <c r="J293" s="35" t="str">
        <f aca="false">IF(AND(Einstellungen!$B$8="Ja",Einstellungen!$B$9="Effektiv"),$I293,"-")</f>
        <v>-</v>
      </c>
      <c r="K293" s="31" t="n">
        <f aca="false">IF(OR($F293="",$J293="-"),0,ROUND($F293-$F293/(1+$H293),2))</f>
        <v>0</v>
      </c>
      <c r="L293" s="31" t="n">
        <f aca="false">IF($F293="",0,$F293-$K293)</f>
        <v>0</v>
      </c>
      <c r="M293" s="31" t="n">
        <f aca="false">IF($F293="",0,IF($J293="V",$L293,$F293))</f>
        <v>0</v>
      </c>
      <c r="N293" s="31" t="n">
        <f aca="false">IF($F293="",0,IF($J293="U",$L293,$F293))</f>
        <v>0</v>
      </c>
      <c r="O293" s="35" t="str">
        <f aca="false">IF($A293="","",MONTH($A293))</f>
        <v/>
      </c>
      <c r="P293" s="35" t="str">
        <f aca="false">IF($A293="","",ROUNDUP(MONTH($A293)/3,0))</f>
        <v/>
      </c>
      <c r="Q293" s="35" t="str">
        <f aca="false">IF($A293="","",IF(MONTH($A293)&lt;=6,1,2))</f>
        <v/>
      </c>
      <c r="R293" s="35" t="str">
        <f aca="false">IF($E293="","",IFERROR(INDEX(Kontenplan!$F$5:$F$90,MATCH($E293,Kontenplan!$A$5:$A$90,0)),""))</f>
        <v/>
      </c>
      <c r="S293" s="35" t="str">
        <f aca="false">IF($D293="","",IFERROR(INDEX(Kontenplan!$F$5:$F$90,MATCH($D293,Kontenplan!$A$5:$A$90,0)),""))</f>
        <v/>
      </c>
      <c r="T293" s="35" t="str">
        <f aca="false">IF($D293="","",IFERROR(INDEX(Kontenplan!$C$5:$C$90,MATCH($D293,Kontenplan!$A$5:$A$90,0)),"?"))</f>
        <v/>
      </c>
      <c r="U293" s="35" t="str">
        <f aca="false">IF($E293="","",IFERROR(INDEX(Kontenplan!$C$5:$C$90,MATCH($E293,Kontenplan!$A$5:$A$90,0)),"?"))</f>
        <v/>
      </c>
      <c r="V293" s="35" t="str">
        <f aca="false">IF($F293="","",IF(OR($D293="",$E293="",$T293="?",$U293="?"),"Konto prüfen!",IF($A293="","Datum fehlt",IF(YEAR($A293)&lt;&gt;Einstellungen!$B$7,"anderes Jahr!",IF($G293="","MWST-Code fehlt","OK")))))</f>
        <v/>
      </c>
      <c r="W293" s="35" t="str">
        <f aca="false">IF($F293="","",IF(OR($D293=Kontoauszug!$C$4,$E293=Kontoauszug!$C$4),MAX(W$4:W292)+1,""))</f>
        <v/>
      </c>
    </row>
    <row r="294" customFormat="false" ht="15" hidden="false" customHeight="false" outlineLevel="0" collapsed="false">
      <c r="A294" s="33"/>
      <c r="B294" s="32"/>
      <c r="C294" s="32"/>
      <c r="D294" s="32"/>
      <c r="E294" s="32"/>
      <c r="F294" s="30"/>
      <c r="G294" s="32"/>
      <c r="H294" s="34" t="n">
        <f aca="false">IF($G294="",0,IFERROR(INDEX(Einstellungen!$G$5:$G$11,MATCH($G294,Einstellungen!$E$5:$E$11,0)),0))</f>
        <v>0</v>
      </c>
      <c r="I294" s="35" t="str">
        <f aca="false">IF($G294="","-",IFERROR(INDEX(Einstellungen!$H$5:$H$11,MATCH($G294,Einstellungen!$E$5:$E$11,0)),"-"))</f>
        <v>-</v>
      </c>
      <c r="J294" s="35" t="str">
        <f aca="false">IF(AND(Einstellungen!$B$8="Ja",Einstellungen!$B$9="Effektiv"),$I294,"-")</f>
        <v>-</v>
      </c>
      <c r="K294" s="31" t="n">
        <f aca="false">IF(OR($F294="",$J294="-"),0,ROUND($F294-$F294/(1+$H294),2))</f>
        <v>0</v>
      </c>
      <c r="L294" s="31" t="n">
        <f aca="false">IF($F294="",0,$F294-$K294)</f>
        <v>0</v>
      </c>
      <c r="M294" s="31" t="n">
        <f aca="false">IF($F294="",0,IF($J294="V",$L294,$F294))</f>
        <v>0</v>
      </c>
      <c r="N294" s="31" t="n">
        <f aca="false">IF($F294="",0,IF($J294="U",$L294,$F294))</f>
        <v>0</v>
      </c>
      <c r="O294" s="35" t="str">
        <f aca="false">IF($A294="","",MONTH($A294))</f>
        <v/>
      </c>
      <c r="P294" s="35" t="str">
        <f aca="false">IF($A294="","",ROUNDUP(MONTH($A294)/3,0))</f>
        <v/>
      </c>
      <c r="Q294" s="35" t="str">
        <f aca="false">IF($A294="","",IF(MONTH($A294)&lt;=6,1,2))</f>
        <v/>
      </c>
      <c r="R294" s="35" t="str">
        <f aca="false">IF($E294="","",IFERROR(INDEX(Kontenplan!$F$5:$F$90,MATCH($E294,Kontenplan!$A$5:$A$90,0)),""))</f>
        <v/>
      </c>
      <c r="S294" s="35" t="str">
        <f aca="false">IF($D294="","",IFERROR(INDEX(Kontenplan!$F$5:$F$90,MATCH($D294,Kontenplan!$A$5:$A$90,0)),""))</f>
        <v/>
      </c>
      <c r="T294" s="35" t="str">
        <f aca="false">IF($D294="","",IFERROR(INDEX(Kontenplan!$C$5:$C$90,MATCH($D294,Kontenplan!$A$5:$A$90,0)),"?"))</f>
        <v/>
      </c>
      <c r="U294" s="35" t="str">
        <f aca="false">IF($E294="","",IFERROR(INDEX(Kontenplan!$C$5:$C$90,MATCH($E294,Kontenplan!$A$5:$A$90,0)),"?"))</f>
        <v/>
      </c>
      <c r="V294" s="35" t="str">
        <f aca="false">IF($F294="","",IF(OR($D294="",$E294="",$T294="?",$U294="?"),"Konto prüfen!",IF($A294="","Datum fehlt",IF(YEAR($A294)&lt;&gt;Einstellungen!$B$7,"anderes Jahr!",IF($G294="","MWST-Code fehlt","OK")))))</f>
        <v/>
      </c>
      <c r="W294" s="35" t="str">
        <f aca="false">IF($F294="","",IF(OR($D294=Kontoauszug!$C$4,$E294=Kontoauszug!$C$4),MAX(W$4:W293)+1,""))</f>
        <v/>
      </c>
    </row>
    <row r="295" customFormat="false" ht="15" hidden="false" customHeight="false" outlineLevel="0" collapsed="false">
      <c r="A295" s="33"/>
      <c r="B295" s="32"/>
      <c r="C295" s="32"/>
      <c r="D295" s="32"/>
      <c r="E295" s="32"/>
      <c r="F295" s="30"/>
      <c r="G295" s="32"/>
      <c r="H295" s="34" t="n">
        <f aca="false">IF($G295="",0,IFERROR(INDEX(Einstellungen!$G$5:$G$11,MATCH($G295,Einstellungen!$E$5:$E$11,0)),0))</f>
        <v>0</v>
      </c>
      <c r="I295" s="35" t="str">
        <f aca="false">IF($G295="","-",IFERROR(INDEX(Einstellungen!$H$5:$H$11,MATCH($G295,Einstellungen!$E$5:$E$11,0)),"-"))</f>
        <v>-</v>
      </c>
      <c r="J295" s="35" t="str">
        <f aca="false">IF(AND(Einstellungen!$B$8="Ja",Einstellungen!$B$9="Effektiv"),$I295,"-")</f>
        <v>-</v>
      </c>
      <c r="K295" s="31" t="n">
        <f aca="false">IF(OR($F295="",$J295="-"),0,ROUND($F295-$F295/(1+$H295),2))</f>
        <v>0</v>
      </c>
      <c r="L295" s="31" t="n">
        <f aca="false">IF($F295="",0,$F295-$K295)</f>
        <v>0</v>
      </c>
      <c r="M295" s="31" t="n">
        <f aca="false">IF($F295="",0,IF($J295="V",$L295,$F295))</f>
        <v>0</v>
      </c>
      <c r="N295" s="31" t="n">
        <f aca="false">IF($F295="",0,IF($J295="U",$L295,$F295))</f>
        <v>0</v>
      </c>
      <c r="O295" s="35" t="str">
        <f aca="false">IF($A295="","",MONTH($A295))</f>
        <v/>
      </c>
      <c r="P295" s="35" t="str">
        <f aca="false">IF($A295="","",ROUNDUP(MONTH($A295)/3,0))</f>
        <v/>
      </c>
      <c r="Q295" s="35" t="str">
        <f aca="false">IF($A295="","",IF(MONTH($A295)&lt;=6,1,2))</f>
        <v/>
      </c>
      <c r="R295" s="35" t="str">
        <f aca="false">IF($E295="","",IFERROR(INDEX(Kontenplan!$F$5:$F$90,MATCH($E295,Kontenplan!$A$5:$A$90,0)),""))</f>
        <v/>
      </c>
      <c r="S295" s="35" t="str">
        <f aca="false">IF($D295="","",IFERROR(INDEX(Kontenplan!$F$5:$F$90,MATCH($D295,Kontenplan!$A$5:$A$90,0)),""))</f>
        <v/>
      </c>
      <c r="T295" s="35" t="str">
        <f aca="false">IF($D295="","",IFERROR(INDEX(Kontenplan!$C$5:$C$90,MATCH($D295,Kontenplan!$A$5:$A$90,0)),"?"))</f>
        <v/>
      </c>
      <c r="U295" s="35" t="str">
        <f aca="false">IF($E295="","",IFERROR(INDEX(Kontenplan!$C$5:$C$90,MATCH($E295,Kontenplan!$A$5:$A$90,0)),"?"))</f>
        <v/>
      </c>
      <c r="V295" s="35" t="str">
        <f aca="false">IF($F295="","",IF(OR($D295="",$E295="",$T295="?",$U295="?"),"Konto prüfen!",IF($A295="","Datum fehlt",IF(YEAR($A295)&lt;&gt;Einstellungen!$B$7,"anderes Jahr!",IF($G295="","MWST-Code fehlt","OK")))))</f>
        <v/>
      </c>
      <c r="W295" s="35" t="str">
        <f aca="false">IF($F295="","",IF(OR($D295=Kontoauszug!$C$4,$E295=Kontoauszug!$C$4),MAX(W$4:W294)+1,""))</f>
        <v/>
      </c>
    </row>
    <row r="296" customFormat="false" ht="15" hidden="false" customHeight="false" outlineLevel="0" collapsed="false">
      <c r="A296" s="33"/>
      <c r="B296" s="32"/>
      <c r="C296" s="32"/>
      <c r="D296" s="32"/>
      <c r="E296" s="32"/>
      <c r="F296" s="30"/>
      <c r="G296" s="32"/>
      <c r="H296" s="34" t="n">
        <f aca="false">IF($G296="",0,IFERROR(INDEX(Einstellungen!$G$5:$G$11,MATCH($G296,Einstellungen!$E$5:$E$11,0)),0))</f>
        <v>0</v>
      </c>
      <c r="I296" s="35" t="str">
        <f aca="false">IF($G296="","-",IFERROR(INDEX(Einstellungen!$H$5:$H$11,MATCH($G296,Einstellungen!$E$5:$E$11,0)),"-"))</f>
        <v>-</v>
      </c>
      <c r="J296" s="35" t="str">
        <f aca="false">IF(AND(Einstellungen!$B$8="Ja",Einstellungen!$B$9="Effektiv"),$I296,"-")</f>
        <v>-</v>
      </c>
      <c r="K296" s="31" t="n">
        <f aca="false">IF(OR($F296="",$J296="-"),0,ROUND($F296-$F296/(1+$H296),2))</f>
        <v>0</v>
      </c>
      <c r="L296" s="31" t="n">
        <f aca="false">IF($F296="",0,$F296-$K296)</f>
        <v>0</v>
      </c>
      <c r="M296" s="31" t="n">
        <f aca="false">IF($F296="",0,IF($J296="V",$L296,$F296))</f>
        <v>0</v>
      </c>
      <c r="N296" s="31" t="n">
        <f aca="false">IF($F296="",0,IF($J296="U",$L296,$F296))</f>
        <v>0</v>
      </c>
      <c r="O296" s="35" t="str">
        <f aca="false">IF($A296="","",MONTH($A296))</f>
        <v/>
      </c>
      <c r="P296" s="35" t="str">
        <f aca="false">IF($A296="","",ROUNDUP(MONTH($A296)/3,0))</f>
        <v/>
      </c>
      <c r="Q296" s="35" t="str">
        <f aca="false">IF($A296="","",IF(MONTH($A296)&lt;=6,1,2))</f>
        <v/>
      </c>
      <c r="R296" s="35" t="str">
        <f aca="false">IF($E296="","",IFERROR(INDEX(Kontenplan!$F$5:$F$90,MATCH($E296,Kontenplan!$A$5:$A$90,0)),""))</f>
        <v/>
      </c>
      <c r="S296" s="35" t="str">
        <f aca="false">IF($D296="","",IFERROR(INDEX(Kontenplan!$F$5:$F$90,MATCH($D296,Kontenplan!$A$5:$A$90,0)),""))</f>
        <v/>
      </c>
      <c r="T296" s="35" t="str">
        <f aca="false">IF($D296="","",IFERROR(INDEX(Kontenplan!$C$5:$C$90,MATCH($D296,Kontenplan!$A$5:$A$90,0)),"?"))</f>
        <v/>
      </c>
      <c r="U296" s="35" t="str">
        <f aca="false">IF($E296="","",IFERROR(INDEX(Kontenplan!$C$5:$C$90,MATCH($E296,Kontenplan!$A$5:$A$90,0)),"?"))</f>
        <v/>
      </c>
      <c r="V296" s="35" t="str">
        <f aca="false">IF($F296="","",IF(OR($D296="",$E296="",$T296="?",$U296="?"),"Konto prüfen!",IF($A296="","Datum fehlt",IF(YEAR($A296)&lt;&gt;Einstellungen!$B$7,"anderes Jahr!",IF($G296="","MWST-Code fehlt","OK")))))</f>
        <v/>
      </c>
      <c r="W296" s="35" t="str">
        <f aca="false">IF($F296="","",IF(OR($D296=Kontoauszug!$C$4,$E296=Kontoauszug!$C$4),MAX(W$4:W295)+1,""))</f>
        <v/>
      </c>
    </row>
    <row r="297" customFormat="false" ht="15" hidden="false" customHeight="false" outlineLevel="0" collapsed="false">
      <c r="A297" s="33"/>
      <c r="B297" s="32"/>
      <c r="C297" s="32"/>
      <c r="D297" s="32"/>
      <c r="E297" s="32"/>
      <c r="F297" s="30"/>
      <c r="G297" s="32"/>
      <c r="H297" s="34" t="n">
        <f aca="false">IF($G297="",0,IFERROR(INDEX(Einstellungen!$G$5:$G$11,MATCH($G297,Einstellungen!$E$5:$E$11,0)),0))</f>
        <v>0</v>
      </c>
      <c r="I297" s="35" t="str">
        <f aca="false">IF($G297="","-",IFERROR(INDEX(Einstellungen!$H$5:$H$11,MATCH($G297,Einstellungen!$E$5:$E$11,0)),"-"))</f>
        <v>-</v>
      </c>
      <c r="J297" s="35" t="str">
        <f aca="false">IF(AND(Einstellungen!$B$8="Ja",Einstellungen!$B$9="Effektiv"),$I297,"-")</f>
        <v>-</v>
      </c>
      <c r="K297" s="31" t="n">
        <f aca="false">IF(OR($F297="",$J297="-"),0,ROUND($F297-$F297/(1+$H297),2))</f>
        <v>0</v>
      </c>
      <c r="L297" s="31" t="n">
        <f aca="false">IF($F297="",0,$F297-$K297)</f>
        <v>0</v>
      </c>
      <c r="M297" s="31" t="n">
        <f aca="false">IF($F297="",0,IF($J297="V",$L297,$F297))</f>
        <v>0</v>
      </c>
      <c r="N297" s="31" t="n">
        <f aca="false">IF($F297="",0,IF($J297="U",$L297,$F297))</f>
        <v>0</v>
      </c>
      <c r="O297" s="35" t="str">
        <f aca="false">IF($A297="","",MONTH($A297))</f>
        <v/>
      </c>
      <c r="P297" s="35" t="str">
        <f aca="false">IF($A297="","",ROUNDUP(MONTH($A297)/3,0))</f>
        <v/>
      </c>
      <c r="Q297" s="35" t="str">
        <f aca="false">IF($A297="","",IF(MONTH($A297)&lt;=6,1,2))</f>
        <v/>
      </c>
      <c r="R297" s="35" t="str">
        <f aca="false">IF($E297="","",IFERROR(INDEX(Kontenplan!$F$5:$F$90,MATCH($E297,Kontenplan!$A$5:$A$90,0)),""))</f>
        <v/>
      </c>
      <c r="S297" s="35" t="str">
        <f aca="false">IF($D297="","",IFERROR(INDEX(Kontenplan!$F$5:$F$90,MATCH($D297,Kontenplan!$A$5:$A$90,0)),""))</f>
        <v/>
      </c>
      <c r="T297" s="35" t="str">
        <f aca="false">IF($D297="","",IFERROR(INDEX(Kontenplan!$C$5:$C$90,MATCH($D297,Kontenplan!$A$5:$A$90,0)),"?"))</f>
        <v/>
      </c>
      <c r="U297" s="35" t="str">
        <f aca="false">IF($E297="","",IFERROR(INDEX(Kontenplan!$C$5:$C$90,MATCH($E297,Kontenplan!$A$5:$A$90,0)),"?"))</f>
        <v/>
      </c>
      <c r="V297" s="35" t="str">
        <f aca="false">IF($F297="","",IF(OR($D297="",$E297="",$T297="?",$U297="?"),"Konto prüfen!",IF($A297="","Datum fehlt",IF(YEAR($A297)&lt;&gt;Einstellungen!$B$7,"anderes Jahr!",IF($G297="","MWST-Code fehlt","OK")))))</f>
        <v/>
      </c>
      <c r="W297" s="35" t="str">
        <f aca="false">IF($F297="","",IF(OR($D297=Kontoauszug!$C$4,$E297=Kontoauszug!$C$4),MAX(W$4:W296)+1,""))</f>
        <v/>
      </c>
    </row>
    <row r="298" customFormat="false" ht="15" hidden="false" customHeight="false" outlineLevel="0" collapsed="false">
      <c r="A298" s="33"/>
      <c r="B298" s="32"/>
      <c r="C298" s="32"/>
      <c r="D298" s="32"/>
      <c r="E298" s="32"/>
      <c r="F298" s="30"/>
      <c r="G298" s="32"/>
      <c r="H298" s="34" t="n">
        <f aca="false">IF($G298="",0,IFERROR(INDEX(Einstellungen!$G$5:$G$11,MATCH($G298,Einstellungen!$E$5:$E$11,0)),0))</f>
        <v>0</v>
      </c>
      <c r="I298" s="35" t="str">
        <f aca="false">IF($G298="","-",IFERROR(INDEX(Einstellungen!$H$5:$H$11,MATCH($G298,Einstellungen!$E$5:$E$11,0)),"-"))</f>
        <v>-</v>
      </c>
      <c r="J298" s="35" t="str">
        <f aca="false">IF(AND(Einstellungen!$B$8="Ja",Einstellungen!$B$9="Effektiv"),$I298,"-")</f>
        <v>-</v>
      </c>
      <c r="K298" s="31" t="n">
        <f aca="false">IF(OR($F298="",$J298="-"),0,ROUND($F298-$F298/(1+$H298),2))</f>
        <v>0</v>
      </c>
      <c r="L298" s="31" t="n">
        <f aca="false">IF($F298="",0,$F298-$K298)</f>
        <v>0</v>
      </c>
      <c r="M298" s="31" t="n">
        <f aca="false">IF($F298="",0,IF($J298="V",$L298,$F298))</f>
        <v>0</v>
      </c>
      <c r="N298" s="31" t="n">
        <f aca="false">IF($F298="",0,IF($J298="U",$L298,$F298))</f>
        <v>0</v>
      </c>
      <c r="O298" s="35" t="str">
        <f aca="false">IF($A298="","",MONTH($A298))</f>
        <v/>
      </c>
      <c r="P298" s="35" t="str">
        <f aca="false">IF($A298="","",ROUNDUP(MONTH($A298)/3,0))</f>
        <v/>
      </c>
      <c r="Q298" s="35" t="str">
        <f aca="false">IF($A298="","",IF(MONTH($A298)&lt;=6,1,2))</f>
        <v/>
      </c>
      <c r="R298" s="35" t="str">
        <f aca="false">IF($E298="","",IFERROR(INDEX(Kontenplan!$F$5:$F$90,MATCH($E298,Kontenplan!$A$5:$A$90,0)),""))</f>
        <v/>
      </c>
      <c r="S298" s="35" t="str">
        <f aca="false">IF($D298="","",IFERROR(INDEX(Kontenplan!$F$5:$F$90,MATCH($D298,Kontenplan!$A$5:$A$90,0)),""))</f>
        <v/>
      </c>
      <c r="T298" s="35" t="str">
        <f aca="false">IF($D298="","",IFERROR(INDEX(Kontenplan!$C$5:$C$90,MATCH($D298,Kontenplan!$A$5:$A$90,0)),"?"))</f>
        <v/>
      </c>
      <c r="U298" s="35" t="str">
        <f aca="false">IF($E298="","",IFERROR(INDEX(Kontenplan!$C$5:$C$90,MATCH($E298,Kontenplan!$A$5:$A$90,0)),"?"))</f>
        <v/>
      </c>
      <c r="V298" s="35" t="str">
        <f aca="false">IF($F298="","",IF(OR($D298="",$E298="",$T298="?",$U298="?"),"Konto prüfen!",IF($A298="","Datum fehlt",IF(YEAR($A298)&lt;&gt;Einstellungen!$B$7,"anderes Jahr!",IF($G298="","MWST-Code fehlt","OK")))))</f>
        <v/>
      </c>
      <c r="W298" s="35" t="str">
        <f aca="false">IF($F298="","",IF(OR($D298=Kontoauszug!$C$4,$E298=Kontoauszug!$C$4),MAX(W$4:W297)+1,""))</f>
        <v/>
      </c>
    </row>
    <row r="299" customFormat="false" ht="15" hidden="false" customHeight="false" outlineLevel="0" collapsed="false">
      <c r="A299" s="33"/>
      <c r="B299" s="32"/>
      <c r="C299" s="32"/>
      <c r="D299" s="32"/>
      <c r="E299" s="32"/>
      <c r="F299" s="30"/>
      <c r="G299" s="32"/>
      <c r="H299" s="34" t="n">
        <f aca="false">IF($G299="",0,IFERROR(INDEX(Einstellungen!$G$5:$G$11,MATCH($G299,Einstellungen!$E$5:$E$11,0)),0))</f>
        <v>0</v>
      </c>
      <c r="I299" s="35" t="str">
        <f aca="false">IF($G299="","-",IFERROR(INDEX(Einstellungen!$H$5:$H$11,MATCH($G299,Einstellungen!$E$5:$E$11,0)),"-"))</f>
        <v>-</v>
      </c>
      <c r="J299" s="35" t="str">
        <f aca="false">IF(AND(Einstellungen!$B$8="Ja",Einstellungen!$B$9="Effektiv"),$I299,"-")</f>
        <v>-</v>
      </c>
      <c r="K299" s="31" t="n">
        <f aca="false">IF(OR($F299="",$J299="-"),0,ROUND($F299-$F299/(1+$H299),2))</f>
        <v>0</v>
      </c>
      <c r="L299" s="31" t="n">
        <f aca="false">IF($F299="",0,$F299-$K299)</f>
        <v>0</v>
      </c>
      <c r="M299" s="31" t="n">
        <f aca="false">IF($F299="",0,IF($J299="V",$L299,$F299))</f>
        <v>0</v>
      </c>
      <c r="N299" s="31" t="n">
        <f aca="false">IF($F299="",0,IF($J299="U",$L299,$F299))</f>
        <v>0</v>
      </c>
      <c r="O299" s="35" t="str">
        <f aca="false">IF($A299="","",MONTH($A299))</f>
        <v/>
      </c>
      <c r="P299" s="35" t="str">
        <f aca="false">IF($A299="","",ROUNDUP(MONTH($A299)/3,0))</f>
        <v/>
      </c>
      <c r="Q299" s="35" t="str">
        <f aca="false">IF($A299="","",IF(MONTH($A299)&lt;=6,1,2))</f>
        <v/>
      </c>
      <c r="R299" s="35" t="str">
        <f aca="false">IF($E299="","",IFERROR(INDEX(Kontenplan!$F$5:$F$90,MATCH($E299,Kontenplan!$A$5:$A$90,0)),""))</f>
        <v/>
      </c>
      <c r="S299" s="35" t="str">
        <f aca="false">IF($D299="","",IFERROR(INDEX(Kontenplan!$F$5:$F$90,MATCH($D299,Kontenplan!$A$5:$A$90,0)),""))</f>
        <v/>
      </c>
      <c r="T299" s="35" t="str">
        <f aca="false">IF($D299="","",IFERROR(INDEX(Kontenplan!$C$5:$C$90,MATCH($D299,Kontenplan!$A$5:$A$90,0)),"?"))</f>
        <v/>
      </c>
      <c r="U299" s="35" t="str">
        <f aca="false">IF($E299="","",IFERROR(INDEX(Kontenplan!$C$5:$C$90,MATCH($E299,Kontenplan!$A$5:$A$90,0)),"?"))</f>
        <v/>
      </c>
      <c r="V299" s="35" t="str">
        <f aca="false">IF($F299="","",IF(OR($D299="",$E299="",$T299="?",$U299="?"),"Konto prüfen!",IF($A299="","Datum fehlt",IF(YEAR($A299)&lt;&gt;Einstellungen!$B$7,"anderes Jahr!",IF($G299="","MWST-Code fehlt","OK")))))</f>
        <v/>
      </c>
      <c r="W299" s="35" t="str">
        <f aca="false">IF($F299="","",IF(OR($D299=Kontoauszug!$C$4,$E299=Kontoauszug!$C$4),MAX(W$4:W298)+1,""))</f>
        <v/>
      </c>
    </row>
    <row r="300" customFormat="false" ht="15" hidden="false" customHeight="false" outlineLevel="0" collapsed="false">
      <c r="A300" s="33"/>
      <c r="B300" s="32"/>
      <c r="C300" s="32"/>
      <c r="D300" s="32"/>
      <c r="E300" s="32"/>
      <c r="F300" s="30"/>
      <c r="G300" s="32"/>
      <c r="H300" s="34" t="n">
        <f aca="false">IF($G300="",0,IFERROR(INDEX(Einstellungen!$G$5:$G$11,MATCH($G300,Einstellungen!$E$5:$E$11,0)),0))</f>
        <v>0</v>
      </c>
      <c r="I300" s="35" t="str">
        <f aca="false">IF($G300="","-",IFERROR(INDEX(Einstellungen!$H$5:$H$11,MATCH($G300,Einstellungen!$E$5:$E$11,0)),"-"))</f>
        <v>-</v>
      </c>
      <c r="J300" s="35" t="str">
        <f aca="false">IF(AND(Einstellungen!$B$8="Ja",Einstellungen!$B$9="Effektiv"),$I300,"-")</f>
        <v>-</v>
      </c>
      <c r="K300" s="31" t="n">
        <f aca="false">IF(OR($F300="",$J300="-"),0,ROUND($F300-$F300/(1+$H300),2))</f>
        <v>0</v>
      </c>
      <c r="L300" s="31" t="n">
        <f aca="false">IF($F300="",0,$F300-$K300)</f>
        <v>0</v>
      </c>
      <c r="M300" s="31" t="n">
        <f aca="false">IF($F300="",0,IF($J300="V",$L300,$F300))</f>
        <v>0</v>
      </c>
      <c r="N300" s="31" t="n">
        <f aca="false">IF($F300="",0,IF($J300="U",$L300,$F300))</f>
        <v>0</v>
      </c>
      <c r="O300" s="35" t="str">
        <f aca="false">IF($A300="","",MONTH($A300))</f>
        <v/>
      </c>
      <c r="P300" s="35" t="str">
        <f aca="false">IF($A300="","",ROUNDUP(MONTH($A300)/3,0))</f>
        <v/>
      </c>
      <c r="Q300" s="35" t="str">
        <f aca="false">IF($A300="","",IF(MONTH($A300)&lt;=6,1,2))</f>
        <v/>
      </c>
      <c r="R300" s="35" t="str">
        <f aca="false">IF($E300="","",IFERROR(INDEX(Kontenplan!$F$5:$F$90,MATCH($E300,Kontenplan!$A$5:$A$90,0)),""))</f>
        <v/>
      </c>
      <c r="S300" s="35" t="str">
        <f aca="false">IF($D300="","",IFERROR(INDEX(Kontenplan!$F$5:$F$90,MATCH($D300,Kontenplan!$A$5:$A$90,0)),""))</f>
        <v/>
      </c>
      <c r="T300" s="35" t="str">
        <f aca="false">IF($D300="","",IFERROR(INDEX(Kontenplan!$C$5:$C$90,MATCH($D300,Kontenplan!$A$5:$A$90,0)),"?"))</f>
        <v/>
      </c>
      <c r="U300" s="35" t="str">
        <f aca="false">IF($E300="","",IFERROR(INDEX(Kontenplan!$C$5:$C$90,MATCH($E300,Kontenplan!$A$5:$A$90,0)),"?"))</f>
        <v/>
      </c>
      <c r="V300" s="35" t="str">
        <f aca="false">IF($F300="","",IF(OR($D300="",$E300="",$T300="?",$U300="?"),"Konto prüfen!",IF($A300="","Datum fehlt",IF(YEAR($A300)&lt;&gt;Einstellungen!$B$7,"anderes Jahr!",IF($G300="","MWST-Code fehlt","OK")))))</f>
        <v/>
      </c>
      <c r="W300" s="35" t="str">
        <f aca="false">IF($F300="","",IF(OR($D300=Kontoauszug!$C$4,$E300=Kontoauszug!$C$4),MAX(W$4:W299)+1,""))</f>
        <v/>
      </c>
    </row>
    <row r="301" customFormat="false" ht="15" hidden="false" customHeight="false" outlineLevel="0" collapsed="false">
      <c r="A301" s="33"/>
      <c r="B301" s="32"/>
      <c r="C301" s="32"/>
      <c r="D301" s="32"/>
      <c r="E301" s="32"/>
      <c r="F301" s="30"/>
      <c r="G301" s="32"/>
      <c r="H301" s="34" t="n">
        <f aca="false">IF($G301="",0,IFERROR(INDEX(Einstellungen!$G$5:$G$11,MATCH($G301,Einstellungen!$E$5:$E$11,0)),0))</f>
        <v>0</v>
      </c>
      <c r="I301" s="35" t="str">
        <f aca="false">IF($G301="","-",IFERROR(INDEX(Einstellungen!$H$5:$H$11,MATCH($G301,Einstellungen!$E$5:$E$11,0)),"-"))</f>
        <v>-</v>
      </c>
      <c r="J301" s="35" t="str">
        <f aca="false">IF(AND(Einstellungen!$B$8="Ja",Einstellungen!$B$9="Effektiv"),$I301,"-")</f>
        <v>-</v>
      </c>
      <c r="K301" s="31" t="n">
        <f aca="false">IF(OR($F301="",$J301="-"),0,ROUND($F301-$F301/(1+$H301),2))</f>
        <v>0</v>
      </c>
      <c r="L301" s="31" t="n">
        <f aca="false">IF($F301="",0,$F301-$K301)</f>
        <v>0</v>
      </c>
      <c r="M301" s="31" t="n">
        <f aca="false">IF($F301="",0,IF($J301="V",$L301,$F301))</f>
        <v>0</v>
      </c>
      <c r="N301" s="31" t="n">
        <f aca="false">IF($F301="",0,IF($J301="U",$L301,$F301))</f>
        <v>0</v>
      </c>
      <c r="O301" s="35" t="str">
        <f aca="false">IF($A301="","",MONTH($A301))</f>
        <v/>
      </c>
      <c r="P301" s="35" t="str">
        <f aca="false">IF($A301="","",ROUNDUP(MONTH($A301)/3,0))</f>
        <v/>
      </c>
      <c r="Q301" s="35" t="str">
        <f aca="false">IF($A301="","",IF(MONTH($A301)&lt;=6,1,2))</f>
        <v/>
      </c>
      <c r="R301" s="35" t="str">
        <f aca="false">IF($E301="","",IFERROR(INDEX(Kontenplan!$F$5:$F$90,MATCH($E301,Kontenplan!$A$5:$A$90,0)),""))</f>
        <v/>
      </c>
      <c r="S301" s="35" t="str">
        <f aca="false">IF($D301="","",IFERROR(INDEX(Kontenplan!$F$5:$F$90,MATCH($D301,Kontenplan!$A$5:$A$90,0)),""))</f>
        <v/>
      </c>
      <c r="T301" s="35" t="str">
        <f aca="false">IF($D301="","",IFERROR(INDEX(Kontenplan!$C$5:$C$90,MATCH($D301,Kontenplan!$A$5:$A$90,0)),"?"))</f>
        <v/>
      </c>
      <c r="U301" s="35" t="str">
        <f aca="false">IF($E301="","",IFERROR(INDEX(Kontenplan!$C$5:$C$90,MATCH($E301,Kontenplan!$A$5:$A$90,0)),"?"))</f>
        <v/>
      </c>
      <c r="V301" s="35" t="str">
        <f aca="false">IF($F301="","",IF(OR($D301="",$E301="",$T301="?",$U301="?"),"Konto prüfen!",IF($A301="","Datum fehlt",IF(YEAR($A301)&lt;&gt;Einstellungen!$B$7,"anderes Jahr!",IF($G301="","MWST-Code fehlt","OK")))))</f>
        <v/>
      </c>
      <c r="W301" s="35" t="str">
        <f aca="false">IF($F301="","",IF(OR($D301=Kontoauszug!$C$4,$E301=Kontoauszug!$C$4),MAX(W$4:W300)+1,""))</f>
        <v/>
      </c>
    </row>
    <row r="302" customFormat="false" ht="15" hidden="false" customHeight="false" outlineLevel="0" collapsed="false">
      <c r="A302" s="33"/>
      <c r="B302" s="32"/>
      <c r="C302" s="32"/>
      <c r="D302" s="32"/>
      <c r="E302" s="32"/>
      <c r="F302" s="30"/>
      <c r="G302" s="32"/>
      <c r="H302" s="34" t="n">
        <f aca="false">IF($G302="",0,IFERROR(INDEX(Einstellungen!$G$5:$G$11,MATCH($G302,Einstellungen!$E$5:$E$11,0)),0))</f>
        <v>0</v>
      </c>
      <c r="I302" s="35" t="str">
        <f aca="false">IF($G302="","-",IFERROR(INDEX(Einstellungen!$H$5:$H$11,MATCH($G302,Einstellungen!$E$5:$E$11,0)),"-"))</f>
        <v>-</v>
      </c>
      <c r="J302" s="35" t="str">
        <f aca="false">IF(AND(Einstellungen!$B$8="Ja",Einstellungen!$B$9="Effektiv"),$I302,"-")</f>
        <v>-</v>
      </c>
      <c r="K302" s="31" t="n">
        <f aca="false">IF(OR($F302="",$J302="-"),0,ROUND($F302-$F302/(1+$H302),2))</f>
        <v>0</v>
      </c>
      <c r="L302" s="31" t="n">
        <f aca="false">IF($F302="",0,$F302-$K302)</f>
        <v>0</v>
      </c>
      <c r="M302" s="31" t="n">
        <f aca="false">IF($F302="",0,IF($J302="V",$L302,$F302))</f>
        <v>0</v>
      </c>
      <c r="N302" s="31" t="n">
        <f aca="false">IF($F302="",0,IF($J302="U",$L302,$F302))</f>
        <v>0</v>
      </c>
      <c r="O302" s="35" t="str">
        <f aca="false">IF($A302="","",MONTH($A302))</f>
        <v/>
      </c>
      <c r="P302" s="35" t="str">
        <f aca="false">IF($A302="","",ROUNDUP(MONTH($A302)/3,0))</f>
        <v/>
      </c>
      <c r="Q302" s="35" t="str">
        <f aca="false">IF($A302="","",IF(MONTH($A302)&lt;=6,1,2))</f>
        <v/>
      </c>
      <c r="R302" s="35" t="str">
        <f aca="false">IF($E302="","",IFERROR(INDEX(Kontenplan!$F$5:$F$90,MATCH($E302,Kontenplan!$A$5:$A$90,0)),""))</f>
        <v/>
      </c>
      <c r="S302" s="35" t="str">
        <f aca="false">IF($D302="","",IFERROR(INDEX(Kontenplan!$F$5:$F$90,MATCH($D302,Kontenplan!$A$5:$A$90,0)),""))</f>
        <v/>
      </c>
      <c r="T302" s="35" t="str">
        <f aca="false">IF($D302="","",IFERROR(INDEX(Kontenplan!$C$5:$C$90,MATCH($D302,Kontenplan!$A$5:$A$90,0)),"?"))</f>
        <v/>
      </c>
      <c r="U302" s="35" t="str">
        <f aca="false">IF($E302="","",IFERROR(INDEX(Kontenplan!$C$5:$C$90,MATCH($E302,Kontenplan!$A$5:$A$90,0)),"?"))</f>
        <v/>
      </c>
      <c r="V302" s="35" t="str">
        <f aca="false">IF($F302="","",IF(OR($D302="",$E302="",$T302="?",$U302="?"),"Konto prüfen!",IF($A302="","Datum fehlt",IF(YEAR($A302)&lt;&gt;Einstellungen!$B$7,"anderes Jahr!",IF($G302="","MWST-Code fehlt","OK")))))</f>
        <v/>
      </c>
      <c r="W302" s="35" t="str">
        <f aca="false">IF($F302="","",IF(OR($D302=Kontoauszug!$C$4,$E302=Kontoauszug!$C$4),MAX(W$4:W301)+1,""))</f>
        <v/>
      </c>
    </row>
    <row r="303" customFormat="false" ht="15" hidden="false" customHeight="false" outlineLevel="0" collapsed="false">
      <c r="A303" s="33"/>
      <c r="B303" s="32"/>
      <c r="C303" s="32"/>
      <c r="D303" s="32"/>
      <c r="E303" s="32"/>
      <c r="F303" s="30"/>
      <c r="G303" s="32"/>
      <c r="H303" s="34" t="n">
        <f aca="false">IF($G303="",0,IFERROR(INDEX(Einstellungen!$G$5:$G$11,MATCH($G303,Einstellungen!$E$5:$E$11,0)),0))</f>
        <v>0</v>
      </c>
      <c r="I303" s="35" t="str">
        <f aca="false">IF($G303="","-",IFERROR(INDEX(Einstellungen!$H$5:$H$11,MATCH($G303,Einstellungen!$E$5:$E$11,0)),"-"))</f>
        <v>-</v>
      </c>
      <c r="J303" s="35" t="str">
        <f aca="false">IF(AND(Einstellungen!$B$8="Ja",Einstellungen!$B$9="Effektiv"),$I303,"-")</f>
        <v>-</v>
      </c>
      <c r="K303" s="31" t="n">
        <f aca="false">IF(OR($F303="",$J303="-"),0,ROUND($F303-$F303/(1+$H303),2))</f>
        <v>0</v>
      </c>
      <c r="L303" s="31" t="n">
        <f aca="false">IF($F303="",0,$F303-$K303)</f>
        <v>0</v>
      </c>
      <c r="M303" s="31" t="n">
        <f aca="false">IF($F303="",0,IF($J303="V",$L303,$F303))</f>
        <v>0</v>
      </c>
      <c r="N303" s="31" t="n">
        <f aca="false">IF($F303="",0,IF($J303="U",$L303,$F303))</f>
        <v>0</v>
      </c>
      <c r="O303" s="35" t="str">
        <f aca="false">IF($A303="","",MONTH($A303))</f>
        <v/>
      </c>
      <c r="P303" s="35" t="str">
        <f aca="false">IF($A303="","",ROUNDUP(MONTH($A303)/3,0))</f>
        <v/>
      </c>
      <c r="Q303" s="35" t="str">
        <f aca="false">IF($A303="","",IF(MONTH($A303)&lt;=6,1,2))</f>
        <v/>
      </c>
      <c r="R303" s="35" t="str">
        <f aca="false">IF($E303="","",IFERROR(INDEX(Kontenplan!$F$5:$F$90,MATCH($E303,Kontenplan!$A$5:$A$90,0)),""))</f>
        <v/>
      </c>
      <c r="S303" s="35" t="str">
        <f aca="false">IF($D303="","",IFERROR(INDEX(Kontenplan!$F$5:$F$90,MATCH($D303,Kontenplan!$A$5:$A$90,0)),""))</f>
        <v/>
      </c>
      <c r="T303" s="35" t="str">
        <f aca="false">IF($D303="","",IFERROR(INDEX(Kontenplan!$C$5:$C$90,MATCH($D303,Kontenplan!$A$5:$A$90,0)),"?"))</f>
        <v/>
      </c>
      <c r="U303" s="35" t="str">
        <f aca="false">IF($E303="","",IFERROR(INDEX(Kontenplan!$C$5:$C$90,MATCH($E303,Kontenplan!$A$5:$A$90,0)),"?"))</f>
        <v/>
      </c>
      <c r="V303" s="35" t="str">
        <f aca="false">IF($F303="","",IF(OR($D303="",$E303="",$T303="?",$U303="?"),"Konto prüfen!",IF($A303="","Datum fehlt",IF(YEAR($A303)&lt;&gt;Einstellungen!$B$7,"anderes Jahr!",IF($G303="","MWST-Code fehlt","OK")))))</f>
        <v/>
      </c>
      <c r="W303" s="35" t="str">
        <f aca="false">IF($F303="","",IF(OR($D303=Kontoauszug!$C$4,$E303=Kontoauszug!$C$4),MAX(W$4:W302)+1,""))</f>
        <v/>
      </c>
    </row>
    <row r="304" customFormat="false" ht="15" hidden="false" customHeight="false" outlineLevel="0" collapsed="false">
      <c r="A304" s="33"/>
      <c r="B304" s="32"/>
      <c r="C304" s="32"/>
      <c r="D304" s="32"/>
      <c r="E304" s="32"/>
      <c r="F304" s="30"/>
      <c r="G304" s="32"/>
      <c r="H304" s="34" t="n">
        <f aca="false">IF($G304="",0,IFERROR(INDEX(Einstellungen!$G$5:$G$11,MATCH($G304,Einstellungen!$E$5:$E$11,0)),0))</f>
        <v>0</v>
      </c>
      <c r="I304" s="35" t="str">
        <f aca="false">IF($G304="","-",IFERROR(INDEX(Einstellungen!$H$5:$H$11,MATCH($G304,Einstellungen!$E$5:$E$11,0)),"-"))</f>
        <v>-</v>
      </c>
      <c r="J304" s="35" t="str">
        <f aca="false">IF(AND(Einstellungen!$B$8="Ja",Einstellungen!$B$9="Effektiv"),$I304,"-")</f>
        <v>-</v>
      </c>
      <c r="K304" s="31" t="n">
        <f aca="false">IF(OR($F304="",$J304="-"),0,ROUND($F304-$F304/(1+$H304),2))</f>
        <v>0</v>
      </c>
      <c r="L304" s="31" t="n">
        <f aca="false">IF($F304="",0,$F304-$K304)</f>
        <v>0</v>
      </c>
      <c r="M304" s="31" t="n">
        <f aca="false">IF($F304="",0,IF($J304="V",$L304,$F304))</f>
        <v>0</v>
      </c>
      <c r="N304" s="31" t="n">
        <f aca="false">IF($F304="",0,IF($J304="U",$L304,$F304))</f>
        <v>0</v>
      </c>
      <c r="O304" s="35" t="str">
        <f aca="false">IF($A304="","",MONTH($A304))</f>
        <v/>
      </c>
      <c r="P304" s="35" t="str">
        <f aca="false">IF($A304="","",ROUNDUP(MONTH($A304)/3,0))</f>
        <v/>
      </c>
      <c r="Q304" s="35" t="str">
        <f aca="false">IF($A304="","",IF(MONTH($A304)&lt;=6,1,2))</f>
        <v/>
      </c>
      <c r="R304" s="35" t="str">
        <f aca="false">IF($E304="","",IFERROR(INDEX(Kontenplan!$F$5:$F$90,MATCH($E304,Kontenplan!$A$5:$A$90,0)),""))</f>
        <v/>
      </c>
      <c r="S304" s="35" t="str">
        <f aca="false">IF($D304="","",IFERROR(INDEX(Kontenplan!$F$5:$F$90,MATCH($D304,Kontenplan!$A$5:$A$90,0)),""))</f>
        <v/>
      </c>
      <c r="T304" s="35" t="str">
        <f aca="false">IF($D304="","",IFERROR(INDEX(Kontenplan!$C$5:$C$90,MATCH($D304,Kontenplan!$A$5:$A$90,0)),"?"))</f>
        <v/>
      </c>
      <c r="U304" s="35" t="str">
        <f aca="false">IF($E304="","",IFERROR(INDEX(Kontenplan!$C$5:$C$90,MATCH($E304,Kontenplan!$A$5:$A$90,0)),"?"))</f>
        <v/>
      </c>
      <c r="V304" s="35" t="str">
        <f aca="false">IF($F304="","",IF(OR($D304="",$E304="",$T304="?",$U304="?"),"Konto prüfen!",IF($A304="","Datum fehlt",IF(YEAR($A304)&lt;&gt;Einstellungen!$B$7,"anderes Jahr!",IF($G304="","MWST-Code fehlt","OK")))))</f>
        <v/>
      </c>
      <c r="W304" s="35" t="str">
        <f aca="false">IF($F304="","",IF(OR($D304=Kontoauszug!$C$4,$E304=Kontoauszug!$C$4),MAX(W$4:W303)+1,""))</f>
        <v/>
      </c>
    </row>
    <row r="305" customFormat="false" ht="15" hidden="false" customHeight="false" outlineLevel="0" collapsed="false">
      <c r="A305" s="33"/>
      <c r="B305" s="32"/>
      <c r="C305" s="32"/>
      <c r="D305" s="32"/>
      <c r="E305" s="32"/>
      <c r="F305" s="30"/>
      <c r="G305" s="32"/>
      <c r="H305" s="34" t="n">
        <f aca="false">IF($G305="",0,IFERROR(INDEX(Einstellungen!$G$5:$G$11,MATCH($G305,Einstellungen!$E$5:$E$11,0)),0))</f>
        <v>0</v>
      </c>
      <c r="I305" s="35" t="str">
        <f aca="false">IF($G305="","-",IFERROR(INDEX(Einstellungen!$H$5:$H$11,MATCH($G305,Einstellungen!$E$5:$E$11,0)),"-"))</f>
        <v>-</v>
      </c>
      <c r="J305" s="35" t="str">
        <f aca="false">IF(AND(Einstellungen!$B$8="Ja",Einstellungen!$B$9="Effektiv"),$I305,"-")</f>
        <v>-</v>
      </c>
      <c r="K305" s="31" t="n">
        <f aca="false">IF(OR($F305="",$J305="-"),0,ROUND($F305-$F305/(1+$H305),2))</f>
        <v>0</v>
      </c>
      <c r="L305" s="31" t="n">
        <f aca="false">IF($F305="",0,$F305-$K305)</f>
        <v>0</v>
      </c>
      <c r="M305" s="31" t="n">
        <f aca="false">IF($F305="",0,IF($J305="V",$L305,$F305))</f>
        <v>0</v>
      </c>
      <c r="N305" s="31" t="n">
        <f aca="false">IF($F305="",0,IF($J305="U",$L305,$F305))</f>
        <v>0</v>
      </c>
      <c r="O305" s="35" t="str">
        <f aca="false">IF($A305="","",MONTH($A305))</f>
        <v/>
      </c>
      <c r="P305" s="35" t="str">
        <f aca="false">IF($A305="","",ROUNDUP(MONTH($A305)/3,0))</f>
        <v/>
      </c>
      <c r="Q305" s="35" t="str">
        <f aca="false">IF($A305="","",IF(MONTH($A305)&lt;=6,1,2))</f>
        <v/>
      </c>
      <c r="R305" s="35" t="str">
        <f aca="false">IF($E305="","",IFERROR(INDEX(Kontenplan!$F$5:$F$90,MATCH($E305,Kontenplan!$A$5:$A$90,0)),""))</f>
        <v/>
      </c>
      <c r="S305" s="35" t="str">
        <f aca="false">IF($D305="","",IFERROR(INDEX(Kontenplan!$F$5:$F$90,MATCH($D305,Kontenplan!$A$5:$A$90,0)),""))</f>
        <v/>
      </c>
      <c r="T305" s="35" t="str">
        <f aca="false">IF($D305="","",IFERROR(INDEX(Kontenplan!$C$5:$C$90,MATCH($D305,Kontenplan!$A$5:$A$90,0)),"?"))</f>
        <v/>
      </c>
      <c r="U305" s="35" t="str">
        <f aca="false">IF($E305="","",IFERROR(INDEX(Kontenplan!$C$5:$C$90,MATCH($E305,Kontenplan!$A$5:$A$90,0)),"?"))</f>
        <v/>
      </c>
      <c r="V305" s="35" t="str">
        <f aca="false">IF($F305="","",IF(OR($D305="",$E305="",$T305="?",$U305="?"),"Konto prüfen!",IF($A305="","Datum fehlt",IF(YEAR($A305)&lt;&gt;Einstellungen!$B$7,"anderes Jahr!",IF($G305="","MWST-Code fehlt","OK")))))</f>
        <v/>
      </c>
      <c r="W305" s="35" t="str">
        <f aca="false">IF($F305="","",IF(OR($D305=Kontoauszug!$C$4,$E305=Kontoauszug!$C$4),MAX(W$4:W304)+1,""))</f>
        <v/>
      </c>
    </row>
    <row r="306" customFormat="false" ht="15" hidden="false" customHeight="false" outlineLevel="0" collapsed="false">
      <c r="A306" s="33"/>
      <c r="B306" s="32"/>
      <c r="C306" s="32"/>
      <c r="D306" s="32"/>
      <c r="E306" s="32"/>
      <c r="F306" s="30"/>
      <c r="G306" s="32"/>
      <c r="H306" s="34" t="n">
        <f aca="false">IF($G306="",0,IFERROR(INDEX(Einstellungen!$G$5:$G$11,MATCH($G306,Einstellungen!$E$5:$E$11,0)),0))</f>
        <v>0</v>
      </c>
      <c r="I306" s="35" t="str">
        <f aca="false">IF($G306="","-",IFERROR(INDEX(Einstellungen!$H$5:$H$11,MATCH($G306,Einstellungen!$E$5:$E$11,0)),"-"))</f>
        <v>-</v>
      </c>
      <c r="J306" s="35" t="str">
        <f aca="false">IF(AND(Einstellungen!$B$8="Ja",Einstellungen!$B$9="Effektiv"),$I306,"-")</f>
        <v>-</v>
      </c>
      <c r="K306" s="31" t="n">
        <f aca="false">IF(OR($F306="",$J306="-"),0,ROUND($F306-$F306/(1+$H306),2))</f>
        <v>0</v>
      </c>
      <c r="L306" s="31" t="n">
        <f aca="false">IF($F306="",0,$F306-$K306)</f>
        <v>0</v>
      </c>
      <c r="M306" s="31" t="n">
        <f aca="false">IF($F306="",0,IF($J306="V",$L306,$F306))</f>
        <v>0</v>
      </c>
      <c r="N306" s="31" t="n">
        <f aca="false">IF($F306="",0,IF($J306="U",$L306,$F306))</f>
        <v>0</v>
      </c>
      <c r="O306" s="35" t="str">
        <f aca="false">IF($A306="","",MONTH($A306))</f>
        <v/>
      </c>
      <c r="P306" s="35" t="str">
        <f aca="false">IF($A306="","",ROUNDUP(MONTH($A306)/3,0))</f>
        <v/>
      </c>
      <c r="Q306" s="35" t="str">
        <f aca="false">IF($A306="","",IF(MONTH($A306)&lt;=6,1,2))</f>
        <v/>
      </c>
      <c r="R306" s="35" t="str">
        <f aca="false">IF($E306="","",IFERROR(INDEX(Kontenplan!$F$5:$F$90,MATCH($E306,Kontenplan!$A$5:$A$90,0)),""))</f>
        <v/>
      </c>
      <c r="S306" s="35" t="str">
        <f aca="false">IF($D306="","",IFERROR(INDEX(Kontenplan!$F$5:$F$90,MATCH($D306,Kontenplan!$A$5:$A$90,0)),""))</f>
        <v/>
      </c>
      <c r="T306" s="35" t="str">
        <f aca="false">IF($D306="","",IFERROR(INDEX(Kontenplan!$C$5:$C$90,MATCH($D306,Kontenplan!$A$5:$A$90,0)),"?"))</f>
        <v/>
      </c>
      <c r="U306" s="35" t="str">
        <f aca="false">IF($E306="","",IFERROR(INDEX(Kontenplan!$C$5:$C$90,MATCH($E306,Kontenplan!$A$5:$A$90,0)),"?"))</f>
        <v/>
      </c>
      <c r="V306" s="35" t="str">
        <f aca="false">IF($F306="","",IF(OR($D306="",$E306="",$T306="?",$U306="?"),"Konto prüfen!",IF($A306="","Datum fehlt",IF(YEAR($A306)&lt;&gt;Einstellungen!$B$7,"anderes Jahr!",IF($G306="","MWST-Code fehlt","OK")))))</f>
        <v/>
      </c>
      <c r="W306" s="35" t="str">
        <f aca="false">IF($F306="","",IF(OR($D306=Kontoauszug!$C$4,$E306=Kontoauszug!$C$4),MAX(W$4:W305)+1,""))</f>
        <v/>
      </c>
    </row>
    <row r="307" customFormat="false" ht="15" hidden="false" customHeight="false" outlineLevel="0" collapsed="false">
      <c r="A307" s="33"/>
      <c r="B307" s="32"/>
      <c r="C307" s="32"/>
      <c r="D307" s="32"/>
      <c r="E307" s="32"/>
      <c r="F307" s="30"/>
      <c r="G307" s="32"/>
      <c r="H307" s="34" t="n">
        <f aca="false">IF($G307="",0,IFERROR(INDEX(Einstellungen!$G$5:$G$11,MATCH($G307,Einstellungen!$E$5:$E$11,0)),0))</f>
        <v>0</v>
      </c>
      <c r="I307" s="35" t="str">
        <f aca="false">IF($G307="","-",IFERROR(INDEX(Einstellungen!$H$5:$H$11,MATCH($G307,Einstellungen!$E$5:$E$11,0)),"-"))</f>
        <v>-</v>
      </c>
      <c r="J307" s="35" t="str">
        <f aca="false">IF(AND(Einstellungen!$B$8="Ja",Einstellungen!$B$9="Effektiv"),$I307,"-")</f>
        <v>-</v>
      </c>
      <c r="K307" s="31" t="n">
        <f aca="false">IF(OR($F307="",$J307="-"),0,ROUND($F307-$F307/(1+$H307),2))</f>
        <v>0</v>
      </c>
      <c r="L307" s="31" t="n">
        <f aca="false">IF($F307="",0,$F307-$K307)</f>
        <v>0</v>
      </c>
      <c r="M307" s="31" t="n">
        <f aca="false">IF($F307="",0,IF($J307="V",$L307,$F307))</f>
        <v>0</v>
      </c>
      <c r="N307" s="31" t="n">
        <f aca="false">IF($F307="",0,IF($J307="U",$L307,$F307))</f>
        <v>0</v>
      </c>
      <c r="O307" s="35" t="str">
        <f aca="false">IF($A307="","",MONTH($A307))</f>
        <v/>
      </c>
      <c r="P307" s="35" t="str">
        <f aca="false">IF($A307="","",ROUNDUP(MONTH($A307)/3,0))</f>
        <v/>
      </c>
      <c r="Q307" s="35" t="str">
        <f aca="false">IF($A307="","",IF(MONTH($A307)&lt;=6,1,2))</f>
        <v/>
      </c>
      <c r="R307" s="35" t="str">
        <f aca="false">IF($E307="","",IFERROR(INDEX(Kontenplan!$F$5:$F$90,MATCH($E307,Kontenplan!$A$5:$A$90,0)),""))</f>
        <v/>
      </c>
      <c r="S307" s="35" t="str">
        <f aca="false">IF($D307="","",IFERROR(INDEX(Kontenplan!$F$5:$F$90,MATCH($D307,Kontenplan!$A$5:$A$90,0)),""))</f>
        <v/>
      </c>
      <c r="T307" s="35" t="str">
        <f aca="false">IF($D307="","",IFERROR(INDEX(Kontenplan!$C$5:$C$90,MATCH($D307,Kontenplan!$A$5:$A$90,0)),"?"))</f>
        <v/>
      </c>
      <c r="U307" s="35" t="str">
        <f aca="false">IF($E307="","",IFERROR(INDEX(Kontenplan!$C$5:$C$90,MATCH($E307,Kontenplan!$A$5:$A$90,0)),"?"))</f>
        <v/>
      </c>
      <c r="V307" s="35" t="str">
        <f aca="false">IF($F307="","",IF(OR($D307="",$E307="",$T307="?",$U307="?"),"Konto prüfen!",IF($A307="","Datum fehlt",IF(YEAR($A307)&lt;&gt;Einstellungen!$B$7,"anderes Jahr!",IF($G307="","MWST-Code fehlt","OK")))))</f>
        <v/>
      </c>
      <c r="W307" s="35" t="str">
        <f aca="false">IF($F307="","",IF(OR($D307=Kontoauszug!$C$4,$E307=Kontoauszug!$C$4),MAX(W$4:W306)+1,""))</f>
        <v/>
      </c>
    </row>
    <row r="308" customFormat="false" ht="15" hidden="false" customHeight="false" outlineLevel="0" collapsed="false">
      <c r="A308" s="33"/>
      <c r="B308" s="32"/>
      <c r="C308" s="32"/>
      <c r="D308" s="32"/>
      <c r="E308" s="32"/>
      <c r="F308" s="30"/>
      <c r="G308" s="32"/>
      <c r="H308" s="34" t="n">
        <f aca="false">IF($G308="",0,IFERROR(INDEX(Einstellungen!$G$5:$G$11,MATCH($G308,Einstellungen!$E$5:$E$11,0)),0))</f>
        <v>0</v>
      </c>
      <c r="I308" s="35" t="str">
        <f aca="false">IF($G308="","-",IFERROR(INDEX(Einstellungen!$H$5:$H$11,MATCH($G308,Einstellungen!$E$5:$E$11,0)),"-"))</f>
        <v>-</v>
      </c>
      <c r="J308" s="35" t="str">
        <f aca="false">IF(AND(Einstellungen!$B$8="Ja",Einstellungen!$B$9="Effektiv"),$I308,"-")</f>
        <v>-</v>
      </c>
      <c r="K308" s="31" t="n">
        <f aca="false">IF(OR($F308="",$J308="-"),0,ROUND($F308-$F308/(1+$H308),2))</f>
        <v>0</v>
      </c>
      <c r="L308" s="31" t="n">
        <f aca="false">IF($F308="",0,$F308-$K308)</f>
        <v>0</v>
      </c>
      <c r="M308" s="31" t="n">
        <f aca="false">IF($F308="",0,IF($J308="V",$L308,$F308))</f>
        <v>0</v>
      </c>
      <c r="N308" s="31" t="n">
        <f aca="false">IF($F308="",0,IF($J308="U",$L308,$F308))</f>
        <v>0</v>
      </c>
      <c r="O308" s="35" t="str">
        <f aca="false">IF($A308="","",MONTH($A308))</f>
        <v/>
      </c>
      <c r="P308" s="35" t="str">
        <f aca="false">IF($A308="","",ROUNDUP(MONTH($A308)/3,0))</f>
        <v/>
      </c>
      <c r="Q308" s="35" t="str">
        <f aca="false">IF($A308="","",IF(MONTH($A308)&lt;=6,1,2))</f>
        <v/>
      </c>
      <c r="R308" s="35" t="str">
        <f aca="false">IF($E308="","",IFERROR(INDEX(Kontenplan!$F$5:$F$90,MATCH($E308,Kontenplan!$A$5:$A$90,0)),""))</f>
        <v/>
      </c>
      <c r="S308" s="35" t="str">
        <f aca="false">IF($D308="","",IFERROR(INDEX(Kontenplan!$F$5:$F$90,MATCH($D308,Kontenplan!$A$5:$A$90,0)),""))</f>
        <v/>
      </c>
      <c r="T308" s="35" t="str">
        <f aca="false">IF($D308="","",IFERROR(INDEX(Kontenplan!$C$5:$C$90,MATCH($D308,Kontenplan!$A$5:$A$90,0)),"?"))</f>
        <v/>
      </c>
      <c r="U308" s="35" t="str">
        <f aca="false">IF($E308="","",IFERROR(INDEX(Kontenplan!$C$5:$C$90,MATCH($E308,Kontenplan!$A$5:$A$90,0)),"?"))</f>
        <v/>
      </c>
      <c r="V308" s="35" t="str">
        <f aca="false">IF($F308="","",IF(OR($D308="",$E308="",$T308="?",$U308="?"),"Konto prüfen!",IF($A308="","Datum fehlt",IF(YEAR($A308)&lt;&gt;Einstellungen!$B$7,"anderes Jahr!",IF($G308="","MWST-Code fehlt","OK")))))</f>
        <v/>
      </c>
      <c r="W308" s="35" t="str">
        <f aca="false">IF($F308="","",IF(OR($D308=Kontoauszug!$C$4,$E308=Kontoauszug!$C$4),MAX(W$4:W307)+1,""))</f>
        <v/>
      </c>
    </row>
    <row r="309" customFormat="false" ht="15" hidden="false" customHeight="false" outlineLevel="0" collapsed="false">
      <c r="A309" s="33"/>
      <c r="B309" s="32"/>
      <c r="C309" s="32"/>
      <c r="D309" s="32"/>
      <c r="E309" s="32"/>
      <c r="F309" s="30"/>
      <c r="G309" s="32"/>
      <c r="H309" s="34" t="n">
        <f aca="false">IF($G309="",0,IFERROR(INDEX(Einstellungen!$G$5:$G$11,MATCH($G309,Einstellungen!$E$5:$E$11,0)),0))</f>
        <v>0</v>
      </c>
      <c r="I309" s="35" t="str">
        <f aca="false">IF($G309="","-",IFERROR(INDEX(Einstellungen!$H$5:$H$11,MATCH($G309,Einstellungen!$E$5:$E$11,0)),"-"))</f>
        <v>-</v>
      </c>
      <c r="J309" s="35" t="str">
        <f aca="false">IF(AND(Einstellungen!$B$8="Ja",Einstellungen!$B$9="Effektiv"),$I309,"-")</f>
        <v>-</v>
      </c>
      <c r="K309" s="31" t="n">
        <f aca="false">IF(OR($F309="",$J309="-"),0,ROUND($F309-$F309/(1+$H309),2))</f>
        <v>0</v>
      </c>
      <c r="L309" s="31" t="n">
        <f aca="false">IF($F309="",0,$F309-$K309)</f>
        <v>0</v>
      </c>
      <c r="M309" s="31" t="n">
        <f aca="false">IF($F309="",0,IF($J309="V",$L309,$F309))</f>
        <v>0</v>
      </c>
      <c r="N309" s="31" t="n">
        <f aca="false">IF($F309="",0,IF($J309="U",$L309,$F309))</f>
        <v>0</v>
      </c>
      <c r="O309" s="35" t="str">
        <f aca="false">IF($A309="","",MONTH($A309))</f>
        <v/>
      </c>
      <c r="P309" s="35" t="str">
        <f aca="false">IF($A309="","",ROUNDUP(MONTH($A309)/3,0))</f>
        <v/>
      </c>
      <c r="Q309" s="35" t="str">
        <f aca="false">IF($A309="","",IF(MONTH($A309)&lt;=6,1,2))</f>
        <v/>
      </c>
      <c r="R309" s="35" t="str">
        <f aca="false">IF($E309="","",IFERROR(INDEX(Kontenplan!$F$5:$F$90,MATCH($E309,Kontenplan!$A$5:$A$90,0)),""))</f>
        <v/>
      </c>
      <c r="S309" s="35" t="str">
        <f aca="false">IF($D309="","",IFERROR(INDEX(Kontenplan!$F$5:$F$90,MATCH($D309,Kontenplan!$A$5:$A$90,0)),""))</f>
        <v/>
      </c>
      <c r="T309" s="35" t="str">
        <f aca="false">IF($D309="","",IFERROR(INDEX(Kontenplan!$C$5:$C$90,MATCH($D309,Kontenplan!$A$5:$A$90,0)),"?"))</f>
        <v/>
      </c>
      <c r="U309" s="35" t="str">
        <f aca="false">IF($E309="","",IFERROR(INDEX(Kontenplan!$C$5:$C$90,MATCH($E309,Kontenplan!$A$5:$A$90,0)),"?"))</f>
        <v/>
      </c>
      <c r="V309" s="35" t="str">
        <f aca="false">IF($F309="","",IF(OR($D309="",$E309="",$T309="?",$U309="?"),"Konto prüfen!",IF($A309="","Datum fehlt",IF(YEAR($A309)&lt;&gt;Einstellungen!$B$7,"anderes Jahr!",IF($G309="","MWST-Code fehlt","OK")))))</f>
        <v/>
      </c>
      <c r="W309" s="35" t="str">
        <f aca="false">IF($F309="","",IF(OR($D309=Kontoauszug!$C$4,$E309=Kontoauszug!$C$4),MAX(W$4:W308)+1,""))</f>
        <v/>
      </c>
    </row>
    <row r="310" customFormat="false" ht="15" hidden="false" customHeight="false" outlineLevel="0" collapsed="false">
      <c r="A310" s="33"/>
      <c r="B310" s="32"/>
      <c r="C310" s="32"/>
      <c r="D310" s="32"/>
      <c r="E310" s="32"/>
      <c r="F310" s="30"/>
      <c r="G310" s="32"/>
      <c r="H310" s="34" t="n">
        <f aca="false">IF($G310="",0,IFERROR(INDEX(Einstellungen!$G$5:$G$11,MATCH($G310,Einstellungen!$E$5:$E$11,0)),0))</f>
        <v>0</v>
      </c>
      <c r="I310" s="35" t="str">
        <f aca="false">IF($G310="","-",IFERROR(INDEX(Einstellungen!$H$5:$H$11,MATCH($G310,Einstellungen!$E$5:$E$11,0)),"-"))</f>
        <v>-</v>
      </c>
      <c r="J310" s="35" t="str">
        <f aca="false">IF(AND(Einstellungen!$B$8="Ja",Einstellungen!$B$9="Effektiv"),$I310,"-")</f>
        <v>-</v>
      </c>
      <c r="K310" s="31" t="n">
        <f aca="false">IF(OR($F310="",$J310="-"),0,ROUND($F310-$F310/(1+$H310),2))</f>
        <v>0</v>
      </c>
      <c r="L310" s="31" t="n">
        <f aca="false">IF($F310="",0,$F310-$K310)</f>
        <v>0</v>
      </c>
      <c r="M310" s="31" t="n">
        <f aca="false">IF($F310="",0,IF($J310="V",$L310,$F310))</f>
        <v>0</v>
      </c>
      <c r="N310" s="31" t="n">
        <f aca="false">IF($F310="",0,IF($J310="U",$L310,$F310))</f>
        <v>0</v>
      </c>
      <c r="O310" s="35" t="str">
        <f aca="false">IF($A310="","",MONTH($A310))</f>
        <v/>
      </c>
      <c r="P310" s="35" t="str">
        <f aca="false">IF($A310="","",ROUNDUP(MONTH($A310)/3,0))</f>
        <v/>
      </c>
      <c r="Q310" s="35" t="str">
        <f aca="false">IF($A310="","",IF(MONTH($A310)&lt;=6,1,2))</f>
        <v/>
      </c>
      <c r="R310" s="35" t="str">
        <f aca="false">IF($E310="","",IFERROR(INDEX(Kontenplan!$F$5:$F$90,MATCH($E310,Kontenplan!$A$5:$A$90,0)),""))</f>
        <v/>
      </c>
      <c r="S310" s="35" t="str">
        <f aca="false">IF($D310="","",IFERROR(INDEX(Kontenplan!$F$5:$F$90,MATCH($D310,Kontenplan!$A$5:$A$90,0)),""))</f>
        <v/>
      </c>
      <c r="T310" s="35" t="str">
        <f aca="false">IF($D310="","",IFERROR(INDEX(Kontenplan!$C$5:$C$90,MATCH($D310,Kontenplan!$A$5:$A$90,0)),"?"))</f>
        <v/>
      </c>
      <c r="U310" s="35" t="str">
        <f aca="false">IF($E310="","",IFERROR(INDEX(Kontenplan!$C$5:$C$90,MATCH($E310,Kontenplan!$A$5:$A$90,0)),"?"))</f>
        <v/>
      </c>
      <c r="V310" s="35" t="str">
        <f aca="false">IF($F310="","",IF(OR($D310="",$E310="",$T310="?",$U310="?"),"Konto prüfen!",IF($A310="","Datum fehlt",IF(YEAR($A310)&lt;&gt;Einstellungen!$B$7,"anderes Jahr!",IF($G310="","MWST-Code fehlt","OK")))))</f>
        <v/>
      </c>
      <c r="W310" s="35" t="str">
        <f aca="false">IF($F310="","",IF(OR($D310=Kontoauszug!$C$4,$E310=Kontoauszug!$C$4),MAX(W$4:W309)+1,""))</f>
        <v/>
      </c>
    </row>
    <row r="311" customFormat="false" ht="15" hidden="false" customHeight="false" outlineLevel="0" collapsed="false">
      <c r="A311" s="33"/>
      <c r="B311" s="32"/>
      <c r="C311" s="32"/>
      <c r="D311" s="32"/>
      <c r="E311" s="32"/>
      <c r="F311" s="30"/>
      <c r="G311" s="32"/>
      <c r="H311" s="34" t="n">
        <f aca="false">IF($G311="",0,IFERROR(INDEX(Einstellungen!$G$5:$G$11,MATCH($G311,Einstellungen!$E$5:$E$11,0)),0))</f>
        <v>0</v>
      </c>
      <c r="I311" s="35" t="str">
        <f aca="false">IF($G311="","-",IFERROR(INDEX(Einstellungen!$H$5:$H$11,MATCH($G311,Einstellungen!$E$5:$E$11,0)),"-"))</f>
        <v>-</v>
      </c>
      <c r="J311" s="35" t="str">
        <f aca="false">IF(AND(Einstellungen!$B$8="Ja",Einstellungen!$B$9="Effektiv"),$I311,"-")</f>
        <v>-</v>
      </c>
      <c r="K311" s="31" t="n">
        <f aca="false">IF(OR($F311="",$J311="-"),0,ROUND($F311-$F311/(1+$H311),2))</f>
        <v>0</v>
      </c>
      <c r="L311" s="31" t="n">
        <f aca="false">IF($F311="",0,$F311-$K311)</f>
        <v>0</v>
      </c>
      <c r="M311" s="31" t="n">
        <f aca="false">IF($F311="",0,IF($J311="V",$L311,$F311))</f>
        <v>0</v>
      </c>
      <c r="N311" s="31" t="n">
        <f aca="false">IF($F311="",0,IF($J311="U",$L311,$F311))</f>
        <v>0</v>
      </c>
      <c r="O311" s="35" t="str">
        <f aca="false">IF($A311="","",MONTH($A311))</f>
        <v/>
      </c>
      <c r="P311" s="35" t="str">
        <f aca="false">IF($A311="","",ROUNDUP(MONTH($A311)/3,0))</f>
        <v/>
      </c>
      <c r="Q311" s="35" t="str">
        <f aca="false">IF($A311="","",IF(MONTH($A311)&lt;=6,1,2))</f>
        <v/>
      </c>
      <c r="R311" s="35" t="str">
        <f aca="false">IF($E311="","",IFERROR(INDEX(Kontenplan!$F$5:$F$90,MATCH($E311,Kontenplan!$A$5:$A$90,0)),""))</f>
        <v/>
      </c>
      <c r="S311" s="35" t="str">
        <f aca="false">IF($D311="","",IFERROR(INDEX(Kontenplan!$F$5:$F$90,MATCH($D311,Kontenplan!$A$5:$A$90,0)),""))</f>
        <v/>
      </c>
      <c r="T311" s="35" t="str">
        <f aca="false">IF($D311="","",IFERROR(INDEX(Kontenplan!$C$5:$C$90,MATCH($D311,Kontenplan!$A$5:$A$90,0)),"?"))</f>
        <v/>
      </c>
      <c r="U311" s="35" t="str">
        <f aca="false">IF($E311="","",IFERROR(INDEX(Kontenplan!$C$5:$C$90,MATCH($E311,Kontenplan!$A$5:$A$90,0)),"?"))</f>
        <v/>
      </c>
      <c r="V311" s="35" t="str">
        <f aca="false">IF($F311="","",IF(OR($D311="",$E311="",$T311="?",$U311="?"),"Konto prüfen!",IF($A311="","Datum fehlt",IF(YEAR($A311)&lt;&gt;Einstellungen!$B$7,"anderes Jahr!",IF($G311="","MWST-Code fehlt","OK")))))</f>
        <v/>
      </c>
      <c r="W311" s="35" t="str">
        <f aca="false">IF($F311="","",IF(OR($D311=Kontoauszug!$C$4,$E311=Kontoauszug!$C$4),MAX(W$4:W310)+1,""))</f>
        <v/>
      </c>
    </row>
    <row r="312" customFormat="false" ht="15" hidden="false" customHeight="false" outlineLevel="0" collapsed="false">
      <c r="A312" s="33"/>
      <c r="B312" s="32"/>
      <c r="C312" s="32"/>
      <c r="D312" s="32"/>
      <c r="E312" s="32"/>
      <c r="F312" s="30"/>
      <c r="G312" s="32"/>
      <c r="H312" s="34" t="n">
        <f aca="false">IF($G312="",0,IFERROR(INDEX(Einstellungen!$G$5:$G$11,MATCH($G312,Einstellungen!$E$5:$E$11,0)),0))</f>
        <v>0</v>
      </c>
      <c r="I312" s="35" t="str">
        <f aca="false">IF($G312="","-",IFERROR(INDEX(Einstellungen!$H$5:$H$11,MATCH($G312,Einstellungen!$E$5:$E$11,0)),"-"))</f>
        <v>-</v>
      </c>
      <c r="J312" s="35" t="str">
        <f aca="false">IF(AND(Einstellungen!$B$8="Ja",Einstellungen!$B$9="Effektiv"),$I312,"-")</f>
        <v>-</v>
      </c>
      <c r="K312" s="31" t="n">
        <f aca="false">IF(OR($F312="",$J312="-"),0,ROUND($F312-$F312/(1+$H312),2))</f>
        <v>0</v>
      </c>
      <c r="L312" s="31" t="n">
        <f aca="false">IF($F312="",0,$F312-$K312)</f>
        <v>0</v>
      </c>
      <c r="M312" s="31" t="n">
        <f aca="false">IF($F312="",0,IF($J312="V",$L312,$F312))</f>
        <v>0</v>
      </c>
      <c r="N312" s="31" t="n">
        <f aca="false">IF($F312="",0,IF($J312="U",$L312,$F312))</f>
        <v>0</v>
      </c>
      <c r="O312" s="35" t="str">
        <f aca="false">IF($A312="","",MONTH($A312))</f>
        <v/>
      </c>
      <c r="P312" s="35" t="str">
        <f aca="false">IF($A312="","",ROUNDUP(MONTH($A312)/3,0))</f>
        <v/>
      </c>
      <c r="Q312" s="35" t="str">
        <f aca="false">IF($A312="","",IF(MONTH($A312)&lt;=6,1,2))</f>
        <v/>
      </c>
      <c r="R312" s="35" t="str">
        <f aca="false">IF($E312="","",IFERROR(INDEX(Kontenplan!$F$5:$F$90,MATCH($E312,Kontenplan!$A$5:$A$90,0)),""))</f>
        <v/>
      </c>
      <c r="S312" s="35" t="str">
        <f aca="false">IF($D312="","",IFERROR(INDEX(Kontenplan!$F$5:$F$90,MATCH($D312,Kontenplan!$A$5:$A$90,0)),""))</f>
        <v/>
      </c>
      <c r="T312" s="35" t="str">
        <f aca="false">IF($D312="","",IFERROR(INDEX(Kontenplan!$C$5:$C$90,MATCH($D312,Kontenplan!$A$5:$A$90,0)),"?"))</f>
        <v/>
      </c>
      <c r="U312" s="35" t="str">
        <f aca="false">IF($E312="","",IFERROR(INDEX(Kontenplan!$C$5:$C$90,MATCH($E312,Kontenplan!$A$5:$A$90,0)),"?"))</f>
        <v/>
      </c>
      <c r="V312" s="35" t="str">
        <f aca="false">IF($F312="","",IF(OR($D312="",$E312="",$T312="?",$U312="?"),"Konto prüfen!",IF($A312="","Datum fehlt",IF(YEAR($A312)&lt;&gt;Einstellungen!$B$7,"anderes Jahr!",IF($G312="","MWST-Code fehlt","OK")))))</f>
        <v/>
      </c>
      <c r="W312" s="35" t="str">
        <f aca="false">IF($F312="","",IF(OR($D312=Kontoauszug!$C$4,$E312=Kontoauszug!$C$4),MAX(W$4:W311)+1,""))</f>
        <v/>
      </c>
    </row>
    <row r="313" customFormat="false" ht="15" hidden="false" customHeight="false" outlineLevel="0" collapsed="false">
      <c r="A313" s="33"/>
      <c r="B313" s="32"/>
      <c r="C313" s="32"/>
      <c r="D313" s="32"/>
      <c r="E313" s="32"/>
      <c r="F313" s="30"/>
      <c r="G313" s="32"/>
      <c r="H313" s="34" t="n">
        <f aca="false">IF($G313="",0,IFERROR(INDEX(Einstellungen!$G$5:$G$11,MATCH($G313,Einstellungen!$E$5:$E$11,0)),0))</f>
        <v>0</v>
      </c>
      <c r="I313" s="35" t="str">
        <f aca="false">IF($G313="","-",IFERROR(INDEX(Einstellungen!$H$5:$H$11,MATCH($G313,Einstellungen!$E$5:$E$11,0)),"-"))</f>
        <v>-</v>
      </c>
      <c r="J313" s="35" t="str">
        <f aca="false">IF(AND(Einstellungen!$B$8="Ja",Einstellungen!$B$9="Effektiv"),$I313,"-")</f>
        <v>-</v>
      </c>
      <c r="K313" s="31" t="n">
        <f aca="false">IF(OR($F313="",$J313="-"),0,ROUND($F313-$F313/(1+$H313),2))</f>
        <v>0</v>
      </c>
      <c r="L313" s="31" t="n">
        <f aca="false">IF($F313="",0,$F313-$K313)</f>
        <v>0</v>
      </c>
      <c r="M313" s="31" t="n">
        <f aca="false">IF($F313="",0,IF($J313="V",$L313,$F313))</f>
        <v>0</v>
      </c>
      <c r="N313" s="31" t="n">
        <f aca="false">IF($F313="",0,IF($J313="U",$L313,$F313))</f>
        <v>0</v>
      </c>
      <c r="O313" s="35" t="str">
        <f aca="false">IF($A313="","",MONTH($A313))</f>
        <v/>
      </c>
      <c r="P313" s="35" t="str">
        <f aca="false">IF($A313="","",ROUNDUP(MONTH($A313)/3,0))</f>
        <v/>
      </c>
      <c r="Q313" s="35" t="str">
        <f aca="false">IF($A313="","",IF(MONTH($A313)&lt;=6,1,2))</f>
        <v/>
      </c>
      <c r="R313" s="35" t="str">
        <f aca="false">IF($E313="","",IFERROR(INDEX(Kontenplan!$F$5:$F$90,MATCH($E313,Kontenplan!$A$5:$A$90,0)),""))</f>
        <v/>
      </c>
      <c r="S313" s="35" t="str">
        <f aca="false">IF($D313="","",IFERROR(INDEX(Kontenplan!$F$5:$F$90,MATCH($D313,Kontenplan!$A$5:$A$90,0)),""))</f>
        <v/>
      </c>
      <c r="T313" s="35" t="str">
        <f aca="false">IF($D313="","",IFERROR(INDEX(Kontenplan!$C$5:$C$90,MATCH($D313,Kontenplan!$A$5:$A$90,0)),"?"))</f>
        <v/>
      </c>
      <c r="U313" s="35" t="str">
        <f aca="false">IF($E313="","",IFERROR(INDEX(Kontenplan!$C$5:$C$90,MATCH($E313,Kontenplan!$A$5:$A$90,0)),"?"))</f>
        <v/>
      </c>
      <c r="V313" s="35" t="str">
        <f aca="false">IF($F313="","",IF(OR($D313="",$E313="",$T313="?",$U313="?"),"Konto prüfen!",IF($A313="","Datum fehlt",IF(YEAR($A313)&lt;&gt;Einstellungen!$B$7,"anderes Jahr!",IF($G313="","MWST-Code fehlt","OK")))))</f>
        <v/>
      </c>
      <c r="W313" s="35" t="str">
        <f aca="false">IF($F313="","",IF(OR($D313=Kontoauszug!$C$4,$E313=Kontoauszug!$C$4),MAX(W$4:W312)+1,""))</f>
        <v/>
      </c>
    </row>
    <row r="314" customFormat="false" ht="15" hidden="false" customHeight="false" outlineLevel="0" collapsed="false">
      <c r="A314" s="33"/>
      <c r="B314" s="32"/>
      <c r="C314" s="32"/>
      <c r="D314" s="32"/>
      <c r="E314" s="32"/>
      <c r="F314" s="30"/>
      <c r="G314" s="32"/>
      <c r="H314" s="34" t="n">
        <f aca="false">IF($G314="",0,IFERROR(INDEX(Einstellungen!$G$5:$G$11,MATCH($G314,Einstellungen!$E$5:$E$11,0)),0))</f>
        <v>0</v>
      </c>
      <c r="I314" s="35" t="str">
        <f aca="false">IF($G314="","-",IFERROR(INDEX(Einstellungen!$H$5:$H$11,MATCH($G314,Einstellungen!$E$5:$E$11,0)),"-"))</f>
        <v>-</v>
      </c>
      <c r="J314" s="35" t="str">
        <f aca="false">IF(AND(Einstellungen!$B$8="Ja",Einstellungen!$B$9="Effektiv"),$I314,"-")</f>
        <v>-</v>
      </c>
      <c r="K314" s="31" t="n">
        <f aca="false">IF(OR($F314="",$J314="-"),0,ROUND($F314-$F314/(1+$H314),2))</f>
        <v>0</v>
      </c>
      <c r="L314" s="31" t="n">
        <f aca="false">IF($F314="",0,$F314-$K314)</f>
        <v>0</v>
      </c>
      <c r="M314" s="31" t="n">
        <f aca="false">IF($F314="",0,IF($J314="V",$L314,$F314))</f>
        <v>0</v>
      </c>
      <c r="N314" s="31" t="n">
        <f aca="false">IF($F314="",0,IF($J314="U",$L314,$F314))</f>
        <v>0</v>
      </c>
      <c r="O314" s="35" t="str">
        <f aca="false">IF($A314="","",MONTH($A314))</f>
        <v/>
      </c>
      <c r="P314" s="35" t="str">
        <f aca="false">IF($A314="","",ROUNDUP(MONTH($A314)/3,0))</f>
        <v/>
      </c>
      <c r="Q314" s="35" t="str">
        <f aca="false">IF($A314="","",IF(MONTH($A314)&lt;=6,1,2))</f>
        <v/>
      </c>
      <c r="R314" s="35" t="str">
        <f aca="false">IF($E314="","",IFERROR(INDEX(Kontenplan!$F$5:$F$90,MATCH($E314,Kontenplan!$A$5:$A$90,0)),""))</f>
        <v/>
      </c>
      <c r="S314" s="35" t="str">
        <f aca="false">IF($D314="","",IFERROR(INDEX(Kontenplan!$F$5:$F$90,MATCH($D314,Kontenplan!$A$5:$A$90,0)),""))</f>
        <v/>
      </c>
      <c r="T314" s="35" t="str">
        <f aca="false">IF($D314="","",IFERROR(INDEX(Kontenplan!$C$5:$C$90,MATCH($D314,Kontenplan!$A$5:$A$90,0)),"?"))</f>
        <v/>
      </c>
      <c r="U314" s="35" t="str">
        <f aca="false">IF($E314="","",IFERROR(INDEX(Kontenplan!$C$5:$C$90,MATCH($E314,Kontenplan!$A$5:$A$90,0)),"?"))</f>
        <v/>
      </c>
      <c r="V314" s="35" t="str">
        <f aca="false">IF($F314="","",IF(OR($D314="",$E314="",$T314="?",$U314="?"),"Konto prüfen!",IF($A314="","Datum fehlt",IF(YEAR($A314)&lt;&gt;Einstellungen!$B$7,"anderes Jahr!",IF($G314="","MWST-Code fehlt","OK")))))</f>
        <v/>
      </c>
      <c r="W314" s="35" t="str">
        <f aca="false">IF($F314="","",IF(OR($D314=Kontoauszug!$C$4,$E314=Kontoauszug!$C$4),MAX(W$4:W313)+1,""))</f>
        <v/>
      </c>
    </row>
    <row r="315" customFormat="false" ht="15" hidden="false" customHeight="false" outlineLevel="0" collapsed="false">
      <c r="A315" s="33"/>
      <c r="B315" s="32"/>
      <c r="C315" s="32"/>
      <c r="D315" s="32"/>
      <c r="E315" s="32"/>
      <c r="F315" s="30"/>
      <c r="G315" s="32"/>
      <c r="H315" s="34" t="n">
        <f aca="false">IF($G315="",0,IFERROR(INDEX(Einstellungen!$G$5:$G$11,MATCH($G315,Einstellungen!$E$5:$E$11,0)),0))</f>
        <v>0</v>
      </c>
      <c r="I315" s="35" t="str">
        <f aca="false">IF($G315="","-",IFERROR(INDEX(Einstellungen!$H$5:$H$11,MATCH($G315,Einstellungen!$E$5:$E$11,0)),"-"))</f>
        <v>-</v>
      </c>
      <c r="J315" s="35" t="str">
        <f aca="false">IF(AND(Einstellungen!$B$8="Ja",Einstellungen!$B$9="Effektiv"),$I315,"-")</f>
        <v>-</v>
      </c>
      <c r="K315" s="31" t="n">
        <f aca="false">IF(OR($F315="",$J315="-"),0,ROUND($F315-$F315/(1+$H315),2))</f>
        <v>0</v>
      </c>
      <c r="L315" s="31" t="n">
        <f aca="false">IF($F315="",0,$F315-$K315)</f>
        <v>0</v>
      </c>
      <c r="M315" s="31" t="n">
        <f aca="false">IF($F315="",0,IF($J315="V",$L315,$F315))</f>
        <v>0</v>
      </c>
      <c r="N315" s="31" t="n">
        <f aca="false">IF($F315="",0,IF($J315="U",$L315,$F315))</f>
        <v>0</v>
      </c>
      <c r="O315" s="35" t="str">
        <f aca="false">IF($A315="","",MONTH($A315))</f>
        <v/>
      </c>
      <c r="P315" s="35" t="str">
        <f aca="false">IF($A315="","",ROUNDUP(MONTH($A315)/3,0))</f>
        <v/>
      </c>
      <c r="Q315" s="35" t="str">
        <f aca="false">IF($A315="","",IF(MONTH($A315)&lt;=6,1,2))</f>
        <v/>
      </c>
      <c r="R315" s="35" t="str">
        <f aca="false">IF($E315="","",IFERROR(INDEX(Kontenplan!$F$5:$F$90,MATCH($E315,Kontenplan!$A$5:$A$90,0)),""))</f>
        <v/>
      </c>
      <c r="S315" s="35" t="str">
        <f aca="false">IF($D315="","",IFERROR(INDEX(Kontenplan!$F$5:$F$90,MATCH($D315,Kontenplan!$A$5:$A$90,0)),""))</f>
        <v/>
      </c>
      <c r="T315" s="35" t="str">
        <f aca="false">IF($D315="","",IFERROR(INDEX(Kontenplan!$C$5:$C$90,MATCH($D315,Kontenplan!$A$5:$A$90,0)),"?"))</f>
        <v/>
      </c>
      <c r="U315" s="35" t="str">
        <f aca="false">IF($E315="","",IFERROR(INDEX(Kontenplan!$C$5:$C$90,MATCH($E315,Kontenplan!$A$5:$A$90,0)),"?"))</f>
        <v/>
      </c>
      <c r="V315" s="35" t="str">
        <f aca="false">IF($F315="","",IF(OR($D315="",$E315="",$T315="?",$U315="?"),"Konto prüfen!",IF($A315="","Datum fehlt",IF(YEAR($A315)&lt;&gt;Einstellungen!$B$7,"anderes Jahr!",IF($G315="","MWST-Code fehlt","OK")))))</f>
        <v/>
      </c>
      <c r="W315" s="35" t="str">
        <f aca="false">IF($F315="","",IF(OR($D315=Kontoauszug!$C$4,$E315=Kontoauszug!$C$4),MAX(W$4:W314)+1,""))</f>
        <v/>
      </c>
    </row>
    <row r="316" customFormat="false" ht="15" hidden="false" customHeight="false" outlineLevel="0" collapsed="false">
      <c r="A316" s="33"/>
      <c r="B316" s="32"/>
      <c r="C316" s="32"/>
      <c r="D316" s="32"/>
      <c r="E316" s="32"/>
      <c r="F316" s="30"/>
      <c r="G316" s="32"/>
      <c r="H316" s="34" t="n">
        <f aca="false">IF($G316="",0,IFERROR(INDEX(Einstellungen!$G$5:$G$11,MATCH($G316,Einstellungen!$E$5:$E$11,0)),0))</f>
        <v>0</v>
      </c>
      <c r="I316" s="35" t="str">
        <f aca="false">IF($G316="","-",IFERROR(INDEX(Einstellungen!$H$5:$H$11,MATCH($G316,Einstellungen!$E$5:$E$11,0)),"-"))</f>
        <v>-</v>
      </c>
      <c r="J316" s="35" t="str">
        <f aca="false">IF(AND(Einstellungen!$B$8="Ja",Einstellungen!$B$9="Effektiv"),$I316,"-")</f>
        <v>-</v>
      </c>
      <c r="K316" s="31" t="n">
        <f aca="false">IF(OR($F316="",$J316="-"),0,ROUND($F316-$F316/(1+$H316),2))</f>
        <v>0</v>
      </c>
      <c r="L316" s="31" t="n">
        <f aca="false">IF($F316="",0,$F316-$K316)</f>
        <v>0</v>
      </c>
      <c r="M316" s="31" t="n">
        <f aca="false">IF($F316="",0,IF($J316="V",$L316,$F316))</f>
        <v>0</v>
      </c>
      <c r="N316" s="31" t="n">
        <f aca="false">IF($F316="",0,IF($J316="U",$L316,$F316))</f>
        <v>0</v>
      </c>
      <c r="O316" s="35" t="str">
        <f aca="false">IF($A316="","",MONTH($A316))</f>
        <v/>
      </c>
      <c r="P316" s="35" t="str">
        <f aca="false">IF($A316="","",ROUNDUP(MONTH($A316)/3,0))</f>
        <v/>
      </c>
      <c r="Q316" s="35" t="str">
        <f aca="false">IF($A316="","",IF(MONTH($A316)&lt;=6,1,2))</f>
        <v/>
      </c>
      <c r="R316" s="35" t="str">
        <f aca="false">IF($E316="","",IFERROR(INDEX(Kontenplan!$F$5:$F$90,MATCH($E316,Kontenplan!$A$5:$A$90,0)),""))</f>
        <v/>
      </c>
      <c r="S316" s="35" t="str">
        <f aca="false">IF($D316="","",IFERROR(INDEX(Kontenplan!$F$5:$F$90,MATCH($D316,Kontenplan!$A$5:$A$90,0)),""))</f>
        <v/>
      </c>
      <c r="T316" s="35" t="str">
        <f aca="false">IF($D316="","",IFERROR(INDEX(Kontenplan!$C$5:$C$90,MATCH($D316,Kontenplan!$A$5:$A$90,0)),"?"))</f>
        <v/>
      </c>
      <c r="U316" s="35" t="str">
        <f aca="false">IF($E316="","",IFERROR(INDEX(Kontenplan!$C$5:$C$90,MATCH($E316,Kontenplan!$A$5:$A$90,0)),"?"))</f>
        <v/>
      </c>
      <c r="V316" s="35" t="str">
        <f aca="false">IF($F316="","",IF(OR($D316="",$E316="",$T316="?",$U316="?"),"Konto prüfen!",IF($A316="","Datum fehlt",IF(YEAR($A316)&lt;&gt;Einstellungen!$B$7,"anderes Jahr!",IF($G316="","MWST-Code fehlt","OK")))))</f>
        <v/>
      </c>
      <c r="W316" s="35" t="str">
        <f aca="false">IF($F316="","",IF(OR($D316=Kontoauszug!$C$4,$E316=Kontoauszug!$C$4),MAX(W$4:W315)+1,""))</f>
        <v/>
      </c>
    </row>
    <row r="317" customFormat="false" ht="15" hidden="false" customHeight="false" outlineLevel="0" collapsed="false">
      <c r="A317" s="33"/>
      <c r="B317" s="32"/>
      <c r="C317" s="32"/>
      <c r="D317" s="32"/>
      <c r="E317" s="32"/>
      <c r="F317" s="30"/>
      <c r="G317" s="32"/>
      <c r="H317" s="34" t="n">
        <f aca="false">IF($G317="",0,IFERROR(INDEX(Einstellungen!$G$5:$G$11,MATCH($G317,Einstellungen!$E$5:$E$11,0)),0))</f>
        <v>0</v>
      </c>
      <c r="I317" s="35" t="str">
        <f aca="false">IF($G317="","-",IFERROR(INDEX(Einstellungen!$H$5:$H$11,MATCH($G317,Einstellungen!$E$5:$E$11,0)),"-"))</f>
        <v>-</v>
      </c>
      <c r="J317" s="35" t="str">
        <f aca="false">IF(AND(Einstellungen!$B$8="Ja",Einstellungen!$B$9="Effektiv"),$I317,"-")</f>
        <v>-</v>
      </c>
      <c r="K317" s="31" t="n">
        <f aca="false">IF(OR($F317="",$J317="-"),0,ROUND($F317-$F317/(1+$H317),2))</f>
        <v>0</v>
      </c>
      <c r="L317" s="31" t="n">
        <f aca="false">IF($F317="",0,$F317-$K317)</f>
        <v>0</v>
      </c>
      <c r="M317" s="31" t="n">
        <f aca="false">IF($F317="",0,IF($J317="V",$L317,$F317))</f>
        <v>0</v>
      </c>
      <c r="N317" s="31" t="n">
        <f aca="false">IF($F317="",0,IF($J317="U",$L317,$F317))</f>
        <v>0</v>
      </c>
      <c r="O317" s="35" t="str">
        <f aca="false">IF($A317="","",MONTH($A317))</f>
        <v/>
      </c>
      <c r="P317" s="35" t="str">
        <f aca="false">IF($A317="","",ROUNDUP(MONTH($A317)/3,0))</f>
        <v/>
      </c>
      <c r="Q317" s="35" t="str">
        <f aca="false">IF($A317="","",IF(MONTH($A317)&lt;=6,1,2))</f>
        <v/>
      </c>
      <c r="R317" s="35" t="str">
        <f aca="false">IF($E317="","",IFERROR(INDEX(Kontenplan!$F$5:$F$90,MATCH($E317,Kontenplan!$A$5:$A$90,0)),""))</f>
        <v/>
      </c>
      <c r="S317" s="35" t="str">
        <f aca="false">IF($D317="","",IFERROR(INDEX(Kontenplan!$F$5:$F$90,MATCH($D317,Kontenplan!$A$5:$A$90,0)),""))</f>
        <v/>
      </c>
      <c r="T317" s="35" t="str">
        <f aca="false">IF($D317="","",IFERROR(INDEX(Kontenplan!$C$5:$C$90,MATCH($D317,Kontenplan!$A$5:$A$90,0)),"?"))</f>
        <v/>
      </c>
      <c r="U317" s="35" t="str">
        <f aca="false">IF($E317="","",IFERROR(INDEX(Kontenplan!$C$5:$C$90,MATCH($E317,Kontenplan!$A$5:$A$90,0)),"?"))</f>
        <v/>
      </c>
      <c r="V317" s="35" t="str">
        <f aca="false">IF($F317="","",IF(OR($D317="",$E317="",$T317="?",$U317="?"),"Konto prüfen!",IF($A317="","Datum fehlt",IF(YEAR($A317)&lt;&gt;Einstellungen!$B$7,"anderes Jahr!",IF($G317="","MWST-Code fehlt","OK")))))</f>
        <v/>
      </c>
      <c r="W317" s="35" t="str">
        <f aca="false">IF($F317="","",IF(OR($D317=Kontoauszug!$C$4,$E317=Kontoauszug!$C$4),MAX(W$4:W316)+1,""))</f>
        <v/>
      </c>
    </row>
    <row r="318" customFormat="false" ht="15" hidden="false" customHeight="false" outlineLevel="0" collapsed="false">
      <c r="A318" s="33"/>
      <c r="B318" s="32"/>
      <c r="C318" s="32"/>
      <c r="D318" s="32"/>
      <c r="E318" s="32"/>
      <c r="F318" s="30"/>
      <c r="G318" s="32"/>
      <c r="H318" s="34" t="n">
        <f aca="false">IF($G318="",0,IFERROR(INDEX(Einstellungen!$G$5:$G$11,MATCH($G318,Einstellungen!$E$5:$E$11,0)),0))</f>
        <v>0</v>
      </c>
      <c r="I318" s="35" t="str">
        <f aca="false">IF($G318="","-",IFERROR(INDEX(Einstellungen!$H$5:$H$11,MATCH($G318,Einstellungen!$E$5:$E$11,0)),"-"))</f>
        <v>-</v>
      </c>
      <c r="J318" s="35" t="str">
        <f aca="false">IF(AND(Einstellungen!$B$8="Ja",Einstellungen!$B$9="Effektiv"),$I318,"-")</f>
        <v>-</v>
      </c>
      <c r="K318" s="31" t="n">
        <f aca="false">IF(OR($F318="",$J318="-"),0,ROUND($F318-$F318/(1+$H318),2))</f>
        <v>0</v>
      </c>
      <c r="L318" s="31" t="n">
        <f aca="false">IF($F318="",0,$F318-$K318)</f>
        <v>0</v>
      </c>
      <c r="M318" s="31" t="n">
        <f aca="false">IF($F318="",0,IF($J318="V",$L318,$F318))</f>
        <v>0</v>
      </c>
      <c r="N318" s="31" t="n">
        <f aca="false">IF($F318="",0,IF($J318="U",$L318,$F318))</f>
        <v>0</v>
      </c>
      <c r="O318" s="35" t="str">
        <f aca="false">IF($A318="","",MONTH($A318))</f>
        <v/>
      </c>
      <c r="P318" s="35" t="str">
        <f aca="false">IF($A318="","",ROUNDUP(MONTH($A318)/3,0))</f>
        <v/>
      </c>
      <c r="Q318" s="35" t="str">
        <f aca="false">IF($A318="","",IF(MONTH($A318)&lt;=6,1,2))</f>
        <v/>
      </c>
      <c r="R318" s="35" t="str">
        <f aca="false">IF($E318="","",IFERROR(INDEX(Kontenplan!$F$5:$F$90,MATCH($E318,Kontenplan!$A$5:$A$90,0)),""))</f>
        <v/>
      </c>
      <c r="S318" s="35" t="str">
        <f aca="false">IF($D318="","",IFERROR(INDEX(Kontenplan!$F$5:$F$90,MATCH($D318,Kontenplan!$A$5:$A$90,0)),""))</f>
        <v/>
      </c>
      <c r="T318" s="35" t="str">
        <f aca="false">IF($D318="","",IFERROR(INDEX(Kontenplan!$C$5:$C$90,MATCH($D318,Kontenplan!$A$5:$A$90,0)),"?"))</f>
        <v/>
      </c>
      <c r="U318" s="35" t="str">
        <f aca="false">IF($E318="","",IFERROR(INDEX(Kontenplan!$C$5:$C$90,MATCH($E318,Kontenplan!$A$5:$A$90,0)),"?"))</f>
        <v/>
      </c>
      <c r="V318" s="35" t="str">
        <f aca="false">IF($F318="","",IF(OR($D318="",$E318="",$T318="?",$U318="?"),"Konto prüfen!",IF($A318="","Datum fehlt",IF(YEAR($A318)&lt;&gt;Einstellungen!$B$7,"anderes Jahr!",IF($G318="","MWST-Code fehlt","OK")))))</f>
        <v/>
      </c>
      <c r="W318" s="35" t="str">
        <f aca="false">IF($F318="","",IF(OR($D318=Kontoauszug!$C$4,$E318=Kontoauszug!$C$4),MAX(W$4:W317)+1,""))</f>
        <v/>
      </c>
    </row>
    <row r="319" customFormat="false" ht="15" hidden="false" customHeight="false" outlineLevel="0" collapsed="false">
      <c r="A319" s="33"/>
      <c r="B319" s="32"/>
      <c r="C319" s="32"/>
      <c r="D319" s="32"/>
      <c r="E319" s="32"/>
      <c r="F319" s="30"/>
      <c r="G319" s="32"/>
      <c r="H319" s="34" t="n">
        <f aca="false">IF($G319="",0,IFERROR(INDEX(Einstellungen!$G$5:$G$11,MATCH($G319,Einstellungen!$E$5:$E$11,0)),0))</f>
        <v>0</v>
      </c>
      <c r="I319" s="35" t="str">
        <f aca="false">IF($G319="","-",IFERROR(INDEX(Einstellungen!$H$5:$H$11,MATCH($G319,Einstellungen!$E$5:$E$11,0)),"-"))</f>
        <v>-</v>
      </c>
      <c r="J319" s="35" t="str">
        <f aca="false">IF(AND(Einstellungen!$B$8="Ja",Einstellungen!$B$9="Effektiv"),$I319,"-")</f>
        <v>-</v>
      </c>
      <c r="K319" s="31" t="n">
        <f aca="false">IF(OR($F319="",$J319="-"),0,ROUND($F319-$F319/(1+$H319),2))</f>
        <v>0</v>
      </c>
      <c r="L319" s="31" t="n">
        <f aca="false">IF($F319="",0,$F319-$K319)</f>
        <v>0</v>
      </c>
      <c r="M319" s="31" t="n">
        <f aca="false">IF($F319="",0,IF($J319="V",$L319,$F319))</f>
        <v>0</v>
      </c>
      <c r="N319" s="31" t="n">
        <f aca="false">IF($F319="",0,IF($J319="U",$L319,$F319))</f>
        <v>0</v>
      </c>
      <c r="O319" s="35" t="str">
        <f aca="false">IF($A319="","",MONTH($A319))</f>
        <v/>
      </c>
      <c r="P319" s="35" t="str">
        <f aca="false">IF($A319="","",ROUNDUP(MONTH($A319)/3,0))</f>
        <v/>
      </c>
      <c r="Q319" s="35" t="str">
        <f aca="false">IF($A319="","",IF(MONTH($A319)&lt;=6,1,2))</f>
        <v/>
      </c>
      <c r="R319" s="35" t="str">
        <f aca="false">IF($E319="","",IFERROR(INDEX(Kontenplan!$F$5:$F$90,MATCH($E319,Kontenplan!$A$5:$A$90,0)),""))</f>
        <v/>
      </c>
      <c r="S319" s="35" t="str">
        <f aca="false">IF($D319="","",IFERROR(INDEX(Kontenplan!$F$5:$F$90,MATCH($D319,Kontenplan!$A$5:$A$90,0)),""))</f>
        <v/>
      </c>
      <c r="T319" s="35" t="str">
        <f aca="false">IF($D319="","",IFERROR(INDEX(Kontenplan!$C$5:$C$90,MATCH($D319,Kontenplan!$A$5:$A$90,0)),"?"))</f>
        <v/>
      </c>
      <c r="U319" s="35" t="str">
        <f aca="false">IF($E319="","",IFERROR(INDEX(Kontenplan!$C$5:$C$90,MATCH($E319,Kontenplan!$A$5:$A$90,0)),"?"))</f>
        <v/>
      </c>
      <c r="V319" s="35" t="str">
        <f aca="false">IF($F319="","",IF(OR($D319="",$E319="",$T319="?",$U319="?"),"Konto prüfen!",IF($A319="","Datum fehlt",IF(YEAR($A319)&lt;&gt;Einstellungen!$B$7,"anderes Jahr!",IF($G319="","MWST-Code fehlt","OK")))))</f>
        <v/>
      </c>
      <c r="W319" s="35" t="str">
        <f aca="false">IF($F319="","",IF(OR($D319=Kontoauszug!$C$4,$E319=Kontoauszug!$C$4),MAX(W$4:W318)+1,""))</f>
        <v/>
      </c>
    </row>
    <row r="320" customFormat="false" ht="15" hidden="false" customHeight="false" outlineLevel="0" collapsed="false">
      <c r="A320" s="33"/>
      <c r="B320" s="32"/>
      <c r="C320" s="32"/>
      <c r="D320" s="32"/>
      <c r="E320" s="32"/>
      <c r="F320" s="30"/>
      <c r="G320" s="32"/>
      <c r="H320" s="34" t="n">
        <f aca="false">IF($G320="",0,IFERROR(INDEX(Einstellungen!$G$5:$G$11,MATCH($G320,Einstellungen!$E$5:$E$11,0)),0))</f>
        <v>0</v>
      </c>
      <c r="I320" s="35" t="str">
        <f aca="false">IF($G320="","-",IFERROR(INDEX(Einstellungen!$H$5:$H$11,MATCH($G320,Einstellungen!$E$5:$E$11,0)),"-"))</f>
        <v>-</v>
      </c>
      <c r="J320" s="35" t="str">
        <f aca="false">IF(AND(Einstellungen!$B$8="Ja",Einstellungen!$B$9="Effektiv"),$I320,"-")</f>
        <v>-</v>
      </c>
      <c r="K320" s="31" t="n">
        <f aca="false">IF(OR($F320="",$J320="-"),0,ROUND($F320-$F320/(1+$H320),2))</f>
        <v>0</v>
      </c>
      <c r="L320" s="31" t="n">
        <f aca="false">IF($F320="",0,$F320-$K320)</f>
        <v>0</v>
      </c>
      <c r="M320" s="31" t="n">
        <f aca="false">IF($F320="",0,IF($J320="V",$L320,$F320))</f>
        <v>0</v>
      </c>
      <c r="N320" s="31" t="n">
        <f aca="false">IF($F320="",0,IF($J320="U",$L320,$F320))</f>
        <v>0</v>
      </c>
      <c r="O320" s="35" t="str">
        <f aca="false">IF($A320="","",MONTH($A320))</f>
        <v/>
      </c>
      <c r="P320" s="35" t="str">
        <f aca="false">IF($A320="","",ROUNDUP(MONTH($A320)/3,0))</f>
        <v/>
      </c>
      <c r="Q320" s="35" t="str">
        <f aca="false">IF($A320="","",IF(MONTH($A320)&lt;=6,1,2))</f>
        <v/>
      </c>
      <c r="R320" s="35" t="str">
        <f aca="false">IF($E320="","",IFERROR(INDEX(Kontenplan!$F$5:$F$90,MATCH($E320,Kontenplan!$A$5:$A$90,0)),""))</f>
        <v/>
      </c>
      <c r="S320" s="35" t="str">
        <f aca="false">IF($D320="","",IFERROR(INDEX(Kontenplan!$F$5:$F$90,MATCH($D320,Kontenplan!$A$5:$A$90,0)),""))</f>
        <v/>
      </c>
      <c r="T320" s="35" t="str">
        <f aca="false">IF($D320="","",IFERROR(INDEX(Kontenplan!$C$5:$C$90,MATCH($D320,Kontenplan!$A$5:$A$90,0)),"?"))</f>
        <v/>
      </c>
      <c r="U320" s="35" t="str">
        <f aca="false">IF($E320="","",IFERROR(INDEX(Kontenplan!$C$5:$C$90,MATCH($E320,Kontenplan!$A$5:$A$90,0)),"?"))</f>
        <v/>
      </c>
      <c r="V320" s="35" t="str">
        <f aca="false">IF($F320="","",IF(OR($D320="",$E320="",$T320="?",$U320="?"),"Konto prüfen!",IF($A320="","Datum fehlt",IF(YEAR($A320)&lt;&gt;Einstellungen!$B$7,"anderes Jahr!",IF($G320="","MWST-Code fehlt","OK")))))</f>
        <v/>
      </c>
      <c r="W320" s="35" t="str">
        <f aca="false">IF($F320="","",IF(OR($D320=Kontoauszug!$C$4,$E320=Kontoauszug!$C$4),MAX(W$4:W319)+1,""))</f>
        <v/>
      </c>
    </row>
    <row r="321" customFormat="false" ht="15" hidden="false" customHeight="false" outlineLevel="0" collapsed="false">
      <c r="A321" s="33"/>
      <c r="B321" s="32"/>
      <c r="C321" s="32"/>
      <c r="D321" s="32"/>
      <c r="E321" s="32"/>
      <c r="F321" s="30"/>
      <c r="G321" s="32"/>
      <c r="H321" s="34" t="n">
        <f aca="false">IF($G321="",0,IFERROR(INDEX(Einstellungen!$G$5:$G$11,MATCH($G321,Einstellungen!$E$5:$E$11,0)),0))</f>
        <v>0</v>
      </c>
      <c r="I321" s="35" t="str">
        <f aca="false">IF($G321="","-",IFERROR(INDEX(Einstellungen!$H$5:$H$11,MATCH($G321,Einstellungen!$E$5:$E$11,0)),"-"))</f>
        <v>-</v>
      </c>
      <c r="J321" s="35" t="str">
        <f aca="false">IF(AND(Einstellungen!$B$8="Ja",Einstellungen!$B$9="Effektiv"),$I321,"-")</f>
        <v>-</v>
      </c>
      <c r="K321" s="31" t="n">
        <f aca="false">IF(OR($F321="",$J321="-"),0,ROUND($F321-$F321/(1+$H321),2))</f>
        <v>0</v>
      </c>
      <c r="L321" s="31" t="n">
        <f aca="false">IF($F321="",0,$F321-$K321)</f>
        <v>0</v>
      </c>
      <c r="M321" s="31" t="n">
        <f aca="false">IF($F321="",0,IF($J321="V",$L321,$F321))</f>
        <v>0</v>
      </c>
      <c r="N321" s="31" t="n">
        <f aca="false">IF($F321="",0,IF($J321="U",$L321,$F321))</f>
        <v>0</v>
      </c>
      <c r="O321" s="35" t="str">
        <f aca="false">IF($A321="","",MONTH($A321))</f>
        <v/>
      </c>
      <c r="P321" s="35" t="str">
        <f aca="false">IF($A321="","",ROUNDUP(MONTH($A321)/3,0))</f>
        <v/>
      </c>
      <c r="Q321" s="35" t="str">
        <f aca="false">IF($A321="","",IF(MONTH($A321)&lt;=6,1,2))</f>
        <v/>
      </c>
      <c r="R321" s="35" t="str">
        <f aca="false">IF($E321="","",IFERROR(INDEX(Kontenplan!$F$5:$F$90,MATCH($E321,Kontenplan!$A$5:$A$90,0)),""))</f>
        <v/>
      </c>
      <c r="S321" s="35" t="str">
        <f aca="false">IF($D321="","",IFERROR(INDEX(Kontenplan!$F$5:$F$90,MATCH($D321,Kontenplan!$A$5:$A$90,0)),""))</f>
        <v/>
      </c>
      <c r="T321" s="35" t="str">
        <f aca="false">IF($D321="","",IFERROR(INDEX(Kontenplan!$C$5:$C$90,MATCH($D321,Kontenplan!$A$5:$A$90,0)),"?"))</f>
        <v/>
      </c>
      <c r="U321" s="35" t="str">
        <f aca="false">IF($E321="","",IFERROR(INDEX(Kontenplan!$C$5:$C$90,MATCH($E321,Kontenplan!$A$5:$A$90,0)),"?"))</f>
        <v/>
      </c>
      <c r="V321" s="35" t="str">
        <f aca="false">IF($F321="","",IF(OR($D321="",$E321="",$T321="?",$U321="?"),"Konto prüfen!",IF($A321="","Datum fehlt",IF(YEAR($A321)&lt;&gt;Einstellungen!$B$7,"anderes Jahr!",IF($G321="","MWST-Code fehlt","OK")))))</f>
        <v/>
      </c>
      <c r="W321" s="35" t="str">
        <f aca="false">IF($F321="","",IF(OR($D321=Kontoauszug!$C$4,$E321=Kontoauszug!$C$4),MAX(W$4:W320)+1,""))</f>
        <v/>
      </c>
    </row>
    <row r="322" customFormat="false" ht="15" hidden="false" customHeight="false" outlineLevel="0" collapsed="false">
      <c r="A322" s="33"/>
      <c r="B322" s="32"/>
      <c r="C322" s="32"/>
      <c r="D322" s="32"/>
      <c r="E322" s="32"/>
      <c r="F322" s="30"/>
      <c r="G322" s="32"/>
      <c r="H322" s="34" t="n">
        <f aca="false">IF($G322="",0,IFERROR(INDEX(Einstellungen!$G$5:$G$11,MATCH($G322,Einstellungen!$E$5:$E$11,0)),0))</f>
        <v>0</v>
      </c>
      <c r="I322" s="35" t="str">
        <f aca="false">IF($G322="","-",IFERROR(INDEX(Einstellungen!$H$5:$H$11,MATCH($G322,Einstellungen!$E$5:$E$11,0)),"-"))</f>
        <v>-</v>
      </c>
      <c r="J322" s="35" t="str">
        <f aca="false">IF(AND(Einstellungen!$B$8="Ja",Einstellungen!$B$9="Effektiv"),$I322,"-")</f>
        <v>-</v>
      </c>
      <c r="K322" s="31" t="n">
        <f aca="false">IF(OR($F322="",$J322="-"),0,ROUND($F322-$F322/(1+$H322),2))</f>
        <v>0</v>
      </c>
      <c r="L322" s="31" t="n">
        <f aca="false">IF($F322="",0,$F322-$K322)</f>
        <v>0</v>
      </c>
      <c r="M322" s="31" t="n">
        <f aca="false">IF($F322="",0,IF($J322="V",$L322,$F322))</f>
        <v>0</v>
      </c>
      <c r="N322" s="31" t="n">
        <f aca="false">IF($F322="",0,IF($J322="U",$L322,$F322))</f>
        <v>0</v>
      </c>
      <c r="O322" s="35" t="str">
        <f aca="false">IF($A322="","",MONTH($A322))</f>
        <v/>
      </c>
      <c r="P322" s="35" t="str">
        <f aca="false">IF($A322="","",ROUNDUP(MONTH($A322)/3,0))</f>
        <v/>
      </c>
      <c r="Q322" s="35" t="str">
        <f aca="false">IF($A322="","",IF(MONTH($A322)&lt;=6,1,2))</f>
        <v/>
      </c>
      <c r="R322" s="35" t="str">
        <f aca="false">IF($E322="","",IFERROR(INDEX(Kontenplan!$F$5:$F$90,MATCH($E322,Kontenplan!$A$5:$A$90,0)),""))</f>
        <v/>
      </c>
      <c r="S322" s="35" t="str">
        <f aca="false">IF($D322="","",IFERROR(INDEX(Kontenplan!$F$5:$F$90,MATCH($D322,Kontenplan!$A$5:$A$90,0)),""))</f>
        <v/>
      </c>
      <c r="T322" s="35" t="str">
        <f aca="false">IF($D322="","",IFERROR(INDEX(Kontenplan!$C$5:$C$90,MATCH($D322,Kontenplan!$A$5:$A$90,0)),"?"))</f>
        <v/>
      </c>
      <c r="U322" s="35" t="str">
        <f aca="false">IF($E322="","",IFERROR(INDEX(Kontenplan!$C$5:$C$90,MATCH($E322,Kontenplan!$A$5:$A$90,0)),"?"))</f>
        <v/>
      </c>
      <c r="V322" s="35" t="str">
        <f aca="false">IF($F322="","",IF(OR($D322="",$E322="",$T322="?",$U322="?"),"Konto prüfen!",IF($A322="","Datum fehlt",IF(YEAR($A322)&lt;&gt;Einstellungen!$B$7,"anderes Jahr!",IF($G322="","MWST-Code fehlt","OK")))))</f>
        <v/>
      </c>
      <c r="W322" s="35" t="str">
        <f aca="false">IF($F322="","",IF(OR($D322=Kontoauszug!$C$4,$E322=Kontoauszug!$C$4),MAX(W$4:W321)+1,""))</f>
        <v/>
      </c>
    </row>
    <row r="323" customFormat="false" ht="15" hidden="false" customHeight="false" outlineLevel="0" collapsed="false">
      <c r="A323" s="33"/>
      <c r="B323" s="32"/>
      <c r="C323" s="32"/>
      <c r="D323" s="32"/>
      <c r="E323" s="32"/>
      <c r="F323" s="30"/>
      <c r="G323" s="32"/>
      <c r="H323" s="34" t="n">
        <f aca="false">IF($G323="",0,IFERROR(INDEX(Einstellungen!$G$5:$G$11,MATCH($G323,Einstellungen!$E$5:$E$11,0)),0))</f>
        <v>0</v>
      </c>
      <c r="I323" s="35" t="str">
        <f aca="false">IF($G323="","-",IFERROR(INDEX(Einstellungen!$H$5:$H$11,MATCH($G323,Einstellungen!$E$5:$E$11,0)),"-"))</f>
        <v>-</v>
      </c>
      <c r="J323" s="35" t="str">
        <f aca="false">IF(AND(Einstellungen!$B$8="Ja",Einstellungen!$B$9="Effektiv"),$I323,"-")</f>
        <v>-</v>
      </c>
      <c r="K323" s="31" t="n">
        <f aca="false">IF(OR($F323="",$J323="-"),0,ROUND($F323-$F323/(1+$H323),2))</f>
        <v>0</v>
      </c>
      <c r="L323" s="31" t="n">
        <f aca="false">IF($F323="",0,$F323-$K323)</f>
        <v>0</v>
      </c>
      <c r="M323" s="31" t="n">
        <f aca="false">IF($F323="",0,IF($J323="V",$L323,$F323))</f>
        <v>0</v>
      </c>
      <c r="N323" s="31" t="n">
        <f aca="false">IF($F323="",0,IF($J323="U",$L323,$F323))</f>
        <v>0</v>
      </c>
      <c r="O323" s="35" t="str">
        <f aca="false">IF($A323="","",MONTH($A323))</f>
        <v/>
      </c>
      <c r="P323" s="35" t="str">
        <f aca="false">IF($A323="","",ROUNDUP(MONTH($A323)/3,0))</f>
        <v/>
      </c>
      <c r="Q323" s="35" t="str">
        <f aca="false">IF($A323="","",IF(MONTH($A323)&lt;=6,1,2))</f>
        <v/>
      </c>
      <c r="R323" s="35" t="str">
        <f aca="false">IF($E323="","",IFERROR(INDEX(Kontenplan!$F$5:$F$90,MATCH($E323,Kontenplan!$A$5:$A$90,0)),""))</f>
        <v/>
      </c>
      <c r="S323" s="35" t="str">
        <f aca="false">IF($D323="","",IFERROR(INDEX(Kontenplan!$F$5:$F$90,MATCH($D323,Kontenplan!$A$5:$A$90,0)),""))</f>
        <v/>
      </c>
      <c r="T323" s="35" t="str">
        <f aca="false">IF($D323="","",IFERROR(INDEX(Kontenplan!$C$5:$C$90,MATCH($D323,Kontenplan!$A$5:$A$90,0)),"?"))</f>
        <v/>
      </c>
      <c r="U323" s="35" t="str">
        <f aca="false">IF($E323="","",IFERROR(INDEX(Kontenplan!$C$5:$C$90,MATCH($E323,Kontenplan!$A$5:$A$90,0)),"?"))</f>
        <v/>
      </c>
      <c r="V323" s="35" t="str">
        <f aca="false">IF($F323="","",IF(OR($D323="",$E323="",$T323="?",$U323="?"),"Konto prüfen!",IF($A323="","Datum fehlt",IF(YEAR($A323)&lt;&gt;Einstellungen!$B$7,"anderes Jahr!",IF($G323="","MWST-Code fehlt","OK")))))</f>
        <v/>
      </c>
      <c r="W323" s="35" t="str">
        <f aca="false">IF($F323="","",IF(OR($D323=Kontoauszug!$C$4,$E323=Kontoauszug!$C$4),MAX(W$4:W322)+1,""))</f>
        <v/>
      </c>
    </row>
    <row r="324" customFormat="false" ht="15" hidden="false" customHeight="false" outlineLevel="0" collapsed="false">
      <c r="A324" s="33"/>
      <c r="B324" s="32"/>
      <c r="C324" s="32"/>
      <c r="D324" s="32"/>
      <c r="E324" s="32"/>
      <c r="F324" s="30"/>
      <c r="G324" s="32"/>
      <c r="H324" s="34" t="n">
        <f aca="false">IF($G324="",0,IFERROR(INDEX(Einstellungen!$G$5:$G$11,MATCH($G324,Einstellungen!$E$5:$E$11,0)),0))</f>
        <v>0</v>
      </c>
      <c r="I324" s="35" t="str">
        <f aca="false">IF($G324="","-",IFERROR(INDEX(Einstellungen!$H$5:$H$11,MATCH($G324,Einstellungen!$E$5:$E$11,0)),"-"))</f>
        <v>-</v>
      </c>
      <c r="J324" s="35" t="str">
        <f aca="false">IF(AND(Einstellungen!$B$8="Ja",Einstellungen!$B$9="Effektiv"),$I324,"-")</f>
        <v>-</v>
      </c>
      <c r="K324" s="31" t="n">
        <f aca="false">IF(OR($F324="",$J324="-"),0,ROUND($F324-$F324/(1+$H324),2))</f>
        <v>0</v>
      </c>
      <c r="L324" s="31" t="n">
        <f aca="false">IF($F324="",0,$F324-$K324)</f>
        <v>0</v>
      </c>
      <c r="M324" s="31" t="n">
        <f aca="false">IF($F324="",0,IF($J324="V",$L324,$F324))</f>
        <v>0</v>
      </c>
      <c r="N324" s="31" t="n">
        <f aca="false">IF($F324="",0,IF($J324="U",$L324,$F324))</f>
        <v>0</v>
      </c>
      <c r="O324" s="35" t="str">
        <f aca="false">IF($A324="","",MONTH($A324))</f>
        <v/>
      </c>
      <c r="P324" s="35" t="str">
        <f aca="false">IF($A324="","",ROUNDUP(MONTH($A324)/3,0))</f>
        <v/>
      </c>
      <c r="Q324" s="35" t="str">
        <f aca="false">IF($A324="","",IF(MONTH($A324)&lt;=6,1,2))</f>
        <v/>
      </c>
      <c r="R324" s="35" t="str">
        <f aca="false">IF($E324="","",IFERROR(INDEX(Kontenplan!$F$5:$F$90,MATCH($E324,Kontenplan!$A$5:$A$90,0)),""))</f>
        <v/>
      </c>
      <c r="S324" s="35" t="str">
        <f aca="false">IF($D324="","",IFERROR(INDEX(Kontenplan!$F$5:$F$90,MATCH($D324,Kontenplan!$A$5:$A$90,0)),""))</f>
        <v/>
      </c>
      <c r="T324" s="35" t="str">
        <f aca="false">IF($D324="","",IFERROR(INDEX(Kontenplan!$C$5:$C$90,MATCH($D324,Kontenplan!$A$5:$A$90,0)),"?"))</f>
        <v/>
      </c>
      <c r="U324" s="35" t="str">
        <f aca="false">IF($E324="","",IFERROR(INDEX(Kontenplan!$C$5:$C$90,MATCH($E324,Kontenplan!$A$5:$A$90,0)),"?"))</f>
        <v/>
      </c>
      <c r="V324" s="35" t="str">
        <f aca="false">IF($F324="","",IF(OR($D324="",$E324="",$T324="?",$U324="?"),"Konto prüfen!",IF($A324="","Datum fehlt",IF(YEAR($A324)&lt;&gt;Einstellungen!$B$7,"anderes Jahr!",IF($G324="","MWST-Code fehlt","OK")))))</f>
        <v/>
      </c>
      <c r="W324" s="35" t="str">
        <f aca="false">IF($F324="","",IF(OR($D324=Kontoauszug!$C$4,$E324=Kontoauszug!$C$4),MAX(W$4:W323)+1,""))</f>
        <v/>
      </c>
    </row>
    <row r="325" customFormat="false" ht="15" hidden="false" customHeight="false" outlineLevel="0" collapsed="false">
      <c r="A325" s="33"/>
      <c r="B325" s="32"/>
      <c r="C325" s="32"/>
      <c r="D325" s="32"/>
      <c r="E325" s="32"/>
      <c r="F325" s="30"/>
      <c r="G325" s="32"/>
      <c r="H325" s="34" t="n">
        <f aca="false">IF($G325="",0,IFERROR(INDEX(Einstellungen!$G$5:$G$11,MATCH($G325,Einstellungen!$E$5:$E$11,0)),0))</f>
        <v>0</v>
      </c>
      <c r="I325" s="35" t="str">
        <f aca="false">IF($G325="","-",IFERROR(INDEX(Einstellungen!$H$5:$H$11,MATCH($G325,Einstellungen!$E$5:$E$11,0)),"-"))</f>
        <v>-</v>
      </c>
      <c r="J325" s="35" t="str">
        <f aca="false">IF(AND(Einstellungen!$B$8="Ja",Einstellungen!$B$9="Effektiv"),$I325,"-")</f>
        <v>-</v>
      </c>
      <c r="K325" s="31" t="n">
        <f aca="false">IF(OR($F325="",$J325="-"),0,ROUND($F325-$F325/(1+$H325),2))</f>
        <v>0</v>
      </c>
      <c r="L325" s="31" t="n">
        <f aca="false">IF($F325="",0,$F325-$K325)</f>
        <v>0</v>
      </c>
      <c r="M325" s="31" t="n">
        <f aca="false">IF($F325="",0,IF($J325="V",$L325,$F325))</f>
        <v>0</v>
      </c>
      <c r="N325" s="31" t="n">
        <f aca="false">IF($F325="",0,IF($J325="U",$L325,$F325))</f>
        <v>0</v>
      </c>
      <c r="O325" s="35" t="str">
        <f aca="false">IF($A325="","",MONTH($A325))</f>
        <v/>
      </c>
      <c r="P325" s="35" t="str">
        <f aca="false">IF($A325="","",ROUNDUP(MONTH($A325)/3,0))</f>
        <v/>
      </c>
      <c r="Q325" s="35" t="str">
        <f aca="false">IF($A325="","",IF(MONTH($A325)&lt;=6,1,2))</f>
        <v/>
      </c>
      <c r="R325" s="35" t="str">
        <f aca="false">IF($E325="","",IFERROR(INDEX(Kontenplan!$F$5:$F$90,MATCH($E325,Kontenplan!$A$5:$A$90,0)),""))</f>
        <v/>
      </c>
      <c r="S325" s="35" t="str">
        <f aca="false">IF($D325="","",IFERROR(INDEX(Kontenplan!$F$5:$F$90,MATCH($D325,Kontenplan!$A$5:$A$90,0)),""))</f>
        <v/>
      </c>
      <c r="T325" s="35" t="str">
        <f aca="false">IF($D325="","",IFERROR(INDEX(Kontenplan!$C$5:$C$90,MATCH($D325,Kontenplan!$A$5:$A$90,0)),"?"))</f>
        <v/>
      </c>
      <c r="U325" s="35" t="str">
        <f aca="false">IF($E325="","",IFERROR(INDEX(Kontenplan!$C$5:$C$90,MATCH($E325,Kontenplan!$A$5:$A$90,0)),"?"))</f>
        <v/>
      </c>
      <c r="V325" s="35" t="str">
        <f aca="false">IF($F325="","",IF(OR($D325="",$E325="",$T325="?",$U325="?"),"Konto prüfen!",IF($A325="","Datum fehlt",IF(YEAR($A325)&lt;&gt;Einstellungen!$B$7,"anderes Jahr!",IF($G325="","MWST-Code fehlt","OK")))))</f>
        <v/>
      </c>
      <c r="W325" s="35" t="str">
        <f aca="false">IF($F325="","",IF(OR($D325=Kontoauszug!$C$4,$E325=Kontoauszug!$C$4),MAX(W$4:W324)+1,""))</f>
        <v/>
      </c>
    </row>
    <row r="326" customFormat="false" ht="15" hidden="false" customHeight="false" outlineLevel="0" collapsed="false">
      <c r="A326" s="33"/>
      <c r="B326" s="32"/>
      <c r="C326" s="32"/>
      <c r="D326" s="32"/>
      <c r="E326" s="32"/>
      <c r="F326" s="30"/>
      <c r="G326" s="32"/>
      <c r="H326" s="34" t="n">
        <f aca="false">IF($G326="",0,IFERROR(INDEX(Einstellungen!$G$5:$G$11,MATCH($G326,Einstellungen!$E$5:$E$11,0)),0))</f>
        <v>0</v>
      </c>
      <c r="I326" s="35" t="str">
        <f aca="false">IF($G326="","-",IFERROR(INDEX(Einstellungen!$H$5:$H$11,MATCH($G326,Einstellungen!$E$5:$E$11,0)),"-"))</f>
        <v>-</v>
      </c>
      <c r="J326" s="35" t="str">
        <f aca="false">IF(AND(Einstellungen!$B$8="Ja",Einstellungen!$B$9="Effektiv"),$I326,"-")</f>
        <v>-</v>
      </c>
      <c r="K326" s="31" t="n">
        <f aca="false">IF(OR($F326="",$J326="-"),0,ROUND($F326-$F326/(1+$H326),2))</f>
        <v>0</v>
      </c>
      <c r="L326" s="31" t="n">
        <f aca="false">IF($F326="",0,$F326-$K326)</f>
        <v>0</v>
      </c>
      <c r="M326" s="31" t="n">
        <f aca="false">IF($F326="",0,IF($J326="V",$L326,$F326))</f>
        <v>0</v>
      </c>
      <c r="N326" s="31" t="n">
        <f aca="false">IF($F326="",0,IF($J326="U",$L326,$F326))</f>
        <v>0</v>
      </c>
      <c r="O326" s="35" t="str">
        <f aca="false">IF($A326="","",MONTH($A326))</f>
        <v/>
      </c>
      <c r="P326" s="35" t="str">
        <f aca="false">IF($A326="","",ROUNDUP(MONTH($A326)/3,0))</f>
        <v/>
      </c>
      <c r="Q326" s="35" t="str">
        <f aca="false">IF($A326="","",IF(MONTH($A326)&lt;=6,1,2))</f>
        <v/>
      </c>
      <c r="R326" s="35" t="str">
        <f aca="false">IF($E326="","",IFERROR(INDEX(Kontenplan!$F$5:$F$90,MATCH($E326,Kontenplan!$A$5:$A$90,0)),""))</f>
        <v/>
      </c>
      <c r="S326" s="35" t="str">
        <f aca="false">IF($D326="","",IFERROR(INDEX(Kontenplan!$F$5:$F$90,MATCH($D326,Kontenplan!$A$5:$A$90,0)),""))</f>
        <v/>
      </c>
      <c r="T326" s="35" t="str">
        <f aca="false">IF($D326="","",IFERROR(INDEX(Kontenplan!$C$5:$C$90,MATCH($D326,Kontenplan!$A$5:$A$90,0)),"?"))</f>
        <v/>
      </c>
      <c r="U326" s="35" t="str">
        <f aca="false">IF($E326="","",IFERROR(INDEX(Kontenplan!$C$5:$C$90,MATCH($E326,Kontenplan!$A$5:$A$90,0)),"?"))</f>
        <v/>
      </c>
      <c r="V326" s="35" t="str">
        <f aca="false">IF($F326="","",IF(OR($D326="",$E326="",$T326="?",$U326="?"),"Konto prüfen!",IF($A326="","Datum fehlt",IF(YEAR($A326)&lt;&gt;Einstellungen!$B$7,"anderes Jahr!",IF($G326="","MWST-Code fehlt","OK")))))</f>
        <v/>
      </c>
      <c r="W326" s="35" t="str">
        <f aca="false">IF($F326="","",IF(OR($D326=Kontoauszug!$C$4,$E326=Kontoauszug!$C$4),MAX(W$4:W325)+1,""))</f>
        <v/>
      </c>
    </row>
    <row r="327" customFormat="false" ht="15" hidden="false" customHeight="false" outlineLevel="0" collapsed="false">
      <c r="A327" s="33"/>
      <c r="B327" s="32"/>
      <c r="C327" s="32"/>
      <c r="D327" s="32"/>
      <c r="E327" s="32"/>
      <c r="F327" s="30"/>
      <c r="G327" s="32"/>
      <c r="H327" s="34" t="n">
        <f aca="false">IF($G327="",0,IFERROR(INDEX(Einstellungen!$G$5:$G$11,MATCH($G327,Einstellungen!$E$5:$E$11,0)),0))</f>
        <v>0</v>
      </c>
      <c r="I327" s="35" t="str">
        <f aca="false">IF($G327="","-",IFERROR(INDEX(Einstellungen!$H$5:$H$11,MATCH($G327,Einstellungen!$E$5:$E$11,0)),"-"))</f>
        <v>-</v>
      </c>
      <c r="J327" s="35" t="str">
        <f aca="false">IF(AND(Einstellungen!$B$8="Ja",Einstellungen!$B$9="Effektiv"),$I327,"-")</f>
        <v>-</v>
      </c>
      <c r="K327" s="31" t="n">
        <f aca="false">IF(OR($F327="",$J327="-"),0,ROUND($F327-$F327/(1+$H327),2))</f>
        <v>0</v>
      </c>
      <c r="L327" s="31" t="n">
        <f aca="false">IF($F327="",0,$F327-$K327)</f>
        <v>0</v>
      </c>
      <c r="M327" s="31" t="n">
        <f aca="false">IF($F327="",0,IF($J327="V",$L327,$F327))</f>
        <v>0</v>
      </c>
      <c r="N327" s="31" t="n">
        <f aca="false">IF($F327="",0,IF($J327="U",$L327,$F327))</f>
        <v>0</v>
      </c>
      <c r="O327" s="35" t="str">
        <f aca="false">IF($A327="","",MONTH($A327))</f>
        <v/>
      </c>
      <c r="P327" s="35" t="str">
        <f aca="false">IF($A327="","",ROUNDUP(MONTH($A327)/3,0))</f>
        <v/>
      </c>
      <c r="Q327" s="35" t="str">
        <f aca="false">IF($A327="","",IF(MONTH($A327)&lt;=6,1,2))</f>
        <v/>
      </c>
      <c r="R327" s="35" t="str">
        <f aca="false">IF($E327="","",IFERROR(INDEX(Kontenplan!$F$5:$F$90,MATCH($E327,Kontenplan!$A$5:$A$90,0)),""))</f>
        <v/>
      </c>
      <c r="S327" s="35" t="str">
        <f aca="false">IF($D327="","",IFERROR(INDEX(Kontenplan!$F$5:$F$90,MATCH($D327,Kontenplan!$A$5:$A$90,0)),""))</f>
        <v/>
      </c>
      <c r="T327" s="35" t="str">
        <f aca="false">IF($D327="","",IFERROR(INDEX(Kontenplan!$C$5:$C$90,MATCH($D327,Kontenplan!$A$5:$A$90,0)),"?"))</f>
        <v/>
      </c>
      <c r="U327" s="35" t="str">
        <f aca="false">IF($E327="","",IFERROR(INDEX(Kontenplan!$C$5:$C$90,MATCH($E327,Kontenplan!$A$5:$A$90,0)),"?"))</f>
        <v/>
      </c>
      <c r="V327" s="35" t="str">
        <f aca="false">IF($F327="","",IF(OR($D327="",$E327="",$T327="?",$U327="?"),"Konto prüfen!",IF($A327="","Datum fehlt",IF(YEAR($A327)&lt;&gt;Einstellungen!$B$7,"anderes Jahr!",IF($G327="","MWST-Code fehlt","OK")))))</f>
        <v/>
      </c>
      <c r="W327" s="35" t="str">
        <f aca="false">IF($F327="","",IF(OR($D327=Kontoauszug!$C$4,$E327=Kontoauszug!$C$4),MAX(W$4:W326)+1,""))</f>
        <v/>
      </c>
    </row>
    <row r="328" customFormat="false" ht="15" hidden="false" customHeight="false" outlineLevel="0" collapsed="false">
      <c r="A328" s="33"/>
      <c r="B328" s="32"/>
      <c r="C328" s="32"/>
      <c r="D328" s="32"/>
      <c r="E328" s="32"/>
      <c r="F328" s="30"/>
      <c r="G328" s="32"/>
      <c r="H328" s="34" t="n">
        <f aca="false">IF($G328="",0,IFERROR(INDEX(Einstellungen!$G$5:$G$11,MATCH($G328,Einstellungen!$E$5:$E$11,0)),0))</f>
        <v>0</v>
      </c>
      <c r="I328" s="35" t="str">
        <f aca="false">IF($G328="","-",IFERROR(INDEX(Einstellungen!$H$5:$H$11,MATCH($G328,Einstellungen!$E$5:$E$11,0)),"-"))</f>
        <v>-</v>
      </c>
      <c r="J328" s="35" t="str">
        <f aca="false">IF(AND(Einstellungen!$B$8="Ja",Einstellungen!$B$9="Effektiv"),$I328,"-")</f>
        <v>-</v>
      </c>
      <c r="K328" s="31" t="n">
        <f aca="false">IF(OR($F328="",$J328="-"),0,ROUND($F328-$F328/(1+$H328),2))</f>
        <v>0</v>
      </c>
      <c r="L328" s="31" t="n">
        <f aca="false">IF($F328="",0,$F328-$K328)</f>
        <v>0</v>
      </c>
      <c r="M328" s="31" t="n">
        <f aca="false">IF($F328="",0,IF($J328="V",$L328,$F328))</f>
        <v>0</v>
      </c>
      <c r="N328" s="31" t="n">
        <f aca="false">IF($F328="",0,IF($J328="U",$L328,$F328))</f>
        <v>0</v>
      </c>
      <c r="O328" s="35" t="str">
        <f aca="false">IF($A328="","",MONTH($A328))</f>
        <v/>
      </c>
      <c r="P328" s="35" t="str">
        <f aca="false">IF($A328="","",ROUNDUP(MONTH($A328)/3,0))</f>
        <v/>
      </c>
      <c r="Q328" s="35" t="str">
        <f aca="false">IF($A328="","",IF(MONTH($A328)&lt;=6,1,2))</f>
        <v/>
      </c>
      <c r="R328" s="35" t="str">
        <f aca="false">IF($E328="","",IFERROR(INDEX(Kontenplan!$F$5:$F$90,MATCH($E328,Kontenplan!$A$5:$A$90,0)),""))</f>
        <v/>
      </c>
      <c r="S328" s="35" t="str">
        <f aca="false">IF($D328="","",IFERROR(INDEX(Kontenplan!$F$5:$F$90,MATCH($D328,Kontenplan!$A$5:$A$90,0)),""))</f>
        <v/>
      </c>
      <c r="T328" s="35" t="str">
        <f aca="false">IF($D328="","",IFERROR(INDEX(Kontenplan!$C$5:$C$90,MATCH($D328,Kontenplan!$A$5:$A$90,0)),"?"))</f>
        <v/>
      </c>
      <c r="U328" s="35" t="str">
        <f aca="false">IF($E328="","",IFERROR(INDEX(Kontenplan!$C$5:$C$90,MATCH($E328,Kontenplan!$A$5:$A$90,0)),"?"))</f>
        <v/>
      </c>
      <c r="V328" s="35" t="str">
        <f aca="false">IF($F328="","",IF(OR($D328="",$E328="",$T328="?",$U328="?"),"Konto prüfen!",IF($A328="","Datum fehlt",IF(YEAR($A328)&lt;&gt;Einstellungen!$B$7,"anderes Jahr!",IF($G328="","MWST-Code fehlt","OK")))))</f>
        <v/>
      </c>
      <c r="W328" s="35" t="str">
        <f aca="false">IF($F328="","",IF(OR($D328=Kontoauszug!$C$4,$E328=Kontoauszug!$C$4),MAX(W$4:W327)+1,""))</f>
        <v/>
      </c>
    </row>
    <row r="329" customFormat="false" ht="15" hidden="false" customHeight="false" outlineLevel="0" collapsed="false">
      <c r="A329" s="33"/>
      <c r="B329" s="32"/>
      <c r="C329" s="32"/>
      <c r="D329" s="32"/>
      <c r="E329" s="32"/>
      <c r="F329" s="30"/>
      <c r="G329" s="32"/>
      <c r="H329" s="34" t="n">
        <f aca="false">IF($G329="",0,IFERROR(INDEX(Einstellungen!$G$5:$G$11,MATCH($G329,Einstellungen!$E$5:$E$11,0)),0))</f>
        <v>0</v>
      </c>
      <c r="I329" s="35" t="str">
        <f aca="false">IF($G329="","-",IFERROR(INDEX(Einstellungen!$H$5:$H$11,MATCH($G329,Einstellungen!$E$5:$E$11,0)),"-"))</f>
        <v>-</v>
      </c>
      <c r="J329" s="35" t="str">
        <f aca="false">IF(AND(Einstellungen!$B$8="Ja",Einstellungen!$B$9="Effektiv"),$I329,"-")</f>
        <v>-</v>
      </c>
      <c r="K329" s="31" t="n">
        <f aca="false">IF(OR($F329="",$J329="-"),0,ROUND($F329-$F329/(1+$H329),2))</f>
        <v>0</v>
      </c>
      <c r="L329" s="31" t="n">
        <f aca="false">IF($F329="",0,$F329-$K329)</f>
        <v>0</v>
      </c>
      <c r="M329" s="31" t="n">
        <f aca="false">IF($F329="",0,IF($J329="V",$L329,$F329))</f>
        <v>0</v>
      </c>
      <c r="N329" s="31" t="n">
        <f aca="false">IF($F329="",0,IF($J329="U",$L329,$F329))</f>
        <v>0</v>
      </c>
      <c r="O329" s="35" t="str">
        <f aca="false">IF($A329="","",MONTH($A329))</f>
        <v/>
      </c>
      <c r="P329" s="35" t="str">
        <f aca="false">IF($A329="","",ROUNDUP(MONTH($A329)/3,0))</f>
        <v/>
      </c>
      <c r="Q329" s="35" t="str">
        <f aca="false">IF($A329="","",IF(MONTH($A329)&lt;=6,1,2))</f>
        <v/>
      </c>
      <c r="R329" s="35" t="str">
        <f aca="false">IF($E329="","",IFERROR(INDEX(Kontenplan!$F$5:$F$90,MATCH($E329,Kontenplan!$A$5:$A$90,0)),""))</f>
        <v/>
      </c>
      <c r="S329" s="35" t="str">
        <f aca="false">IF($D329="","",IFERROR(INDEX(Kontenplan!$F$5:$F$90,MATCH($D329,Kontenplan!$A$5:$A$90,0)),""))</f>
        <v/>
      </c>
      <c r="T329" s="35" t="str">
        <f aca="false">IF($D329="","",IFERROR(INDEX(Kontenplan!$C$5:$C$90,MATCH($D329,Kontenplan!$A$5:$A$90,0)),"?"))</f>
        <v/>
      </c>
      <c r="U329" s="35" t="str">
        <f aca="false">IF($E329="","",IFERROR(INDEX(Kontenplan!$C$5:$C$90,MATCH($E329,Kontenplan!$A$5:$A$90,0)),"?"))</f>
        <v/>
      </c>
      <c r="V329" s="35" t="str">
        <f aca="false">IF($F329="","",IF(OR($D329="",$E329="",$T329="?",$U329="?"),"Konto prüfen!",IF($A329="","Datum fehlt",IF(YEAR($A329)&lt;&gt;Einstellungen!$B$7,"anderes Jahr!",IF($G329="","MWST-Code fehlt","OK")))))</f>
        <v/>
      </c>
      <c r="W329" s="35" t="str">
        <f aca="false">IF($F329="","",IF(OR($D329=Kontoauszug!$C$4,$E329=Kontoauszug!$C$4),MAX(W$4:W328)+1,""))</f>
        <v/>
      </c>
    </row>
    <row r="330" customFormat="false" ht="15" hidden="false" customHeight="false" outlineLevel="0" collapsed="false">
      <c r="A330" s="33"/>
      <c r="B330" s="32"/>
      <c r="C330" s="32"/>
      <c r="D330" s="32"/>
      <c r="E330" s="32"/>
      <c r="F330" s="30"/>
      <c r="G330" s="32"/>
      <c r="H330" s="34" t="n">
        <f aca="false">IF($G330="",0,IFERROR(INDEX(Einstellungen!$G$5:$G$11,MATCH($G330,Einstellungen!$E$5:$E$11,0)),0))</f>
        <v>0</v>
      </c>
      <c r="I330" s="35" t="str">
        <f aca="false">IF($G330="","-",IFERROR(INDEX(Einstellungen!$H$5:$H$11,MATCH($G330,Einstellungen!$E$5:$E$11,0)),"-"))</f>
        <v>-</v>
      </c>
      <c r="J330" s="35" t="str">
        <f aca="false">IF(AND(Einstellungen!$B$8="Ja",Einstellungen!$B$9="Effektiv"),$I330,"-")</f>
        <v>-</v>
      </c>
      <c r="K330" s="31" t="n">
        <f aca="false">IF(OR($F330="",$J330="-"),0,ROUND($F330-$F330/(1+$H330),2))</f>
        <v>0</v>
      </c>
      <c r="L330" s="31" t="n">
        <f aca="false">IF($F330="",0,$F330-$K330)</f>
        <v>0</v>
      </c>
      <c r="M330" s="31" t="n">
        <f aca="false">IF($F330="",0,IF($J330="V",$L330,$F330))</f>
        <v>0</v>
      </c>
      <c r="N330" s="31" t="n">
        <f aca="false">IF($F330="",0,IF($J330="U",$L330,$F330))</f>
        <v>0</v>
      </c>
      <c r="O330" s="35" t="str">
        <f aca="false">IF($A330="","",MONTH($A330))</f>
        <v/>
      </c>
      <c r="P330" s="35" t="str">
        <f aca="false">IF($A330="","",ROUNDUP(MONTH($A330)/3,0))</f>
        <v/>
      </c>
      <c r="Q330" s="35" t="str">
        <f aca="false">IF($A330="","",IF(MONTH($A330)&lt;=6,1,2))</f>
        <v/>
      </c>
      <c r="R330" s="35" t="str">
        <f aca="false">IF($E330="","",IFERROR(INDEX(Kontenplan!$F$5:$F$90,MATCH($E330,Kontenplan!$A$5:$A$90,0)),""))</f>
        <v/>
      </c>
      <c r="S330" s="35" t="str">
        <f aca="false">IF($D330="","",IFERROR(INDEX(Kontenplan!$F$5:$F$90,MATCH($D330,Kontenplan!$A$5:$A$90,0)),""))</f>
        <v/>
      </c>
      <c r="T330" s="35" t="str">
        <f aca="false">IF($D330="","",IFERROR(INDEX(Kontenplan!$C$5:$C$90,MATCH($D330,Kontenplan!$A$5:$A$90,0)),"?"))</f>
        <v/>
      </c>
      <c r="U330" s="35" t="str">
        <f aca="false">IF($E330="","",IFERROR(INDEX(Kontenplan!$C$5:$C$90,MATCH($E330,Kontenplan!$A$5:$A$90,0)),"?"))</f>
        <v/>
      </c>
      <c r="V330" s="35" t="str">
        <f aca="false">IF($F330="","",IF(OR($D330="",$E330="",$T330="?",$U330="?"),"Konto prüfen!",IF($A330="","Datum fehlt",IF(YEAR($A330)&lt;&gt;Einstellungen!$B$7,"anderes Jahr!",IF($G330="","MWST-Code fehlt","OK")))))</f>
        <v/>
      </c>
      <c r="W330" s="35" t="str">
        <f aca="false">IF($F330="","",IF(OR($D330=Kontoauszug!$C$4,$E330=Kontoauszug!$C$4),MAX(W$4:W329)+1,""))</f>
        <v/>
      </c>
    </row>
    <row r="331" customFormat="false" ht="15" hidden="false" customHeight="false" outlineLevel="0" collapsed="false">
      <c r="A331" s="33"/>
      <c r="B331" s="32"/>
      <c r="C331" s="32"/>
      <c r="D331" s="32"/>
      <c r="E331" s="32"/>
      <c r="F331" s="30"/>
      <c r="G331" s="32"/>
      <c r="H331" s="34" t="n">
        <f aca="false">IF($G331="",0,IFERROR(INDEX(Einstellungen!$G$5:$G$11,MATCH($G331,Einstellungen!$E$5:$E$11,0)),0))</f>
        <v>0</v>
      </c>
      <c r="I331" s="35" t="str">
        <f aca="false">IF($G331="","-",IFERROR(INDEX(Einstellungen!$H$5:$H$11,MATCH($G331,Einstellungen!$E$5:$E$11,0)),"-"))</f>
        <v>-</v>
      </c>
      <c r="J331" s="35" t="str">
        <f aca="false">IF(AND(Einstellungen!$B$8="Ja",Einstellungen!$B$9="Effektiv"),$I331,"-")</f>
        <v>-</v>
      </c>
      <c r="K331" s="31" t="n">
        <f aca="false">IF(OR($F331="",$J331="-"),0,ROUND($F331-$F331/(1+$H331),2))</f>
        <v>0</v>
      </c>
      <c r="L331" s="31" t="n">
        <f aca="false">IF($F331="",0,$F331-$K331)</f>
        <v>0</v>
      </c>
      <c r="M331" s="31" t="n">
        <f aca="false">IF($F331="",0,IF($J331="V",$L331,$F331))</f>
        <v>0</v>
      </c>
      <c r="N331" s="31" t="n">
        <f aca="false">IF($F331="",0,IF($J331="U",$L331,$F331))</f>
        <v>0</v>
      </c>
      <c r="O331" s="35" t="str">
        <f aca="false">IF($A331="","",MONTH($A331))</f>
        <v/>
      </c>
      <c r="P331" s="35" t="str">
        <f aca="false">IF($A331="","",ROUNDUP(MONTH($A331)/3,0))</f>
        <v/>
      </c>
      <c r="Q331" s="35" t="str">
        <f aca="false">IF($A331="","",IF(MONTH($A331)&lt;=6,1,2))</f>
        <v/>
      </c>
      <c r="R331" s="35" t="str">
        <f aca="false">IF($E331="","",IFERROR(INDEX(Kontenplan!$F$5:$F$90,MATCH($E331,Kontenplan!$A$5:$A$90,0)),""))</f>
        <v/>
      </c>
      <c r="S331" s="35" t="str">
        <f aca="false">IF($D331="","",IFERROR(INDEX(Kontenplan!$F$5:$F$90,MATCH($D331,Kontenplan!$A$5:$A$90,0)),""))</f>
        <v/>
      </c>
      <c r="T331" s="35" t="str">
        <f aca="false">IF($D331="","",IFERROR(INDEX(Kontenplan!$C$5:$C$90,MATCH($D331,Kontenplan!$A$5:$A$90,0)),"?"))</f>
        <v/>
      </c>
      <c r="U331" s="35" t="str">
        <f aca="false">IF($E331="","",IFERROR(INDEX(Kontenplan!$C$5:$C$90,MATCH($E331,Kontenplan!$A$5:$A$90,0)),"?"))</f>
        <v/>
      </c>
      <c r="V331" s="35" t="str">
        <f aca="false">IF($F331="","",IF(OR($D331="",$E331="",$T331="?",$U331="?"),"Konto prüfen!",IF($A331="","Datum fehlt",IF(YEAR($A331)&lt;&gt;Einstellungen!$B$7,"anderes Jahr!",IF($G331="","MWST-Code fehlt","OK")))))</f>
        <v/>
      </c>
      <c r="W331" s="35" t="str">
        <f aca="false">IF($F331="","",IF(OR($D331=Kontoauszug!$C$4,$E331=Kontoauszug!$C$4),MAX(W$4:W330)+1,""))</f>
        <v/>
      </c>
    </row>
    <row r="332" customFormat="false" ht="15" hidden="false" customHeight="false" outlineLevel="0" collapsed="false">
      <c r="A332" s="33"/>
      <c r="B332" s="32"/>
      <c r="C332" s="32"/>
      <c r="D332" s="32"/>
      <c r="E332" s="32"/>
      <c r="F332" s="30"/>
      <c r="G332" s="32"/>
      <c r="H332" s="34" t="n">
        <f aca="false">IF($G332="",0,IFERROR(INDEX(Einstellungen!$G$5:$G$11,MATCH($G332,Einstellungen!$E$5:$E$11,0)),0))</f>
        <v>0</v>
      </c>
      <c r="I332" s="35" t="str">
        <f aca="false">IF($G332="","-",IFERROR(INDEX(Einstellungen!$H$5:$H$11,MATCH($G332,Einstellungen!$E$5:$E$11,0)),"-"))</f>
        <v>-</v>
      </c>
      <c r="J332" s="35" t="str">
        <f aca="false">IF(AND(Einstellungen!$B$8="Ja",Einstellungen!$B$9="Effektiv"),$I332,"-")</f>
        <v>-</v>
      </c>
      <c r="K332" s="31" t="n">
        <f aca="false">IF(OR($F332="",$J332="-"),0,ROUND($F332-$F332/(1+$H332),2))</f>
        <v>0</v>
      </c>
      <c r="L332" s="31" t="n">
        <f aca="false">IF($F332="",0,$F332-$K332)</f>
        <v>0</v>
      </c>
      <c r="M332" s="31" t="n">
        <f aca="false">IF($F332="",0,IF($J332="V",$L332,$F332))</f>
        <v>0</v>
      </c>
      <c r="N332" s="31" t="n">
        <f aca="false">IF($F332="",0,IF($J332="U",$L332,$F332))</f>
        <v>0</v>
      </c>
      <c r="O332" s="35" t="str">
        <f aca="false">IF($A332="","",MONTH($A332))</f>
        <v/>
      </c>
      <c r="P332" s="35" t="str">
        <f aca="false">IF($A332="","",ROUNDUP(MONTH($A332)/3,0))</f>
        <v/>
      </c>
      <c r="Q332" s="35" t="str">
        <f aca="false">IF($A332="","",IF(MONTH($A332)&lt;=6,1,2))</f>
        <v/>
      </c>
      <c r="R332" s="35" t="str">
        <f aca="false">IF($E332="","",IFERROR(INDEX(Kontenplan!$F$5:$F$90,MATCH($E332,Kontenplan!$A$5:$A$90,0)),""))</f>
        <v/>
      </c>
      <c r="S332" s="35" t="str">
        <f aca="false">IF($D332="","",IFERROR(INDEX(Kontenplan!$F$5:$F$90,MATCH($D332,Kontenplan!$A$5:$A$90,0)),""))</f>
        <v/>
      </c>
      <c r="T332" s="35" t="str">
        <f aca="false">IF($D332="","",IFERROR(INDEX(Kontenplan!$C$5:$C$90,MATCH($D332,Kontenplan!$A$5:$A$90,0)),"?"))</f>
        <v/>
      </c>
      <c r="U332" s="35" t="str">
        <f aca="false">IF($E332="","",IFERROR(INDEX(Kontenplan!$C$5:$C$90,MATCH($E332,Kontenplan!$A$5:$A$90,0)),"?"))</f>
        <v/>
      </c>
      <c r="V332" s="35" t="str">
        <f aca="false">IF($F332="","",IF(OR($D332="",$E332="",$T332="?",$U332="?"),"Konto prüfen!",IF($A332="","Datum fehlt",IF(YEAR($A332)&lt;&gt;Einstellungen!$B$7,"anderes Jahr!",IF($G332="","MWST-Code fehlt","OK")))))</f>
        <v/>
      </c>
      <c r="W332" s="35" t="str">
        <f aca="false">IF($F332="","",IF(OR($D332=Kontoauszug!$C$4,$E332=Kontoauszug!$C$4),MAX(W$4:W331)+1,""))</f>
        <v/>
      </c>
    </row>
    <row r="333" customFormat="false" ht="15" hidden="false" customHeight="false" outlineLevel="0" collapsed="false">
      <c r="A333" s="33"/>
      <c r="B333" s="32"/>
      <c r="C333" s="32"/>
      <c r="D333" s="32"/>
      <c r="E333" s="32"/>
      <c r="F333" s="30"/>
      <c r="G333" s="32"/>
      <c r="H333" s="34" t="n">
        <f aca="false">IF($G333="",0,IFERROR(INDEX(Einstellungen!$G$5:$G$11,MATCH($G333,Einstellungen!$E$5:$E$11,0)),0))</f>
        <v>0</v>
      </c>
      <c r="I333" s="35" t="str">
        <f aca="false">IF($G333="","-",IFERROR(INDEX(Einstellungen!$H$5:$H$11,MATCH($G333,Einstellungen!$E$5:$E$11,0)),"-"))</f>
        <v>-</v>
      </c>
      <c r="J333" s="35" t="str">
        <f aca="false">IF(AND(Einstellungen!$B$8="Ja",Einstellungen!$B$9="Effektiv"),$I333,"-")</f>
        <v>-</v>
      </c>
      <c r="K333" s="31" t="n">
        <f aca="false">IF(OR($F333="",$J333="-"),0,ROUND($F333-$F333/(1+$H333),2))</f>
        <v>0</v>
      </c>
      <c r="L333" s="31" t="n">
        <f aca="false">IF($F333="",0,$F333-$K333)</f>
        <v>0</v>
      </c>
      <c r="M333" s="31" t="n">
        <f aca="false">IF($F333="",0,IF($J333="V",$L333,$F333))</f>
        <v>0</v>
      </c>
      <c r="N333" s="31" t="n">
        <f aca="false">IF($F333="",0,IF($J333="U",$L333,$F333))</f>
        <v>0</v>
      </c>
      <c r="O333" s="35" t="str">
        <f aca="false">IF($A333="","",MONTH($A333))</f>
        <v/>
      </c>
      <c r="P333" s="35" t="str">
        <f aca="false">IF($A333="","",ROUNDUP(MONTH($A333)/3,0))</f>
        <v/>
      </c>
      <c r="Q333" s="35" t="str">
        <f aca="false">IF($A333="","",IF(MONTH($A333)&lt;=6,1,2))</f>
        <v/>
      </c>
      <c r="R333" s="35" t="str">
        <f aca="false">IF($E333="","",IFERROR(INDEX(Kontenplan!$F$5:$F$90,MATCH($E333,Kontenplan!$A$5:$A$90,0)),""))</f>
        <v/>
      </c>
      <c r="S333" s="35" t="str">
        <f aca="false">IF($D333="","",IFERROR(INDEX(Kontenplan!$F$5:$F$90,MATCH($D333,Kontenplan!$A$5:$A$90,0)),""))</f>
        <v/>
      </c>
      <c r="T333" s="35" t="str">
        <f aca="false">IF($D333="","",IFERROR(INDEX(Kontenplan!$C$5:$C$90,MATCH($D333,Kontenplan!$A$5:$A$90,0)),"?"))</f>
        <v/>
      </c>
      <c r="U333" s="35" t="str">
        <f aca="false">IF($E333="","",IFERROR(INDEX(Kontenplan!$C$5:$C$90,MATCH($E333,Kontenplan!$A$5:$A$90,0)),"?"))</f>
        <v/>
      </c>
      <c r="V333" s="35" t="str">
        <f aca="false">IF($F333="","",IF(OR($D333="",$E333="",$T333="?",$U333="?"),"Konto prüfen!",IF($A333="","Datum fehlt",IF(YEAR($A333)&lt;&gt;Einstellungen!$B$7,"anderes Jahr!",IF($G333="","MWST-Code fehlt","OK")))))</f>
        <v/>
      </c>
      <c r="W333" s="35" t="str">
        <f aca="false">IF($F333="","",IF(OR($D333=Kontoauszug!$C$4,$E333=Kontoauszug!$C$4),MAX(W$4:W332)+1,""))</f>
        <v/>
      </c>
    </row>
    <row r="334" customFormat="false" ht="15" hidden="false" customHeight="false" outlineLevel="0" collapsed="false">
      <c r="A334" s="33"/>
      <c r="B334" s="32"/>
      <c r="C334" s="32"/>
      <c r="D334" s="32"/>
      <c r="E334" s="32"/>
      <c r="F334" s="30"/>
      <c r="G334" s="32"/>
      <c r="H334" s="34" t="n">
        <f aca="false">IF($G334="",0,IFERROR(INDEX(Einstellungen!$G$5:$G$11,MATCH($G334,Einstellungen!$E$5:$E$11,0)),0))</f>
        <v>0</v>
      </c>
      <c r="I334" s="35" t="str">
        <f aca="false">IF($G334="","-",IFERROR(INDEX(Einstellungen!$H$5:$H$11,MATCH($G334,Einstellungen!$E$5:$E$11,0)),"-"))</f>
        <v>-</v>
      </c>
      <c r="J334" s="35" t="str">
        <f aca="false">IF(AND(Einstellungen!$B$8="Ja",Einstellungen!$B$9="Effektiv"),$I334,"-")</f>
        <v>-</v>
      </c>
      <c r="K334" s="31" t="n">
        <f aca="false">IF(OR($F334="",$J334="-"),0,ROUND($F334-$F334/(1+$H334),2))</f>
        <v>0</v>
      </c>
      <c r="L334" s="31" t="n">
        <f aca="false">IF($F334="",0,$F334-$K334)</f>
        <v>0</v>
      </c>
      <c r="M334" s="31" t="n">
        <f aca="false">IF($F334="",0,IF($J334="V",$L334,$F334))</f>
        <v>0</v>
      </c>
      <c r="N334" s="31" t="n">
        <f aca="false">IF($F334="",0,IF($J334="U",$L334,$F334))</f>
        <v>0</v>
      </c>
      <c r="O334" s="35" t="str">
        <f aca="false">IF($A334="","",MONTH($A334))</f>
        <v/>
      </c>
      <c r="P334" s="35" t="str">
        <f aca="false">IF($A334="","",ROUNDUP(MONTH($A334)/3,0))</f>
        <v/>
      </c>
      <c r="Q334" s="35" t="str">
        <f aca="false">IF($A334="","",IF(MONTH($A334)&lt;=6,1,2))</f>
        <v/>
      </c>
      <c r="R334" s="35" t="str">
        <f aca="false">IF($E334="","",IFERROR(INDEX(Kontenplan!$F$5:$F$90,MATCH($E334,Kontenplan!$A$5:$A$90,0)),""))</f>
        <v/>
      </c>
      <c r="S334" s="35" t="str">
        <f aca="false">IF($D334="","",IFERROR(INDEX(Kontenplan!$F$5:$F$90,MATCH($D334,Kontenplan!$A$5:$A$90,0)),""))</f>
        <v/>
      </c>
      <c r="T334" s="35" t="str">
        <f aca="false">IF($D334="","",IFERROR(INDEX(Kontenplan!$C$5:$C$90,MATCH($D334,Kontenplan!$A$5:$A$90,0)),"?"))</f>
        <v/>
      </c>
      <c r="U334" s="35" t="str">
        <f aca="false">IF($E334="","",IFERROR(INDEX(Kontenplan!$C$5:$C$90,MATCH($E334,Kontenplan!$A$5:$A$90,0)),"?"))</f>
        <v/>
      </c>
      <c r="V334" s="35" t="str">
        <f aca="false">IF($F334="","",IF(OR($D334="",$E334="",$T334="?",$U334="?"),"Konto prüfen!",IF($A334="","Datum fehlt",IF(YEAR($A334)&lt;&gt;Einstellungen!$B$7,"anderes Jahr!",IF($G334="","MWST-Code fehlt","OK")))))</f>
        <v/>
      </c>
      <c r="W334" s="35" t="str">
        <f aca="false">IF($F334="","",IF(OR($D334=Kontoauszug!$C$4,$E334=Kontoauszug!$C$4),MAX(W$4:W333)+1,""))</f>
        <v/>
      </c>
    </row>
    <row r="335" customFormat="false" ht="15" hidden="false" customHeight="false" outlineLevel="0" collapsed="false">
      <c r="A335" s="33"/>
      <c r="B335" s="32"/>
      <c r="C335" s="32"/>
      <c r="D335" s="32"/>
      <c r="E335" s="32"/>
      <c r="F335" s="30"/>
      <c r="G335" s="32"/>
      <c r="H335" s="34" t="n">
        <f aca="false">IF($G335="",0,IFERROR(INDEX(Einstellungen!$G$5:$G$11,MATCH($G335,Einstellungen!$E$5:$E$11,0)),0))</f>
        <v>0</v>
      </c>
      <c r="I335" s="35" t="str">
        <f aca="false">IF($G335="","-",IFERROR(INDEX(Einstellungen!$H$5:$H$11,MATCH($G335,Einstellungen!$E$5:$E$11,0)),"-"))</f>
        <v>-</v>
      </c>
      <c r="J335" s="35" t="str">
        <f aca="false">IF(AND(Einstellungen!$B$8="Ja",Einstellungen!$B$9="Effektiv"),$I335,"-")</f>
        <v>-</v>
      </c>
      <c r="K335" s="31" t="n">
        <f aca="false">IF(OR($F335="",$J335="-"),0,ROUND($F335-$F335/(1+$H335),2))</f>
        <v>0</v>
      </c>
      <c r="L335" s="31" t="n">
        <f aca="false">IF($F335="",0,$F335-$K335)</f>
        <v>0</v>
      </c>
      <c r="M335" s="31" t="n">
        <f aca="false">IF($F335="",0,IF($J335="V",$L335,$F335))</f>
        <v>0</v>
      </c>
      <c r="N335" s="31" t="n">
        <f aca="false">IF($F335="",0,IF($J335="U",$L335,$F335))</f>
        <v>0</v>
      </c>
      <c r="O335" s="35" t="str">
        <f aca="false">IF($A335="","",MONTH($A335))</f>
        <v/>
      </c>
      <c r="P335" s="35" t="str">
        <f aca="false">IF($A335="","",ROUNDUP(MONTH($A335)/3,0))</f>
        <v/>
      </c>
      <c r="Q335" s="35" t="str">
        <f aca="false">IF($A335="","",IF(MONTH($A335)&lt;=6,1,2))</f>
        <v/>
      </c>
      <c r="R335" s="35" t="str">
        <f aca="false">IF($E335="","",IFERROR(INDEX(Kontenplan!$F$5:$F$90,MATCH($E335,Kontenplan!$A$5:$A$90,0)),""))</f>
        <v/>
      </c>
      <c r="S335" s="35" t="str">
        <f aca="false">IF($D335="","",IFERROR(INDEX(Kontenplan!$F$5:$F$90,MATCH($D335,Kontenplan!$A$5:$A$90,0)),""))</f>
        <v/>
      </c>
      <c r="T335" s="35" t="str">
        <f aca="false">IF($D335="","",IFERROR(INDEX(Kontenplan!$C$5:$C$90,MATCH($D335,Kontenplan!$A$5:$A$90,0)),"?"))</f>
        <v/>
      </c>
      <c r="U335" s="35" t="str">
        <f aca="false">IF($E335="","",IFERROR(INDEX(Kontenplan!$C$5:$C$90,MATCH($E335,Kontenplan!$A$5:$A$90,0)),"?"))</f>
        <v/>
      </c>
      <c r="V335" s="35" t="str">
        <f aca="false">IF($F335="","",IF(OR($D335="",$E335="",$T335="?",$U335="?"),"Konto prüfen!",IF($A335="","Datum fehlt",IF(YEAR($A335)&lt;&gt;Einstellungen!$B$7,"anderes Jahr!",IF($G335="","MWST-Code fehlt","OK")))))</f>
        <v/>
      </c>
      <c r="W335" s="35" t="str">
        <f aca="false">IF($F335="","",IF(OR($D335=Kontoauszug!$C$4,$E335=Kontoauszug!$C$4),MAX(W$4:W334)+1,""))</f>
        <v/>
      </c>
    </row>
    <row r="336" customFormat="false" ht="15" hidden="false" customHeight="false" outlineLevel="0" collapsed="false">
      <c r="A336" s="33"/>
      <c r="B336" s="32"/>
      <c r="C336" s="32"/>
      <c r="D336" s="32"/>
      <c r="E336" s="32"/>
      <c r="F336" s="30"/>
      <c r="G336" s="32"/>
      <c r="H336" s="34" t="n">
        <f aca="false">IF($G336="",0,IFERROR(INDEX(Einstellungen!$G$5:$G$11,MATCH($G336,Einstellungen!$E$5:$E$11,0)),0))</f>
        <v>0</v>
      </c>
      <c r="I336" s="35" t="str">
        <f aca="false">IF($G336="","-",IFERROR(INDEX(Einstellungen!$H$5:$H$11,MATCH($G336,Einstellungen!$E$5:$E$11,0)),"-"))</f>
        <v>-</v>
      </c>
      <c r="J336" s="35" t="str">
        <f aca="false">IF(AND(Einstellungen!$B$8="Ja",Einstellungen!$B$9="Effektiv"),$I336,"-")</f>
        <v>-</v>
      </c>
      <c r="K336" s="31" t="n">
        <f aca="false">IF(OR($F336="",$J336="-"),0,ROUND($F336-$F336/(1+$H336),2))</f>
        <v>0</v>
      </c>
      <c r="L336" s="31" t="n">
        <f aca="false">IF($F336="",0,$F336-$K336)</f>
        <v>0</v>
      </c>
      <c r="M336" s="31" t="n">
        <f aca="false">IF($F336="",0,IF($J336="V",$L336,$F336))</f>
        <v>0</v>
      </c>
      <c r="N336" s="31" t="n">
        <f aca="false">IF($F336="",0,IF($J336="U",$L336,$F336))</f>
        <v>0</v>
      </c>
      <c r="O336" s="35" t="str">
        <f aca="false">IF($A336="","",MONTH($A336))</f>
        <v/>
      </c>
      <c r="P336" s="35" t="str">
        <f aca="false">IF($A336="","",ROUNDUP(MONTH($A336)/3,0))</f>
        <v/>
      </c>
      <c r="Q336" s="35" t="str">
        <f aca="false">IF($A336="","",IF(MONTH($A336)&lt;=6,1,2))</f>
        <v/>
      </c>
      <c r="R336" s="35" t="str">
        <f aca="false">IF($E336="","",IFERROR(INDEX(Kontenplan!$F$5:$F$90,MATCH($E336,Kontenplan!$A$5:$A$90,0)),""))</f>
        <v/>
      </c>
      <c r="S336" s="35" t="str">
        <f aca="false">IF($D336="","",IFERROR(INDEX(Kontenplan!$F$5:$F$90,MATCH($D336,Kontenplan!$A$5:$A$90,0)),""))</f>
        <v/>
      </c>
      <c r="T336" s="35" t="str">
        <f aca="false">IF($D336="","",IFERROR(INDEX(Kontenplan!$C$5:$C$90,MATCH($D336,Kontenplan!$A$5:$A$90,0)),"?"))</f>
        <v/>
      </c>
      <c r="U336" s="35" t="str">
        <f aca="false">IF($E336="","",IFERROR(INDEX(Kontenplan!$C$5:$C$90,MATCH($E336,Kontenplan!$A$5:$A$90,0)),"?"))</f>
        <v/>
      </c>
      <c r="V336" s="35" t="str">
        <f aca="false">IF($F336="","",IF(OR($D336="",$E336="",$T336="?",$U336="?"),"Konto prüfen!",IF($A336="","Datum fehlt",IF(YEAR($A336)&lt;&gt;Einstellungen!$B$7,"anderes Jahr!",IF($G336="","MWST-Code fehlt","OK")))))</f>
        <v/>
      </c>
      <c r="W336" s="35" t="str">
        <f aca="false">IF($F336="","",IF(OR($D336=Kontoauszug!$C$4,$E336=Kontoauszug!$C$4),MAX(W$4:W335)+1,""))</f>
        <v/>
      </c>
    </row>
    <row r="337" customFormat="false" ht="15" hidden="false" customHeight="false" outlineLevel="0" collapsed="false">
      <c r="A337" s="33"/>
      <c r="B337" s="32"/>
      <c r="C337" s="32"/>
      <c r="D337" s="32"/>
      <c r="E337" s="32"/>
      <c r="F337" s="30"/>
      <c r="G337" s="32"/>
      <c r="H337" s="34" t="n">
        <f aca="false">IF($G337="",0,IFERROR(INDEX(Einstellungen!$G$5:$G$11,MATCH($G337,Einstellungen!$E$5:$E$11,0)),0))</f>
        <v>0</v>
      </c>
      <c r="I337" s="35" t="str">
        <f aca="false">IF($G337="","-",IFERROR(INDEX(Einstellungen!$H$5:$H$11,MATCH($G337,Einstellungen!$E$5:$E$11,0)),"-"))</f>
        <v>-</v>
      </c>
      <c r="J337" s="35" t="str">
        <f aca="false">IF(AND(Einstellungen!$B$8="Ja",Einstellungen!$B$9="Effektiv"),$I337,"-")</f>
        <v>-</v>
      </c>
      <c r="K337" s="31" t="n">
        <f aca="false">IF(OR($F337="",$J337="-"),0,ROUND($F337-$F337/(1+$H337),2))</f>
        <v>0</v>
      </c>
      <c r="L337" s="31" t="n">
        <f aca="false">IF($F337="",0,$F337-$K337)</f>
        <v>0</v>
      </c>
      <c r="M337" s="31" t="n">
        <f aca="false">IF($F337="",0,IF($J337="V",$L337,$F337))</f>
        <v>0</v>
      </c>
      <c r="N337" s="31" t="n">
        <f aca="false">IF($F337="",0,IF($J337="U",$L337,$F337))</f>
        <v>0</v>
      </c>
      <c r="O337" s="35" t="str">
        <f aca="false">IF($A337="","",MONTH($A337))</f>
        <v/>
      </c>
      <c r="P337" s="35" t="str">
        <f aca="false">IF($A337="","",ROUNDUP(MONTH($A337)/3,0))</f>
        <v/>
      </c>
      <c r="Q337" s="35" t="str">
        <f aca="false">IF($A337="","",IF(MONTH($A337)&lt;=6,1,2))</f>
        <v/>
      </c>
      <c r="R337" s="35" t="str">
        <f aca="false">IF($E337="","",IFERROR(INDEX(Kontenplan!$F$5:$F$90,MATCH($E337,Kontenplan!$A$5:$A$90,0)),""))</f>
        <v/>
      </c>
      <c r="S337" s="35" t="str">
        <f aca="false">IF($D337="","",IFERROR(INDEX(Kontenplan!$F$5:$F$90,MATCH($D337,Kontenplan!$A$5:$A$90,0)),""))</f>
        <v/>
      </c>
      <c r="T337" s="35" t="str">
        <f aca="false">IF($D337="","",IFERROR(INDEX(Kontenplan!$C$5:$C$90,MATCH($D337,Kontenplan!$A$5:$A$90,0)),"?"))</f>
        <v/>
      </c>
      <c r="U337" s="35" t="str">
        <f aca="false">IF($E337="","",IFERROR(INDEX(Kontenplan!$C$5:$C$90,MATCH($E337,Kontenplan!$A$5:$A$90,0)),"?"))</f>
        <v/>
      </c>
      <c r="V337" s="35" t="str">
        <f aca="false">IF($F337="","",IF(OR($D337="",$E337="",$T337="?",$U337="?"),"Konto prüfen!",IF($A337="","Datum fehlt",IF(YEAR($A337)&lt;&gt;Einstellungen!$B$7,"anderes Jahr!",IF($G337="","MWST-Code fehlt","OK")))))</f>
        <v/>
      </c>
      <c r="W337" s="35" t="str">
        <f aca="false">IF($F337="","",IF(OR($D337=Kontoauszug!$C$4,$E337=Kontoauszug!$C$4),MAX(W$4:W336)+1,""))</f>
        <v/>
      </c>
    </row>
    <row r="338" customFormat="false" ht="15" hidden="false" customHeight="false" outlineLevel="0" collapsed="false">
      <c r="A338" s="33"/>
      <c r="B338" s="32"/>
      <c r="C338" s="32"/>
      <c r="D338" s="32"/>
      <c r="E338" s="32"/>
      <c r="F338" s="30"/>
      <c r="G338" s="32"/>
      <c r="H338" s="34" t="n">
        <f aca="false">IF($G338="",0,IFERROR(INDEX(Einstellungen!$G$5:$G$11,MATCH($G338,Einstellungen!$E$5:$E$11,0)),0))</f>
        <v>0</v>
      </c>
      <c r="I338" s="35" t="str">
        <f aca="false">IF($G338="","-",IFERROR(INDEX(Einstellungen!$H$5:$H$11,MATCH($G338,Einstellungen!$E$5:$E$11,0)),"-"))</f>
        <v>-</v>
      </c>
      <c r="J338" s="35" t="str">
        <f aca="false">IF(AND(Einstellungen!$B$8="Ja",Einstellungen!$B$9="Effektiv"),$I338,"-")</f>
        <v>-</v>
      </c>
      <c r="K338" s="31" t="n">
        <f aca="false">IF(OR($F338="",$J338="-"),0,ROUND($F338-$F338/(1+$H338),2))</f>
        <v>0</v>
      </c>
      <c r="L338" s="31" t="n">
        <f aca="false">IF($F338="",0,$F338-$K338)</f>
        <v>0</v>
      </c>
      <c r="M338" s="31" t="n">
        <f aca="false">IF($F338="",0,IF($J338="V",$L338,$F338))</f>
        <v>0</v>
      </c>
      <c r="N338" s="31" t="n">
        <f aca="false">IF($F338="",0,IF($J338="U",$L338,$F338))</f>
        <v>0</v>
      </c>
      <c r="O338" s="35" t="str">
        <f aca="false">IF($A338="","",MONTH($A338))</f>
        <v/>
      </c>
      <c r="P338" s="35" t="str">
        <f aca="false">IF($A338="","",ROUNDUP(MONTH($A338)/3,0))</f>
        <v/>
      </c>
      <c r="Q338" s="35" t="str">
        <f aca="false">IF($A338="","",IF(MONTH($A338)&lt;=6,1,2))</f>
        <v/>
      </c>
      <c r="R338" s="35" t="str">
        <f aca="false">IF($E338="","",IFERROR(INDEX(Kontenplan!$F$5:$F$90,MATCH($E338,Kontenplan!$A$5:$A$90,0)),""))</f>
        <v/>
      </c>
      <c r="S338" s="35" t="str">
        <f aca="false">IF($D338="","",IFERROR(INDEX(Kontenplan!$F$5:$F$90,MATCH($D338,Kontenplan!$A$5:$A$90,0)),""))</f>
        <v/>
      </c>
      <c r="T338" s="35" t="str">
        <f aca="false">IF($D338="","",IFERROR(INDEX(Kontenplan!$C$5:$C$90,MATCH($D338,Kontenplan!$A$5:$A$90,0)),"?"))</f>
        <v/>
      </c>
      <c r="U338" s="35" t="str">
        <f aca="false">IF($E338="","",IFERROR(INDEX(Kontenplan!$C$5:$C$90,MATCH($E338,Kontenplan!$A$5:$A$90,0)),"?"))</f>
        <v/>
      </c>
      <c r="V338" s="35" t="str">
        <f aca="false">IF($F338="","",IF(OR($D338="",$E338="",$T338="?",$U338="?"),"Konto prüfen!",IF($A338="","Datum fehlt",IF(YEAR($A338)&lt;&gt;Einstellungen!$B$7,"anderes Jahr!",IF($G338="","MWST-Code fehlt","OK")))))</f>
        <v/>
      </c>
      <c r="W338" s="35" t="str">
        <f aca="false">IF($F338="","",IF(OR($D338=Kontoauszug!$C$4,$E338=Kontoauszug!$C$4),MAX(W$4:W337)+1,""))</f>
        <v/>
      </c>
    </row>
    <row r="339" customFormat="false" ht="15" hidden="false" customHeight="false" outlineLevel="0" collapsed="false">
      <c r="A339" s="33"/>
      <c r="B339" s="32"/>
      <c r="C339" s="32"/>
      <c r="D339" s="32"/>
      <c r="E339" s="32"/>
      <c r="F339" s="30"/>
      <c r="G339" s="32"/>
      <c r="H339" s="34" t="n">
        <f aca="false">IF($G339="",0,IFERROR(INDEX(Einstellungen!$G$5:$G$11,MATCH($G339,Einstellungen!$E$5:$E$11,0)),0))</f>
        <v>0</v>
      </c>
      <c r="I339" s="35" t="str">
        <f aca="false">IF($G339="","-",IFERROR(INDEX(Einstellungen!$H$5:$H$11,MATCH($G339,Einstellungen!$E$5:$E$11,0)),"-"))</f>
        <v>-</v>
      </c>
      <c r="J339" s="35" t="str">
        <f aca="false">IF(AND(Einstellungen!$B$8="Ja",Einstellungen!$B$9="Effektiv"),$I339,"-")</f>
        <v>-</v>
      </c>
      <c r="K339" s="31" t="n">
        <f aca="false">IF(OR($F339="",$J339="-"),0,ROUND($F339-$F339/(1+$H339),2))</f>
        <v>0</v>
      </c>
      <c r="L339" s="31" t="n">
        <f aca="false">IF($F339="",0,$F339-$K339)</f>
        <v>0</v>
      </c>
      <c r="M339" s="31" t="n">
        <f aca="false">IF($F339="",0,IF($J339="V",$L339,$F339))</f>
        <v>0</v>
      </c>
      <c r="N339" s="31" t="n">
        <f aca="false">IF($F339="",0,IF($J339="U",$L339,$F339))</f>
        <v>0</v>
      </c>
      <c r="O339" s="35" t="str">
        <f aca="false">IF($A339="","",MONTH($A339))</f>
        <v/>
      </c>
      <c r="P339" s="35" t="str">
        <f aca="false">IF($A339="","",ROUNDUP(MONTH($A339)/3,0))</f>
        <v/>
      </c>
      <c r="Q339" s="35" t="str">
        <f aca="false">IF($A339="","",IF(MONTH($A339)&lt;=6,1,2))</f>
        <v/>
      </c>
      <c r="R339" s="35" t="str">
        <f aca="false">IF($E339="","",IFERROR(INDEX(Kontenplan!$F$5:$F$90,MATCH($E339,Kontenplan!$A$5:$A$90,0)),""))</f>
        <v/>
      </c>
      <c r="S339" s="35" t="str">
        <f aca="false">IF($D339="","",IFERROR(INDEX(Kontenplan!$F$5:$F$90,MATCH($D339,Kontenplan!$A$5:$A$90,0)),""))</f>
        <v/>
      </c>
      <c r="T339" s="35" t="str">
        <f aca="false">IF($D339="","",IFERROR(INDEX(Kontenplan!$C$5:$C$90,MATCH($D339,Kontenplan!$A$5:$A$90,0)),"?"))</f>
        <v/>
      </c>
      <c r="U339" s="35" t="str">
        <f aca="false">IF($E339="","",IFERROR(INDEX(Kontenplan!$C$5:$C$90,MATCH($E339,Kontenplan!$A$5:$A$90,0)),"?"))</f>
        <v/>
      </c>
      <c r="V339" s="35" t="str">
        <f aca="false">IF($F339="","",IF(OR($D339="",$E339="",$T339="?",$U339="?"),"Konto prüfen!",IF($A339="","Datum fehlt",IF(YEAR($A339)&lt;&gt;Einstellungen!$B$7,"anderes Jahr!",IF($G339="","MWST-Code fehlt","OK")))))</f>
        <v/>
      </c>
      <c r="W339" s="35" t="str">
        <f aca="false">IF($F339="","",IF(OR($D339=Kontoauszug!$C$4,$E339=Kontoauszug!$C$4),MAX(W$4:W338)+1,""))</f>
        <v/>
      </c>
    </row>
    <row r="340" customFormat="false" ht="15" hidden="false" customHeight="false" outlineLevel="0" collapsed="false">
      <c r="A340" s="33"/>
      <c r="B340" s="32"/>
      <c r="C340" s="32"/>
      <c r="D340" s="32"/>
      <c r="E340" s="32"/>
      <c r="F340" s="30"/>
      <c r="G340" s="32"/>
      <c r="H340" s="34" t="n">
        <f aca="false">IF($G340="",0,IFERROR(INDEX(Einstellungen!$G$5:$G$11,MATCH($G340,Einstellungen!$E$5:$E$11,0)),0))</f>
        <v>0</v>
      </c>
      <c r="I340" s="35" t="str">
        <f aca="false">IF($G340="","-",IFERROR(INDEX(Einstellungen!$H$5:$H$11,MATCH($G340,Einstellungen!$E$5:$E$11,0)),"-"))</f>
        <v>-</v>
      </c>
      <c r="J340" s="35" t="str">
        <f aca="false">IF(AND(Einstellungen!$B$8="Ja",Einstellungen!$B$9="Effektiv"),$I340,"-")</f>
        <v>-</v>
      </c>
      <c r="K340" s="31" t="n">
        <f aca="false">IF(OR($F340="",$J340="-"),0,ROUND($F340-$F340/(1+$H340),2))</f>
        <v>0</v>
      </c>
      <c r="L340" s="31" t="n">
        <f aca="false">IF($F340="",0,$F340-$K340)</f>
        <v>0</v>
      </c>
      <c r="M340" s="31" t="n">
        <f aca="false">IF($F340="",0,IF($J340="V",$L340,$F340))</f>
        <v>0</v>
      </c>
      <c r="N340" s="31" t="n">
        <f aca="false">IF($F340="",0,IF($J340="U",$L340,$F340))</f>
        <v>0</v>
      </c>
      <c r="O340" s="35" t="str">
        <f aca="false">IF($A340="","",MONTH($A340))</f>
        <v/>
      </c>
      <c r="P340" s="35" t="str">
        <f aca="false">IF($A340="","",ROUNDUP(MONTH($A340)/3,0))</f>
        <v/>
      </c>
      <c r="Q340" s="35" t="str">
        <f aca="false">IF($A340="","",IF(MONTH($A340)&lt;=6,1,2))</f>
        <v/>
      </c>
      <c r="R340" s="35" t="str">
        <f aca="false">IF($E340="","",IFERROR(INDEX(Kontenplan!$F$5:$F$90,MATCH($E340,Kontenplan!$A$5:$A$90,0)),""))</f>
        <v/>
      </c>
      <c r="S340" s="35" t="str">
        <f aca="false">IF($D340="","",IFERROR(INDEX(Kontenplan!$F$5:$F$90,MATCH($D340,Kontenplan!$A$5:$A$90,0)),""))</f>
        <v/>
      </c>
      <c r="T340" s="35" t="str">
        <f aca="false">IF($D340="","",IFERROR(INDEX(Kontenplan!$C$5:$C$90,MATCH($D340,Kontenplan!$A$5:$A$90,0)),"?"))</f>
        <v/>
      </c>
      <c r="U340" s="35" t="str">
        <f aca="false">IF($E340="","",IFERROR(INDEX(Kontenplan!$C$5:$C$90,MATCH($E340,Kontenplan!$A$5:$A$90,0)),"?"))</f>
        <v/>
      </c>
      <c r="V340" s="35" t="str">
        <f aca="false">IF($F340="","",IF(OR($D340="",$E340="",$T340="?",$U340="?"),"Konto prüfen!",IF($A340="","Datum fehlt",IF(YEAR($A340)&lt;&gt;Einstellungen!$B$7,"anderes Jahr!",IF($G340="","MWST-Code fehlt","OK")))))</f>
        <v/>
      </c>
      <c r="W340" s="35" t="str">
        <f aca="false">IF($F340="","",IF(OR($D340=Kontoauszug!$C$4,$E340=Kontoauszug!$C$4),MAX(W$4:W339)+1,""))</f>
        <v/>
      </c>
    </row>
    <row r="341" customFormat="false" ht="15" hidden="false" customHeight="false" outlineLevel="0" collapsed="false">
      <c r="A341" s="33"/>
      <c r="B341" s="32"/>
      <c r="C341" s="32"/>
      <c r="D341" s="32"/>
      <c r="E341" s="32"/>
      <c r="F341" s="30"/>
      <c r="G341" s="32"/>
      <c r="H341" s="34" t="n">
        <f aca="false">IF($G341="",0,IFERROR(INDEX(Einstellungen!$G$5:$G$11,MATCH($G341,Einstellungen!$E$5:$E$11,0)),0))</f>
        <v>0</v>
      </c>
      <c r="I341" s="35" t="str">
        <f aca="false">IF($G341="","-",IFERROR(INDEX(Einstellungen!$H$5:$H$11,MATCH($G341,Einstellungen!$E$5:$E$11,0)),"-"))</f>
        <v>-</v>
      </c>
      <c r="J341" s="35" t="str">
        <f aca="false">IF(AND(Einstellungen!$B$8="Ja",Einstellungen!$B$9="Effektiv"),$I341,"-")</f>
        <v>-</v>
      </c>
      <c r="K341" s="31" t="n">
        <f aca="false">IF(OR($F341="",$J341="-"),0,ROUND($F341-$F341/(1+$H341),2))</f>
        <v>0</v>
      </c>
      <c r="L341" s="31" t="n">
        <f aca="false">IF($F341="",0,$F341-$K341)</f>
        <v>0</v>
      </c>
      <c r="M341" s="31" t="n">
        <f aca="false">IF($F341="",0,IF($J341="V",$L341,$F341))</f>
        <v>0</v>
      </c>
      <c r="N341" s="31" t="n">
        <f aca="false">IF($F341="",0,IF($J341="U",$L341,$F341))</f>
        <v>0</v>
      </c>
      <c r="O341" s="35" t="str">
        <f aca="false">IF($A341="","",MONTH($A341))</f>
        <v/>
      </c>
      <c r="P341" s="35" t="str">
        <f aca="false">IF($A341="","",ROUNDUP(MONTH($A341)/3,0))</f>
        <v/>
      </c>
      <c r="Q341" s="35" t="str">
        <f aca="false">IF($A341="","",IF(MONTH($A341)&lt;=6,1,2))</f>
        <v/>
      </c>
      <c r="R341" s="35" t="str">
        <f aca="false">IF($E341="","",IFERROR(INDEX(Kontenplan!$F$5:$F$90,MATCH($E341,Kontenplan!$A$5:$A$90,0)),""))</f>
        <v/>
      </c>
      <c r="S341" s="35" t="str">
        <f aca="false">IF($D341="","",IFERROR(INDEX(Kontenplan!$F$5:$F$90,MATCH($D341,Kontenplan!$A$5:$A$90,0)),""))</f>
        <v/>
      </c>
      <c r="T341" s="35" t="str">
        <f aca="false">IF($D341="","",IFERROR(INDEX(Kontenplan!$C$5:$C$90,MATCH($D341,Kontenplan!$A$5:$A$90,0)),"?"))</f>
        <v/>
      </c>
      <c r="U341" s="35" t="str">
        <f aca="false">IF($E341="","",IFERROR(INDEX(Kontenplan!$C$5:$C$90,MATCH($E341,Kontenplan!$A$5:$A$90,0)),"?"))</f>
        <v/>
      </c>
      <c r="V341" s="35" t="str">
        <f aca="false">IF($F341="","",IF(OR($D341="",$E341="",$T341="?",$U341="?"),"Konto prüfen!",IF($A341="","Datum fehlt",IF(YEAR($A341)&lt;&gt;Einstellungen!$B$7,"anderes Jahr!",IF($G341="","MWST-Code fehlt","OK")))))</f>
        <v/>
      </c>
      <c r="W341" s="35" t="str">
        <f aca="false">IF($F341="","",IF(OR($D341=Kontoauszug!$C$4,$E341=Kontoauszug!$C$4),MAX(W$4:W340)+1,""))</f>
        <v/>
      </c>
    </row>
    <row r="342" customFormat="false" ht="15" hidden="false" customHeight="false" outlineLevel="0" collapsed="false">
      <c r="A342" s="33"/>
      <c r="B342" s="32"/>
      <c r="C342" s="32"/>
      <c r="D342" s="32"/>
      <c r="E342" s="32"/>
      <c r="F342" s="30"/>
      <c r="G342" s="32"/>
      <c r="H342" s="34" t="n">
        <f aca="false">IF($G342="",0,IFERROR(INDEX(Einstellungen!$G$5:$G$11,MATCH($G342,Einstellungen!$E$5:$E$11,0)),0))</f>
        <v>0</v>
      </c>
      <c r="I342" s="35" t="str">
        <f aca="false">IF($G342="","-",IFERROR(INDEX(Einstellungen!$H$5:$H$11,MATCH($G342,Einstellungen!$E$5:$E$11,0)),"-"))</f>
        <v>-</v>
      </c>
      <c r="J342" s="35" t="str">
        <f aca="false">IF(AND(Einstellungen!$B$8="Ja",Einstellungen!$B$9="Effektiv"),$I342,"-")</f>
        <v>-</v>
      </c>
      <c r="K342" s="31" t="n">
        <f aca="false">IF(OR($F342="",$J342="-"),0,ROUND($F342-$F342/(1+$H342),2))</f>
        <v>0</v>
      </c>
      <c r="L342" s="31" t="n">
        <f aca="false">IF($F342="",0,$F342-$K342)</f>
        <v>0</v>
      </c>
      <c r="M342" s="31" t="n">
        <f aca="false">IF($F342="",0,IF($J342="V",$L342,$F342))</f>
        <v>0</v>
      </c>
      <c r="N342" s="31" t="n">
        <f aca="false">IF($F342="",0,IF($J342="U",$L342,$F342))</f>
        <v>0</v>
      </c>
      <c r="O342" s="35" t="str">
        <f aca="false">IF($A342="","",MONTH($A342))</f>
        <v/>
      </c>
      <c r="P342" s="35" t="str">
        <f aca="false">IF($A342="","",ROUNDUP(MONTH($A342)/3,0))</f>
        <v/>
      </c>
      <c r="Q342" s="35" t="str">
        <f aca="false">IF($A342="","",IF(MONTH($A342)&lt;=6,1,2))</f>
        <v/>
      </c>
      <c r="R342" s="35" t="str">
        <f aca="false">IF($E342="","",IFERROR(INDEX(Kontenplan!$F$5:$F$90,MATCH($E342,Kontenplan!$A$5:$A$90,0)),""))</f>
        <v/>
      </c>
      <c r="S342" s="35" t="str">
        <f aca="false">IF($D342="","",IFERROR(INDEX(Kontenplan!$F$5:$F$90,MATCH($D342,Kontenplan!$A$5:$A$90,0)),""))</f>
        <v/>
      </c>
      <c r="T342" s="35" t="str">
        <f aca="false">IF($D342="","",IFERROR(INDEX(Kontenplan!$C$5:$C$90,MATCH($D342,Kontenplan!$A$5:$A$90,0)),"?"))</f>
        <v/>
      </c>
      <c r="U342" s="35" t="str">
        <f aca="false">IF($E342="","",IFERROR(INDEX(Kontenplan!$C$5:$C$90,MATCH($E342,Kontenplan!$A$5:$A$90,0)),"?"))</f>
        <v/>
      </c>
      <c r="V342" s="35" t="str">
        <f aca="false">IF($F342="","",IF(OR($D342="",$E342="",$T342="?",$U342="?"),"Konto prüfen!",IF($A342="","Datum fehlt",IF(YEAR($A342)&lt;&gt;Einstellungen!$B$7,"anderes Jahr!",IF($G342="","MWST-Code fehlt","OK")))))</f>
        <v/>
      </c>
      <c r="W342" s="35" t="str">
        <f aca="false">IF($F342="","",IF(OR($D342=Kontoauszug!$C$4,$E342=Kontoauszug!$C$4),MAX(W$4:W341)+1,""))</f>
        <v/>
      </c>
    </row>
    <row r="343" customFormat="false" ht="15" hidden="false" customHeight="false" outlineLevel="0" collapsed="false">
      <c r="A343" s="33"/>
      <c r="B343" s="32"/>
      <c r="C343" s="32"/>
      <c r="D343" s="32"/>
      <c r="E343" s="32"/>
      <c r="F343" s="30"/>
      <c r="G343" s="32"/>
      <c r="H343" s="34" t="n">
        <f aca="false">IF($G343="",0,IFERROR(INDEX(Einstellungen!$G$5:$G$11,MATCH($G343,Einstellungen!$E$5:$E$11,0)),0))</f>
        <v>0</v>
      </c>
      <c r="I343" s="35" t="str">
        <f aca="false">IF($G343="","-",IFERROR(INDEX(Einstellungen!$H$5:$H$11,MATCH($G343,Einstellungen!$E$5:$E$11,0)),"-"))</f>
        <v>-</v>
      </c>
      <c r="J343" s="35" t="str">
        <f aca="false">IF(AND(Einstellungen!$B$8="Ja",Einstellungen!$B$9="Effektiv"),$I343,"-")</f>
        <v>-</v>
      </c>
      <c r="K343" s="31" t="n">
        <f aca="false">IF(OR($F343="",$J343="-"),0,ROUND($F343-$F343/(1+$H343),2))</f>
        <v>0</v>
      </c>
      <c r="L343" s="31" t="n">
        <f aca="false">IF($F343="",0,$F343-$K343)</f>
        <v>0</v>
      </c>
      <c r="M343" s="31" t="n">
        <f aca="false">IF($F343="",0,IF($J343="V",$L343,$F343))</f>
        <v>0</v>
      </c>
      <c r="N343" s="31" t="n">
        <f aca="false">IF($F343="",0,IF($J343="U",$L343,$F343))</f>
        <v>0</v>
      </c>
      <c r="O343" s="35" t="str">
        <f aca="false">IF($A343="","",MONTH($A343))</f>
        <v/>
      </c>
      <c r="P343" s="35" t="str">
        <f aca="false">IF($A343="","",ROUNDUP(MONTH($A343)/3,0))</f>
        <v/>
      </c>
      <c r="Q343" s="35" t="str">
        <f aca="false">IF($A343="","",IF(MONTH($A343)&lt;=6,1,2))</f>
        <v/>
      </c>
      <c r="R343" s="35" t="str">
        <f aca="false">IF($E343="","",IFERROR(INDEX(Kontenplan!$F$5:$F$90,MATCH($E343,Kontenplan!$A$5:$A$90,0)),""))</f>
        <v/>
      </c>
      <c r="S343" s="35" t="str">
        <f aca="false">IF($D343="","",IFERROR(INDEX(Kontenplan!$F$5:$F$90,MATCH($D343,Kontenplan!$A$5:$A$90,0)),""))</f>
        <v/>
      </c>
      <c r="T343" s="35" t="str">
        <f aca="false">IF($D343="","",IFERROR(INDEX(Kontenplan!$C$5:$C$90,MATCH($D343,Kontenplan!$A$5:$A$90,0)),"?"))</f>
        <v/>
      </c>
      <c r="U343" s="35" t="str">
        <f aca="false">IF($E343="","",IFERROR(INDEX(Kontenplan!$C$5:$C$90,MATCH($E343,Kontenplan!$A$5:$A$90,0)),"?"))</f>
        <v/>
      </c>
      <c r="V343" s="35" t="str">
        <f aca="false">IF($F343="","",IF(OR($D343="",$E343="",$T343="?",$U343="?"),"Konto prüfen!",IF($A343="","Datum fehlt",IF(YEAR($A343)&lt;&gt;Einstellungen!$B$7,"anderes Jahr!",IF($G343="","MWST-Code fehlt","OK")))))</f>
        <v/>
      </c>
      <c r="W343" s="35" t="str">
        <f aca="false">IF($F343="","",IF(OR($D343=Kontoauszug!$C$4,$E343=Kontoauszug!$C$4),MAX(W$4:W342)+1,""))</f>
        <v/>
      </c>
    </row>
    <row r="344" customFormat="false" ht="15" hidden="false" customHeight="false" outlineLevel="0" collapsed="false">
      <c r="A344" s="33"/>
      <c r="B344" s="32"/>
      <c r="C344" s="32"/>
      <c r="D344" s="32"/>
      <c r="E344" s="32"/>
      <c r="F344" s="30"/>
      <c r="G344" s="32"/>
      <c r="H344" s="34" t="n">
        <f aca="false">IF($G344="",0,IFERROR(INDEX(Einstellungen!$G$5:$G$11,MATCH($G344,Einstellungen!$E$5:$E$11,0)),0))</f>
        <v>0</v>
      </c>
      <c r="I344" s="35" t="str">
        <f aca="false">IF($G344="","-",IFERROR(INDEX(Einstellungen!$H$5:$H$11,MATCH($G344,Einstellungen!$E$5:$E$11,0)),"-"))</f>
        <v>-</v>
      </c>
      <c r="J344" s="35" t="str">
        <f aca="false">IF(AND(Einstellungen!$B$8="Ja",Einstellungen!$B$9="Effektiv"),$I344,"-")</f>
        <v>-</v>
      </c>
      <c r="K344" s="31" t="n">
        <f aca="false">IF(OR($F344="",$J344="-"),0,ROUND($F344-$F344/(1+$H344),2))</f>
        <v>0</v>
      </c>
      <c r="L344" s="31" t="n">
        <f aca="false">IF($F344="",0,$F344-$K344)</f>
        <v>0</v>
      </c>
      <c r="M344" s="31" t="n">
        <f aca="false">IF($F344="",0,IF($J344="V",$L344,$F344))</f>
        <v>0</v>
      </c>
      <c r="N344" s="31" t="n">
        <f aca="false">IF($F344="",0,IF($J344="U",$L344,$F344))</f>
        <v>0</v>
      </c>
      <c r="O344" s="35" t="str">
        <f aca="false">IF($A344="","",MONTH($A344))</f>
        <v/>
      </c>
      <c r="P344" s="35" t="str">
        <f aca="false">IF($A344="","",ROUNDUP(MONTH($A344)/3,0))</f>
        <v/>
      </c>
      <c r="Q344" s="35" t="str">
        <f aca="false">IF($A344="","",IF(MONTH($A344)&lt;=6,1,2))</f>
        <v/>
      </c>
      <c r="R344" s="35" t="str">
        <f aca="false">IF($E344="","",IFERROR(INDEX(Kontenplan!$F$5:$F$90,MATCH($E344,Kontenplan!$A$5:$A$90,0)),""))</f>
        <v/>
      </c>
      <c r="S344" s="35" t="str">
        <f aca="false">IF($D344="","",IFERROR(INDEX(Kontenplan!$F$5:$F$90,MATCH($D344,Kontenplan!$A$5:$A$90,0)),""))</f>
        <v/>
      </c>
      <c r="T344" s="35" t="str">
        <f aca="false">IF($D344="","",IFERROR(INDEX(Kontenplan!$C$5:$C$90,MATCH($D344,Kontenplan!$A$5:$A$90,0)),"?"))</f>
        <v/>
      </c>
      <c r="U344" s="35" t="str">
        <f aca="false">IF($E344="","",IFERROR(INDEX(Kontenplan!$C$5:$C$90,MATCH($E344,Kontenplan!$A$5:$A$90,0)),"?"))</f>
        <v/>
      </c>
      <c r="V344" s="35" t="str">
        <f aca="false">IF($F344="","",IF(OR($D344="",$E344="",$T344="?",$U344="?"),"Konto prüfen!",IF($A344="","Datum fehlt",IF(YEAR($A344)&lt;&gt;Einstellungen!$B$7,"anderes Jahr!",IF($G344="","MWST-Code fehlt","OK")))))</f>
        <v/>
      </c>
      <c r="W344" s="35" t="str">
        <f aca="false">IF($F344="","",IF(OR($D344=Kontoauszug!$C$4,$E344=Kontoauszug!$C$4),MAX(W$4:W343)+1,""))</f>
        <v/>
      </c>
    </row>
    <row r="345" customFormat="false" ht="15" hidden="false" customHeight="false" outlineLevel="0" collapsed="false">
      <c r="A345" s="33"/>
      <c r="B345" s="32"/>
      <c r="C345" s="32"/>
      <c r="D345" s="32"/>
      <c r="E345" s="32"/>
      <c r="F345" s="30"/>
      <c r="G345" s="32"/>
      <c r="H345" s="34" t="n">
        <f aca="false">IF($G345="",0,IFERROR(INDEX(Einstellungen!$G$5:$G$11,MATCH($G345,Einstellungen!$E$5:$E$11,0)),0))</f>
        <v>0</v>
      </c>
      <c r="I345" s="35" t="str">
        <f aca="false">IF($G345="","-",IFERROR(INDEX(Einstellungen!$H$5:$H$11,MATCH($G345,Einstellungen!$E$5:$E$11,0)),"-"))</f>
        <v>-</v>
      </c>
      <c r="J345" s="35" t="str">
        <f aca="false">IF(AND(Einstellungen!$B$8="Ja",Einstellungen!$B$9="Effektiv"),$I345,"-")</f>
        <v>-</v>
      </c>
      <c r="K345" s="31" t="n">
        <f aca="false">IF(OR($F345="",$J345="-"),0,ROUND($F345-$F345/(1+$H345),2))</f>
        <v>0</v>
      </c>
      <c r="L345" s="31" t="n">
        <f aca="false">IF($F345="",0,$F345-$K345)</f>
        <v>0</v>
      </c>
      <c r="M345" s="31" t="n">
        <f aca="false">IF($F345="",0,IF($J345="V",$L345,$F345))</f>
        <v>0</v>
      </c>
      <c r="N345" s="31" t="n">
        <f aca="false">IF($F345="",0,IF($J345="U",$L345,$F345))</f>
        <v>0</v>
      </c>
      <c r="O345" s="35" t="str">
        <f aca="false">IF($A345="","",MONTH($A345))</f>
        <v/>
      </c>
      <c r="P345" s="35" t="str">
        <f aca="false">IF($A345="","",ROUNDUP(MONTH($A345)/3,0))</f>
        <v/>
      </c>
      <c r="Q345" s="35" t="str">
        <f aca="false">IF($A345="","",IF(MONTH($A345)&lt;=6,1,2))</f>
        <v/>
      </c>
      <c r="R345" s="35" t="str">
        <f aca="false">IF($E345="","",IFERROR(INDEX(Kontenplan!$F$5:$F$90,MATCH($E345,Kontenplan!$A$5:$A$90,0)),""))</f>
        <v/>
      </c>
      <c r="S345" s="35" t="str">
        <f aca="false">IF($D345="","",IFERROR(INDEX(Kontenplan!$F$5:$F$90,MATCH($D345,Kontenplan!$A$5:$A$90,0)),""))</f>
        <v/>
      </c>
      <c r="T345" s="35" t="str">
        <f aca="false">IF($D345="","",IFERROR(INDEX(Kontenplan!$C$5:$C$90,MATCH($D345,Kontenplan!$A$5:$A$90,0)),"?"))</f>
        <v/>
      </c>
      <c r="U345" s="35" t="str">
        <f aca="false">IF($E345="","",IFERROR(INDEX(Kontenplan!$C$5:$C$90,MATCH($E345,Kontenplan!$A$5:$A$90,0)),"?"))</f>
        <v/>
      </c>
      <c r="V345" s="35" t="str">
        <f aca="false">IF($F345="","",IF(OR($D345="",$E345="",$T345="?",$U345="?"),"Konto prüfen!",IF($A345="","Datum fehlt",IF(YEAR($A345)&lt;&gt;Einstellungen!$B$7,"anderes Jahr!",IF($G345="","MWST-Code fehlt","OK")))))</f>
        <v/>
      </c>
      <c r="W345" s="35" t="str">
        <f aca="false">IF($F345="","",IF(OR($D345=Kontoauszug!$C$4,$E345=Kontoauszug!$C$4),MAX(W$4:W344)+1,""))</f>
        <v/>
      </c>
    </row>
    <row r="346" customFormat="false" ht="15" hidden="false" customHeight="false" outlineLevel="0" collapsed="false">
      <c r="A346" s="33"/>
      <c r="B346" s="32"/>
      <c r="C346" s="32"/>
      <c r="D346" s="32"/>
      <c r="E346" s="32"/>
      <c r="F346" s="30"/>
      <c r="G346" s="32"/>
      <c r="H346" s="34" t="n">
        <f aca="false">IF($G346="",0,IFERROR(INDEX(Einstellungen!$G$5:$G$11,MATCH($G346,Einstellungen!$E$5:$E$11,0)),0))</f>
        <v>0</v>
      </c>
      <c r="I346" s="35" t="str">
        <f aca="false">IF($G346="","-",IFERROR(INDEX(Einstellungen!$H$5:$H$11,MATCH($G346,Einstellungen!$E$5:$E$11,0)),"-"))</f>
        <v>-</v>
      </c>
      <c r="J346" s="35" t="str">
        <f aca="false">IF(AND(Einstellungen!$B$8="Ja",Einstellungen!$B$9="Effektiv"),$I346,"-")</f>
        <v>-</v>
      </c>
      <c r="K346" s="31" t="n">
        <f aca="false">IF(OR($F346="",$J346="-"),0,ROUND($F346-$F346/(1+$H346),2))</f>
        <v>0</v>
      </c>
      <c r="L346" s="31" t="n">
        <f aca="false">IF($F346="",0,$F346-$K346)</f>
        <v>0</v>
      </c>
      <c r="M346" s="31" t="n">
        <f aca="false">IF($F346="",0,IF($J346="V",$L346,$F346))</f>
        <v>0</v>
      </c>
      <c r="N346" s="31" t="n">
        <f aca="false">IF($F346="",0,IF($J346="U",$L346,$F346))</f>
        <v>0</v>
      </c>
      <c r="O346" s="35" t="str">
        <f aca="false">IF($A346="","",MONTH($A346))</f>
        <v/>
      </c>
      <c r="P346" s="35" t="str">
        <f aca="false">IF($A346="","",ROUNDUP(MONTH($A346)/3,0))</f>
        <v/>
      </c>
      <c r="Q346" s="35" t="str">
        <f aca="false">IF($A346="","",IF(MONTH($A346)&lt;=6,1,2))</f>
        <v/>
      </c>
      <c r="R346" s="35" t="str">
        <f aca="false">IF($E346="","",IFERROR(INDEX(Kontenplan!$F$5:$F$90,MATCH($E346,Kontenplan!$A$5:$A$90,0)),""))</f>
        <v/>
      </c>
      <c r="S346" s="35" t="str">
        <f aca="false">IF($D346="","",IFERROR(INDEX(Kontenplan!$F$5:$F$90,MATCH($D346,Kontenplan!$A$5:$A$90,0)),""))</f>
        <v/>
      </c>
      <c r="T346" s="35" t="str">
        <f aca="false">IF($D346="","",IFERROR(INDEX(Kontenplan!$C$5:$C$90,MATCH($D346,Kontenplan!$A$5:$A$90,0)),"?"))</f>
        <v/>
      </c>
      <c r="U346" s="35" t="str">
        <f aca="false">IF($E346="","",IFERROR(INDEX(Kontenplan!$C$5:$C$90,MATCH($E346,Kontenplan!$A$5:$A$90,0)),"?"))</f>
        <v/>
      </c>
      <c r="V346" s="35" t="str">
        <f aca="false">IF($F346="","",IF(OR($D346="",$E346="",$T346="?",$U346="?"),"Konto prüfen!",IF($A346="","Datum fehlt",IF(YEAR($A346)&lt;&gt;Einstellungen!$B$7,"anderes Jahr!",IF($G346="","MWST-Code fehlt","OK")))))</f>
        <v/>
      </c>
      <c r="W346" s="35" t="str">
        <f aca="false">IF($F346="","",IF(OR($D346=Kontoauszug!$C$4,$E346=Kontoauszug!$C$4),MAX(W$4:W345)+1,""))</f>
        <v/>
      </c>
    </row>
    <row r="347" customFormat="false" ht="15" hidden="false" customHeight="false" outlineLevel="0" collapsed="false">
      <c r="A347" s="33"/>
      <c r="B347" s="32"/>
      <c r="C347" s="32"/>
      <c r="D347" s="32"/>
      <c r="E347" s="32"/>
      <c r="F347" s="30"/>
      <c r="G347" s="32"/>
      <c r="H347" s="34" t="n">
        <f aca="false">IF($G347="",0,IFERROR(INDEX(Einstellungen!$G$5:$G$11,MATCH($G347,Einstellungen!$E$5:$E$11,0)),0))</f>
        <v>0</v>
      </c>
      <c r="I347" s="35" t="str">
        <f aca="false">IF($G347="","-",IFERROR(INDEX(Einstellungen!$H$5:$H$11,MATCH($G347,Einstellungen!$E$5:$E$11,0)),"-"))</f>
        <v>-</v>
      </c>
      <c r="J347" s="35" t="str">
        <f aca="false">IF(AND(Einstellungen!$B$8="Ja",Einstellungen!$B$9="Effektiv"),$I347,"-")</f>
        <v>-</v>
      </c>
      <c r="K347" s="31" t="n">
        <f aca="false">IF(OR($F347="",$J347="-"),0,ROUND($F347-$F347/(1+$H347),2))</f>
        <v>0</v>
      </c>
      <c r="L347" s="31" t="n">
        <f aca="false">IF($F347="",0,$F347-$K347)</f>
        <v>0</v>
      </c>
      <c r="M347" s="31" t="n">
        <f aca="false">IF($F347="",0,IF($J347="V",$L347,$F347))</f>
        <v>0</v>
      </c>
      <c r="N347" s="31" t="n">
        <f aca="false">IF($F347="",0,IF($J347="U",$L347,$F347))</f>
        <v>0</v>
      </c>
      <c r="O347" s="35" t="str">
        <f aca="false">IF($A347="","",MONTH($A347))</f>
        <v/>
      </c>
      <c r="P347" s="35" t="str">
        <f aca="false">IF($A347="","",ROUNDUP(MONTH($A347)/3,0))</f>
        <v/>
      </c>
      <c r="Q347" s="35" t="str">
        <f aca="false">IF($A347="","",IF(MONTH($A347)&lt;=6,1,2))</f>
        <v/>
      </c>
      <c r="R347" s="35" t="str">
        <f aca="false">IF($E347="","",IFERROR(INDEX(Kontenplan!$F$5:$F$90,MATCH($E347,Kontenplan!$A$5:$A$90,0)),""))</f>
        <v/>
      </c>
      <c r="S347" s="35" t="str">
        <f aca="false">IF($D347="","",IFERROR(INDEX(Kontenplan!$F$5:$F$90,MATCH($D347,Kontenplan!$A$5:$A$90,0)),""))</f>
        <v/>
      </c>
      <c r="T347" s="35" t="str">
        <f aca="false">IF($D347="","",IFERROR(INDEX(Kontenplan!$C$5:$C$90,MATCH($D347,Kontenplan!$A$5:$A$90,0)),"?"))</f>
        <v/>
      </c>
      <c r="U347" s="35" t="str">
        <f aca="false">IF($E347="","",IFERROR(INDEX(Kontenplan!$C$5:$C$90,MATCH($E347,Kontenplan!$A$5:$A$90,0)),"?"))</f>
        <v/>
      </c>
      <c r="V347" s="35" t="str">
        <f aca="false">IF($F347="","",IF(OR($D347="",$E347="",$T347="?",$U347="?"),"Konto prüfen!",IF($A347="","Datum fehlt",IF(YEAR($A347)&lt;&gt;Einstellungen!$B$7,"anderes Jahr!",IF($G347="","MWST-Code fehlt","OK")))))</f>
        <v/>
      </c>
      <c r="W347" s="35" t="str">
        <f aca="false">IF($F347="","",IF(OR($D347=Kontoauszug!$C$4,$E347=Kontoauszug!$C$4),MAX(W$4:W346)+1,""))</f>
        <v/>
      </c>
    </row>
    <row r="348" customFormat="false" ht="15" hidden="false" customHeight="false" outlineLevel="0" collapsed="false">
      <c r="A348" s="33"/>
      <c r="B348" s="32"/>
      <c r="C348" s="32"/>
      <c r="D348" s="32"/>
      <c r="E348" s="32"/>
      <c r="F348" s="30"/>
      <c r="G348" s="32"/>
      <c r="H348" s="34" t="n">
        <f aca="false">IF($G348="",0,IFERROR(INDEX(Einstellungen!$G$5:$G$11,MATCH($G348,Einstellungen!$E$5:$E$11,0)),0))</f>
        <v>0</v>
      </c>
      <c r="I348" s="35" t="str">
        <f aca="false">IF($G348="","-",IFERROR(INDEX(Einstellungen!$H$5:$H$11,MATCH($G348,Einstellungen!$E$5:$E$11,0)),"-"))</f>
        <v>-</v>
      </c>
      <c r="J348" s="35" t="str">
        <f aca="false">IF(AND(Einstellungen!$B$8="Ja",Einstellungen!$B$9="Effektiv"),$I348,"-")</f>
        <v>-</v>
      </c>
      <c r="K348" s="31" t="n">
        <f aca="false">IF(OR($F348="",$J348="-"),0,ROUND($F348-$F348/(1+$H348),2))</f>
        <v>0</v>
      </c>
      <c r="L348" s="31" t="n">
        <f aca="false">IF($F348="",0,$F348-$K348)</f>
        <v>0</v>
      </c>
      <c r="M348" s="31" t="n">
        <f aca="false">IF($F348="",0,IF($J348="V",$L348,$F348))</f>
        <v>0</v>
      </c>
      <c r="N348" s="31" t="n">
        <f aca="false">IF($F348="",0,IF($J348="U",$L348,$F348))</f>
        <v>0</v>
      </c>
      <c r="O348" s="35" t="str">
        <f aca="false">IF($A348="","",MONTH($A348))</f>
        <v/>
      </c>
      <c r="P348" s="35" t="str">
        <f aca="false">IF($A348="","",ROUNDUP(MONTH($A348)/3,0))</f>
        <v/>
      </c>
      <c r="Q348" s="35" t="str">
        <f aca="false">IF($A348="","",IF(MONTH($A348)&lt;=6,1,2))</f>
        <v/>
      </c>
      <c r="R348" s="35" t="str">
        <f aca="false">IF($E348="","",IFERROR(INDEX(Kontenplan!$F$5:$F$90,MATCH($E348,Kontenplan!$A$5:$A$90,0)),""))</f>
        <v/>
      </c>
      <c r="S348" s="35" t="str">
        <f aca="false">IF($D348="","",IFERROR(INDEX(Kontenplan!$F$5:$F$90,MATCH($D348,Kontenplan!$A$5:$A$90,0)),""))</f>
        <v/>
      </c>
      <c r="T348" s="35" t="str">
        <f aca="false">IF($D348="","",IFERROR(INDEX(Kontenplan!$C$5:$C$90,MATCH($D348,Kontenplan!$A$5:$A$90,0)),"?"))</f>
        <v/>
      </c>
      <c r="U348" s="35" t="str">
        <f aca="false">IF($E348="","",IFERROR(INDEX(Kontenplan!$C$5:$C$90,MATCH($E348,Kontenplan!$A$5:$A$90,0)),"?"))</f>
        <v/>
      </c>
      <c r="V348" s="35" t="str">
        <f aca="false">IF($F348="","",IF(OR($D348="",$E348="",$T348="?",$U348="?"),"Konto prüfen!",IF($A348="","Datum fehlt",IF(YEAR($A348)&lt;&gt;Einstellungen!$B$7,"anderes Jahr!",IF($G348="","MWST-Code fehlt","OK")))))</f>
        <v/>
      </c>
      <c r="W348" s="35" t="str">
        <f aca="false">IF($F348="","",IF(OR($D348=Kontoauszug!$C$4,$E348=Kontoauszug!$C$4),MAX(W$4:W347)+1,""))</f>
        <v/>
      </c>
    </row>
    <row r="349" customFormat="false" ht="15" hidden="false" customHeight="false" outlineLevel="0" collapsed="false">
      <c r="A349" s="33"/>
      <c r="B349" s="32"/>
      <c r="C349" s="32"/>
      <c r="D349" s="32"/>
      <c r="E349" s="32"/>
      <c r="F349" s="30"/>
      <c r="G349" s="32"/>
      <c r="H349" s="34" t="n">
        <f aca="false">IF($G349="",0,IFERROR(INDEX(Einstellungen!$G$5:$G$11,MATCH($G349,Einstellungen!$E$5:$E$11,0)),0))</f>
        <v>0</v>
      </c>
      <c r="I349" s="35" t="str">
        <f aca="false">IF($G349="","-",IFERROR(INDEX(Einstellungen!$H$5:$H$11,MATCH($G349,Einstellungen!$E$5:$E$11,0)),"-"))</f>
        <v>-</v>
      </c>
      <c r="J349" s="35" t="str">
        <f aca="false">IF(AND(Einstellungen!$B$8="Ja",Einstellungen!$B$9="Effektiv"),$I349,"-")</f>
        <v>-</v>
      </c>
      <c r="K349" s="31" t="n">
        <f aca="false">IF(OR($F349="",$J349="-"),0,ROUND($F349-$F349/(1+$H349),2))</f>
        <v>0</v>
      </c>
      <c r="L349" s="31" t="n">
        <f aca="false">IF($F349="",0,$F349-$K349)</f>
        <v>0</v>
      </c>
      <c r="M349" s="31" t="n">
        <f aca="false">IF($F349="",0,IF($J349="V",$L349,$F349))</f>
        <v>0</v>
      </c>
      <c r="N349" s="31" t="n">
        <f aca="false">IF($F349="",0,IF($J349="U",$L349,$F349))</f>
        <v>0</v>
      </c>
      <c r="O349" s="35" t="str">
        <f aca="false">IF($A349="","",MONTH($A349))</f>
        <v/>
      </c>
      <c r="P349" s="35" t="str">
        <f aca="false">IF($A349="","",ROUNDUP(MONTH($A349)/3,0))</f>
        <v/>
      </c>
      <c r="Q349" s="35" t="str">
        <f aca="false">IF($A349="","",IF(MONTH($A349)&lt;=6,1,2))</f>
        <v/>
      </c>
      <c r="R349" s="35" t="str">
        <f aca="false">IF($E349="","",IFERROR(INDEX(Kontenplan!$F$5:$F$90,MATCH($E349,Kontenplan!$A$5:$A$90,0)),""))</f>
        <v/>
      </c>
      <c r="S349" s="35" t="str">
        <f aca="false">IF($D349="","",IFERROR(INDEX(Kontenplan!$F$5:$F$90,MATCH($D349,Kontenplan!$A$5:$A$90,0)),""))</f>
        <v/>
      </c>
      <c r="T349" s="35" t="str">
        <f aca="false">IF($D349="","",IFERROR(INDEX(Kontenplan!$C$5:$C$90,MATCH($D349,Kontenplan!$A$5:$A$90,0)),"?"))</f>
        <v/>
      </c>
      <c r="U349" s="35" t="str">
        <f aca="false">IF($E349="","",IFERROR(INDEX(Kontenplan!$C$5:$C$90,MATCH($E349,Kontenplan!$A$5:$A$90,0)),"?"))</f>
        <v/>
      </c>
      <c r="V349" s="35" t="str">
        <f aca="false">IF($F349="","",IF(OR($D349="",$E349="",$T349="?",$U349="?"),"Konto prüfen!",IF($A349="","Datum fehlt",IF(YEAR($A349)&lt;&gt;Einstellungen!$B$7,"anderes Jahr!",IF($G349="","MWST-Code fehlt","OK")))))</f>
        <v/>
      </c>
      <c r="W349" s="35" t="str">
        <f aca="false">IF($F349="","",IF(OR($D349=Kontoauszug!$C$4,$E349=Kontoauszug!$C$4),MAX(W$4:W348)+1,""))</f>
        <v/>
      </c>
    </row>
    <row r="350" customFormat="false" ht="15" hidden="false" customHeight="false" outlineLevel="0" collapsed="false">
      <c r="A350" s="33"/>
      <c r="B350" s="32"/>
      <c r="C350" s="32"/>
      <c r="D350" s="32"/>
      <c r="E350" s="32"/>
      <c r="F350" s="30"/>
      <c r="G350" s="32"/>
      <c r="H350" s="34" t="n">
        <f aca="false">IF($G350="",0,IFERROR(INDEX(Einstellungen!$G$5:$G$11,MATCH($G350,Einstellungen!$E$5:$E$11,0)),0))</f>
        <v>0</v>
      </c>
      <c r="I350" s="35" t="str">
        <f aca="false">IF($G350="","-",IFERROR(INDEX(Einstellungen!$H$5:$H$11,MATCH($G350,Einstellungen!$E$5:$E$11,0)),"-"))</f>
        <v>-</v>
      </c>
      <c r="J350" s="35" t="str">
        <f aca="false">IF(AND(Einstellungen!$B$8="Ja",Einstellungen!$B$9="Effektiv"),$I350,"-")</f>
        <v>-</v>
      </c>
      <c r="K350" s="31" t="n">
        <f aca="false">IF(OR($F350="",$J350="-"),0,ROUND($F350-$F350/(1+$H350),2))</f>
        <v>0</v>
      </c>
      <c r="L350" s="31" t="n">
        <f aca="false">IF($F350="",0,$F350-$K350)</f>
        <v>0</v>
      </c>
      <c r="M350" s="31" t="n">
        <f aca="false">IF($F350="",0,IF($J350="V",$L350,$F350))</f>
        <v>0</v>
      </c>
      <c r="N350" s="31" t="n">
        <f aca="false">IF($F350="",0,IF($J350="U",$L350,$F350))</f>
        <v>0</v>
      </c>
      <c r="O350" s="35" t="str">
        <f aca="false">IF($A350="","",MONTH($A350))</f>
        <v/>
      </c>
      <c r="P350" s="35" t="str">
        <f aca="false">IF($A350="","",ROUNDUP(MONTH($A350)/3,0))</f>
        <v/>
      </c>
      <c r="Q350" s="35" t="str">
        <f aca="false">IF($A350="","",IF(MONTH($A350)&lt;=6,1,2))</f>
        <v/>
      </c>
      <c r="R350" s="35" t="str">
        <f aca="false">IF($E350="","",IFERROR(INDEX(Kontenplan!$F$5:$F$90,MATCH($E350,Kontenplan!$A$5:$A$90,0)),""))</f>
        <v/>
      </c>
      <c r="S350" s="35" t="str">
        <f aca="false">IF($D350="","",IFERROR(INDEX(Kontenplan!$F$5:$F$90,MATCH($D350,Kontenplan!$A$5:$A$90,0)),""))</f>
        <v/>
      </c>
      <c r="T350" s="35" t="str">
        <f aca="false">IF($D350="","",IFERROR(INDEX(Kontenplan!$C$5:$C$90,MATCH($D350,Kontenplan!$A$5:$A$90,0)),"?"))</f>
        <v/>
      </c>
      <c r="U350" s="35" t="str">
        <f aca="false">IF($E350="","",IFERROR(INDEX(Kontenplan!$C$5:$C$90,MATCH($E350,Kontenplan!$A$5:$A$90,0)),"?"))</f>
        <v/>
      </c>
      <c r="V350" s="35" t="str">
        <f aca="false">IF($F350="","",IF(OR($D350="",$E350="",$T350="?",$U350="?"),"Konto prüfen!",IF($A350="","Datum fehlt",IF(YEAR($A350)&lt;&gt;Einstellungen!$B$7,"anderes Jahr!",IF($G350="","MWST-Code fehlt","OK")))))</f>
        <v/>
      </c>
      <c r="W350" s="35" t="str">
        <f aca="false">IF($F350="","",IF(OR($D350=Kontoauszug!$C$4,$E350=Kontoauszug!$C$4),MAX(W$4:W349)+1,""))</f>
        <v/>
      </c>
    </row>
    <row r="351" customFormat="false" ht="15" hidden="false" customHeight="false" outlineLevel="0" collapsed="false">
      <c r="A351" s="33"/>
      <c r="B351" s="32"/>
      <c r="C351" s="32"/>
      <c r="D351" s="32"/>
      <c r="E351" s="32"/>
      <c r="F351" s="30"/>
      <c r="G351" s="32"/>
      <c r="H351" s="34" t="n">
        <f aca="false">IF($G351="",0,IFERROR(INDEX(Einstellungen!$G$5:$G$11,MATCH($G351,Einstellungen!$E$5:$E$11,0)),0))</f>
        <v>0</v>
      </c>
      <c r="I351" s="35" t="str">
        <f aca="false">IF($G351="","-",IFERROR(INDEX(Einstellungen!$H$5:$H$11,MATCH($G351,Einstellungen!$E$5:$E$11,0)),"-"))</f>
        <v>-</v>
      </c>
      <c r="J351" s="35" t="str">
        <f aca="false">IF(AND(Einstellungen!$B$8="Ja",Einstellungen!$B$9="Effektiv"),$I351,"-")</f>
        <v>-</v>
      </c>
      <c r="K351" s="31" t="n">
        <f aca="false">IF(OR($F351="",$J351="-"),0,ROUND($F351-$F351/(1+$H351),2))</f>
        <v>0</v>
      </c>
      <c r="L351" s="31" t="n">
        <f aca="false">IF($F351="",0,$F351-$K351)</f>
        <v>0</v>
      </c>
      <c r="M351" s="31" t="n">
        <f aca="false">IF($F351="",0,IF($J351="V",$L351,$F351))</f>
        <v>0</v>
      </c>
      <c r="N351" s="31" t="n">
        <f aca="false">IF($F351="",0,IF($J351="U",$L351,$F351))</f>
        <v>0</v>
      </c>
      <c r="O351" s="35" t="str">
        <f aca="false">IF($A351="","",MONTH($A351))</f>
        <v/>
      </c>
      <c r="P351" s="35" t="str">
        <f aca="false">IF($A351="","",ROUNDUP(MONTH($A351)/3,0))</f>
        <v/>
      </c>
      <c r="Q351" s="35" t="str">
        <f aca="false">IF($A351="","",IF(MONTH($A351)&lt;=6,1,2))</f>
        <v/>
      </c>
      <c r="R351" s="35" t="str">
        <f aca="false">IF($E351="","",IFERROR(INDEX(Kontenplan!$F$5:$F$90,MATCH($E351,Kontenplan!$A$5:$A$90,0)),""))</f>
        <v/>
      </c>
      <c r="S351" s="35" t="str">
        <f aca="false">IF($D351="","",IFERROR(INDEX(Kontenplan!$F$5:$F$90,MATCH($D351,Kontenplan!$A$5:$A$90,0)),""))</f>
        <v/>
      </c>
      <c r="T351" s="35" t="str">
        <f aca="false">IF($D351="","",IFERROR(INDEX(Kontenplan!$C$5:$C$90,MATCH($D351,Kontenplan!$A$5:$A$90,0)),"?"))</f>
        <v/>
      </c>
      <c r="U351" s="35" t="str">
        <f aca="false">IF($E351="","",IFERROR(INDEX(Kontenplan!$C$5:$C$90,MATCH($E351,Kontenplan!$A$5:$A$90,0)),"?"))</f>
        <v/>
      </c>
      <c r="V351" s="35" t="str">
        <f aca="false">IF($F351="","",IF(OR($D351="",$E351="",$T351="?",$U351="?"),"Konto prüfen!",IF($A351="","Datum fehlt",IF(YEAR($A351)&lt;&gt;Einstellungen!$B$7,"anderes Jahr!",IF($G351="","MWST-Code fehlt","OK")))))</f>
        <v/>
      </c>
      <c r="W351" s="35" t="str">
        <f aca="false">IF($F351="","",IF(OR($D351=Kontoauszug!$C$4,$E351=Kontoauszug!$C$4),MAX(W$4:W350)+1,""))</f>
        <v/>
      </c>
    </row>
    <row r="352" customFormat="false" ht="15" hidden="false" customHeight="false" outlineLevel="0" collapsed="false">
      <c r="A352" s="33"/>
      <c r="B352" s="32"/>
      <c r="C352" s="32"/>
      <c r="D352" s="32"/>
      <c r="E352" s="32"/>
      <c r="F352" s="30"/>
      <c r="G352" s="32"/>
      <c r="H352" s="34" t="n">
        <f aca="false">IF($G352="",0,IFERROR(INDEX(Einstellungen!$G$5:$G$11,MATCH($G352,Einstellungen!$E$5:$E$11,0)),0))</f>
        <v>0</v>
      </c>
      <c r="I352" s="35" t="str">
        <f aca="false">IF($G352="","-",IFERROR(INDEX(Einstellungen!$H$5:$H$11,MATCH($G352,Einstellungen!$E$5:$E$11,0)),"-"))</f>
        <v>-</v>
      </c>
      <c r="J352" s="35" t="str">
        <f aca="false">IF(AND(Einstellungen!$B$8="Ja",Einstellungen!$B$9="Effektiv"),$I352,"-")</f>
        <v>-</v>
      </c>
      <c r="K352" s="31" t="n">
        <f aca="false">IF(OR($F352="",$J352="-"),0,ROUND($F352-$F352/(1+$H352),2))</f>
        <v>0</v>
      </c>
      <c r="L352" s="31" t="n">
        <f aca="false">IF($F352="",0,$F352-$K352)</f>
        <v>0</v>
      </c>
      <c r="M352" s="31" t="n">
        <f aca="false">IF($F352="",0,IF($J352="V",$L352,$F352))</f>
        <v>0</v>
      </c>
      <c r="N352" s="31" t="n">
        <f aca="false">IF($F352="",0,IF($J352="U",$L352,$F352))</f>
        <v>0</v>
      </c>
      <c r="O352" s="35" t="str">
        <f aca="false">IF($A352="","",MONTH($A352))</f>
        <v/>
      </c>
      <c r="P352" s="35" t="str">
        <f aca="false">IF($A352="","",ROUNDUP(MONTH($A352)/3,0))</f>
        <v/>
      </c>
      <c r="Q352" s="35" t="str">
        <f aca="false">IF($A352="","",IF(MONTH($A352)&lt;=6,1,2))</f>
        <v/>
      </c>
      <c r="R352" s="35" t="str">
        <f aca="false">IF($E352="","",IFERROR(INDEX(Kontenplan!$F$5:$F$90,MATCH($E352,Kontenplan!$A$5:$A$90,0)),""))</f>
        <v/>
      </c>
      <c r="S352" s="35" t="str">
        <f aca="false">IF($D352="","",IFERROR(INDEX(Kontenplan!$F$5:$F$90,MATCH($D352,Kontenplan!$A$5:$A$90,0)),""))</f>
        <v/>
      </c>
      <c r="T352" s="35" t="str">
        <f aca="false">IF($D352="","",IFERROR(INDEX(Kontenplan!$C$5:$C$90,MATCH($D352,Kontenplan!$A$5:$A$90,0)),"?"))</f>
        <v/>
      </c>
      <c r="U352" s="35" t="str">
        <f aca="false">IF($E352="","",IFERROR(INDEX(Kontenplan!$C$5:$C$90,MATCH($E352,Kontenplan!$A$5:$A$90,0)),"?"))</f>
        <v/>
      </c>
      <c r="V352" s="35" t="str">
        <f aca="false">IF($F352="","",IF(OR($D352="",$E352="",$T352="?",$U352="?"),"Konto prüfen!",IF($A352="","Datum fehlt",IF(YEAR($A352)&lt;&gt;Einstellungen!$B$7,"anderes Jahr!",IF($G352="","MWST-Code fehlt","OK")))))</f>
        <v/>
      </c>
      <c r="W352" s="35" t="str">
        <f aca="false">IF($F352="","",IF(OR($D352=Kontoauszug!$C$4,$E352=Kontoauszug!$C$4),MAX(W$4:W351)+1,""))</f>
        <v/>
      </c>
    </row>
    <row r="353" customFormat="false" ht="15" hidden="false" customHeight="false" outlineLevel="0" collapsed="false">
      <c r="A353" s="33"/>
      <c r="B353" s="32"/>
      <c r="C353" s="32"/>
      <c r="D353" s="32"/>
      <c r="E353" s="32"/>
      <c r="F353" s="30"/>
      <c r="G353" s="32"/>
      <c r="H353" s="34" t="n">
        <f aca="false">IF($G353="",0,IFERROR(INDEX(Einstellungen!$G$5:$G$11,MATCH($G353,Einstellungen!$E$5:$E$11,0)),0))</f>
        <v>0</v>
      </c>
      <c r="I353" s="35" t="str">
        <f aca="false">IF($G353="","-",IFERROR(INDEX(Einstellungen!$H$5:$H$11,MATCH($G353,Einstellungen!$E$5:$E$11,0)),"-"))</f>
        <v>-</v>
      </c>
      <c r="J353" s="35" t="str">
        <f aca="false">IF(AND(Einstellungen!$B$8="Ja",Einstellungen!$B$9="Effektiv"),$I353,"-")</f>
        <v>-</v>
      </c>
      <c r="K353" s="31" t="n">
        <f aca="false">IF(OR($F353="",$J353="-"),0,ROUND($F353-$F353/(1+$H353),2))</f>
        <v>0</v>
      </c>
      <c r="L353" s="31" t="n">
        <f aca="false">IF($F353="",0,$F353-$K353)</f>
        <v>0</v>
      </c>
      <c r="M353" s="31" t="n">
        <f aca="false">IF($F353="",0,IF($J353="V",$L353,$F353))</f>
        <v>0</v>
      </c>
      <c r="N353" s="31" t="n">
        <f aca="false">IF($F353="",0,IF($J353="U",$L353,$F353))</f>
        <v>0</v>
      </c>
      <c r="O353" s="35" t="str">
        <f aca="false">IF($A353="","",MONTH($A353))</f>
        <v/>
      </c>
      <c r="P353" s="35" t="str">
        <f aca="false">IF($A353="","",ROUNDUP(MONTH($A353)/3,0))</f>
        <v/>
      </c>
      <c r="Q353" s="35" t="str">
        <f aca="false">IF($A353="","",IF(MONTH($A353)&lt;=6,1,2))</f>
        <v/>
      </c>
      <c r="R353" s="35" t="str">
        <f aca="false">IF($E353="","",IFERROR(INDEX(Kontenplan!$F$5:$F$90,MATCH($E353,Kontenplan!$A$5:$A$90,0)),""))</f>
        <v/>
      </c>
      <c r="S353" s="35" t="str">
        <f aca="false">IF($D353="","",IFERROR(INDEX(Kontenplan!$F$5:$F$90,MATCH($D353,Kontenplan!$A$5:$A$90,0)),""))</f>
        <v/>
      </c>
      <c r="T353" s="35" t="str">
        <f aca="false">IF($D353="","",IFERROR(INDEX(Kontenplan!$C$5:$C$90,MATCH($D353,Kontenplan!$A$5:$A$90,0)),"?"))</f>
        <v/>
      </c>
      <c r="U353" s="35" t="str">
        <f aca="false">IF($E353="","",IFERROR(INDEX(Kontenplan!$C$5:$C$90,MATCH($E353,Kontenplan!$A$5:$A$90,0)),"?"))</f>
        <v/>
      </c>
      <c r="V353" s="35" t="str">
        <f aca="false">IF($F353="","",IF(OR($D353="",$E353="",$T353="?",$U353="?"),"Konto prüfen!",IF($A353="","Datum fehlt",IF(YEAR($A353)&lt;&gt;Einstellungen!$B$7,"anderes Jahr!",IF($G353="","MWST-Code fehlt","OK")))))</f>
        <v/>
      </c>
      <c r="W353" s="35" t="str">
        <f aca="false">IF($F353="","",IF(OR($D353=Kontoauszug!$C$4,$E353=Kontoauszug!$C$4),MAX(W$4:W352)+1,""))</f>
        <v/>
      </c>
    </row>
    <row r="354" customFormat="false" ht="15" hidden="false" customHeight="false" outlineLevel="0" collapsed="false">
      <c r="A354" s="33"/>
      <c r="B354" s="32"/>
      <c r="C354" s="32"/>
      <c r="D354" s="32"/>
      <c r="E354" s="32"/>
      <c r="F354" s="30"/>
      <c r="G354" s="32"/>
      <c r="H354" s="34" t="n">
        <f aca="false">IF($G354="",0,IFERROR(INDEX(Einstellungen!$G$5:$G$11,MATCH($G354,Einstellungen!$E$5:$E$11,0)),0))</f>
        <v>0</v>
      </c>
      <c r="I354" s="35" t="str">
        <f aca="false">IF($G354="","-",IFERROR(INDEX(Einstellungen!$H$5:$H$11,MATCH($G354,Einstellungen!$E$5:$E$11,0)),"-"))</f>
        <v>-</v>
      </c>
      <c r="J354" s="35" t="str">
        <f aca="false">IF(AND(Einstellungen!$B$8="Ja",Einstellungen!$B$9="Effektiv"),$I354,"-")</f>
        <v>-</v>
      </c>
      <c r="K354" s="31" t="n">
        <f aca="false">IF(OR($F354="",$J354="-"),0,ROUND($F354-$F354/(1+$H354),2))</f>
        <v>0</v>
      </c>
      <c r="L354" s="31" t="n">
        <f aca="false">IF($F354="",0,$F354-$K354)</f>
        <v>0</v>
      </c>
      <c r="M354" s="31" t="n">
        <f aca="false">IF($F354="",0,IF($J354="V",$L354,$F354))</f>
        <v>0</v>
      </c>
      <c r="N354" s="31" t="n">
        <f aca="false">IF($F354="",0,IF($J354="U",$L354,$F354))</f>
        <v>0</v>
      </c>
      <c r="O354" s="35" t="str">
        <f aca="false">IF($A354="","",MONTH($A354))</f>
        <v/>
      </c>
      <c r="P354" s="35" t="str">
        <f aca="false">IF($A354="","",ROUNDUP(MONTH($A354)/3,0))</f>
        <v/>
      </c>
      <c r="Q354" s="35" t="str">
        <f aca="false">IF($A354="","",IF(MONTH($A354)&lt;=6,1,2))</f>
        <v/>
      </c>
      <c r="R354" s="35" t="str">
        <f aca="false">IF($E354="","",IFERROR(INDEX(Kontenplan!$F$5:$F$90,MATCH($E354,Kontenplan!$A$5:$A$90,0)),""))</f>
        <v/>
      </c>
      <c r="S354" s="35" t="str">
        <f aca="false">IF($D354="","",IFERROR(INDEX(Kontenplan!$F$5:$F$90,MATCH($D354,Kontenplan!$A$5:$A$90,0)),""))</f>
        <v/>
      </c>
      <c r="T354" s="35" t="str">
        <f aca="false">IF($D354="","",IFERROR(INDEX(Kontenplan!$C$5:$C$90,MATCH($D354,Kontenplan!$A$5:$A$90,0)),"?"))</f>
        <v/>
      </c>
      <c r="U354" s="35" t="str">
        <f aca="false">IF($E354="","",IFERROR(INDEX(Kontenplan!$C$5:$C$90,MATCH($E354,Kontenplan!$A$5:$A$90,0)),"?"))</f>
        <v/>
      </c>
      <c r="V354" s="35" t="str">
        <f aca="false">IF($F354="","",IF(OR($D354="",$E354="",$T354="?",$U354="?"),"Konto prüfen!",IF($A354="","Datum fehlt",IF(YEAR($A354)&lt;&gt;Einstellungen!$B$7,"anderes Jahr!",IF($G354="","MWST-Code fehlt","OK")))))</f>
        <v/>
      </c>
      <c r="W354" s="35" t="str">
        <f aca="false">IF($F354="","",IF(OR($D354=Kontoauszug!$C$4,$E354=Kontoauszug!$C$4),MAX(W$4:W353)+1,""))</f>
        <v/>
      </c>
    </row>
    <row r="355" customFormat="false" ht="15" hidden="false" customHeight="false" outlineLevel="0" collapsed="false">
      <c r="A355" s="33"/>
      <c r="B355" s="32"/>
      <c r="C355" s="32"/>
      <c r="D355" s="32"/>
      <c r="E355" s="32"/>
      <c r="F355" s="30"/>
      <c r="G355" s="32"/>
      <c r="H355" s="34" t="n">
        <f aca="false">IF($G355="",0,IFERROR(INDEX(Einstellungen!$G$5:$G$11,MATCH($G355,Einstellungen!$E$5:$E$11,0)),0))</f>
        <v>0</v>
      </c>
      <c r="I355" s="35" t="str">
        <f aca="false">IF($G355="","-",IFERROR(INDEX(Einstellungen!$H$5:$H$11,MATCH($G355,Einstellungen!$E$5:$E$11,0)),"-"))</f>
        <v>-</v>
      </c>
      <c r="J355" s="35" t="str">
        <f aca="false">IF(AND(Einstellungen!$B$8="Ja",Einstellungen!$B$9="Effektiv"),$I355,"-")</f>
        <v>-</v>
      </c>
      <c r="K355" s="31" t="n">
        <f aca="false">IF(OR($F355="",$J355="-"),0,ROUND($F355-$F355/(1+$H355),2))</f>
        <v>0</v>
      </c>
      <c r="L355" s="31" t="n">
        <f aca="false">IF($F355="",0,$F355-$K355)</f>
        <v>0</v>
      </c>
      <c r="M355" s="31" t="n">
        <f aca="false">IF($F355="",0,IF($J355="V",$L355,$F355))</f>
        <v>0</v>
      </c>
      <c r="N355" s="31" t="n">
        <f aca="false">IF($F355="",0,IF($J355="U",$L355,$F355))</f>
        <v>0</v>
      </c>
      <c r="O355" s="35" t="str">
        <f aca="false">IF($A355="","",MONTH($A355))</f>
        <v/>
      </c>
      <c r="P355" s="35" t="str">
        <f aca="false">IF($A355="","",ROUNDUP(MONTH($A355)/3,0))</f>
        <v/>
      </c>
      <c r="Q355" s="35" t="str">
        <f aca="false">IF($A355="","",IF(MONTH($A355)&lt;=6,1,2))</f>
        <v/>
      </c>
      <c r="R355" s="35" t="str">
        <f aca="false">IF($E355="","",IFERROR(INDEX(Kontenplan!$F$5:$F$90,MATCH($E355,Kontenplan!$A$5:$A$90,0)),""))</f>
        <v/>
      </c>
      <c r="S355" s="35" t="str">
        <f aca="false">IF($D355="","",IFERROR(INDEX(Kontenplan!$F$5:$F$90,MATCH($D355,Kontenplan!$A$5:$A$90,0)),""))</f>
        <v/>
      </c>
      <c r="T355" s="35" t="str">
        <f aca="false">IF($D355="","",IFERROR(INDEX(Kontenplan!$C$5:$C$90,MATCH($D355,Kontenplan!$A$5:$A$90,0)),"?"))</f>
        <v/>
      </c>
      <c r="U355" s="35" t="str">
        <f aca="false">IF($E355="","",IFERROR(INDEX(Kontenplan!$C$5:$C$90,MATCH($E355,Kontenplan!$A$5:$A$90,0)),"?"))</f>
        <v/>
      </c>
      <c r="V355" s="35" t="str">
        <f aca="false">IF($F355="","",IF(OR($D355="",$E355="",$T355="?",$U355="?"),"Konto prüfen!",IF($A355="","Datum fehlt",IF(YEAR($A355)&lt;&gt;Einstellungen!$B$7,"anderes Jahr!",IF($G355="","MWST-Code fehlt","OK")))))</f>
        <v/>
      </c>
      <c r="W355" s="35" t="str">
        <f aca="false">IF($F355="","",IF(OR($D355=Kontoauszug!$C$4,$E355=Kontoauszug!$C$4),MAX(W$4:W354)+1,""))</f>
        <v/>
      </c>
    </row>
    <row r="356" customFormat="false" ht="15" hidden="false" customHeight="false" outlineLevel="0" collapsed="false">
      <c r="A356" s="33"/>
      <c r="B356" s="32"/>
      <c r="C356" s="32"/>
      <c r="D356" s="32"/>
      <c r="E356" s="32"/>
      <c r="F356" s="30"/>
      <c r="G356" s="32"/>
      <c r="H356" s="34" t="n">
        <f aca="false">IF($G356="",0,IFERROR(INDEX(Einstellungen!$G$5:$G$11,MATCH($G356,Einstellungen!$E$5:$E$11,0)),0))</f>
        <v>0</v>
      </c>
      <c r="I356" s="35" t="str">
        <f aca="false">IF($G356="","-",IFERROR(INDEX(Einstellungen!$H$5:$H$11,MATCH($G356,Einstellungen!$E$5:$E$11,0)),"-"))</f>
        <v>-</v>
      </c>
      <c r="J356" s="35" t="str">
        <f aca="false">IF(AND(Einstellungen!$B$8="Ja",Einstellungen!$B$9="Effektiv"),$I356,"-")</f>
        <v>-</v>
      </c>
      <c r="K356" s="31" t="n">
        <f aca="false">IF(OR($F356="",$J356="-"),0,ROUND($F356-$F356/(1+$H356),2))</f>
        <v>0</v>
      </c>
      <c r="L356" s="31" t="n">
        <f aca="false">IF($F356="",0,$F356-$K356)</f>
        <v>0</v>
      </c>
      <c r="M356" s="31" t="n">
        <f aca="false">IF($F356="",0,IF($J356="V",$L356,$F356))</f>
        <v>0</v>
      </c>
      <c r="N356" s="31" t="n">
        <f aca="false">IF($F356="",0,IF($J356="U",$L356,$F356))</f>
        <v>0</v>
      </c>
      <c r="O356" s="35" t="str">
        <f aca="false">IF($A356="","",MONTH($A356))</f>
        <v/>
      </c>
      <c r="P356" s="35" t="str">
        <f aca="false">IF($A356="","",ROUNDUP(MONTH($A356)/3,0))</f>
        <v/>
      </c>
      <c r="Q356" s="35" t="str">
        <f aca="false">IF($A356="","",IF(MONTH($A356)&lt;=6,1,2))</f>
        <v/>
      </c>
      <c r="R356" s="35" t="str">
        <f aca="false">IF($E356="","",IFERROR(INDEX(Kontenplan!$F$5:$F$90,MATCH($E356,Kontenplan!$A$5:$A$90,0)),""))</f>
        <v/>
      </c>
      <c r="S356" s="35" t="str">
        <f aca="false">IF($D356="","",IFERROR(INDEX(Kontenplan!$F$5:$F$90,MATCH($D356,Kontenplan!$A$5:$A$90,0)),""))</f>
        <v/>
      </c>
      <c r="T356" s="35" t="str">
        <f aca="false">IF($D356="","",IFERROR(INDEX(Kontenplan!$C$5:$C$90,MATCH($D356,Kontenplan!$A$5:$A$90,0)),"?"))</f>
        <v/>
      </c>
      <c r="U356" s="35" t="str">
        <f aca="false">IF($E356="","",IFERROR(INDEX(Kontenplan!$C$5:$C$90,MATCH($E356,Kontenplan!$A$5:$A$90,0)),"?"))</f>
        <v/>
      </c>
      <c r="V356" s="35" t="str">
        <f aca="false">IF($F356="","",IF(OR($D356="",$E356="",$T356="?",$U356="?"),"Konto prüfen!",IF($A356="","Datum fehlt",IF(YEAR($A356)&lt;&gt;Einstellungen!$B$7,"anderes Jahr!",IF($G356="","MWST-Code fehlt","OK")))))</f>
        <v/>
      </c>
      <c r="W356" s="35" t="str">
        <f aca="false">IF($F356="","",IF(OR($D356=Kontoauszug!$C$4,$E356=Kontoauszug!$C$4),MAX(W$4:W355)+1,""))</f>
        <v/>
      </c>
    </row>
    <row r="357" customFormat="false" ht="15" hidden="false" customHeight="false" outlineLevel="0" collapsed="false">
      <c r="A357" s="33"/>
      <c r="B357" s="32"/>
      <c r="C357" s="32"/>
      <c r="D357" s="32"/>
      <c r="E357" s="32"/>
      <c r="F357" s="30"/>
      <c r="G357" s="32"/>
      <c r="H357" s="34" t="n">
        <f aca="false">IF($G357="",0,IFERROR(INDEX(Einstellungen!$G$5:$G$11,MATCH($G357,Einstellungen!$E$5:$E$11,0)),0))</f>
        <v>0</v>
      </c>
      <c r="I357" s="35" t="str">
        <f aca="false">IF($G357="","-",IFERROR(INDEX(Einstellungen!$H$5:$H$11,MATCH($G357,Einstellungen!$E$5:$E$11,0)),"-"))</f>
        <v>-</v>
      </c>
      <c r="J357" s="35" t="str">
        <f aca="false">IF(AND(Einstellungen!$B$8="Ja",Einstellungen!$B$9="Effektiv"),$I357,"-")</f>
        <v>-</v>
      </c>
      <c r="K357" s="31" t="n">
        <f aca="false">IF(OR($F357="",$J357="-"),0,ROUND($F357-$F357/(1+$H357),2))</f>
        <v>0</v>
      </c>
      <c r="L357" s="31" t="n">
        <f aca="false">IF($F357="",0,$F357-$K357)</f>
        <v>0</v>
      </c>
      <c r="M357" s="31" t="n">
        <f aca="false">IF($F357="",0,IF($J357="V",$L357,$F357))</f>
        <v>0</v>
      </c>
      <c r="N357" s="31" t="n">
        <f aca="false">IF($F357="",0,IF($J357="U",$L357,$F357))</f>
        <v>0</v>
      </c>
      <c r="O357" s="35" t="str">
        <f aca="false">IF($A357="","",MONTH($A357))</f>
        <v/>
      </c>
      <c r="P357" s="35" t="str">
        <f aca="false">IF($A357="","",ROUNDUP(MONTH($A357)/3,0))</f>
        <v/>
      </c>
      <c r="Q357" s="35" t="str">
        <f aca="false">IF($A357="","",IF(MONTH($A357)&lt;=6,1,2))</f>
        <v/>
      </c>
      <c r="R357" s="35" t="str">
        <f aca="false">IF($E357="","",IFERROR(INDEX(Kontenplan!$F$5:$F$90,MATCH($E357,Kontenplan!$A$5:$A$90,0)),""))</f>
        <v/>
      </c>
      <c r="S357" s="35" t="str">
        <f aca="false">IF($D357="","",IFERROR(INDEX(Kontenplan!$F$5:$F$90,MATCH($D357,Kontenplan!$A$5:$A$90,0)),""))</f>
        <v/>
      </c>
      <c r="T357" s="35" t="str">
        <f aca="false">IF($D357="","",IFERROR(INDEX(Kontenplan!$C$5:$C$90,MATCH($D357,Kontenplan!$A$5:$A$90,0)),"?"))</f>
        <v/>
      </c>
      <c r="U357" s="35" t="str">
        <f aca="false">IF($E357="","",IFERROR(INDEX(Kontenplan!$C$5:$C$90,MATCH($E357,Kontenplan!$A$5:$A$90,0)),"?"))</f>
        <v/>
      </c>
      <c r="V357" s="35" t="str">
        <f aca="false">IF($F357="","",IF(OR($D357="",$E357="",$T357="?",$U357="?"),"Konto prüfen!",IF($A357="","Datum fehlt",IF(YEAR($A357)&lt;&gt;Einstellungen!$B$7,"anderes Jahr!",IF($G357="","MWST-Code fehlt","OK")))))</f>
        <v/>
      </c>
      <c r="W357" s="35" t="str">
        <f aca="false">IF($F357="","",IF(OR($D357=Kontoauszug!$C$4,$E357=Kontoauszug!$C$4),MAX(W$4:W356)+1,""))</f>
        <v/>
      </c>
    </row>
    <row r="358" customFormat="false" ht="15" hidden="false" customHeight="false" outlineLevel="0" collapsed="false">
      <c r="A358" s="33"/>
      <c r="B358" s="32"/>
      <c r="C358" s="32"/>
      <c r="D358" s="32"/>
      <c r="E358" s="32"/>
      <c r="F358" s="30"/>
      <c r="G358" s="32"/>
      <c r="H358" s="34" t="n">
        <f aca="false">IF($G358="",0,IFERROR(INDEX(Einstellungen!$G$5:$G$11,MATCH($G358,Einstellungen!$E$5:$E$11,0)),0))</f>
        <v>0</v>
      </c>
      <c r="I358" s="35" t="str">
        <f aca="false">IF($G358="","-",IFERROR(INDEX(Einstellungen!$H$5:$H$11,MATCH($G358,Einstellungen!$E$5:$E$11,0)),"-"))</f>
        <v>-</v>
      </c>
      <c r="J358" s="35" t="str">
        <f aca="false">IF(AND(Einstellungen!$B$8="Ja",Einstellungen!$B$9="Effektiv"),$I358,"-")</f>
        <v>-</v>
      </c>
      <c r="K358" s="31" t="n">
        <f aca="false">IF(OR($F358="",$J358="-"),0,ROUND($F358-$F358/(1+$H358),2))</f>
        <v>0</v>
      </c>
      <c r="L358" s="31" t="n">
        <f aca="false">IF($F358="",0,$F358-$K358)</f>
        <v>0</v>
      </c>
      <c r="M358" s="31" t="n">
        <f aca="false">IF($F358="",0,IF($J358="V",$L358,$F358))</f>
        <v>0</v>
      </c>
      <c r="N358" s="31" t="n">
        <f aca="false">IF($F358="",0,IF($J358="U",$L358,$F358))</f>
        <v>0</v>
      </c>
      <c r="O358" s="35" t="str">
        <f aca="false">IF($A358="","",MONTH($A358))</f>
        <v/>
      </c>
      <c r="P358" s="35" t="str">
        <f aca="false">IF($A358="","",ROUNDUP(MONTH($A358)/3,0))</f>
        <v/>
      </c>
      <c r="Q358" s="35" t="str">
        <f aca="false">IF($A358="","",IF(MONTH($A358)&lt;=6,1,2))</f>
        <v/>
      </c>
      <c r="R358" s="35" t="str">
        <f aca="false">IF($E358="","",IFERROR(INDEX(Kontenplan!$F$5:$F$90,MATCH($E358,Kontenplan!$A$5:$A$90,0)),""))</f>
        <v/>
      </c>
      <c r="S358" s="35" t="str">
        <f aca="false">IF($D358="","",IFERROR(INDEX(Kontenplan!$F$5:$F$90,MATCH($D358,Kontenplan!$A$5:$A$90,0)),""))</f>
        <v/>
      </c>
      <c r="T358" s="35" t="str">
        <f aca="false">IF($D358="","",IFERROR(INDEX(Kontenplan!$C$5:$C$90,MATCH($D358,Kontenplan!$A$5:$A$90,0)),"?"))</f>
        <v/>
      </c>
      <c r="U358" s="35" t="str">
        <f aca="false">IF($E358="","",IFERROR(INDEX(Kontenplan!$C$5:$C$90,MATCH($E358,Kontenplan!$A$5:$A$90,0)),"?"))</f>
        <v/>
      </c>
      <c r="V358" s="35" t="str">
        <f aca="false">IF($F358="","",IF(OR($D358="",$E358="",$T358="?",$U358="?"),"Konto prüfen!",IF($A358="","Datum fehlt",IF(YEAR($A358)&lt;&gt;Einstellungen!$B$7,"anderes Jahr!",IF($G358="","MWST-Code fehlt","OK")))))</f>
        <v/>
      </c>
      <c r="W358" s="35" t="str">
        <f aca="false">IF($F358="","",IF(OR($D358=Kontoauszug!$C$4,$E358=Kontoauszug!$C$4),MAX(W$4:W357)+1,""))</f>
        <v/>
      </c>
    </row>
    <row r="359" customFormat="false" ht="15" hidden="false" customHeight="false" outlineLevel="0" collapsed="false">
      <c r="A359" s="33"/>
      <c r="B359" s="32"/>
      <c r="C359" s="32"/>
      <c r="D359" s="32"/>
      <c r="E359" s="32"/>
      <c r="F359" s="30"/>
      <c r="G359" s="32"/>
      <c r="H359" s="34" t="n">
        <f aca="false">IF($G359="",0,IFERROR(INDEX(Einstellungen!$G$5:$G$11,MATCH($G359,Einstellungen!$E$5:$E$11,0)),0))</f>
        <v>0</v>
      </c>
      <c r="I359" s="35" t="str">
        <f aca="false">IF($G359="","-",IFERROR(INDEX(Einstellungen!$H$5:$H$11,MATCH($G359,Einstellungen!$E$5:$E$11,0)),"-"))</f>
        <v>-</v>
      </c>
      <c r="J359" s="35" t="str">
        <f aca="false">IF(AND(Einstellungen!$B$8="Ja",Einstellungen!$B$9="Effektiv"),$I359,"-")</f>
        <v>-</v>
      </c>
      <c r="K359" s="31" t="n">
        <f aca="false">IF(OR($F359="",$J359="-"),0,ROUND($F359-$F359/(1+$H359),2))</f>
        <v>0</v>
      </c>
      <c r="L359" s="31" t="n">
        <f aca="false">IF($F359="",0,$F359-$K359)</f>
        <v>0</v>
      </c>
      <c r="M359" s="31" t="n">
        <f aca="false">IF($F359="",0,IF($J359="V",$L359,$F359))</f>
        <v>0</v>
      </c>
      <c r="N359" s="31" t="n">
        <f aca="false">IF($F359="",0,IF($J359="U",$L359,$F359))</f>
        <v>0</v>
      </c>
      <c r="O359" s="35" t="str">
        <f aca="false">IF($A359="","",MONTH($A359))</f>
        <v/>
      </c>
      <c r="P359" s="35" t="str">
        <f aca="false">IF($A359="","",ROUNDUP(MONTH($A359)/3,0))</f>
        <v/>
      </c>
      <c r="Q359" s="35" t="str">
        <f aca="false">IF($A359="","",IF(MONTH($A359)&lt;=6,1,2))</f>
        <v/>
      </c>
      <c r="R359" s="35" t="str">
        <f aca="false">IF($E359="","",IFERROR(INDEX(Kontenplan!$F$5:$F$90,MATCH($E359,Kontenplan!$A$5:$A$90,0)),""))</f>
        <v/>
      </c>
      <c r="S359" s="35" t="str">
        <f aca="false">IF($D359="","",IFERROR(INDEX(Kontenplan!$F$5:$F$90,MATCH($D359,Kontenplan!$A$5:$A$90,0)),""))</f>
        <v/>
      </c>
      <c r="T359" s="35" t="str">
        <f aca="false">IF($D359="","",IFERROR(INDEX(Kontenplan!$C$5:$C$90,MATCH($D359,Kontenplan!$A$5:$A$90,0)),"?"))</f>
        <v/>
      </c>
      <c r="U359" s="35" t="str">
        <f aca="false">IF($E359="","",IFERROR(INDEX(Kontenplan!$C$5:$C$90,MATCH($E359,Kontenplan!$A$5:$A$90,0)),"?"))</f>
        <v/>
      </c>
      <c r="V359" s="35" t="str">
        <f aca="false">IF($F359="","",IF(OR($D359="",$E359="",$T359="?",$U359="?"),"Konto prüfen!",IF($A359="","Datum fehlt",IF(YEAR($A359)&lt;&gt;Einstellungen!$B$7,"anderes Jahr!",IF($G359="","MWST-Code fehlt","OK")))))</f>
        <v/>
      </c>
      <c r="W359" s="35" t="str">
        <f aca="false">IF($F359="","",IF(OR($D359=Kontoauszug!$C$4,$E359=Kontoauszug!$C$4),MAX(W$4:W358)+1,""))</f>
        <v/>
      </c>
    </row>
    <row r="360" customFormat="false" ht="15" hidden="false" customHeight="false" outlineLevel="0" collapsed="false">
      <c r="A360" s="33"/>
      <c r="B360" s="32"/>
      <c r="C360" s="32"/>
      <c r="D360" s="32"/>
      <c r="E360" s="32"/>
      <c r="F360" s="30"/>
      <c r="G360" s="32"/>
      <c r="H360" s="34" t="n">
        <f aca="false">IF($G360="",0,IFERROR(INDEX(Einstellungen!$G$5:$G$11,MATCH($G360,Einstellungen!$E$5:$E$11,0)),0))</f>
        <v>0</v>
      </c>
      <c r="I360" s="35" t="str">
        <f aca="false">IF($G360="","-",IFERROR(INDEX(Einstellungen!$H$5:$H$11,MATCH($G360,Einstellungen!$E$5:$E$11,0)),"-"))</f>
        <v>-</v>
      </c>
      <c r="J360" s="35" t="str">
        <f aca="false">IF(AND(Einstellungen!$B$8="Ja",Einstellungen!$B$9="Effektiv"),$I360,"-")</f>
        <v>-</v>
      </c>
      <c r="K360" s="31" t="n">
        <f aca="false">IF(OR($F360="",$J360="-"),0,ROUND($F360-$F360/(1+$H360),2))</f>
        <v>0</v>
      </c>
      <c r="L360" s="31" t="n">
        <f aca="false">IF($F360="",0,$F360-$K360)</f>
        <v>0</v>
      </c>
      <c r="M360" s="31" t="n">
        <f aca="false">IF($F360="",0,IF($J360="V",$L360,$F360))</f>
        <v>0</v>
      </c>
      <c r="N360" s="31" t="n">
        <f aca="false">IF($F360="",0,IF($J360="U",$L360,$F360))</f>
        <v>0</v>
      </c>
      <c r="O360" s="35" t="str">
        <f aca="false">IF($A360="","",MONTH($A360))</f>
        <v/>
      </c>
      <c r="P360" s="35" t="str">
        <f aca="false">IF($A360="","",ROUNDUP(MONTH($A360)/3,0))</f>
        <v/>
      </c>
      <c r="Q360" s="35" t="str">
        <f aca="false">IF($A360="","",IF(MONTH($A360)&lt;=6,1,2))</f>
        <v/>
      </c>
      <c r="R360" s="35" t="str">
        <f aca="false">IF($E360="","",IFERROR(INDEX(Kontenplan!$F$5:$F$90,MATCH($E360,Kontenplan!$A$5:$A$90,0)),""))</f>
        <v/>
      </c>
      <c r="S360" s="35" t="str">
        <f aca="false">IF($D360="","",IFERROR(INDEX(Kontenplan!$F$5:$F$90,MATCH($D360,Kontenplan!$A$5:$A$90,0)),""))</f>
        <v/>
      </c>
      <c r="T360" s="35" t="str">
        <f aca="false">IF($D360="","",IFERROR(INDEX(Kontenplan!$C$5:$C$90,MATCH($D360,Kontenplan!$A$5:$A$90,0)),"?"))</f>
        <v/>
      </c>
      <c r="U360" s="35" t="str">
        <f aca="false">IF($E360="","",IFERROR(INDEX(Kontenplan!$C$5:$C$90,MATCH($E360,Kontenplan!$A$5:$A$90,0)),"?"))</f>
        <v/>
      </c>
      <c r="V360" s="35" t="str">
        <f aca="false">IF($F360="","",IF(OR($D360="",$E360="",$T360="?",$U360="?"),"Konto prüfen!",IF($A360="","Datum fehlt",IF(YEAR($A360)&lt;&gt;Einstellungen!$B$7,"anderes Jahr!",IF($G360="","MWST-Code fehlt","OK")))))</f>
        <v/>
      </c>
      <c r="W360" s="35" t="str">
        <f aca="false">IF($F360="","",IF(OR($D360=Kontoauszug!$C$4,$E360=Kontoauszug!$C$4),MAX(W$4:W359)+1,""))</f>
        <v/>
      </c>
    </row>
    <row r="361" customFormat="false" ht="15" hidden="false" customHeight="false" outlineLevel="0" collapsed="false">
      <c r="A361" s="33"/>
      <c r="B361" s="32"/>
      <c r="C361" s="32"/>
      <c r="D361" s="32"/>
      <c r="E361" s="32"/>
      <c r="F361" s="30"/>
      <c r="G361" s="32"/>
      <c r="H361" s="34" t="n">
        <f aca="false">IF($G361="",0,IFERROR(INDEX(Einstellungen!$G$5:$G$11,MATCH($G361,Einstellungen!$E$5:$E$11,0)),0))</f>
        <v>0</v>
      </c>
      <c r="I361" s="35" t="str">
        <f aca="false">IF($G361="","-",IFERROR(INDEX(Einstellungen!$H$5:$H$11,MATCH($G361,Einstellungen!$E$5:$E$11,0)),"-"))</f>
        <v>-</v>
      </c>
      <c r="J361" s="35" t="str">
        <f aca="false">IF(AND(Einstellungen!$B$8="Ja",Einstellungen!$B$9="Effektiv"),$I361,"-")</f>
        <v>-</v>
      </c>
      <c r="K361" s="31" t="n">
        <f aca="false">IF(OR($F361="",$J361="-"),0,ROUND($F361-$F361/(1+$H361),2))</f>
        <v>0</v>
      </c>
      <c r="L361" s="31" t="n">
        <f aca="false">IF($F361="",0,$F361-$K361)</f>
        <v>0</v>
      </c>
      <c r="M361" s="31" t="n">
        <f aca="false">IF($F361="",0,IF($J361="V",$L361,$F361))</f>
        <v>0</v>
      </c>
      <c r="N361" s="31" t="n">
        <f aca="false">IF($F361="",0,IF($J361="U",$L361,$F361))</f>
        <v>0</v>
      </c>
      <c r="O361" s="35" t="str">
        <f aca="false">IF($A361="","",MONTH($A361))</f>
        <v/>
      </c>
      <c r="P361" s="35" t="str">
        <f aca="false">IF($A361="","",ROUNDUP(MONTH($A361)/3,0))</f>
        <v/>
      </c>
      <c r="Q361" s="35" t="str">
        <f aca="false">IF($A361="","",IF(MONTH($A361)&lt;=6,1,2))</f>
        <v/>
      </c>
      <c r="R361" s="35" t="str">
        <f aca="false">IF($E361="","",IFERROR(INDEX(Kontenplan!$F$5:$F$90,MATCH($E361,Kontenplan!$A$5:$A$90,0)),""))</f>
        <v/>
      </c>
      <c r="S361" s="35" t="str">
        <f aca="false">IF($D361="","",IFERROR(INDEX(Kontenplan!$F$5:$F$90,MATCH($D361,Kontenplan!$A$5:$A$90,0)),""))</f>
        <v/>
      </c>
      <c r="T361" s="35" t="str">
        <f aca="false">IF($D361="","",IFERROR(INDEX(Kontenplan!$C$5:$C$90,MATCH($D361,Kontenplan!$A$5:$A$90,0)),"?"))</f>
        <v/>
      </c>
      <c r="U361" s="35" t="str">
        <f aca="false">IF($E361="","",IFERROR(INDEX(Kontenplan!$C$5:$C$90,MATCH($E361,Kontenplan!$A$5:$A$90,0)),"?"))</f>
        <v/>
      </c>
      <c r="V361" s="35" t="str">
        <f aca="false">IF($F361="","",IF(OR($D361="",$E361="",$T361="?",$U361="?"),"Konto prüfen!",IF($A361="","Datum fehlt",IF(YEAR($A361)&lt;&gt;Einstellungen!$B$7,"anderes Jahr!",IF($G361="","MWST-Code fehlt","OK")))))</f>
        <v/>
      </c>
      <c r="W361" s="35" t="str">
        <f aca="false">IF($F361="","",IF(OR($D361=Kontoauszug!$C$4,$E361=Kontoauszug!$C$4),MAX(W$4:W360)+1,""))</f>
        <v/>
      </c>
    </row>
    <row r="362" customFormat="false" ht="15" hidden="false" customHeight="false" outlineLevel="0" collapsed="false">
      <c r="A362" s="33"/>
      <c r="B362" s="32"/>
      <c r="C362" s="32"/>
      <c r="D362" s="32"/>
      <c r="E362" s="32"/>
      <c r="F362" s="30"/>
      <c r="G362" s="32"/>
      <c r="H362" s="34" t="n">
        <f aca="false">IF($G362="",0,IFERROR(INDEX(Einstellungen!$G$5:$G$11,MATCH($G362,Einstellungen!$E$5:$E$11,0)),0))</f>
        <v>0</v>
      </c>
      <c r="I362" s="35" t="str">
        <f aca="false">IF($G362="","-",IFERROR(INDEX(Einstellungen!$H$5:$H$11,MATCH($G362,Einstellungen!$E$5:$E$11,0)),"-"))</f>
        <v>-</v>
      </c>
      <c r="J362" s="35" t="str">
        <f aca="false">IF(AND(Einstellungen!$B$8="Ja",Einstellungen!$B$9="Effektiv"),$I362,"-")</f>
        <v>-</v>
      </c>
      <c r="K362" s="31" t="n">
        <f aca="false">IF(OR($F362="",$J362="-"),0,ROUND($F362-$F362/(1+$H362),2))</f>
        <v>0</v>
      </c>
      <c r="L362" s="31" t="n">
        <f aca="false">IF($F362="",0,$F362-$K362)</f>
        <v>0</v>
      </c>
      <c r="M362" s="31" t="n">
        <f aca="false">IF($F362="",0,IF($J362="V",$L362,$F362))</f>
        <v>0</v>
      </c>
      <c r="N362" s="31" t="n">
        <f aca="false">IF($F362="",0,IF($J362="U",$L362,$F362))</f>
        <v>0</v>
      </c>
      <c r="O362" s="35" t="str">
        <f aca="false">IF($A362="","",MONTH($A362))</f>
        <v/>
      </c>
      <c r="P362" s="35" t="str">
        <f aca="false">IF($A362="","",ROUNDUP(MONTH($A362)/3,0))</f>
        <v/>
      </c>
      <c r="Q362" s="35" t="str">
        <f aca="false">IF($A362="","",IF(MONTH($A362)&lt;=6,1,2))</f>
        <v/>
      </c>
      <c r="R362" s="35" t="str">
        <f aca="false">IF($E362="","",IFERROR(INDEX(Kontenplan!$F$5:$F$90,MATCH($E362,Kontenplan!$A$5:$A$90,0)),""))</f>
        <v/>
      </c>
      <c r="S362" s="35" t="str">
        <f aca="false">IF($D362="","",IFERROR(INDEX(Kontenplan!$F$5:$F$90,MATCH($D362,Kontenplan!$A$5:$A$90,0)),""))</f>
        <v/>
      </c>
      <c r="T362" s="35" t="str">
        <f aca="false">IF($D362="","",IFERROR(INDEX(Kontenplan!$C$5:$C$90,MATCH($D362,Kontenplan!$A$5:$A$90,0)),"?"))</f>
        <v/>
      </c>
      <c r="U362" s="35" t="str">
        <f aca="false">IF($E362="","",IFERROR(INDEX(Kontenplan!$C$5:$C$90,MATCH($E362,Kontenplan!$A$5:$A$90,0)),"?"))</f>
        <v/>
      </c>
      <c r="V362" s="35" t="str">
        <f aca="false">IF($F362="","",IF(OR($D362="",$E362="",$T362="?",$U362="?"),"Konto prüfen!",IF($A362="","Datum fehlt",IF(YEAR($A362)&lt;&gt;Einstellungen!$B$7,"anderes Jahr!",IF($G362="","MWST-Code fehlt","OK")))))</f>
        <v/>
      </c>
      <c r="W362" s="35" t="str">
        <f aca="false">IF($F362="","",IF(OR($D362=Kontoauszug!$C$4,$E362=Kontoauszug!$C$4),MAX(W$4:W361)+1,""))</f>
        <v/>
      </c>
    </row>
    <row r="363" customFormat="false" ht="15" hidden="false" customHeight="false" outlineLevel="0" collapsed="false">
      <c r="A363" s="33"/>
      <c r="B363" s="32"/>
      <c r="C363" s="32"/>
      <c r="D363" s="32"/>
      <c r="E363" s="32"/>
      <c r="F363" s="30"/>
      <c r="G363" s="32"/>
      <c r="H363" s="34" t="n">
        <f aca="false">IF($G363="",0,IFERROR(INDEX(Einstellungen!$G$5:$G$11,MATCH($G363,Einstellungen!$E$5:$E$11,0)),0))</f>
        <v>0</v>
      </c>
      <c r="I363" s="35" t="str">
        <f aca="false">IF($G363="","-",IFERROR(INDEX(Einstellungen!$H$5:$H$11,MATCH($G363,Einstellungen!$E$5:$E$11,0)),"-"))</f>
        <v>-</v>
      </c>
      <c r="J363" s="35" t="str">
        <f aca="false">IF(AND(Einstellungen!$B$8="Ja",Einstellungen!$B$9="Effektiv"),$I363,"-")</f>
        <v>-</v>
      </c>
      <c r="K363" s="31" t="n">
        <f aca="false">IF(OR($F363="",$J363="-"),0,ROUND($F363-$F363/(1+$H363),2))</f>
        <v>0</v>
      </c>
      <c r="L363" s="31" t="n">
        <f aca="false">IF($F363="",0,$F363-$K363)</f>
        <v>0</v>
      </c>
      <c r="M363" s="31" t="n">
        <f aca="false">IF($F363="",0,IF($J363="V",$L363,$F363))</f>
        <v>0</v>
      </c>
      <c r="N363" s="31" t="n">
        <f aca="false">IF($F363="",0,IF($J363="U",$L363,$F363))</f>
        <v>0</v>
      </c>
      <c r="O363" s="35" t="str">
        <f aca="false">IF($A363="","",MONTH($A363))</f>
        <v/>
      </c>
      <c r="P363" s="35" t="str">
        <f aca="false">IF($A363="","",ROUNDUP(MONTH($A363)/3,0))</f>
        <v/>
      </c>
      <c r="Q363" s="35" t="str">
        <f aca="false">IF($A363="","",IF(MONTH($A363)&lt;=6,1,2))</f>
        <v/>
      </c>
      <c r="R363" s="35" t="str">
        <f aca="false">IF($E363="","",IFERROR(INDEX(Kontenplan!$F$5:$F$90,MATCH($E363,Kontenplan!$A$5:$A$90,0)),""))</f>
        <v/>
      </c>
      <c r="S363" s="35" t="str">
        <f aca="false">IF($D363="","",IFERROR(INDEX(Kontenplan!$F$5:$F$90,MATCH($D363,Kontenplan!$A$5:$A$90,0)),""))</f>
        <v/>
      </c>
      <c r="T363" s="35" t="str">
        <f aca="false">IF($D363="","",IFERROR(INDEX(Kontenplan!$C$5:$C$90,MATCH($D363,Kontenplan!$A$5:$A$90,0)),"?"))</f>
        <v/>
      </c>
      <c r="U363" s="35" t="str">
        <f aca="false">IF($E363="","",IFERROR(INDEX(Kontenplan!$C$5:$C$90,MATCH($E363,Kontenplan!$A$5:$A$90,0)),"?"))</f>
        <v/>
      </c>
      <c r="V363" s="35" t="str">
        <f aca="false">IF($F363="","",IF(OR($D363="",$E363="",$T363="?",$U363="?"),"Konto prüfen!",IF($A363="","Datum fehlt",IF(YEAR($A363)&lt;&gt;Einstellungen!$B$7,"anderes Jahr!",IF($G363="","MWST-Code fehlt","OK")))))</f>
        <v/>
      </c>
      <c r="W363" s="35" t="str">
        <f aca="false">IF($F363="","",IF(OR($D363=Kontoauszug!$C$4,$E363=Kontoauszug!$C$4),MAX(W$4:W362)+1,""))</f>
        <v/>
      </c>
    </row>
    <row r="364" customFormat="false" ht="15" hidden="false" customHeight="false" outlineLevel="0" collapsed="false">
      <c r="A364" s="33"/>
      <c r="B364" s="32"/>
      <c r="C364" s="32"/>
      <c r="D364" s="32"/>
      <c r="E364" s="32"/>
      <c r="F364" s="30"/>
      <c r="G364" s="32"/>
      <c r="H364" s="34" t="n">
        <f aca="false">IF($G364="",0,IFERROR(INDEX(Einstellungen!$G$5:$G$11,MATCH($G364,Einstellungen!$E$5:$E$11,0)),0))</f>
        <v>0</v>
      </c>
      <c r="I364" s="35" t="str">
        <f aca="false">IF($G364="","-",IFERROR(INDEX(Einstellungen!$H$5:$H$11,MATCH($G364,Einstellungen!$E$5:$E$11,0)),"-"))</f>
        <v>-</v>
      </c>
      <c r="J364" s="35" t="str">
        <f aca="false">IF(AND(Einstellungen!$B$8="Ja",Einstellungen!$B$9="Effektiv"),$I364,"-")</f>
        <v>-</v>
      </c>
      <c r="K364" s="31" t="n">
        <f aca="false">IF(OR($F364="",$J364="-"),0,ROUND($F364-$F364/(1+$H364),2))</f>
        <v>0</v>
      </c>
      <c r="L364" s="31" t="n">
        <f aca="false">IF($F364="",0,$F364-$K364)</f>
        <v>0</v>
      </c>
      <c r="M364" s="31" t="n">
        <f aca="false">IF($F364="",0,IF($J364="V",$L364,$F364))</f>
        <v>0</v>
      </c>
      <c r="N364" s="31" t="n">
        <f aca="false">IF($F364="",0,IF($J364="U",$L364,$F364))</f>
        <v>0</v>
      </c>
      <c r="O364" s="35" t="str">
        <f aca="false">IF($A364="","",MONTH($A364))</f>
        <v/>
      </c>
      <c r="P364" s="35" t="str">
        <f aca="false">IF($A364="","",ROUNDUP(MONTH($A364)/3,0))</f>
        <v/>
      </c>
      <c r="Q364" s="35" t="str">
        <f aca="false">IF($A364="","",IF(MONTH($A364)&lt;=6,1,2))</f>
        <v/>
      </c>
      <c r="R364" s="35" t="str">
        <f aca="false">IF($E364="","",IFERROR(INDEX(Kontenplan!$F$5:$F$90,MATCH($E364,Kontenplan!$A$5:$A$90,0)),""))</f>
        <v/>
      </c>
      <c r="S364" s="35" t="str">
        <f aca="false">IF($D364="","",IFERROR(INDEX(Kontenplan!$F$5:$F$90,MATCH($D364,Kontenplan!$A$5:$A$90,0)),""))</f>
        <v/>
      </c>
      <c r="T364" s="35" t="str">
        <f aca="false">IF($D364="","",IFERROR(INDEX(Kontenplan!$C$5:$C$90,MATCH($D364,Kontenplan!$A$5:$A$90,0)),"?"))</f>
        <v/>
      </c>
      <c r="U364" s="35" t="str">
        <f aca="false">IF($E364="","",IFERROR(INDEX(Kontenplan!$C$5:$C$90,MATCH($E364,Kontenplan!$A$5:$A$90,0)),"?"))</f>
        <v/>
      </c>
      <c r="V364" s="35" t="str">
        <f aca="false">IF($F364="","",IF(OR($D364="",$E364="",$T364="?",$U364="?"),"Konto prüfen!",IF($A364="","Datum fehlt",IF(YEAR($A364)&lt;&gt;Einstellungen!$B$7,"anderes Jahr!",IF($G364="","MWST-Code fehlt","OK")))))</f>
        <v/>
      </c>
      <c r="W364" s="35" t="str">
        <f aca="false">IF($F364="","",IF(OR($D364=Kontoauszug!$C$4,$E364=Kontoauszug!$C$4),MAX(W$4:W363)+1,""))</f>
        <v/>
      </c>
    </row>
    <row r="365" customFormat="false" ht="15" hidden="false" customHeight="false" outlineLevel="0" collapsed="false">
      <c r="A365" s="33"/>
      <c r="B365" s="32"/>
      <c r="C365" s="32"/>
      <c r="D365" s="32"/>
      <c r="E365" s="32"/>
      <c r="F365" s="30"/>
      <c r="G365" s="32"/>
      <c r="H365" s="34" t="n">
        <f aca="false">IF($G365="",0,IFERROR(INDEX(Einstellungen!$G$5:$G$11,MATCH($G365,Einstellungen!$E$5:$E$11,0)),0))</f>
        <v>0</v>
      </c>
      <c r="I365" s="35" t="str">
        <f aca="false">IF($G365="","-",IFERROR(INDEX(Einstellungen!$H$5:$H$11,MATCH($G365,Einstellungen!$E$5:$E$11,0)),"-"))</f>
        <v>-</v>
      </c>
      <c r="J365" s="35" t="str">
        <f aca="false">IF(AND(Einstellungen!$B$8="Ja",Einstellungen!$B$9="Effektiv"),$I365,"-")</f>
        <v>-</v>
      </c>
      <c r="K365" s="31" t="n">
        <f aca="false">IF(OR($F365="",$J365="-"),0,ROUND($F365-$F365/(1+$H365),2))</f>
        <v>0</v>
      </c>
      <c r="L365" s="31" t="n">
        <f aca="false">IF($F365="",0,$F365-$K365)</f>
        <v>0</v>
      </c>
      <c r="M365" s="31" t="n">
        <f aca="false">IF($F365="",0,IF($J365="V",$L365,$F365))</f>
        <v>0</v>
      </c>
      <c r="N365" s="31" t="n">
        <f aca="false">IF($F365="",0,IF($J365="U",$L365,$F365))</f>
        <v>0</v>
      </c>
      <c r="O365" s="35" t="str">
        <f aca="false">IF($A365="","",MONTH($A365))</f>
        <v/>
      </c>
      <c r="P365" s="35" t="str">
        <f aca="false">IF($A365="","",ROUNDUP(MONTH($A365)/3,0))</f>
        <v/>
      </c>
      <c r="Q365" s="35" t="str">
        <f aca="false">IF($A365="","",IF(MONTH($A365)&lt;=6,1,2))</f>
        <v/>
      </c>
      <c r="R365" s="35" t="str">
        <f aca="false">IF($E365="","",IFERROR(INDEX(Kontenplan!$F$5:$F$90,MATCH($E365,Kontenplan!$A$5:$A$90,0)),""))</f>
        <v/>
      </c>
      <c r="S365" s="35" t="str">
        <f aca="false">IF($D365="","",IFERROR(INDEX(Kontenplan!$F$5:$F$90,MATCH($D365,Kontenplan!$A$5:$A$90,0)),""))</f>
        <v/>
      </c>
      <c r="T365" s="35" t="str">
        <f aca="false">IF($D365="","",IFERROR(INDEX(Kontenplan!$C$5:$C$90,MATCH($D365,Kontenplan!$A$5:$A$90,0)),"?"))</f>
        <v/>
      </c>
      <c r="U365" s="35" t="str">
        <f aca="false">IF($E365="","",IFERROR(INDEX(Kontenplan!$C$5:$C$90,MATCH($E365,Kontenplan!$A$5:$A$90,0)),"?"))</f>
        <v/>
      </c>
      <c r="V365" s="35" t="str">
        <f aca="false">IF($F365="","",IF(OR($D365="",$E365="",$T365="?",$U365="?"),"Konto prüfen!",IF($A365="","Datum fehlt",IF(YEAR($A365)&lt;&gt;Einstellungen!$B$7,"anderes Jahr!",IF($G365="","MWST-Code fehlt","OK")))))</f>
        <v/>
      </c>
      <c r="W365" s="35" t="str">
        <f aca="false">IF($F365="","",IF(OR($D365=Kontoauszug!$C$4,$E365=Kontoauszug!$C$4),MAX(W$4:W364)+1,""))</f>
        <v/>
      </c>
    </row>
    <row r="366" customFormat="false" ht="15" hidden="false" customHeight="false" outlineLevel="0" collapsed="false">
      <c r="A366" s="33"/>
      <c r="B366" s="32"/>
      <c r="C366" s="32"/>
      <c r="D366" s="32"/>
      <c r="E366" s="32"/>
      <c r="F366" s="30"/>
      <c r="G366" s="32"/>
      <c r="H366" s="34" t="n">
        <f aca="false">IF($G366="",0,IFERROR(INDEX(Einstellungen!$G$5:$G$11,MATCH($G366,Einstellungen!$E$5:$E$11,0)),0))</f>
        <v>0</v>
      </c>
      <c r="I366" s="35" t="str">
        <f aca="false">IF($G366="","-",IFERROR(INDEX(Einstellungen!$H$5:$H$11,MATCH($G366,Einstellungen!$E$5:$E$11,0)),"-"))</f>
        <v>-</v>
      </c>
      <c r="J366" s="35" t="str">
        <f aca="false">IF(AND(Einstellungen!$B$8="Ja",Einstellungen!$B$9="Effektiv"),$I366,"-")</f>
        <v>-</v>
      </c>
      <c r="K366" s="31" t="n">
        <f aca="false">IF(OR($F366="",$J366="-"),0,ROUND($F366-$F366/(1+$H366),2))</f>
        <v>0</v>
      </c>
      <c r="L366" s="31" t="n">
        <f aca="false">IF($F366="",0,$F366-$K366)</f>
        <v>0</v>
      </c>
      <c r="M366" s="31" t="n">
        <f aca="false">IF($F366="",0,IF($J366="V",$L366,$F366))</f>
        <v>0</v>
      </c>
      <c r="N366" s="31" t="n">
        <f aca="false">IF($F366="",0,IF($J366="U",$L366,$F366))</f>
        <v>0</v>
      </c>
      <c r="O366" s="35" t="str">
        <f aca="false">IF($A366="","",MONTH($A366))</f>
        <v/>
      </c>
      <c r="P366" s="35" t="str">
        <f aca="false">IF($A366="","",ROUNDUP(MONTH($A366)/3,0))</f>
        <v/>
      </c>
      <c r="Q366" s="35" t="str">
        <f aca="false">IF($A366="","",IF(MONTH($A366)&lt;=6,1,2))</f>
        <v/>
      </c>
      <c r="R366" s="35" t="str">
        <f aca="false">IF($E366="","",IFERROR(INDEX(Kontenplan!$F$5:$F$90,MATCH($E366,Kontenplan!$A$5:$A$90,0)),""))</f>
        <v/>
      </c>
      <c r="S366" s="35" t="str">
        <f aca="false">IF($D366="","",IFERROR(INDEX(Kontenplan!$F$5:$F$90,MATCH($D366,Kontenplan!$A$5:$A$90,0)),""))</f>
        <v/>
      </c>
      <c r="T366" s="35" t="str">
        <f aca="false">IF($D366="","",IFERROR(INDEX(Kontenplan!$C$5:$C$90,MATCH($D366,Kontenplan!$A$5:$A$90,0)),"?"))</f>
        <v/>
      </c>
      <c r="U366" s="35" t="str">
        <f aca="false">IF($E366="","",IFERROR(INDEX(Kontenplan!$C$5:$C$90,MATCH($E366,Kontenplan!$A$5:$A$90,0)),"?"))</f>
        <v/>
      </c>
      <c r="V366" s="35" t="str">
        <f aca="false">IF($F366="","",IF(OR($D366="",$E366="",$T366="?",$U366="?"),"Konto prüfen!",IF($A366="","Datum fehlt",IF(YEAR($A366)&lt;&gt;Einstellungen!$B$7,"anderes Jahr!",IF($G366="","MWST-Code fehlt","OK")))))</f>
        <v/>
      </c>
      <c r="W366" s="35" t="str">
        <f aca="false">IF($F366="","",IF(OR($D366=Kontoauszug!$C$4,$E366=Kontoauszug!$C$4),MAX(W$4:W365)+1,""))</f>
        <v/>
      </c>
    </row>
    <row r="367" customFormat="false" ht="15" hidden="false" customHeight="false" outlineLevel="0" collapsed="false">
      <c r="A367" s="33"/>
      <c r="B367" s="32"/>
      <c r="C367" s="32"/>
      <c r="D367" s="32"/>
      <c r="E367" s="32"/>
      <c r="F367" s="30"/>
      <c r="G367" s="32"/>
      <c r="H367" s="34" t="n">
        <f aca="false">IF($G367="",0,IFERROR(INDEX(Einstellungen!$G$5:$G$11,MATCH($G367,Einstellungen!$E$5:$E$11,0)),0))</f>
        <v>0</v>
      </c>
      <c r="I367" s="35" t="str">
        <f aca="false">IF($G367="","-",IFERROR(INDEX(Einstellungen!$H$5:$H$11,MATCH($G367,Einstellungen!$E$5:$E$11,0)),"-"))</f>
        <v>-</v>
      </c>
      <c r="J367" s="35" t="str">
        <f aca="false">IF(AND(Einstellungen!$B$8="Ja",Einstellungen!$B$9="Effektiv"),$I367,"-")</f>
        <v>-</v>
      </c>
      <c r="K367" s="31" t="n">
        <f aca="false">IF(OR($F367="",$J367="-"),0,ROUND($F367-$F367/(1+$H367),2))</f>
        <v>0</v>
      </c>
      <c r="L367" s="31" t="n">
        <f aca="false">IF($F367="",0,$F367-$K367)</f>
        <v>0</v>
      </c>
      <c r="M367" s="31" t="n">
        <f aca="false">IF($F367="",0,IF($J367="V",$L367,$F367))</f>
        <v>0</v>
      </c>
      <c r="N367" s="31" t="n">
        <f aca="false">IF($F367="",0,IF($J367="U",$L367,$F367))</f>
        <v>0</v>
      </c>
      <c r="O367" s="35" t="str">
        <f aca="false">IF($A367="","",MONTH($A367))</f>
        <v/>
      </c>
      <c r="P367" s="35" t="str">
        <f aca="false">IF($A367="","",ROUNDUP(MONTH($A367)/3,0))</f>
        <v/>
      </c>
      <c r="Q367" s="35" t="str">
        <f aca="false">IF($A367="","",IF(MONTH($A367)&lt;=6,1,2))</f>
        <v/>
      </c>
      <c r="R367" s="35" t="str">
        <f aca="false">IF($E367="","",IFERROR(INDEX(Kontenplan!$F$5:$F$90,MATCH($E367,Kontenplan!$A$5:$A$90,0)),""))</f>
        <v/>
      </c>
      <c r="S367" s="35" t="str">
        <f aca="false">IF($D367="","",IFERROR(INDEX(Kontenplan!$F$5:$F$90,MATCH($D367,Kontenplan!$A$5:$A$90,0)),""))</f>
        <v/>
      </c>
      <c r="T367" s="35" t="str">
        <f aca="false">IF($D367="","",IFERROR(INDEX(Kontenplan!$C$5:$C$90,MATCH($D367,Kontenplan!$A$5:$A$90,0)),"?"))</f>
        <v/>
      </c>
      <c r="U367" s="35" t="str">
        <f aca="false">IF($E367="","",IFERROR(INDEX(Kontenplan!$C$5:$C$90,MATCH($E367,Kontenplan!$A$5:$A$90,0)),"?"))</f>
        <v/>
      </c>
      <c r="V367" s="35" t="str">
        <f aca="false">IF($F367="","",IF(OR($D367="",$E367="",$T367="?",$U367="?"),"Konto prüfen!",IF($A367="","Datum fehlt",IF(YEAR($A367)&lt;&gt;Einstellungen!$B$7,"anderes Jahr!",IF($G367="","MWST-Code fehlt","OK")))))</f>
        <v/>
      </c>
      <c r="W367" s="35" t="str">
        <f aca="false">IF($F367="","",IF(OR($D367=Kontoauszug!$C$4,$E367=Kontoauszug!$C$4),MAX(W$4:W366)+1,""))</f>
        <v/>
      </c>
    </row>
    <row r="368" customFormat="false" ht="15" hidden="false" customHeight="false" outlineLevel="0" collapsed="false">
      <c r="A368" s="33"/>
      <c r="B368" s="32"/>
      <c r="C368" s="32"/>
      <c r="D368" s="32"/>
      <c r="E368" s="32"/>
      <c r="F368" s="30"/>
      <c r="G368" s="32"/>
      <c r="H368" s="34" t="n">
        <f aca="false">IF($G368="",0,IFERROR(INDEX(Einstellungen!$G$5:$G$11,MATCH($G368,Einstellungen!$E$5:$E$11,0)),0))</f>
        <v>0</v>
      </c>
      <c r="I368" s="35" t="str">
        <f aca="false">IF($G368="","-",IFERROR(INDEX(Einstellungen!$H$5:$H$11,MATCH($G368,Einstellungen!$E$5:$E$11,0)),"-"))</f>
        <v>-</v>
      </c>
      <c r="J368" s="35" t="str">
        <f aca="false">IF(AND(Einstellungen!$B$8="Ja",Einstellungen!$B$9="Effektiv"),$I368,"-")</f>
        <v>-</v>
      </c>
      <c r="K368" s="31" t="n">
        <f aca="false">IF(OR($F368="",$J368="-"),0,ROUND($F368-$F368/(1+$H368),2))</f>
        <v>0</v>
      </c>
      <c r="L368" s="31" t="n">
        <f aca="false">IF($F368="",0,$F368-$K368)</f>
        <v>0</v>
      </c>
      <c r="M368" s="31" t="n">
        <f aca="false">IF($F368="",0,IF($J368="V",$L368,$F368))</f>
        <v>0</v>
      </c>
      <c r="N368" s="31" t="n">
        <f aca="false">IF($F368="",0,IF($J368="U",$L368,$F368))</f>
        <v>0</v>
      </c>
      <c r="O368" s="35" t="str">
        <f aca="false">IF($A368="","",MONTH($A368))</f>
        <v/>
      </c>
      <c r="P368" s="35" t="str">
        <f aca="false">IF($A368="","",ROUNDUP(MONTH($A368)/3,0))</f>
        <v/>
      </c>
      <c r="Q368" s="35" t="str">
        <f aca="false">IF($A368="","",IF(MONTH($A368)&lt;=6,1,2))</f>
        <v/>
      </c>
      <c r="R368" s="35" t="str">
        <f aca="false">IF($E368="","",IFERROR(INDEX(Kontenplan!$F$5:$F$90,MATCH($E368,Kontenplan!$A$5:$A$90,0)),""))</f>
        <v/>
      </c>
      <c r="S368" s="35" t="str">
        <f aca="false">IF($D368="","",IFERROR(INDEX(Kontenplan!$F$5:$F$90,MATCH($D368,Kontenplan!$A$5:$A$90,0)),""))</f>
        <v/>
      </c>
      <c r="T368" s="35" t="str">
        <f aca="false">IF($D368="","",IFERROR(INDEX(Kontenplan!$C$5:$C$90,MATCH($D368,Kontenplan!$A$5:$A$90,0)),"?"))</f>
        <v/>
      </c>
      <c r="U368" s="35" t="str">
        <f aca="false">IF($E368="","",IFERROR(INDEX(Kontenplan!$C$5:$C$90,MATCH($E368,Kontenplan!$A$5:$A$90,0)),"?"))</f>
        <v/>
      </c>
      <c r="V368" s="35" t="str">
        <f aca="false">IF($F368="","",IF(OR($D368="",$E368="",$T368="?",$U368="?"),"Konto prüfen!",IF($A368="","Datum fehlt",IF(YEAR($A368)&lt;&gt;Einstellungen!$B$7,"anderes Jahr!",IF($G368="","MWST-Code fehlt","OK")))))</f>
        <v/>
      </c>
      <c r="W368" s="35" t="str">
        <f aca="false">IF($F368="","",IF(OR($D368=Kontoauszug!$C$4,$E368=Kontoauszug!$C$4),MAX(W$4:W367)+1,""))</f>
        <v/>
      </c>
    </row>
    <row r="369" customFormat="false" ht="15" hidden="false" customHeight="false" outlineLevel="0" collapsed="false">
      <c r="A369" s="33"/>
      <c r="B369" s="32"/>
      <c r="C369" s="32"/>
      <c r="D369" s="32"/>
      <c r="E369" s="32"/>
      <c r="F369" s="30"/>
      <c r="G369" s="32"/>
      <c r="H369" s="34" t="n">
        <f aca="false">IF($G369="",0,IFERROR(INDEX(Einstellungen!$G$5:$G$11,MATCH($G369,Einstellungen!$E$5:$E$11,0)),0))</f>
        <v>0</v>
      </c>
      <c r="I369" s="35" t="str">
        <f aca="false">IF($G369="","-",IFERROR(INDEX(Einstellungen!$H$5:$H$11,MATCH($G369,Einstellungen!$E$5:$E$11,0)),"-"))</f>
        <v>-</v>
      </c>
      <c r="J369" s="35" t="str">
        <f aca="false">IF(AND(Einstellungen!$B$8="Ja",Einstellungen!$B$9="Effektiv"),$I369,"-")</f>
        <v>-</v>
      </c>
      <c r="K369" s="31" t="n">
        <f aca="false">IF(OR($F369="",$J369="-"),0,ROUND($F369-$F369/(1+$H369),2))</f>
        <v>0</v>
      </c>
      <c r="L369" s="31" t="n">
        <f aca="false">IF($F369="",0,$F369-$K369)</f>
        <v>0</v>
      </c>
      <c r="M369" s="31" t="n">
        <f aca="false">IF($F369="",0,IF($J369="V",$L369,$F369))</f>
        <v>0</v>
      </c>
      <c r="N369" s="31" t="n">
        <f aca="false">IF($F369="",0,IF($J369="U",$L369,$F369))</f>
        <v>0</v>
      </c>
      <c r="O369" s="35" t="str">
        <f aca="false">IF($A369="","",MONTH($A369))</f>
        <v/>
      </c>
      <c r="P369" s="35" t="str">
        <f aca="false">IF($A369="","",ROUNDUP(MONTH($A369)/3,0))</f>
        <v/>
      </c>
      <c r="Q369" s="35" t="str">
        <f aca="false">IF($A369="","",IF(MONTH($A369)&lt;=6,1,2))</f>
        <v/>
      </c>
      <c r="R369" s="35" t="str">
        <f aca="false">IF($E369="","",IFERROR(INDEX(Kontenplan!$F$5:$F$90,MATCH($E369,Kontenplan!$A$5:$A$90,0)),""))</f>
        <v/>
      </c>
      <c r="S369" s="35" t="str">
        <f aca="false">IF($D369="","",IFERROR(INDEX(Kontenplan!$F$5:$F$90,MATCH($D369,Kontenplan!$A$5:$A$90,0)),""))</f>
        <v/>
      </c>
      <c r="T369" s="35" t="str">
        <f aca="false">IF($D369="","",IFERROR(INDEX(Kontenplan!$C$5:$C$90,MATCH($D369,Kontenplan!$A$5:$A$90,0)),"?"))</f>
        <v/>
      </c>
      <c r="U369" s="35" t="str">
        <f aca="false">IF($E369="","",IFERROR(INDEX(Kontenplan!$C$5:$C$90,MATCH($E369,Kontenplan!$A$5:$A$90,0)),"?"))</f>
        <v/>
      </c>
      <c r="V369" s="35" t="str">
        <f aca="false">IF($F369="","",IF(OR($D369="",$E369="",$T369="?",$U369="?"),"Konto prüfen!",IF($A369="","Datum fehlt",IF(YEAR($A369)&lt;&gt;Einstellungen!$B$7,"anderes Jahr!",IF($G369="","MWST-Code fehlt","OK")))))</f>
        <v/>
      </c>
      <c r="W369" s="35" t="str">
        <f aca="false">IF($F369="","",IF(OR($D369=Kontoauszug!$C$4,$E369=Kontoauszug!$C$4),MAX(W$4:W368)+1,""))</f>
        <v/>
      </c>
    </row>
    <row r="370" customFormat="false" ht="15" hidden="false" customHeight="false" outlineLevel="0" collapsed="false">
      <c r="A370" s="33"/>
      <c r="B370" s="32"/>
      <c r="C370" s="32"/>
      <c r="D370" s="32"/>
      <c r="E370" s="32"/>
      <c r="F370" s="30"/>
      <c r="G370" s="32"/>
      <c r="H370" s="34" t="n">
        <f aca="false">IF($G370="",0,IFERROR(INDEX(Einstellungen!$G$5:$G$11,MATCH($G370,Einstellungen!$E$5:$E$11,0)),0))</f>
        <v>0</v>
      </c>
      <c r="I370" s="35" t="str">
        <f aca="false">IF($G370="","-",IFERROR(INDEX(Einstellungen!$H$5:$H$11,MATCH($G370,Einstellungen!$E$5:$E$11,0)),"-"))</f>
        <v>-</v>
      </c>
      <c r="J370" s="35" t="str">
        <f aca="false">IF(AND(Einstellungen!$B$8="Ja",Einstellungen!$B$9="Effektiv"),$I370,"-")</f>
        <v>-</v>
      </c>
      <c r="K370" s="31" t="n">
        <f aca="false">IF(OR($F370="",$J370="-"),0,ROUND($F370-$F370/(1+$H370),2))</f>
        <v>0</v>
      </c>
      <c r="L370" s="31" t="n">
        <f aca="false">IF($F370="",0,$F370-$K370)</f>
        <v>0</v>
      </c>
      <c r="M370" s="31" t="n">
        <f aca="false">IF($F370="",0,IF($J370="V",$L370,$F370))</f>
        <v>0</v>
      </c>
      <c r="N370" s="31" t="n">
        <f aca="false">IF($F370="",0,IF($J370="U",$L370,$F370))</f>
        <v>0</v>
      </c>
      <c r="O370" s="35" t="str">
        <f aca="false">IF($A370="","",MONTH($A370))</f>
        <v/>
      </c>
      <c r="P370" s="35" t="str">
        <f aca="false">IF($A370="","",ROUNDUP(MONTH($A370)/3,0))</f>
        <v/>
      </c>
      <c r="Q370" s="35" t="str">
        <f aca="false">IF($A370="","",IF(MONTH($A370)&lt;=6,1,2))</f>
        <v/>
      </c>
      <c r="R370" s="35" t="str">
        <f aca="false">IF($E370="","",IFERROR(INDEX(Kontenplan!$F$5:$F$90,MATCH($E370,Kontenplan!$A$5:$A$90,0)),""))</f>
        <v/>
      </c>
      <c r="S370" s="35" t="str">
        <f aca="false">IF($D370="","",IFERROR(INDEX(Kontenplan!$F$5:$F$90,MATCH($D370,Kontenplan!$A$5:$A$90,0)),""))</f>
        <v/>
      </c>
      <c r="T370" s="35" t="str">
        <f aca="false">IF($D370="","",IFERROR(INDEX(Kontenplan!$C$5:$C$90,MATCH($D370,Kontenplan!$A$5:$A$90,0)),"?"))</f>
        <v/>
      </c>
      <c r="U370" s="35" t="str">
        <f aca="false">IF($E370="","",IFERROR(INDEX(Kontenplan!$C$5:$C$90,MATCH($E370,Kontenplan!$A$5:$A$90,0)),"?"))</f>
        <v/>
      </c>
      <c r="V370" s="35" t="str">
        <f aca="false">IF($F370="","",IF(OR($D370="",$E370="",$T370="?",$U370="?"),"Konto prüfen!",IF($A370="","Datum fehlt",IF(YEAR($A370)&lt;&gt;Einstellungen!$B$7,"anderes Jahr!",IF($G370="","MWST-Code fehlt","OK")))))</f>
        <v/>
      </c>
      <c r="W370" s="35" t="str">
        <f aca="false">IF($F370="","",IF(OR($D370=Kontoauszug!$C$4,$E370=Kontoauszug!$C$4),MAX(W$4:W369)+1,""))</f>
        <v/>
      </c>
    </row>
    <row r="371" customFormat="false" ht="15" hidden="false" customHeight="false" outlineLevel="0" collapsed="false">
      <c r="A371" s="33"/>
      <c r="B371" s="32"/>
      <c r="C371" s="32"/>
      <c r="D371" s="32"/>
      <c r="E371" s="32"/>
      <c r="F371" s="30"/>
      <c r="G371" s="32"/>
      <c r="H371" s="34" t="n">
        <f aca="false">IF($G371="",0,IFERROR(INDEX(Einstellungen!$G$5:$G$11,MATCH($G371,Einstellungen!$E$5:$E$11,0)),0))</f>
        <v>0</v>
      </c>
      <c r="I371" s="35" t="str">
        <f aca="false">IF($G371="","-",IFERROR(INDEX(Einstellungen!$H$5:$H$11,MATCH($G371,Einstellungen!$E$5:$E$11,0)),"-"))</f>
        <v>-</v>
      </c>
      <c r="J371" s="35" t="str">
        <f aca="false">IF(AND(Einstellungen!$B$8="Ja",Einstellungen!$B$9="Effektiv"),$I371,"-")</f>
        <v>-</v>
      </c>
      <c r="K371" s="31" t="n">
        <f aca="false">IF(OR($F371="",$J371="-"),0,ROUND($F371-$F371/(1+$H371),2))</f>
        <v>0</v>
      </c>
      <c r="L371" s="31" t="n">
        <f aca="false">IF($F371="",0,$F371-$K371)</f>
        <v>0</v>
      </c>
      <c r="M371" s="31" t="n">
        <f aca="false">IF($F371="",0,IF($J371="V",$L371,$F371))</f>
        <v>0</v>
      </c>
      <c r="N371" s="31" t="n">
        <f aca="false">IF($F371="",0,IF($J371="U",$L371,$F371))</f>
        <v>0</v>
      </c>
      <c r="O371" s="35" t="str">
        <f aca="false">IF($A371="","",MONTH($A371))</f>
        <v/>
      </c>
      <c r="P371" s="35" t="str">
        <f aca="false">IF($A371="","",ROUNDUP(MONTH($A371)/3,0))</f>
        <v/>
      </c>
      <c r="Q371" s="35" t="str">
        <f aca="false">IF($A371="","",IF(MONTH($A371)&lt;=6,1,2))</f>
        <v/>
      </c>
      <c r="R371" s="35" t="str">
        <f aca="false">IF($E371="","",IFERROR(INDEX(Kontenplan!$F$5:$F$90,MATCH($E371,Kontenplan!$A$5:$A$90,0)),""))</f>
        <v/>
      </c>
      <c r="S371" s="35" t="str">
        <f aca="false">IF($D371="","",IFERROR(INDEX(Kontenplan!$F$5:$F$90,MATCH($D371,Kontenplan!$A$5:$A$90,0)),""))</f>
        <v/>
      </c>
      <c r="T371" s="35" t="str">
        <f aca="false">IF($D371="","",IFERROR(INDEX(Kontenplan!$C$5:$C$90,MATCH($D371,Kontenplan!$A$5:$A$90,0)),"?"))</f>
        <v/>
      </c>
      <c r="U371" s="35" t="str">
        <f aca="false">IF($E371="","",IFERROR(INDEX(Kontenplan!$C$5:$C$90,MATCH($E371,Kontenplan!$A$5:$A$90,0)),"?"))</f>
        <v/>
      </c>
      <c r="V371" s="35" t="str">
        <f aca="false">IF($F371="","",IF(OR($D371="",$E371="",$T371="?",$U371="?"),"Konto prüfen!",IF($A371="","Datum fehlt",IF(YEAR($A371)&lt;&gt;Einstellungen!$B$7,"anderes Jahr!",IF($G371="","MWST-Code fehlt","OK")))))</f>
        <v/>
      </c>
      <c r="W371" s="35" t="str">
        <f aca="false">IF($F371="","",IF(OR($D371=Kontoauszug!$C$4,$E371=Kontoauszug!$C$4),MAX(W$4:W370)+1,""))</f>
        <v/>
      </c>
    </row>
    <row r="372" customFormat="false" ht="15" hidden="false" customHeight="false" outlineLevel="0" collapsed="false">
      <c r="A372" s="33"/>
      <c r="B372" s="32"/>
      <c r="C372" s="32"/>
      <c r="D372" s="32"/>
      <c r="E372" s="32"/>
      <c r="F372" s="30"/>
      <c r="G372" s="32"/>
      <c r="H372" s="34" t="n">
        <f aca="false">IF($G372="",0,IFERROR(INDEX(Einstellungen!$G$5:$G$11,MATCH($G372,Einstellungen!$E$5:$E$11,0)),0))</f>
        <v>0</v>
      </c>
      <c r="I372" s="35" t="str">
        <f aca="false">IF($G372="","-",IFERROR(INDEX(Einstellungen!$H$5:$H$11,MATCH($G372,Einstellungen!$E$5:$E$11,0)),"-"))</f>
        <v>-</v>
      </c>
      <c r="J372" s="35" t="str">
        <f aca="false">IF(AND(Einstellungen!$B$8="Ja",Einstellungen!$B$9="Effektiv"),$I372,"-")</f>
        <v>-</v>
      </c>
      <c r="K372" s="31" t="n">
        <f aca="false">IF(OR($F372="",$J372="-"),0,ROUND($F372-$F372/(1+$H372),2))</f>
        <v>0</v>
      </c>
      <c r="L372" s="31" t="n">
        <f aca="false">IF($F372="",0,$F372-$K372)</f>
        <v>0</v>
      </c>
      <c r="M372" s="31" t="n">
        <f aca="false">IF($F372="",0,IF($J372="V",$L372,$F372))</f>
        <v>0</v>
      </c>
      <c r="N372" s="31" t="n">
        <f aca="false">IF($F372="",0,IF($J372="U",$L372,$F372))</f>
        <v>0</v>
      </c>
      <c r="O372" s="35" t="str">
        <f aca="false">IF($A372="","",MONTH($A372))</f>
        <v/>
      </c>
      <c r="P372" s="35" t="str">
        <f aca="false">IF($A372="","",ROUNDUP(MONTH($A372)/3,0))</f>
        <v/>
      </c>
      <c r="Q372" s="35" t="str">
        <f aca="false">IF($A372="","",IF(MONTH($A372)&lt;=6,1,2))</f>
        <v/>
      </c>
      <c r="R372" s="35" t="str">
        <f aca="false">IF($E372="","",IFERROR(INDEX(Kontenplan!$F$5:$F$90,MATCH($E372,Kontenplan!$A$5:$A$90,0)),""))</f>
        <v/>
      </c>
      <c r="S372" s="35" t="str">
        <f aca="false">IF($D372="","",IFERROR(INDEX(Kontenplan!$F$5:$F$90,MATCH($D372,Kontenplan!$A$5:$A$90,0)),""))</f>
        <v/>
      </c>
      <c r="T372" s="35" t="str">
        <f aca="false">IF($D372="","",IFERROR(INDEX(Kontenplan!$C$5:$C$90,MATCH($D372,Kontenplan!$A$5:$A$90,0)),"?"))</f>
        <v/>
      </c>
      <c r="U372" s="35" t="str">
        <f aca="false">IF($E372="","",IFERROR(INDEX(Kontenplan!$C$5:$C$90,MATCH($E372,Kontenplan!$A$5:$A$90,0)),"?"))</f>
        <v/>
      </c>
      <c r="V372" s="35" t="str">
        <f aca="false">IF($F372="","",IF(OR($D372="",$E372="",$T372="?",$U372="?"),"Konto prüfen!",IF($A372="","Datum fehlt",IF(YEAR($A372)&lt;&gt;Einstellungen!$B$7,"anderes Jahr!",IF($G372="","MWST-Code fehlt","OK")))))</f>
        <v/>
      </c>
      <c r="W372" s="35" t="str">
        <f aca="false">IF($F372="","",IF(OR($D372=Kontoauszug!$C$4,$E372=Kontoauszug!$C$4),MAX(W$4:W371)+1,""))</f>
        <v/>
      </c>
    </row>
    <row r="373" customFormat="false" ht="15" hidden="false" customHeight="false" outlineLevel="0" collapsed="false">
      <c r="A373" s="33"/>
      <c r="B373" s="32"/>
      <c r="C373" s="32"/>
      <c r="D373" s="32"/>
      <c r="E373" s="32"/>
      <c r="F373" s="30"/>
      <c r="G373" s="32"/>
      <c r="H373" s="34" t="n">
        <f aca="false">IF($G373="",0,IFERROR(INDEX(Einstellungen!$G$5:$G$11,MATCH($G373,Einstellungen!$E$5:$E$11,0)),0))</f>
        <v>0</v>
      </c>
      <c r="I373" s="35" t="str">
        <f aca="false">IF($G373="","-",IFERROR(INDEX(Einstellungen!$H$5:$H$11,MATCH($G373,Einstellungen!$E$5:$E$11,0)),"-"))</f>
        <v>-</v>
      </c>
      <c r="J373" s="35" t="str">
        <f aca="false">IF(AND(Einstellungen!$B$8="Ja",Einstellungen!$B$9="Effektiv"),$I373,"-")</f>
        <v>-</v>
      </c>
      <c r="K373" s="31" t="n">
        <f aca="false">IF(OR($F373="",$J373="-"),0,ROUND($F373-$F373/(1+$H373),2))</f>
        <v>0</v>
      </c>
      <c r="L373" s="31" t="n">
        <f aca="false">IF($F373="",0,$F373-$K373)</f>
        <v>0</v>
      </c>
      <c r="M373" s="31" t="n">
        <f aca="false">IF($F373="",0,IF($J373="V",$L373,$F373))</f>
        <v>0</v>
      </c>
      <c r="N373" s="31" t="n">
        <f aca="false">IF($F373="",0,IF($J373="U",$L373,$F373))</f>
        <v>0</v>
      </c>
      <c r="O373" s="35" t="str">
        <f aca="false">IF($A373="","",MONTH($A373))</f>
        <v/>
      </c>
      <c r="P373" s="35" t="str">
        <f aca="false">IF($A373="","",ROUNDUP(MONTH($A373)/3,0))</f>
        <v/>
      </c>
      <c r="Q373" s="35" t="str">
        <f aca="false">IF($A373="","",IF(MONTH($A373)&lt;=6,1,2))</f>
        <v/>
      </c>
      <c r="R373" s="35" t="str">
        <f aca="false">IF($E373="","",IFERROR(INDEX(Kontenplan!$F$5:$F$90,MATCH($E373,Kontenplan!$A$5:$A$90,0)),""))</f>
        <v/>
      </c>
      <c r="S373" s="35" t="str">
        <f aca="false">IF($D373="","",IFERROR(INDEX(Kontenplan!$F$5:$F$90,MATCH($D373,Kontenplan!$A$5:$A$90,0)),""))</f>
        <v/>
      </c>
      <c r="T373" s="35" t="str">
        <f aca="false">IF($D373="","",IFERROR(INDEX(Kontenplan!$C$5:$C$90,MATCH($D373,Kontenplan!$A$5:$A$90,0)),"?"))</f>
        <v/>
      </c>
      <c r="U373" s="35" t="str">
        <f aca="false">IF($E373="","",IFERROR(INDEX(Kontenplan!$C$5:$C$90,MATCH($E373,Kontenplan!$A$5:$A$90,0)),"?"))</f>
        <v/>
      </c>
      <c r="V373" s="35" t="str">
        <f aca="false">IF($F373="","",IF(OR($D373="",$E373="",$T373="?",$U373="?"),"Konto prüfen!",IF($A373="","Datum fehlt",IF(YEAR($A373)&lt;&gt;Einstellungen!$B$7,"anderes Jahr!",IF($G373="","MWST-Code fehlt","OK")))))</f>
        <v/>
      </c>
      <c r="W373" s="35" t="str">
        <f aca="false">IF($F373="","",IF(OR($D373=Kontoauszug!$C$4,$E373=Kontoauszug!$C$4),MAX(W$4:W372)+1,""))</f>
        <v/>
      </c>
    </row>
    <row r="374" customFormat="false" ht="15" hidden="false" customHeight="false" outlineLevel="0" collapsed="false">
      <c r="A374" s="33"/>
      <c r="B374" s="32"/>
      <c r="C374" s="32"/>
      <c r="D374" s="32"/>
      <c r="E374" s="32"/>
      <c r="F374" s="30"/>
      <c r="G374" s="32"/>
      <c r="H374" s="34" t="n">
        <f aca="false">IF($G374="",0,IFERROR(INDEX(Einstellungen!$G$5:$G$11,MATCH($G374,Einstellungen!$E$5:$E$11,0)),0))</f>
        <v>0</v>
      </c>
      <c r="I374" s="35" t="str">
        <f aca="false">IF($G374="","-",IFERROR(INDEX(Einstellungen!$H$5:$H$11,MATCH($G374,Einstellungen!$E$5:$E$11,0)),"-"))</f>
        <v>-</v>
      </c>
      <c r="J374" s="35" t="str">
        <f aca="false">IF(AND(Einstellungen!$B$8="Ja",Einstellungen!$B$9="Effektiv"),$I374,"-")</f>
        <v>-</v>
      </c>
      <c r="K374" s="31" t="n">
        <f aca="false">IF(OR($F374="",$J374="-"),0,ROUND($F374-$F374/(1+$H374),2))</f>
        <v>0</v>
      </c>
      <c r="L374" s="31" t="n">
        <f aca="false">IF($F374="",0,$F374-$K374)</f>
        <v>0</v>
      </c>
      <c r="M374" s="31" t="n">
        <f aca="false">IF($F374="",0,IF($J374="V",$L374,$F374))</f>
        <v>0</v>
      </c>
      <c r="N374" s="31" t="n">
        <f aca="false">IF($F374="",0,IF($J374="U",$L374,$F374))</f>
        <v>0</v>
      </c>
      <c r="O374" s="35" t="str">
        <f aca="false">IF($A374="","",MONTH($A374))</f>
        <v/>
      </c>
      <c r="P374" s="35" t="str">
        <f aca="false">IF($A374="","",ROUNDUP(MONTH($A374)/3,0))</f>
        <v/>
      </c>
      <c r="Q374" s="35" t="str">
        <f aca="false">IF($A374="","",IF(MONTH($A374)&lt;=6,1,2))</f>
        <v/>
      </c>
      <c r="R374" s="35" t="str">
        <f aca="false">IF($E374="","",IFERROR(INDEX(Kontenplan!$F$5:$F$90,MATCH($E374,Kontenplan!$A$5:$A$90,0)),""))</f>
        <v/>
      </c>
      <c r="S374" s="35" t="str">
        <f aca="false">IF($D374="","",IFERROR(INDEX(Kontenplan!$F$5:$F$90,MATCH($D374,Kontenplan!$A$5:$A$90,0)),""))</f>
        <v/>
      </c>
      <c r="T374" s="35" t="str">
        <f aca="false">IF($D374="","",IFERROR(INDEX(Kontenplan!$C$5:$C$90,MATCH($D374,Kontenplan!$A$5:$A$90,0)),"?"))</f>
        <v/>
      </c>
      <c r="U374" s="35" t="str">
        <f aca="false">IF($E374="","",IFERROR(INDEX(Kontenplan!$C$5:$C$90,MATCH($E374,Kontenplan!$A$5:$A$90,0)),"?"))</f>
        <v/>
      </c>
      <c r="V374" s="35" t="str">
        <f aca="false">IF($F374="","",IF(OR($D374="",$E374="",$T374="?",$U374="?"),"Konto prüfen!",IF($A374="","Datum fehlt",IF(YEAR($A374)&lt;&gt;Einstellungen!$B$7,"anderes Jahr!",IF($G374="","MWST-Code fehlt","OK")))))</f>
        <v/>
      </c>
      <c r="W374" s="35" t="str">
        <f aca="false">IF($F374="","",IF(OR($D374=Kontoauszug!$C$4,$E374=Kontoauszug!$C$4),MAX(W$4:W373)+1,""))</f>
        <v/>
      </c>
    </row>
    <row r="375" customFormat="false" ht="15" hidden="false" customHeight="false" outlineLevel="0" collapsed="false">
      <c r="A375" s="33"/>
      <c r="B375" s="32"/>
      <c r="C375" s="32"/>
      <c r="D375" s="32"/>
      <c r="E375" s="32"/>
      <c r="F375" s="30"/>
      <c r="G375" s="32"/>
      <c r="H375" s="34" t="n">
        <f aca="false">IF($G375="",0,IFERROR(INDEX(Einstellungen!$G$5:$G$11,MATCH($G375,Einstellungen!$E$5:$E$11,0)),0))</f>
        <v>0</v>
      </c>
      <c r="I375" s="35" t="str">
        <f aca="false">IF($G375="","-",IFERROR(INDEX(Einstellungen!$H$5:$H$11,MATCH($G375,Einstellungen!$E$5:$E$11,0)),"-"))</f>
        <v>-</v>
      </c>
      <c r="J375" s="35" t="str">
        <f aca="false">IF(AND(Einstellungen!$B$8="Ja",Einstellungen!$B$9="Effektiv"),$I375,"-")</f>
        <v>-</v>
      </c>
      <c r="K375" s="31" t="n">
        <f aca="false">IF(OR($F375="",$J375="-"),0,ROUND($F375-$F375/(1+$H375),2))</f>
        <v>0</v>
      </c>
      <c r="L375" s="31" t="n">
        <f aca="false">IF($F375="",0,$F375-$K375)</f>
        <v>0</v>
      </c>
      <c r="M375" s="31" t="n">
        <f aca="false">IF($F375="",0,IF($J375="V",$L375,$F375))</f>
        <v>0</v>
      </c>
      <c r="N375" s="31" t="n">
        <f aca="false">IF($F375="",0,IF($J375="U",$L375,$F375))</f>
        <v>0</v>
      </c>
      <c r="O375" s="35" t="str">
        <f aca="false">IF($A375="","",MONTH($A375))</f>
        <v/>
      </c>
      <c r="P375" s="35" t="str">
        <f aca="false">IF($A375="","",ROUNDUP(MONTH($A375)/3,0))</f>
        <v/>
      </c>
      <c r="Q375" s="35" t="str">
        <f aca="false">IF($A375="","",IF(MONTH($A375)&lt;=6,1,2))</f>
        <v/>
      </c>
      <c r="R375" s="35" t="str">
        <f aca="false">IF($E375="","",IFERROR(INDEX(Kontenplan!$F$5:$F$90,MATCH($E375,Kontenplan!$A$5:$A$90,0)),""))</f>
        <v/>
      </c>
      <c r="S375" s="35" t="str">
        <f aca="false">IF($D375="","",IFERROR(INDEX(Kontenplan!$F$5:$F$90,MATCH($D375,Kontenplan!$A$5:$A$90,0)),""))</f>
        <v/>
      </c>
      <c r="T375" s="35" t="str">
        <f aca="false">IF($D375="","",IFERROR(INDEX(Kontenplan!$C$5:$C$90,MATCH($D375,Kontenplan!$A$5:$A$90,0)),"?"))</f>
        <v/>
      </c>
      <c r="U375" s="35" t="str">
        <f aca="false">IF($E375="","",IFERROR(INDEX(Kontenplan!$C$5:$C$90,MATCH($E375,Kontenplan!$A$5:$A$90,0)),"?"))</f>
        <v/>
      </c>
      <c r="V375" s="35" t="str">
        <f aca="false">IF($F375="","",IF(OR($D375="",$E375="",$T375="?",$U375="?"),"Konto prüfen!",IF($A375="","Datum fehlt",IF(YEAR($A375)&lt;&gt;Einstellungen!$B$7,"anderes Jahr!",IF($G375="","MWST-Code fehlt","OK")))))</f>
        <v/>
      </c>
      <c r="W375" s="35" t="str">
        <f aca="false">IF($F375="","",IF(OR($D375=Kontoauszug!$C$4,$E375=Kontoauszug!$C$4),MAX(W$4:W374)+1,""))</f>
        <v/>
      </c>
    </row>
    <row r="376" customFormat="false" ht="15" hidden="false" customHeight="false" outlineLevel="0" collapsed="false">
      <c r="A376" s="33"/>
      <c r="B376" s="32"/>
      <c r="C376" s="32"/>
      <c r="D376" s="32"/>
      <c r="E376" s="32"/>
      <c r="F376" s="30"/>
      <c r="G376" s="32"/>
      <c r="H376" s="34" t="n">
        <f aca="false">IF($G376="",0,IFERROR(INDEX(Einstellungen!$G$5:$G$11,MATCH($G376,Einstellungen!$E$5:$E$11,0)),0))</f>
        <v>0</v>
      </c>
      <c r="I376" s="35" t="str">
        <f aca="false">IF($G376="","-",IFERROR(INDEX(Einstellungen!$H$5:$H$11,MATCH($G376,Einstellungen!$E$5:$E$11,0)),"-"))</f>
        <v>-</v>
      </c>
      <c r="J376" s="35" t="str">
        <f aca="false">IF(AND(Einstellungen!$B$8="Ja",Einstellungen!$B$9="Effektiv"),$I376,"-")</f>
        <v>-</v>
      </c>
      <c r="K376" s="31" t="n">
        <f aca="false">IF(OR($F376="",$J376="-"),0,ROUND($F376-$F376/(1+$H376),2))</f>
        <v>0</v>
      </c>
      <c r="L376" s="31" t="n">
        <f aca="false">IF($F376="",0,$F376-$K376)</f>
        <v>0</v>
      </c>
      <c r="M376" s="31" t="n">
        <f aca="false">IF($F376="",0,IF($J376="V",$L376,$F376))</f>
        <v>0</v>
      </c>
      <c r="N376" s="31" t="n">
        <f aca="false">IF($F376="",0,IF($J376="U",$L376,$F376))</f>
        <v>0</v>
      </c>
      <c r="O376" s="35" t="str">
        <f aca="false">IF($A376="","",MONTH($A376))</f>
        <v/>
      </c>
      <c r="P376" s="35" t="str">
        <f aca="false">IF($A376="","",ROUNDUP(MONTH($A376)/3,0))</f>
        <v/>
      </c>
      <c r="Q376" s="35" t="str">
        <f aca="false">IF($A376="","",IF(MONTH($A376)&lt;=6,1,2))</f>
        <v/>
      </c>
      <c r="R376" s="35" t="str">
        <f aca="false">IF($E376="","",IFERROR(INDEX(Kontenplan!$F$5:$F$90,MATCH($E376,Kontenplan!$A$5:$A$90,0)),""))</f>
        <v/>
      </c>
      <c r="S376" s="35" t="str">
        <f aca="false">IF($D376="","",IFERROR(INDEX(Kontenplan!$F$5:$F$90,MATCH($D376,Kontenplan!$A$5:$A$90,0)),""))</f>
        <v/>
      </c>
      <c r="T376" s="35" t="str">
        <f aca="false">IF($D376="","",IFERROR(INDEX(Kontenplan!$C$5:$C$90,MATCH($D376,Kontenplan!$A$5:$A$90,0)),"?"))</f>
        <v/>
      </c>
      <c r="U376" s="35" t="str">
        <f aca="false">IF($E376="","",IFERROR(INDEX(Kontenplan!$C$5:$C$90,MATCH($E376,Kontenplan!$A$5:$A$90,0)),"?"))</f>
        <v/>
      </c>
      <c r="V376" s="35" t="str">
        <f aca="false">IF($F376="","",IF(OR($D376="",$E376="",$T376="?",$U376="?"),"Konto prüfen!",IF($A376="","Datum fehlt",IF(YEAR($A376)&lt;&gt;Einstellungen!$B$7,"anderes Jahr!",IF($G376="","MWST-Code fehlt","OK")))))</f>
        <v/>
      </c>
      <c r="W376" s="35" t="str">
        <f aca="false">IF($F376="","",IF(OR($D376=Kontoauszug!$C$4,$E376=Kontoauszug!$C$4),MAX(W$4:W375)+1,""))</f>
        <v/>
      </c>
    </row>
    <row r="377" customFormat="false" ht="15" hidden="false" customHeight="false" outlineLevel="0" collapsed="false">
      <c r="A377" s="33"/>
      <c r="B377" s="32"/>
      <c r="C377" s="32"/>
      <c r="D377" s="32"/>
      <c r="E377" s="32"/>
      <c r="F377" s="30"/>
      <c r="G377" s="32"/>
      <c r="H377" s="34" t="n">
        <f aca="false">IF($G377="",0,IFERROR(INDEX(Einstellungen!$G$5:$G$11,MATCH($G377,Einstellungen!$E$5:$E$11,0)),0))</f>
        <v>0</v>
      </c>
      <c r="I377" s="35" t="str">
        <f aca="false">IF($G377="","-",IFERROR(INDEX(Einstellungen!$H$5:$H$11,MATCH($G377,Einstellungen!$E$5:$E$11,0)),"-"))</f>
        <v>-</v>
      </c>
      <c r="J377" s="35" t="str">
        <f aca="false">IF(AND(Einstellungen!$B$8="Ja",Einstellungen!$B$9="Effektiv"),$I377,"-")</f>
        <v>-</v>
      </c>
      <c r="K377" s="31" t="n">
        <f aca="false">IF(OR($F377="",$J377="-"),0,ROUND($F377-$F377/(1+$H377),2))</f>
        <v>0</v>
      </c>
      <c r="L377" s="31" t="n">
        <f aca="false">IF($F377="",0,$F377-$K377)</f>
        <v>0</v>
      </c>
      <c r="M377" s="31" t="n">
        <f aca="false">IF($F377="",0,IF($J377="V",$L377,$F377))</f>
        <v>0</v>
      </c>
      <c r="N377" s="31" t="n">
        <f aca="false">IF($F377="",0,IF($J377="U",$L377,$F377))</f>
        <v>0</v>
      </c>
      <c r="O377" s="35" t="str">
        <f aca="false">IF($A377="","",MONTH($A377))</f>
        <v/>
      </c>
      <c r="P377" s="35" t="str">
        <f aca="false">IF($A377="","",ROUNDUP(MONTH($A377)/3,0))</f>
        <v/>
      </c>
      <c r="Q377" s="35" t="str">
        <f aca="false">IF($A377="","",IF(MONTH($A377)&lt;=6,1,2))</f>
        <v/>
      </c>
      <c r="R377" s="35" t="str">
        <f aca="false">IF($E377="","",IFERROR(INDEX(Kontenplan!$F$5:$F$90,MATCH($E377,Kontenplan!$A$5:$A$90,0)),""))</f>
        <v/>
      </c>
      <c r="S377" s="35" t="str">
        <f aca="false">IF($D377="","",IFERROR(INDEX(Kontenplan!$F$5:$F$90,MATCH($D377,Kontenplan!$A$5:$A$90,0)),""))</f>
        <v/>
      </c>
      <c r="T377" s="35" t="str">
        <f aca="false">IF($D377="","",IFERROR(INDEX(Kontenplan!$C$5:$C$90,MATCH($D377,Kontenplan!$A$5:$A$90,0)),"?"))</f>
        <v/>
      </c>
      <c r="U377" s="35" t="str">
        <f aca="false">IF($E377="","",IFERROR(INDEX(Kontenplan!$C$5:$C$90,MATCH($E377,Kontenplan!$A$5:$A$90,0)),"?"))</f>
        <v/>
      </c>
      <c r="V377" s="35" t="str">
        <f aca="false">IF($F377="","",IF(OR($D377="",$E377="",$T377="?",$U377="?"),"Konto prüfen!",IF($A377="","Datum fehlt",IF(YEAR($A377)&lt;&gt;Einstellungen!$B$7,"anderes Jahr!",IF($G377="","MWST-Code fehlt","OK")))))</f>
        <v/>
      </c>
      <c r="W377" s="35" t="str">
        <f aca="false">IF($F377="","",IF(OR($D377=Kontoauszug!$C$4,$E377=Kontoauszug!$C$4),MAX(W$4:W376)+1,""))</f>
        <v/>
      </c>
    </row>
    <row r="378" customFormat="false" ht="15" hidden="false" customHeight="false" outlineLevel="0" collapsed="false">
      <c r="A378" s="33"/>
      <c r="B378" s="32"/>
      <c r="C378" s="32"/>
      <c r="D378" s="32"/>
      <c r="E378" s="32"/>
      <c r="F378" s="30"/>
      <c r="G378" s="32"/>
      <c r="H378" s="34" t="n">
        <f aca="false">IF($G378="",0,IFERROR(INDEX(Einstellungen!$G$5:$G$11,MATCH($G378,Einstellungen!$E$5:$E$11,0)),0))</f>
        <v>0</v>
      </c>
      <c r="I378" s="35" t="str">
        <f aca="false">IF($G378="","-",IFERROR(INDEX(Einstellungen!$H$5:$H$11,MATCH($G378,Einstellungen!$E$5:$E$11,0)),"-"))</f>
        <v>-</v>
      </c>
      <c r="J378" s="35" t="str">
        <f aca="false">IF(AND(Einstellungen!$B$8="Ja",Einstellungen!$B$9="Effektiv"),$I378,"-")</f>
        <v>-</v>
      </c>
      <c r="K378" s="31" t="n">
        <f aca="false">IF(OR($F378="",$J378="-"),0,ROUND($F378-$F378/(1+$H378),2))</f>
        <v>0</v>
      </c>
      <c r="L378" s="31" t="n">
        <f aca="false">IF($F378="",0,$F378-$K378)</f>
        <v>0</v>
      </c>
      <c r="M378" s="31" t="n">
        <f aca="false">IF($F378="",0,IF($J378="V",$L378,$F378))</f>
        <v>0</v>
      </c>
      <c r="N378" s="31" t="n">
        <f aca="false">IF($F378="",0,IF($J378="U",$L378,$F378))</f>
        <v>0</v>
      </c>
      <c r="O378" s="35" t="str">
        <f aca="false">IF($A378="","",MONTH($A378))</f>
        <v/>
      </c>
      <c r="P378" s="35" t="str">
        <f aca="false">IF($A378="","",ROUNDUP(MONTH($A378)/3,0))</f>
        <v/>
      </c>
      <c r="Q378" s="35" t="str">
        <f aca="false">IF($A378="","",IF(MONTH($A378)&lt;=6,1,2))</f>
        <v/>
      </c>
      <c r="R378" s="35" t="str">
        <f aca="false">IF($E378="","",IFERROR(INDEX(Kontenplan!$F$5:$F$90,MATCH($E378,Kontenplan!$A$5:$A$90,0)),""))</f>
        <v/>
      </c>
      <c r="S378" s="35" t="str">
        <f aca="false">IF($D378="","",IFERROR(INDEX(Kontenplan!$F$5:$F$90,MATCH($D378,Kontenplan!$A$5:$A$90,0)),""))</f>
        <v/>
      </c>
      <c r="T378" s="35" t="str">
        <f aca="false">IF($D378="","",IFERROR(INDEX(Kontenplan!$C$5:$C$90,MATCH($D378,Kontenplan!$A$5:$A$90,0)),"?"))</f>
        <v/>
      </c>
      <c r="U378" s="35" t="str">
        <f aca="false">IF($E378="","",IFERROR(INDEX(Kontenplan!$C$5:$C$90,MATCH($E378,Kontenplan!$A$5:$A$90,0)),"?"))</f>
        <v/>
      </c>
      <c r="V378" s="35" t="str">
        <f aca="false">IF($F378="","",IF(OR($D378="",$E378="",$T378="?",$U378="?"),"Konto prüfen!",IF($A378="","Datum fehlt",IF(YEAR($A378)&lt;&gt;Einstellungen!$B$7,"anderes Jahr!",IF($G378="","MWST-Code fehlt","OK")))))</f>
        <v/>
      </c>
      <c r="W378" s="35" t="str">
        <f aca="false">IF($F378="","",IF(OR($D378=Kontoauszug!$C$4,$E378=Kontoauszug!$C$4),MAX(W$4:W377)+1,""))</f>
        <v/>
      </c>
    </row>
    <row r="379" customFormat="false" ht="15" hidden="false" customHeight="false" outlineLevel="0" collapsed="false">
      <c r="A379" s="33"/>
      <c r="B379" s="32"/>
      <c r="C379" s="32"/>
      <c r="D379" s="32"/>
      <c r="E379" s="32"/>
      <c r="F379" s="30"/>
      <c r="G379" s="32"/>
      <c r="H379" s="34" t="n">
        <f aca="false">IF($G379="",0,IFERROR(INDEX(Einstellungen!$G$5:$G$11,MATCH($G379,Einstellungen!$E$5:$E$11,0)),0))</f>
        <v>0</v>
      </c>
      <c r="I379" s="35" t="str">
        <f aca="false">IF($G379="","-",IFERROR(INDEX(Einstellungen!$H$5:$H$11,MATCH($G379,Einstellungen!$E$5:$E$11,0)),"-"))</f>
        <v>-</v>
      </c>
      <c r="J379" s="35" t="str">
        <f aca="false">IF(AND(Einstellungen!$B$8="Ja",Einstellungen!$B$9="Effektiv"),$I379,"-")</f>
        <v>-</v>
      </c>
      <c r="K379" s="31" t="n">
        <f aca="false">IF(OR($F379="",$J379="-"),0,ROUND($F379-$F379/(1+$H379),2))</f>
        <v>0</v>
      </c>
      <c r="L379" s="31" t="n">
        <f aca="false">IF($F379="",0,$F379-$K379)</f>
        <v>0</v>
      </c>
      <c r="M379" s="31" t="n">
        <f aca="false">IF($F379="",0,IF($J379="V",$L379,$F379))</f>
        <v>0</v>
      </c>
      <c r="N379" s="31" t="n">
        <f aca="false">IF($F379="",0,IF($J379="U",$L379,$F379))</f>
        <v>0</v>
      </c>
      <c r="O379" s="35" t="str">
        <f aca="false">IF($A379="","",MONTH($A379))</f>
        <v/>
      </c>
      <c r="P379" s="35" t="str">
        <f aca="false">IF($A379="","",ROUNDUP(MONTH($A379)/3,0))</f>
        <v/>
      </c>
      <c r="Q379" s="35" t="str">
        <f aca="false">IF($A379="","",IF(MONTH($A379)&lt;=6,1,2))</f>
        <v/>
      </c>
      <c r="R379" s="35" t="str">
        <f aca="false">IF($E379="","",IFERROR(INDEX(Kontenplan!$F$5:$F$90,MATCH($E379,Kontenplan!$A$5:$A$90,0)),""))</f>
        <v/>
      </c>
      <c r="S379" s="35" t="str">
        <f aca="false">IF($D379="","",IFERROR(INDEX(Kontenplan!$F$5:$F$90,MATCH($D379,Kontenplan!$A$5:$A$90,0)),""))</f>
        <v/>
      </c>
      <c r="T379" s="35" t="str">
        <f aca="false">IF($D379="","",IFERROR(INDEX(Kontenplan!$C$5:$C$90,MATCH($D379,Kontenplan!$A$5:$A$90,0)),"?"))</f>
        <v/>
      </c>
      <c r="U379" s="35" t="str">
        <f aca="false">IF($E379="","",IFERROR(INDEX(Kontenplan!$C$5:$C$90,MATCH($E379,Kontenplan!$A$5:$A$90,0)),"?"))</f>
        <v/>
      </c>
      <c r="V379" s="35" t="str">
        <f aca="false">IF($F379="","",IF(OR($D379="",$E379="",$T379="?",$U379="?"),"Konto prüfen!",IF($A379="","Datum fehlt",IF(YEAR($A379)&lt;&gt;Einstellungen!$B$7,"anderes Jahr!",IF($G379="","MWST-Code fehlt","OK")))))</f>
        <v/>
      </c>
      <c r="W379" s="35" t="str">
        <f aca="false">IF($F379="","",IF(OR($D379=Kontoauszug!$C$4,$E379=Kontoauszug!$C$4),MAX(W$4:W378)+1,""))</f>
        <v/>
      </c>
    </row>
    <row r="380" customFormat="false" ht="15" hidden="false" customHeight="false" outlineLevel="0" collapsed="false">
      <c r="A380" s="33"/>
      <c r="B380" s="32"/>
      <c r="C380" s="32"/>
      <c r="D380" s="32"/>
      <c r="E380" s="32"/>
      <c r="F380" s="30"/>
      <c r="G380" s="32"/>
      <c r="H380" s="34" t="n">
        <f aca="false">IF($G380="",0,IFERROR(INDEX(Einstellungen!$G$5:$G$11,MATCH($G380,Einstellungen!$E$5:$E$11,0)),0))</f>
        <v>0</v>
      </c>
      <c r="I380" s="35" t="str">
        <f aca="false">IF($G380="","-",IFERROR(INDEX(Einstellungen!$H$5:$H$11,MATCH($G380,Einstellungen!$E$5:$E$11,0)),"-"))</f>
        <v>-</v>
      </c>
      <c r="J380" s="35" t="str">
        <f aca="false">IF(AND(Einstellungen!$B$8="Ja",Einstellungen!$B$9="Effektiv"),$I380,"-")</f>
        <v>-</v>
      </c>
      <c r="K380" s="31" t="n">
        <f aca="false">IF(OR($F380="",$J380="-"),0,ROUND($F380-$F380/(1+$H380),2))</f>
        <v>0</v>
      </c>
      <c r="L380" s="31" t="n">
        <f aca="false">IF($F380="",0,$F380-$K380)</f>
        <v>0</v>
      </c>
      <c r="M380" s="31" t="n">
        <f aca="false">IF($F380="",0,IF($J380="V",$L380,$F380))</f>
        <v>0</v>
      </c>
      <c r="N380" s="31" t="n">
        <f aca="false">IF($F380="",0,IF($J380="U",$L380,$F380))</f>
        <v>0</v>
      </c>
      <c r="O380" s="35" t="str">
        <f aca="false">IF($A380="","",MONTH($A380))</f>
        <v/>
      </c>
      <c r="P380" s="35" t="str">
        <f aca="false">IF($A380="","",ROUNDUP(MONTH($A380)/3,0))</f>
        <v/>
      </c>
      <c r="Q380" s="35" t="str">
        <f aca="false">IF($A380="","",IF(MONTH($A380)&lt;=6,1,2))</f>
        <v/>
      </c>
      <c r="R380" s="35" t="str">
        <f aca="false">IF($E380="","",IFERROR(INDEX(Kontenplan!$F$5:$F$90,MATCH($E380,Kontenplan!$A$5:$A$90,0)),""))</f>
        <v/>
      </c>
      <c r="S380" s="35" t="str">
        <f aca="false">IF($D380="","",IFERROR(INDEX(Kontenplan!$F$5:$F$90,MATCH($D380,Kontenplan!$A$5:$A$90,0)),""))</f>
        <v/>
      </c>
      <c r="T380" s="35" t="str">
        <f aca="false">IF($D380="","",IFERROR(INDEX(Kontenplan!$C$5:$C$90,MATCH($D380,Kontenplan!$A$5:$A$90,0)),"?"))</f>
        <v/>
      </c>
      <c r="U380" s="35" t="str">
        <f aca="false">IF($E380="","",IFERROR(INDEX(Kontenplan!$C$5:$C$90,MATCH($E380,Kontenplan!$A$5:$A$90,0)),"?"))</f>
        <v/>
      </c>
      <c r="V380" s="35" t="str">
        <f aca="false">IF($F380="","",IF(OR($D380="",$E380="",$T380="?",$U380="?"),"Konto prüfen!",IF($A380="","Datum fehlt",IF(YEAR($A380)&lt;&gt;Einstellungen!$B$7,"anderes Jahr!",IF($G380="","MWST-Code fehlt","OK")))))</f>
        <v/>
      </c>
      <c r="W380" s="35" t="str">
        <f aca="false">IF($F380="","",IF(OR($D380=Kontoauszug!$C$4,$E380=Kontoauszug!$C$4),MAX(W$4:W379)+1,""))</f>
        <v/>
      </c>
    </row>
    <row r="381" customFormat="false" ht="15" hidden="false" customHeight="false" outlineLevel="0" collapsed="false">
      <c r="A381" s="33"/>
      <c r="B381" s="32"/>
      <c r="C381" s="32"/>
      <c r="D381" s="32"/>
      <c r="E381" s="32"/>
      <c r="F381" s="30"/>
      <c r="G381" s="32"/>
      <c r="H381" s="34" t="n">
        <f aca="false">IF($G381="",0,IFERROR(INDEX(Einstellungen!$G$5:$G$11,MATCH($G381,Einstellungen!$E$5:$E$11,0)),0))</f>
        <v>0</v>
      </c>
      <c r="I381" s="35" t="str">
        <f aca="false">IF($G381="","-",IFERROR(INDEX(Einstellungen!$H$5:$H$11,MATCH($G381,Einstellungen!$E$5:$E$11,0)),"-"))</f>
        <v>-</v>
      </c>
      <c r="J381" s="35" t="str">
        <f aca="false">IF(AND(Einstellungen!$B$8="Ja",Einstellungen!$B$9="Effektiv"),$I381,"-")</f>
        <v>-</v>
      </c>
      <c r="K381" s="31" t="n">
        <f aca="false">IF(OR($F381="",$J381="-"),0,ROUND($F381-$F381/(1+$H381),2))</f>
        <v>0</v>
      </c>
      <c r="L381" s="31" t="n">
        <f aca="false">IF($F381="",0,$F381-$K381)</f>
        <v>0</v>
      </c>
      <c r="M381" s="31" t="n">
        <f aca="false">IF($F381="",0,IF($J381="V",$L381,$F381))</f>
        <v>0</v>
      </c>
      <c r="N381" s="31" t="n">
        <f aca="false">IF($F381="",0,IF($J381="U",$L381,$F381))</f>
        <v>0</v>
      </c>
      <c r="O381" s="35" t="str">
        <f aca="false">IF($A381="","",MONTH($A381))</f>
        <v/>
      </c>
      <c r="P381" s="35" t="str">
        <f aca="false">IF($A381="","",ROUNDUP(MONTH($A381)/3,0))</f>
        <v/>
      </c>
      <c r="Q381" s="35" t="str">
        <f aca="false">IF($A381="","",IF(MONTH($A381)&lt;=6,1,2))</f>
        <v/>
      </c>
      <c r="R381" s="35" t="str">
        <f aca="false">IF($E381="","",IFERROR(INDEX(Kontenplan!$F$5:$F$90,MATCH($E381,Kontenplan!$A$5:$A$90,0)),""))</f>
        <v/>
      </c>
      <c r="S381" s="35" t="str">
        <f aca="false">IF($D381="","",IFERROR(INDEX(Kontenplan!$F$5:$F$90,MATCH($D381,Kontenplan!$A$5:$A$90,0)),""))</f>
        <v/>
      </c>
      <c r="T381" s="35" t="str">
        <f aca="false">IF($D381="","",IFERROR(INDEX(Kontenplan!$C$5:$C$90,MATCH($D381,Kontenplan!$A$5:$A$90,0)),"?"))</f>
        <v/>
      </c>
      <c r="U381" s="35" t="str">
        <f aca="false">IF($E381="","",IFERROR(INDEX(Kontenplan!$C$5:$C$90,MATCH($E381,Kontenplan!$A$5:$A$90,0)),"?"))</f>
        <v/>
      </c>
      <c r="V381" s="35" t="str">
        <f aca="false">IF($F381="","",IF(OR($D381="",$E381="",$T381="?",$U381="?"),"Konto prüfen!",IF($A381="","Datum fehlt",IF(YEAR($A381)&lt;&gt;Einstellungen!$B$7,"anderes Jahr!",IF($G381="","MWST-Code fehlt","OK")))))</f>
        <v/>
      </c>
      <c r="W381" s="35" t="str">
        <f aca="false">IF($F381="","",IF(OR($D381=Kontoauszug!$C$4,$E381=Kontoauszug!$C$4),MAX(W$4:W380)+1,""))</f>
        <v/>
      </c>
    </row>
    <row r="382" customFormat="false" ht="15" hidden="false" customHeight="false" outlineLevel="0" collapsed="false">
      <c r="A382" s="33"/>
      <c r="B382" s="32"/>
      <c r="C382" s="32"/>
      <c r="D382" s="32"/>
      <c r="E382" s="32"/>
      <c r="F382" s="30"/>
      <c r="G382" s="32"/>
      <c r="H382" s="34" t="n">
        <f aca="false">IF($G382="",0,IFERROR(INDEX(Einstellungen!$G$5:$G$11,MATCH($G382,Einstellungen!$E$5:$E$11,0)),0))</f>
        <v>0</v>
      </c>
      <c r="I382" s="35" t="str">
        <f aca="false">IF($G382="","-",IFERROR(INDEX(Einstellungen!$H$5:$H$11,MATCH($G382,Einstellungen!$E$5:$E$11,0)),"-"))</f>
        <v>-</v>
      </c>
      <c r="J382" s="35" t="str">
        <f aca="false">IF(AND(Einstellungen!$B$8="Ja",Einstellungen!$B$9="Effektiv"),$I382,"-")</f>
        <v>-</v>
      </c>
      <c r="K382" s="31" t="n">
        <f aca="false">IF(OR($F382="",$J382="-"),0,ROUND($F382-$F382/(1+$H382),2))</f>
        <v>0</v>
      </c>
      <c r="L382" s="31" t="n">
        <f aca="false">IF($F382="",0,$F382-$K382)</f>
        <v>0</v>
      </c>
      <c r="M382" s="31" t="n">
        <f aca="false">IF($F382="",0,IF($J382="V",$L382,$F382))</f>
        <v>0</v>
      </c>
      <c r="N382" s="31" t="n">
        <f aca="false">IF($F382="",0,IF($J382="U",$L382,$F382))</f>
        <v>0</v>
      </c>
      <c r="O382" s="35" t="str">
        <f aca="false">IF($A382="","",MONTH($A382))</f>
        <v/>
      </c>
      <c r="P382" s="35" t="str">
        <f aca="false">IF($A382="","",ROUNDUP(MONTH($A382)/3,0))</f>
        <v/>
      </c>
      <c r="Q382" s="35" t="str">
        <f aca="false">IF($A382="","",IF(MONTH($A382)&lt;=6,1,2))</f>
        <v/>
      </c>
      <c r="R382" s="35" t="str">
        <f aca="false">IF($E382="","",IFERROR(INDEX(Kontenplan!$F$5:$F$90,MATCH($E382,Kontenplan!$A$5:$A$90,0)),""))</f>
        <v/>
      </c>
      <c r="S382" s="35" t="str">
        <f aca="false">IF($D382="","",IFERROR(INDEX(Kontenplan!$F$5:$F$90,MATCH($D382,Kontenplan!$A$5:$A$90,0)),""))</f>
        <v/>
      </c>
      <c r="T382" s="35" t="str">
        <f aca="false">IF($D382="","",IFERROR(INDEX(Kontenplan!$C$5:$C$90,MATCH($D382,Kontenplan!$A$5:$A$90,0)),"?"))</f>
        <v/>
      </c>
      <c r="U382" s="35" t="str">
        <f aca="false">IF($E382="","",IFERROR(INDEX(Kontenplan!$C$5:$C$90,MATCH($E382,Kontenplan!$A$5:$A$90,0)),"?"))</f>
        <v/>
      </c>
      <c r="V382" s="35" t="str">
        <f aca="false">IF($F382="","",IF(OR($D382="",$E382="",$T382="?",$U382="?"),"Konto prüfen!",IF($A382="","Datum fehlt",IF(YEAR($A382)&lt;&gt;Einstellungen!$B$7,"anderes Jahr!",IF($G382="","MWST-Code fehlt","OK")))))</f>
        <v/>
      </c>
      <c r="W382" s="35" t="str">
        <f aca="false">IF($F382="","",IF(OR($D382=Kontoauszug!$C$4,$E382=Kontoauszug!$C$4),MAX(W$4:W381)+1,""))</f>
        <v/>
      </c>
    </row>
    <row r="383" customFormat="false" ht="15" hidden="false" customHeight="false" outlineLevel="0" collapsed="false">
      <c r="A383" s="33"/>
      <c r="B383" s="32"/>
      <c r="C383" s="32"/>
      <c r="D383" s="32"/>
      <c r="E383" s="32"/>
      <c r="F383" s="30"/>
      <c r="G383" s="32"/>
      <c r="H383" s="34" t="n">
        <f aca="false">IF($G383="",0,IFERROR(INDEX(Einstellungen!$G$5:$G$11,MATCH($G383,Einstellungen!$E$5:$E$11,0)),0))</f>
        <v>0</v>
      </c>
      <c r="I383" s="35" t="str">
        <f aca="false">IF($G383="","-",IFERROR(INDEX(Einstellungen!$H$5:$H$11,MATCH($G383,Einstellungen!$E$5:$E$11,0)),"-"))</f>
        <v>-</v>
      </c>
      <c r="J383" s="35" t="str">
        <f aca="false">IF(AND(Einstellungen!$B$8="Ja",Einstellungen!$B$9="Effektiv"),$I383,"-")</f>
        <v>-</v>
      </c>
      <c r="K383" s="31" t="n">
        <f aca="false">IF(OR($F383="",$J383="-"),0,ROUND($F383-$F383/(1+$H383),2))</f>
        <v>0</v>
      </c>
      <c r="L383" s="31" t="n">
        <f aca="false">IF($F383="",0,$F383-$K383)</f>
        <v>0</v>
      </c>
      <c r="M383" s="31" t="n">
        <f aca="false">IF($F383="",0,IF($J383="V",$L383,$F383))</f>
        <v>0</v>
      </c>
      <c r="N383" s="31" t="n">
        <f aca="false">IF($F383="",0,IF($J383="U",$L383,$F383))</f>
        <v>0</v>
      </c>
      <c r="O383" s="35" t="str">
        <f aca="false">IF($A383="","",MONTH($A383))</f>
        <v/>
      </c>
      <c r="P383" s="35" t="str">
        <f aca="false">IF($A383="","",ROUNDUP(MONTH($A383)/3,0))</f>
        <v/>
      </c>
      <c r="Q383" s="35" t="str">
        <f aca="false">IF($A383="","",IF(MONTH($A383)&lt;=6,1,2))</f>
        <v/>
      </c>
      <c r="R383" s="35" t="str">
        <f aca="false">IF($E383="","",IFERROR(INDEX(Kontenplan!$F$5:$F$90,MATCH($E383,Kontenplan!$A$5:$A$90,0)),""))</f>
        <v/>
      </c>
      <c r="S383" s="35" t="str">
        <f aca="false">IF($D383="","",IFERROR(INDEX(Kontenplan!$F$5:$F$90,MATCH($D383,Kontenplan!$A$5:$A$90,0)),""))</f>
        <v/>
      </c>
      <c r="T383" s="35" t="str">
        <f aca="false">IF($D383="","",IFERROR(INDEX(Kontenplan!$C$5:$C$90,MATCH($D383,Kontenplan!$A$5:$A$90,0)),"?"))</f>
        <v/>
      </c>
      <c r="U383" s="35" t="str">
        <f aca="false">IF($E383="","",IFERROR(INDEX(Kontenplan!$C$5:$C$90,MATCH($E383,Kontenplan!$A$5:$A$90,0)),"?"))</f>
        <v/>
      </c>
      <c r="V383" s="35" t="str">
        <f aca="false">IF($F383="","",IF(OR($D383="",$E383="",$T383="?",$U383="?"),"Konto prüfen!",IF($A383="","Datum fehlt",IF(YEAR($A383)&lt;&gt;Einstellungen!$B$7,"anderes Jahr!",IF($G383="","MWST-Code fehlt","OK")))))</f>
        <v/>
      </c>
      <c r="W383" s="35" t="str">
        <f aca="false">IF($F383="","",IF(OR($D383=Kontoauszug!$C$4,$E383=Kontoauszug!$C$4),MAX(W$4:W382)+1,""))</f>
        <v/>
      </c>
    </row>
    <row r="384" customFormat="false" ht="15" hidden="false" customHeight="false" outlineLevel="0" collapsed="false">
      <c r="A384" s="33"/>
      <c r="B384" s="32"/>
      <c r="C384" s="32"/>
      <c r="D384" s="32"/>
      <c r="E384" s="32"/>
      <c r="F384" s="30"/>
      <c r="G384" s="32"/>
      <c r="H384" s="34" t="n">
        <f aca="false">IF($G384="",0,IFERROR(INDEX(Einstellungen!$G$5:$G$11,MATCH($G384,Einstellungen!$E$5:$E$11,0)),0))</f>
        <v>0</v>
      </c>
      <c r="I384" s="35" t="str">
        <f aca="false">IF($G384="","-",IFERROR(INDEX(Einstellungen!$H$5:$H$11,MATCH($G384,Einstellungen!$E$5:$E$11,0)),"-"))</f>
        <v>-</v>
      </c>
      <c r="J384" s="35" t="str">
        <f aca="false">IF(AND(Einstellungen!$B$8="Ja",Einstellungen!$B$9="Effektiv"),$I384,"-")</f>
        <v>-</v>
      </c>
      <c r="K384" s="31" t="n">
        <f aca="false">IF(OR($F384="",$J384="-"),0,ROUND($F384-$F384/(1+$H384),2))</f>
        <v>0</v>
      </c>
      <c r="L384" s="31" t="n">
        <f aca="false">IF($F384="",0,$F384-$K384)</f>
        <v>0</v>
      </c>
      <c r="M384" s="31" t="n">
        <f aca="false">IF($F384="",0,IF($J384="V",$L384,$F384))</f>
        <v>0</v>
      </c>
      <c r="N384" s="31" t="n">
        <f aca="false">IF($F384="",0,IF($J384="U",$L384,$F384))</f>
        <v>0</v>
      </c>
      <c r="O384" s="35" t="str">
        <f aca="false">IF($A384="","",MONTH($A384))</f>
        <v/>
      </c>
      <c r="P384" s="35" t="str">
        <f aca="false">IF($A384="","",ROUNDUP(MONTH($A384)/3,0))</f>
        <v/>
      </c>
      <c r="Q384" s="35" t="str">
        <f aca="false">IF($A384="","",IF(MONTH($A384)&lt;=6,1,2))</f>
        <v/>
      </c>
      <c r="R384" s="35" t="str">
        <f aca="false">IF($E384="","",IFERROR(INDEX(Kontenplan!$F$5:$F$90,MATCH($E384,Kontenplan!$A$5:$A$90,0)),""))</f>
        <v/>
      </c>
      <c r="S384" s="35" t="str">
        <f aca="false">IF($D384="","",IFERROR(INDEX(Kontenplan!$F$5:$F$90,MATCH($D384,Kontenplan!$A$5:$A$90,0)),""))</f>
        <v/>
      </c>
      <c r="T384" s="35" t="str">
        <f aca="false">IF($D384="","",IFERROR(INDEX(Kontenplan!$C$5:$C$90,MATCH($D384,Kontenplan!$A$5:$A$90,0)),"?"))</f>
        <v/>
      </c>
      <c r="U384" s="35" t="str">
        <f aca="false">IF($E384="","",IFERROR(INDEX(Kontenplan!$C$5:$C$90,MATCH($E384,Kontenplan!$A$5:$A$90,0)),"?"))</f>
        <v/>
      </c>
      <c r="V384" s="35" t="str">
        <f aca="false">IF($F384="","",IF(OR($D384="",$E384="",$T384="?",$U384="?"),"Konto prüfen!",IF($A384="","Datum fehlt",IF(YEAR($A384)&lt;&gt;Einstellungen!$B$7,"anderes Jahr!",IF($G384="","MWST-Code fehlt","OK")))))</f>
        <v/>
      </c>
      <c r="W384" s="35" t="str">
        <f aca="false">IF($F384="","",IF(OR($D384=Kontoauszug!$C$4,$E384=Kontoauszug!$C$4),MAX(W$4:W383)+1,""))</f>
        <v/>
      </c>
    </row>
    <row r="385" customFormat="false" ht="15" hidden="false" customHeight="false" outlineLevel="0" collapsed="false">
      <c r="A385" s="33"/>
      <c r="B385" s="32"/>
      <c r="C385" s="32"/>
      <c r="D385" s="32"/>
      <c r="E385" s="32"/>
      <c r="F385" s="30"/>
      <c r="G385" s="32"/>
      <c r="H385" s="34" t="n">
        <f aca="false">IF($G385="",0,IFERROR(INDEX(Einstellungen!$G$5:$G$11,MATCH($G385,Einstellungen!$E$5:$E$11,0)),0))</f>
        <v>0</v>
      </c>
      <c r="I385" s="35" t="str">
        <f aca="false">IF($G385="","-",IFERROR(INDEX(Einstellungen!$H$5:$H$11,MATCH($G385,Einstellungen!$E$5:$E$11,0)),"-"))</f>
        <v>-</v>
      </c>
      <c r="J385" s="35" t="str">
        <f aca="false">IF(AND(Einstellungen!$B$8="Ja",Einstellungen!$B$9="Effektiv"),$I385,"-")</f>
        <v>-</v>
      </c>
      <c r="K385" s="31" t="n">
        <f aca="false">IF(OR($F385="",$J385="-"),0,ROUND($F385-$F385/(1+$H385),2))</f>
        <v>0</v>
      </c>
      <c r="L385" s="31" t="n">
        <f aca="false">IF($F385="",0,$F385-$K385)</f>
        <v>0</v>
      </c>
      <c r="M385" s="31" t="n">
        <f aca="false">IF($F385="",0,IF($J385="V",$L385,$F385))</f>
        <v>0</v>
      </c>
      <c r="N385" s="31" t="n">
        <f aca="false">IF($F385="",0,IF($J385="U",$L385,$F385))</f>
        <v>0</v>
      </c>
      <c r="O385" s="35" t="str">
        <f aca="false">IF($A385="","",MONTH($A385))</f>
        <v/>
      </c>
      <c r="P385" s="35" t="str">
        <f aca="false">IF($A385="","",ROUNDUP(MONTH($A385)/3,0))</f>
        <v/>
      </c>
      <c r="Q385" s="35" t="str">
        <f aca="false">IF($A385="","",IF(MONTH($A385)&lt;=6,1,2))</f>
        <v/>
      </c>
      <c r="R385" s="35" t="str">
        <f aca="false">IF($E385="","",IFERROR(INDEX(Kontenplan!$F$5:$F$90,MATCH($E385,Kontenplan!$A$5:$A$90,0)),""))</f>
        <v/>
      </c>
      <c r="S385" s="35" t="str">
        <f aca="false">IF($D385="","",IFERROR(INDEX(Kontenplan!$F$5:$F$90,MATCH($D385,Kontenplan!$A$5:$A$90,0)),""))</f>
        <v/>
      </c>
      <c r="T385" s="35" t="str">
        <f aca="false">IF($D385="","",IFERROR(INDEX(Kontenplan!$C$5:$C$90,MATCH($D385,Kontenplan!$A$5:$A$90,0)),"?"))</f>
        <v/>
      </c>
      <c r="U385" s="35" t="str">
        <f aca="false">IF($E385="","",IFERROR(INDEX(Kontenplan!$C$5:$C$90,MATCH($E385,Kontenplan!$A$5:$A$90,0)),"?"))</f>
        <v/>
      </c>
      <c r="V385" s="35" t="str">
        <f aca="false">IF($F385="","",IF(OR($D385="",$E385="",$T385="?",$U385="?"),"Konto prüfen!",IF($A385="","Datum fehlt",IF(YEAR($A385)&lt;&gt;Einstellungen!$B$7,"anderes Jahr!",IF($G385="","MWST-Code fehlt","OK")))))</f>
        <v/>
      </c>
      <c r="W385" s="35" t="str">
        <f aca="false">IF($F385="","",IF(OR($D385=Kontoauszug!$C$4,$E385=Kontoauszug!$C$4),MAX(W$4:W384)+1,""))</f>
        <v/>
      </c>
    </row>
    <row r="386" customFormat="false" ht="15" hidden="false" customHeight="false" outlineLevel="0" collapsed="false">
      <c r="A386" s="33"/>
      <c r="B386" s="32"/>
      <c r="C386" s="32"/>
      <c r="D386" s="32"/>
      <c r="E386" s="32"/>
      <c r="F386" s="30"/>
      <c r="G386" s="32"/>
      <c r="H386" s="34" t="n">
        <f aca="false">IF($G386="",0,IFERROR(INDEX(Einstellungen!$G$5:$G$11,MATCH($G386,Einstellungen!$E$5:$E$11,0)),0))</f>
        <v>0</v>
      </c>
      <c r="I386" s="35" t="str">
        <f aca="false">IF($G386="","-",IFERROR(INDEX(Einstellungen!$H$5:$H$11,MATCH($G386,Einstellungen!$E$5:$E$11,0)),"-"))</f>
        <v>-</v>
      </c>
      <c r="J386" s="35" t="str">
        <f aca="false">IF(AND(Einstellungen!$B$8="Ja",Einstellungen!$B$9="Effektiv"),$I386,"-")</f>
        <v>-</v>
      </c>
      <c r="K386" s="31" t="n">
        <f aca="false">IF(OR($F386="",$J386="-"),0,ROUND($F386-$F386/(1+$H386),2))</f>
        <v>0</v>
      </c>
      <c r="L386" s="31" t="n">
        <f aca="false">IF($F386="",0,$F386-$K386)</f>
        <v>0</v>
      </c>
      <c r="M386" s="31" t="n">
        <f aca="false">IF($F386="",0,IF($J386="V",$L386,$F386))</f>
        <v>0</v>
      </c>
      <c r="N386" s="31" t="n">
        <f aca="false">IF($F386="",0,IF($J386="U",$L386,$F386))</f>
        <v>0</v>
      </c>
      <c r="O386" s="35" t="str">
        <f aca="false">IF($A386="","",MONTH($A386))</f>
        <v/>
      </c>
      <c r="P386" s="35" t="str">
        <f aca="false">IF($A386="","",ROUNDUP(MONTH($A386)/3,0))</f>
        <v/>
      </c>
      <c r="Q386" s="35" t="str">
        <f aca="false">IF($A386="","",IF(MONTH($A386)&lt;=6,1,2))</f>
        <v/>
      </c>
      <c r="R386" s="35" t="str">
        <f aca="false">IF($E386="","",IFERROR(INDEX(Kontenplan!$F$5:$F$90,MATCH($E386,Kontenplan!$A$5:$A$90,0)),""))</f>
        <v/>
      </c>
      <c r="S386" s="35" t="str">
        <f aca="false">IF($D386="","",IFERROR(INDEX(Kontenplan!$F$5:$F$90,MATCH($D386,Kontenplan!$A$5:$A$90,0)),""))</f>
        <v/>
      </c>
      <c r="T386" s="35" t="str">
        <f aca="false">IF($D386="","",IFERROR(INDEX(Kontenplan!$C$5:$C$90,MATCH($D386,Kontenplan!$A$5:$A$90,0)),"?"))</f>
        <v/>
      </c>
      <c r="U386" s="35" t="str">
        <f aca="false">IF($E386="","",IFERROR(INDEX(Kontenplan!$C$5:$C$90,MATCH($E386,Kontenplan!$A$5:$A$90,0)),"?"))</f>
        <v/>
      </c>
      <c r="V386" s="35" t="str">
        <f aca="false">IF($F386="","",IF(OR($D386="",$E386="",$T386="?",$U386="?"),"Konto prüfen!",IF($A386="","Datum fehlt",IF(YEAR($A386)&lt;&gt;Einstellungen!$B$7,"anderes Jahr!",IF($G386="","MWST-Code fehlt","OK")))))</f>
        <v/>
      </c>
      <c r="W386" s="35" t="str">
        <f aca="false">IF($F386="","",IF(OR($D386=Kontoauszug!$C$4,$E386=Kontoauszug!$C$4),MAX(W$4:W385)+1,""))</f>
        <v/>
      </c>
    </row>
    <row r="387" customFormat="false" ht="15" hidden="false" customHeight="false" outlineLevel="0" collapsed="false">
      <c r="A387" s="33"/>
      <c r="B387" s="32"/>
      <c r="C387" s="32"/>
      <c r="D387" s="32"/>
      <c r="E387" s="32"/>
      <c r="F387" s="30"/>
      <c r="G387" s="32"/>
      <c r="H387" s="34" t="n">
        <f aca="false">IF($G387="",0,IFERROR(INDEX(Einstellungen!$G$5:$G$11,MATCH($G387,Einstellungen!$E$5:$E$11,0)),0))</f>
        <v>0</v>
      </c>
      <c r="I387" s="35" t="str">
        <f aca="false">IF($G387="","-",IFERROR(INDEX(Einstellungen!$H$5:$H$11,MATCH($G387,Einstellungen!$E$5:$E$11,0)),"-"))</f>
        <v>-</v>
      </c>
      <c r="J387" s="35" t="str">
        <f aca="false">IF(AND(Einstellungen!$B$8="Ja",Einstellungen!$B$9="Effektiv"),$I387,"-")</f>
        <v>-</v>
      </c>
      <c r="K387" s="31" t="n">
        <f aca="false">IF(OR($F387="",$J387="-"),0,ROUND($F387-$F387/(1+$H387),2))</f>
        <v>0</v>
      </c>
      <c r="L387" s="31" t="n">
        <f aca="false">IF($F387="",0,$F387-$K387)</f>
        <v>0</v>
      </c>
      <c r="M387" s="31" t="n">
        <f aca="false">IF($F387="",0,IF($J387="V",$L387,$F387))</f>
        <v>0</v>
      </c>
      <c r="N387" s="31" t="n">
        <f aca="false">IF($F387="",0,IF($J387="U",$L387,$F387))</f>
        <v>0</v>
      </c>
      <c r="O387" s="35" t="str">
        <f aca="false">IF($A387="","",MONTH($A387))</f>
        <v/>
      </c>
      <c r="P387" s="35" t="str">
        <f aca="false">IF($A387="","",ROUNDUP(MONTH($A387)/3,0))</f>
        <v/>
      </c>
      <c r="Q387" s="35" t="str">
        <f aca="false">IF($A387="","",IF(MONTH($A387)&lt;=6,1,2))</f>
        <v/>
      </c>
      <c r="R387" s="35" t="str">
        <f aca="false">IF($E387="","",IFERROR(INDEX(Kontenplan!$F$5:$F$90,MATCH($E387,Kontenplan!$A$5:$A$90,0)),""))</f>
        <v/>
      </c>
      <c r="S387" s="35" t="str">
        <f aca="false">IF($D387="","",IFERROR(INDEX(Kontenplan!$F$5:$F$90,MATCH($D387,Kontenplan!$A$5:$A$90,0)),""))</f>
        <v/>
      </c>
      <c r="T387" s="35" t="str">
        <f aca="false">IF($D387="","",IFERROR(INDEX(Kontenplan!$C$5:$C$90,MATCH($D387,Kontenplan!$A$5:$A$90,0)),"?"))</f>
        <v/>
      </c>
      <c r="U387" s="35" t="str">
        <f aca="false">IF($E387="","",IFERROR(INDEX(Kontenplan!$C$5:$C$90,MATCH($E387,Kontenplan!$A$5:$A$90,0)),"?"))</f>
        <v/>
      </c>
      <c r="V387" s="35" t="str">
        <f aca="false">IF($F387="","",IF(OR($D387="",$E387="",$T387="?",$U387="?"),"Konto prüfen!",IF($A387="","Datum fehlt",IF(YEAR($A387)&lt;&gt;Einstellungen!$B$7,"anderes Jahr!",IF($G387="","MWST-Code fehlt","OK")))))</f>
        <v/>
      </c>
      <c r="W387" s="35" t="str">
        <f aca="false">IF($F387="","",IF(OR($D387=Kontoauszug!$C$4,$E387=Kontoauszug!$C$4),MAX(W$4:W386)+1,""))</f>
        <v/>
      </c>
    </row>
    <row r="388" customFormat="false" ht="15" hidden="false" customHeight="false" outlineLevel="0" collapsed="false">
      <c r="A388" s="33"/>
      <c r="B388" s="32"/>
      <c r="C388" s="32"/>
      <c r="D388" s="32"/>
      <c r="E388" s="32"/>
      <c r="F388" s="30"/>
      <c r="G388" s="32"/>
      <c r="H388" s="34" t="n">
        <f aca="false">IF($G388="",0,IFERROR(INDEX(Einstellungen!$G$5:$G$11,MATCH($G388,Einstellungen!$E$5:$E$11,0)),0))</f>
        <v>0</v>
      </c>
      <c r="I388" s="35" t="str">
        <f aca="false">IF($G388="","-",IFERROR(INDEX(Einstellungen!$H$5:$H$11,MATCH($G388,Einstellungen!$E$5:$E$11,0)),"-"))</f>
        <v>-</v>
      </c>
      <c r="J388" s="35" t="str">
        <f aca="false">IF(AND(Einstellungen!$B$8="Ja",Einstellungen!$B$9="Effektiv"),$I388,"-")</f>
        <v>-</v>
      </c>
      <c r="K388" s="31" t="n">
        <f aca="false">IF(OR($F388="",$J388="-"),0,ROUND($F388-$F388/(1+$H388),2))</f>
        <v>0</v>
      </c>
      <c r="L388" s="31" t="n">
        <f aca="false">IF($F388="",0,$F388-$K388)</f>
        <v>0</v>
      </c>
      <c r="M388" s="31" t="n">
        <f aca="false">IF($F388="",0,IF($J388="V",$L388,$F388))</f>
        <v>0</v>
      </c>
      <c r="N388" s="31" t="n">
        <f aca="false">IF($F388="",0,IF($J388="U",$L388,$F388))</f>
        <v>0</v>
      </c>
      <c r="O388" s="35" t="str">
        <f aca="false">IF($A388="","",MONTH($A388))</f>
        <v/>
      </c>
      <c r="P388" s="35" t="str">
        <f aca="false">IF($A388="","",ROUNDUP(MONTH($A388)/3,0))</f>
        <v/>
      </c>
      <c r="Q388" s="35" t="str">
        <f aca="false">IF($A388="","",IF(MONTH($A388)&lt;=6,1,2))</f>
        <v/>
      </c>
      <c r="R388" s="35" t="str">
        <f aca="false">IF($E388="","",IFERROR(INDEX(Kontenplan!$F$5:$F$90,MATCH($E388,Kontenplan!$A$5:$A$90,0)),""))</f>
        <v/>
      </c>
      <c r="S388" s="35" t="str">
        <f aca="false">IF($D388="","",IFERROR(INDEX(Kontenplan!$F$5:$F$90,MATCH($D388,Kontenplan!$A$5:$A$90,0)),""))</f>
        <v/>
      </c>
      <c r="T388" s="35" t="str">
        <f aca="false">IF($D388="","",IFERROR(INDEX(Kontenplan!$C$5:$C$90,MATCH($D388,Kontenplan!$A$5:$A$90,0)),"?"))</f>
        <v/>
      </c>
      <c r="U388" s="35" t="str">
        <f aca="false">IF($E388="","",IFERROR(INDEX(Kontenplan!$C$5:$C$90,MATCH($E388,Kontenplan!$A$5:$A$90,0)),"?"))</f>
        <v/>
      </c>
      <c r="V388" s="35" t="str">
        <f aca="false">IF($F388="","",IF(OR($D388="",$E388="",$T388="?",$U388="?"),"Konto prüfen!",IF($A388="","Datum fehlt",IF(YEAR($A388)&lt;&gt;Einstellungen!$B$7,"anderes Jahr!",IF($G388="","MWST-Code fehlt","OK")))))</f>
        <v/>
      </c>
      <c r="W388" s="35" t="str">
        <f aca="false">IF($F388="","",IF(OR($D388=Kontoauszug!$C$4,$E388=Kontoauszug!$C$4),MAX(W$4:W387)+1,""))</f>
        <v/>
      </c>
    </row>
    <row r="389" customFormat="false" ht="15" hidden="false" customHeight="false" outlineLevel="0" collapsed="false">
      <c r="A389" s="33"/>
      <c r="B389" s="32"/>
      <c r="C389" s="32"/>
      <c r="D389" s="32"/>
      <c r="E389" s="32"/>
      <c r="F389" s="30"/>
      <c r="G389" s="32"/>
      <c r="H389" s="34" t="n">
        <f aca="false">IF($G389="",0,IFERROR(INDEX(Einstellungen!$G$5:$G$11,MATCH($G389,Einstellungen!$E$5:$E$11,0)),0))</f>
        <v>0</v>
      </c>
      <c r="I389" s="35" t="str">
        <f aca="false">IF($G389="","-",IFERROR(INDEX(Einstellungen!$H$5:$H$11,MATCH($G389,Einstellungen!$E$5:$E$11,0)),"-"))</f>
        <v>-</v>
      </c>
      <c r="J389" s="35" t="str">
        <f aca="false">IF(AND(Einstellungen!$B$8="Ja",Einstellungen!$B$9="Effektiv"),$I389,"-")</f>
        <v>-</v>
      </c>
      <c r="K389" s="31" t="n">
        <f aca="false">IF(OR($F389="",$J389="-"),0,ROUND($F389-$F389/(1+$H389),2))</f>
        <v>0</v>
      </c>
      <c r="L389" s="31" t="n">
        <f aca="false">IF($F389="",0,$F389-$K389)</f>
        <v>0</v>
      </c>
      <c r="M389" s="31" t="n">
        <f aca="false">IF($F389="",0,IF($J389="V",$L389,$F389))</f>
        <v>0</v>
      </c>
      <c r="N389" s="31" t="n">
        <f aca="false">IF($F389="",0,IF($J389="U",$L389,$F389))</f>
        <v>0</v>
      </c>
      <c r="O389" s="35" t="str">
        <f aca="false">IF($A389="","",MONTH($A389))</f>
        <v/>
      </c>
      <c r="P389" s="35" t="str">
        <f aca="false">IF($A389="","",ROUNDUP(MONTH($A389)/3,0))</f>
        <v/>
      </c>
      <c r="Q389" s="35" t="str">
        <f aca="false">IF($A389="","",IF(MONTH($A389)&lt;=6,1,2))</f>
        <v/>
      </c>
      <c r="R389" s="35" t="str">
        <f aca="false">IF($E389="","",IFERROR(INDEX(Kontenplan!$F$5:$F$90,MATCH($E389,Kontenplan!$A$5:$A$90,0)),""))</f>
        <v/>
      </c>
      <c r="S389" s="35" t="str">
        <f aca="false">IF($D389="","",IFERROR(INDEX(Kontenplan!$F$5:$F$90,MATCH($D389,Kontenplan!$A$5:$A$90,0)),""))</f>
        <v/>
      </c>
      <c r="T389" s="35" t="str">
        <f aca="false">IF($D389="","",IFERROR(INDEX(Kontenplan!$C$5:$C$90,MATCH($D389,Kontenplan!$A$5:$A$90,0)),"?"))</f>
        <v/>
      </c>
      <c r="U389" s="35" t="str">
        <f aca="false">IF($E389="","",IFERROR(INDEX(Kontenplan!$C$5:$C$90,MATCH($E389,Kontenplan!$A$5:$A$90,0)),"?"))</f>
        <v/>
      </c>
      <c r="V389" s="35" t="str">
        <f aca="false">IF($F389="","",IF(OR($D389="",$E389="",$T389="?",$U389="?"),"Konto prüfen!",IF($A389="","Datum fehlt",IF(YEAR($A389)&lt;&gt;Einstellungen!$B$7,"anderes Jahr!",IF($G389="","MWST-Code fehlt","OK")))))</f>
        <v/>
      </c>
      <c r="W389" s="35" t="str">
        <f aca="false">IF($F389="","",IF(OR($D389=Kontoauszug!$C$4,$E389=Kontoauszug!$C$4),MAX(W$4:W388)+1,""))</f>
        <v/>
      </c>
    </row>
    <row r="390" customFormat="false" ht="15" hidden="false" customHeight="false" outlineLevel="0" collapsed="false">
      <c r="A390" s="33"/>
      <c r="B390" s="32"/>
      <c r="C390" s="32"/>
      <c r="D390" s="32"/>
      <c r="E390" s="32"/>
      <c r="F390" s="30"/>
      <c r="G390" s="32"/>
      <c r="H390" s="34" t="n">
        <f aca="false">IF($G390="",0,IFERROR(INDEX(Einstellungen!$G$5:$G$11,MATCH($G390,Einstellungen!$E$5:$E$11,0)),0))</f>
        <v>0</v>
      </c>
      <c r="I390" s="35" t="str">
        <f aca="false">IF($G390="","-",IFERROR(INDEX(Einstellungen!$H$5:$H$11,MATCH($G390,Einstellungen!$E$5:$E$11,0)),"-"))</f>
        <v>-</v>
      </c>
      <c r="J390" s="35" t="str">
        <f aca="false">IF(AND(Einstellungen!$B$8="Ja",Einstellungen!$B$9="Effektiv"),$I390,"-")</f>
        <v>-</v>
      </c>
      <c r="K390" s="31" t="n">
        <f aca="false">IF(OR($F390="",$J390="-"),0,ROUND($F390-$F390/(1+$H390),2))</f>
        <v>0</v>
      </c>
      <c r="L390" s="31" t="n">
        <f aca="false">IF($F390="",0,$F390-$K390)</f>
        <v>0</v>
      </c>
      <c r="M390" s="31" t="n">
        <f aca="false">IF($F390="",0,IF($J390="V",$L390,$F390))</f>
        <v>0</v>
      </c>
      <c r="N390" s="31" t="n">
        <f aca="false">IF($F390="",0,IF($J390="U",$L390,$F390))</f>
        <v>0</v>
      </c>
      <c r="O390" s="35" t="str">
        <f aca="false">IF($A390="","",MONTH($A390))</f>
        <v/>
      </c>
      <c r="P390" s="35" t="str">
        <f aca="false">IF($A390="","",ROUNDUP(MONTH($A390)/3,0))</f>
        <v/>
      </c>
      <c r="Q390" s="35" t="str">
        <f aca="false">IF($A390="","",IF(MONTH($A390)&lt;=6,1,2))</f>
        <v/>
      </c>
      <c r="R390" s="35" t="str">
        <f aca="false">IF($E390="","",IFERROR(INDEX(Kontenplan!$F$5:$F$90,MATCH($E390,Kontenplan!$A$5:$A$90,0)),""))</f>
        <v/>
      </c>
      <c r="S390" s="35" t="str">
        <f aca="false">IF($D390="","",IFERROR(INDEX(Kontenplan!$F$5:$F$90,MATCH($D390,Kontenplan!$A$5:$A$90,0)),""))</f>
        <v/>
      </c>
      <c r="T390" s="35" t="str">
        <f aca="false">IF($D390="","",IFERROR(INDEX(Kontenplan!$C$5:$C$90,MATCH($D390,Kontenplan!$A$5:$A$90,0)),"?"))</f>
        <v/>
      </c>
      <c r="U390" s="35" t="str">
        <f aca="false">IF($E390="","",IFERROR(INDEX(Kontenplan!$C$5:$C$90,MATCH($E390,Kontenplan!$A$5:$A$90,0)),"?"))</f>
        <v/>
      </c>
      <c r="V390" s="35" t="str">
        <f aca="false">IF($F390="","",IF(OR($D390="",$E390="",$T390="?",$U390="?"),"Konto prüfen!",IF($A390="","Datum fehlt",IF(YEAR($A390)&lt;&gt;Einstellungen!$B$7,"anderes Jahr!",IF($G390="","MWST-Code fehlt","OK")))))</f>
        <v/>
      </c>
      <c r="W390" s="35" t="str">
        <f aca="false">IF($F390="","",IF(OR($D390=Kontoauszug!$C$4,$E390=Kontoauszug!$C$4),MAX(W$4:W389)+1,""))</f>
        <v/>
      </c>
    </row>
    <row r="391" customFormat="false" ht="15" hidden="false" customHeight="false" outlineLevel="0" collapsed="false">
      <c r="A391" s="33"/>
      <c r="B391" s="32"/>
      <c r="C391" s="32"/>
      <c r="D391" s="32"/>
      <c r="E391" s="32"/>
      <c r="F391" s="30"/>
      <c r="G391" s="32"/>
      <c r="H391" s="34" t="n">
        <f aca="false">IF($G391="",0,IFERROR(INDEX(Einstellungen!$G$5:$G$11,MATCH($G391,Einstellungen!$E$5:$E$11,0)),0))</f>
        <v>0</v>
      </c>
      <c r="I391" s="35" t="str">
        <f aca="false">IF($G391="","-",IFERROR(INDEX(Einstellungen!$H$5:$H$11,MATCH($G391,Einstellungen!$E$5:$E$11,0)),"-"))</f>
        <v>-</v>
      </c>
      <c r="J391" s="35" t="str">
        <f aca="false">IF(AND(Einstellungen!$B$8="Ja",Einstellungen!$B$9="Effektiv"),$I391,"-")</f>
        <v>-</v>
      </c>
      <c r="K391" s="31" t="n">
        <f aca="false">IF(OR($F391="",$J391="-"),0,ROUND($F391-$F391/(1+$H391),2))</f>
        <v>0</v>
      </c>
      <c r="L391" s="31" t="n">
        <f aca="false">IF($F391="",0,$F391-$K391)</f>
        <v>0</v>
      </c>
      <c r="M391" s="31" t="n">
        <f aca="false">IF($F391="",0,IF($J391="V",$L391,$F391))</f>
        <v>0</v>
      </c>
      <c r="N391" s="31" t="n">
        <f aca="false">IF($F391="",0,IF($J391="U",$L391,$F391))</f>
        <v>0</v>
      </c>
      <c r="O391" s="35" t="str">
        <f aca="false">IF($A391="","",MONTH($A391))</f>
        <v/>
      </c>
      <c r="P391" s="35" t="str">
        <f aca="false">IF($A391="","",ROUNDUP(MONTH($A391)/3,0))</f>
        <v/>
      </c>
      <c r="Q391" s="35" t="str">
        <f aca="false">IF($A391="","",IF(MONTH($A391)&lt;=6,1,2))</f>
        <v/>
      </c>
      <c r="R391" s="35" t="str">
        <f aca="false">IF($E391="","",IFERROR(INDEX(Kontenplan!$F$5:$F$90,MATCH($E391,Kontenplan!$A$5:$A$90,0)),""))</f>
        <v/>
      </c>
      <c r="S391" s="35" t="str">
        <f aca="false">IF($D391="","",IFERROR(INDEX(Kontenplan!$F$5:$F$90,MATCH($D391,Kontenplan!$A$5:$A$90,0)),""))</f>
        <v/>
      </c>
      <c r="T391" s="35" t="str">
        <f aca="false">IF($D391="","",IFERROR(INDEX(Kontenplan!$C$5:$C$90,MATCH($D391,Kontenplan!$A$5:$A$90,0)),"?"))</f>
        <v/>
      </c>
      <c r="U391" s="35" t="str">
        <f aca="false">IF($E391="","",IFERROR(INDEX(Kontenplan!$C$5:$C$90,MATCH($E391,Kontenplan!$A$5:$A$90,0)),"?"))</f>
        <v/>
      </c>
      <c r="V391" s="35" t="str">
        <f aca="false">IF($F391="","",IF(OR($D391="",$E391="",$T391="?",$U391="?"),"Konto prüfen!",IF($A391="","Datum fehlt",IF(YEAR($A391)&lt;&gt;Einstellungen!$B$7,"anderes Jahr!",IF($G391="","MWST-Code fehlt","OK")))))</f>
        <v/>
      </c>
      <c r="W391" s="35" t="str">
        <f aca="false">IF($F391="","",IF(OR($D391=Kontoauszug!$C$4,$E391=Kontoauszug!$C$4),MAX(W$4:W390)+1,""))</f>
        <v/>
      </c>
    </row>
    <row r="392" customFormat="false" ht="15" hidden="false" customHeight="false" outlineLevel="0" collapsed="false">
      <c r="A392" s="33"/>
      <c r="B392" s="32"/>
      <c r="C392" s="32"/>
      <c r="D392" s="32"/>
      <c r="E392" s="32"/>
      <c r="F392" s="30"/>
      <c r="G392" s="32"/>
      <c r="H392" s="34" t="n">
        <f aca="false">IF($G392="",0,IFERROR(INDEX(Einstellungen!$G$5:$G$11,MATCH($G392,Einstellungen!$E$5:$E$11,0)),0))</f>
        <v>0</v>
      </c>
      <c r="I392" s="35" t="str">
        <f aca="false">IF($G392="","-",IFERROR(INDEX(Einstellungen!$H$5:$H$11,MATCH($G392,Einstellungen!$E$5:$E$11,0)),"-"))</f>
        <v>-</v>
      </c>
      <c r="J392" s="35" t="str">
        <f aca="false">IF(AND(Einstellungen!$B$8="Ja",Einstellungen!$B$9="Effektiv"),$I392,"-")</f>
        <v>-</v>
      </c>
      <c r="K392" s="31" t="n">
        <f aca="false">IF(OR($F392="",$J392="-"),0,ROUND($F392-$F392/(1+$H392),2))</f>
        <v>0</v>
      </c>
      <c r="L392" s="31" t="n">
        <f aca="false">IF($F392="",0,$F392-$K392)</f>
        <v>0</v>
      </c>
      <c r="M392" s="31" t="n">
        <f aca="false">IF($F392="",0,IF($J392="V",$L392,$F392))</f>
        <v>0</v>
      </c>
      <c r="N392" s="31" t="n">
        <f aca="false">IF($F392="",0,IF($J392="U",$L392,$F392))</f>
        <v>0</v>
      </c>
      <c r="O392" s="35" t="str">
        <f aca="false">IF($A392="","",MONTH($A392))</f>
        <v/>
      </c>
      <c r="P392" s="35" t="str">
        <f aca="false">IF($A392="","",ROUNDUP(MONTH($A392)/3,0))</f>
        <v/>
      </c>
      <c r="Q392" s="35" t="str">
        <f aca="false">IF($A392="","",IF(MONTH($A392)&lt;=6,1,2))</f>
        <v/>
      </c>
      <c r="R392" s="35" t="str">
        <f aca="false">IF($E392="","",IFERROR(INDEX(Kontenplan!$F$5:$F$90,MATCH($E392,Kontenplan!$A$5:$A$90,0)),""))</f>
        <v/>
      </c>
      <c r="S392" s="35" t="str">
        <f aca="false">IF($D392="","",IFERROR(INDEX(Kontenplan!$F$5:$F$90,MATCH($D392,Kontenplan!$A$5:$A$90,0)),""))</f>
        <v/>
      </c>
      <c r="T392" s="35" t="str">
        <f aca="false">IF($D392="","",IFERROR(INDEX(Kontenplan!$C$5:$C$90,MATCH($D392,Kontenplan!$A$5:$A$90,0)),"?"))</f>
        <v/>
      </c>
      <c r="U392" s="35" t="str">
        <f aca="false">IF($E392="","",IFERROR(INDEX(Kontenplan!$C$5:$C$90,MATCH($E392,Kontenplan!$A$5:$A$90,0)),"?"))</f>
        <v/>
      </c>
      <c r="V392" s="35" t="str">
        <f aca="false">IF($F392="","",IF(OR($D392="",$E392="",$T392="?",$U392="?"),"Konto prüfen!",IF($A392="","Datum fehlt",IF(YEAR($A392)&lt;&gt;Einstellungen!$B$7,"anderes Jahr!",IF($G392="","MWST-Code fehlt","OK")))))</f>
        <v/>
      </c>
      <c r="W392" s="35" t="str">
        <f aca="false">IF($F392="","",IF(OR($D392=Kontoauszug!$C$4,$E392=Kontoauszug!$C$4),MAX(W$4:W391)+1,""))</f>
        <v/>
      </c>
    </row>
    <row r="393" customFormat="false" ht="15" hidden="false" customHeight="false" outlineLevel="0" collapsed="false">
      <c r="A393" s="33"/>
      <c r="B393" s="32"/>
      <c r="C393" s="32"/>
      <c r="D393" s="32"/>
      <c r="E393" s="32"/>
      <c r="F393" s="30"/>
      <c r="G393" s="32"/>
      <c r="H393" s="34" t="n">
        <f aca="false">IF($G393="",0,IFERROR(INDEX(Einstellungen!$G$5:$G$11,MATCH($G393,Einstellungen!$E$5:$E$11,0)),0))</f>
        <v>0</v>
      </c>
      <c r="I393" s="35" t="str">
        <f aca="false">IF($G393="","-",IFERROR(INDEX(Einstellungen!$H$5:$H$11,MATCH($G393,Einstellungen!$E$5:$E$11,0)),"-"))</f>
        <v>-</v>
      </c>
      <c r="J393" s="35" t="str">
        <f aca="false">IF(AND(Einstellungen!$B$8="Ja",Einstellungen!$B$9="Effektiv"),$I393,"-")</f>
        <v>-</v>
      </c>
      <c r="K393" s="31" t="n">
        <f aca="false">IF(OR($F393="",$J393="-"),0,ROUND($F393-$F393/(1+$H393),2))</f>
        <v>0</v>
      </c>
      <c r="L393" s="31" t="n">
        <f aca="false">IF($F393="",0,$F393-$K393)</f>
        <v>0</v>
      </c>
      <c r="M393" s="31" t="n">
        <f aca="false">IF($F393="",0,IF($J393="V",$L393,$F393))</f>
        <v>0</v>
      </c>
      <c r="N393" s="31" t="n">
        <f aca="false">IF($F393="",0,IF($J393="U",$L393,$F393))</f>
        <v>0</v>
      </c>
      <c r="O393" s="35" t="str">
        <f aca="false">IF($A393="","",MONTH($A393))</f>
        <v/>
      </c>
      <c r="P393" s="35" t="str">
        <f aca="false">IF($A393="","",ROUNDUP(MONTH($A393)/3,0))</f>
        <v/>
      </c>
      <c r="Q393" s="35" t="str">
        <f aca="false">IF($A393="","",IF(MONTH($A393)&lt;=6,1,2))</f>
        <v/>
      </c>
      <c r="R393" s="35" t="str">
        <f aca="false">IF($E393="","",IFERROR(INDEX(Kontenplan!$F$5:$F$90,MATCH($E393,Kontenplan!$A$5:$A$90,0)),""))</f>
        <v/>
      </c>
      <c r="S393" s="35" t="str">
        <f aca="false">IF($D393="","",IFERROR(INDEX(Kontenplan!$F$5:$F$90,MATCH($D393,Kontenplan!$A$5:$A$90,0)),""))</f>
        <v/>
      </c>
      <c r="T393" s="35" t="str">
        <f aca="false">IF($D393="","",IFERROR(INDEX(Kontenplan!$C$5:$C$90,MATCH($D393,Kontenplan!$A$5:$A$90,0)),"?"))</f>
        <v/>
      </c>
      <c r="U393" s="35" t="str">
        <f aca="false">IF($E393="","",IFERROR(INDEX(Kontenplan!$C$5:$C$90,MATCH($E393,Kontenplan!$A$5:$A$90,0)),"?"))</f>
        <v/>
      </c>
      <c r="V393" s="35" t="str">
        <f aca="false">IF($F393="","",IF(OR($D393="",$E393="",$T393="?",$U393="?"),"Konto prüfen!",IF($A393="","Datum fehlt",IF(YEAR($A393)&lt;&gt;Einstellungen!$B$7,"anderes Jahr!",IF($G393="","MWST-Code fehlt","OK")))))</f>
        <v/>
      </c>
      <c r="W393" s="35" t="str">
        <f aca="false">IF($F393="","",IF(OR($D393=Kontoauszug!$C$4,$E393=Kontoauszug!$C$4),MAX(W$4:W392)+1,""))</f>
        <v/>
      </c>
    </row>
    <row r="394" customFormat="false" ht="15" hidden="false" customHeight="false" outlineLevel="0" collapsed="false">
      <c r="A394" s="33"/>
      <c r="B394" s="32"/>
      <c r="C394" s="32"/>
      <c r="D394" s="32"/>
      <c r="E394" s="32"/>
      <c r="F394" s="30"/>
      <c r="G394" s="32"/>
      <c r="H394" s="34" t="n">
        <f aca="false">IF($G394="",0,IFERROR(INDEX(Einstellungen!$G$5:$G$11,MATCH($G394,Einstellungen!$E$5:$E$11,0)),0))</f>
        <v>0</v>
      </c>
      <c r="I394" s="35" t="str">
        <f aca="false">IF($G394="","-",IFERROR(INDEX(Einstellungen!$H$5:$H$11,MATCH($G394,Einstellungen!$E$5:$E$11,0)),"-"))</f>
        <v>-</v>
      </c>
      <c r="J394" s="35" t="str">
        <f aca="false">IF(AND(Einstellungen!$B$8="Ja",Einstellungen!$B$9="Effektiv"),$I394,"-")</f>
        <v>-</v>
      </c>
      <c r="K394" s="31" t="n">
        <f aca="false">IF(OR($F394="",$J394="-"),0,ROUND($F394-$F394/(1+$H394),2))</f>
        <v>0</v>
      </c>
      <c r="L394" s="31" t="n">
        <f aca="false">IF($F394="",0,$F394-$K394)</f>
        <v>0</v>
      </c>
      <c r="M394" s="31" t="n">
        <f aca="false">IF($F394="",0,IF($J394="V",$L394,$F394))</f>
        <v>0</v>
      </c>
      <c r="N394" s="31" t="n">
        <f aca="false">IF($F394="",0,IF($J394="U",$L394,$F394))</f>
        <v>0</v>
      </c>
      <c r="O394" s="35" t="str">
        <f aca="false">IF($A394="","",MONTH($A394))</f>
        <v/>
      </c>
      <c r="P394" s="35" t="str">
        <f aca="false">IF($A394="","",ROUNDUP(MONTH($A394)/3,0))</f>
        <v/>
      </c>
      <c r="Q394" s="35" t="str">
        <f aca="false">IF($A394="","",IF(MONTH($A394)&lt;=6,1,2))</f>
        <v/>
      </c>
      <c r="R394" s="35" t="str">
        <f aca="false">IF($E394="","",IFERROR(INDEX(Kontenplan!$F$5:$F$90,MATCH($E394,Kontenplan!$A$5:$A$90,0)),""))</f>
        <v/>
      </c>
      <c r="S394" s="35" t="str">
        <f aca="false">IF($D394="","",IFERROR(INDEX(Kontenplan!$F$5:$F$90,MATCH($D394,Kontenplan!$A$5:$A$90,0)),""))</f>
        <v/>
      </c>
      <c r="T394" s="35" t="str">
        <f aca="false">IF($D394="","",IFERROR(INDEX(Kontenplan!$C$5:$C$90,MATCH($D394,Kontenplan!$A$5:$A$90,0)),"?"))</f>
        <v/>
      </c>
      <c r="U394" s="35" t="str">
        <f aca="false">IF($E394="","",IFERROR(INDEX(Kontenplan!$C$5:$C$90,MATCH($E394,Kontenplan!$A$5:$A$90,0)),"?"))</f>
        <v/>
      </c>
      <c r="V394" s="35" t="str">
        <f aca="false">IF($F394="","",IF(OR($D394="",$E394="",$T394="?",$U394="?"),"Konto prüfen!",IF($A394="","Datum fehlt",IF(YEAR($A394)&lt;&gt;Einstellungen!$B$7,"anderes Jahr!",IF($G394="","MWST-Code fehlt","OK")))))</f>
        <v/>
      </c>
      <c r="W394" s="35" t="str">
        <f aca="false">IF($F394="","",IF(OR($D394=Kontoauszug!$C$4,$E394=Kontoauszug!$C$4),MAX(W$4:W393)+1,""))</f>
        <v/>
      </c>
    </row>
    <row r="395" customFormat="false" ht="15" hidden="false" customHeight="false" outlineLevel="0" collapsed="false">
      <c r="A395" s="33"/>
      <c r="B395" s="32"/>
      <c r="C395" s="32"/>
      <c r="D395" s="32"/>
      <c r="E395" s="32"/>
      <c r="F395" s="30"/>
      <c r="G395" s="32"/>
      <c r="H395" s="34" t="n">
        <f aca="false">IF($G395="",0,IFERROR(INDEX(Einstellungen!$G$5:$G$11,MATCH($G395,Einstellungen!$E$5:$E$11,0)),0))</f>
        <v>0</v>
      </c>
      <c r="I395" s="35" t="str">
        <f aca="false">IF($G395="","-",IFERROR(INDEX(Einstellungen!$H$5:$H$11,MATCH($G395,Einstellungen!$E$5:$E$11,0)),"-"))</f>
        <v>-</v>
      </c>
      <c r="J395" s="35" t="str">
        <f aca="false">IF(AND(Einstellungen!$B$8="Ja",Einstellungen!$B$9="Effektiv"),$I395,"-")</f>
        <v>-</v>
      </c>
      <c r="K395" s="31" t="n">
        <f aca="false">IF(OR($F395="",$J395="-"),0,ROUND($F395-$F395/(1+$H395),2))</f>
        <v>0</v>
      </c>
      <c r="L395" s="31" t="n">
        <f aca="false">IF($F395="",0,$F395-$K395)</f>
        <v>0</v>
      </c>
      <c r="M395" s="31" t="n">
        <f aca="false">IF($F395="",0,IF($J395="V",$L395,$F395))</f>
        <v>0</v>
      </c>
      <c r="N395" s="31" t="n">
        <f aca="false">IF($F395="",0,IF($J395="U",$L395,$F395))</f>
        <v>0</v>
      </c>
      <c r="O395" s="35" t="str">
        <f aca="false">IF($A395="","",MONTH($A395))</f>
        <v/>
      </c>
      <c r="P395" s="35" t="str">
        <f aca="false">IF($A395="","",ROUNDUP(MONTH($A395)/3,0))</f>
        <v/>
      </c>
      <c r="Q395" s="35" t="str">
        <f aca="false">IF($A395="","",IF(MONTH($A395)&lt;=6,1,2))</f>
        <v/>
      </c>
      <c r="R395" s="35" t="str">
        <f aca="false">IF($E395="","",IFERROR(INDEX(Kontenplan!$F$5:$F$90,MATCH($E395,Kontenplan!$A$5:$A$90,0)),""))</f>
        <v/>
      </c>
      <c r="S395" s="35" t="str">
        <f aca="false">IF($D395="","",IFERROR(INDEX(Kontenplan!$F$5:$F$90,MATCH($D395,Kontenplan!$A$5:$A$90,0)),""))</f>
        <v/>
      </c>
      <c r="T395" s="35" t="str">
        <f aca="false">IF($D395="","",IFERROR(INDEX(Kontenplan!$C$5:$C$90,MATCH($D395,Kontenplan!$A$5:$A$90,0)),"?"))</f>
        <v/>
      </c>
      <c r="U395" s="35" t="str">
        <f aca="false">IF($E395="","",IFERROR(INDEX(Kontenplan!$C$5:$C$90,MATCH($E395,Kontenplan!$A$5:$A$90,0)),"?"))</f>
        <v/>
      </c>
      <c r="V395" s="35" t="str">
        <f aca="false">IF($F395="","",IF(OR($D395="",$E395="",$T395="?",$U395="?"),"Konto prüfen!",IF($A395="","Datum fehlt",IF(YEAR($A395)&lt;&gt;Einstellungen!$B$7,"anderes Jahr!",IF($G395="","MWST-Code fehlt","OK")))))</f>
        <v/>
      </c>
      <c r="W395" s="35" t="str">
        <f aca="false">IF($F395="","",IF(OR($D395=Kontoauszug!$C$4,$E395=Kontoauszug!$C$4),MAX(W$4:W394)+1,""))</f>
        <v/>
      </c>
    </row>
    <row r="396" customFormat="false" ht="15" hidden="false" customHeight="false" outlineLevel="0" collapsed="false">
      <c r="A396" s="33"/>
      <c r="B396" s="32"/>
      <c r="C396" s="32"/>
      <c r="D396" s="32"/>
      <c r="E396" s="32"/>
      <c r="F396" s="30"/>
      <c r="G396" s="32"/>
      <c r="H396" s="34" t="n">
        <f aca="false">IF($G396="",0,IFERROR(INDEX(Einstellungen!$G$5:$G$11,MATCH($G396,Einstellungen!$E$5:$E$11,0)),0))</f>
        <v>0</v>
      </c>
      <c r="I396" s="35" t="str">
        <f aca="false">IF($G396="","-",IFERROR(INDEX(Einstellungen!$H$5:$H$11,MATCH($G396,Einstellungen!$E$5:$E$11,0)),"-"))</f>
        <v>-</v>
      </c>
      <c r="J396" s="35" t="str">
        <f aca="false">IF(AND(Einstellungen!$B$8="Ja",Einstellungen!$B$9="Effektiv"),$I396,"-")</f>
        <v>-</v>
      </c>
      <c r="K396" s="31" t="n">
        <f aca="false">IF(OR($F396="",$J396="-"),0,ROUND($F396-$F396/(1+$H396),2))</f>
        <v>0</v>
      </c>
      <c r="L396" s="31" t="n">
        <f aca="false">IF($F396="",0,$F396-$K396)</f>
        <v>0</v>
      </c>
      <c r="M396" s="31" t="n">
        <f aca="false">IF($F396="",0,IF($J396="V",$L396,$F396))</f>
        <v>0</v>
      </c>
      <c r="N396" s="31" t="n">
        <f aca="false">IF($F396="",0,IF($J396="U",$L396,$F396))</f>
        <v>0</v>
      </c>
      <c r="O396" s="35" t="str">
        <f aca="false">IF($A396="","",MONTH($A396))</f>
        <v/>
      </c>
      <c r="P396" s="35" t="str">
        <f aca="false">IF($A396="","",ROUNDUP(MONTH($A396)/3,0))</f>
        <v/>
      </c>
      <c r="Q396" s="35" t="str">
        <f aca="false">IF($A396="","",IF(MONTH($A396)&lt;=6,1,2))</f>
        <v/>
      </c>
      <c r="R396" s="35" t="str">
        <f aca="false">IF($E396="","",IFERROR(INDEX(Kontenplan!$F$5:$F$90,MATCH($E396,Kontenplan!$A$5:$A$90,0)),""))</f>
        <v/>
      </c>
      <c r="S396" s="35" t="str">
        <f aca="false">IF($D396="","",IFERROR(INDEX(Kontenplan!$F$5:$F$90,MATCH($D396,Kontenplan!$A$5:$A$90,0)),""))</f>
        <v/>
      </c>
      <c r="T396" s="35" t="str">
        <f aca="false">IF($D396="","",IFERROR(INDEX(Kontenplan!$C$5:$C$90,MATCH($D396,Kontenplan!$A$5:$A$90,0)),"?"))</f>
        <v/>
      </c>
      <c r="U396" s="35" t="str">
        <f aca="false">IF($E396="","",IFERROR(INDEX(Kontenplan!$C$5:$C$90,MATCH($E396,Kontenplan!$A$5:$A$90,0)),"?"))</f>
        <v/>
      </c>
      <c r="V396" s="35" t="str">
        <f aca="false">IF($F396="","",IF(OR($D396="",$E396="",$T396="?",$U396="?"),"Konto prüfen!",IF($A396="","Datum fehlt",IF(YEAR($A396)&lt;&gt;Einstellungen!$B$7,"anderes Jahr!",IF($G396="","MWST-Code fehlt","OK")))))</f>
        <v/>
      </c>
      <c r="W396" s="35" t="str">
        <f aca="false">IF($F396="","",IF(OR($D396=Kontoauszug!$C$4,$E396=Kontoauszug!$C$4),MAX(W$4:W395)+1,""))</f>
        <v/>
      </c>
    </row>
    <row r="397" customFormat="false" ht="15" hidden="false" customHeight="false" outlineLevel="0" collapsed="false">
      <c r="A397" s="33"/>
      <c r="B397" s="32"/>
      <c r="C397" s="32"/>
      <c r="D397" s="32"/>
      <c r="E397" s="32"/>
      <c r="F397" s="30"/>
      <c r="G397" s="32"/>
      <c r="H397" s="34" t="n">
        <f aca="false">IF($G397="",0,IFERROR(INDEX(Einstellungen!$G$5:$G$11,MATCH($G397,Einstellungen!$E$5:$E$11,0)),0))</f>
        <v>0</v>
      </c>
      <c r="I397" s="35" t="str">
        <f aca="false">IF($G397="","-",IFERROR(INDEX(Einstellungen!$H$5:$H$11,MATCH($G397,Einstellungen!$E$5:$E$11,0)),"-"))</f>
        <v>-</v>
      </c>
      <c r="J397" s="35" t="str">
        <f aca="false">IF(AND(Einstellungen!$B$8="Ja",Einstellungen!$B$9="Effektiv"),$I397,"-")</f>
        <v>-</v>
      </c>
      <c r="K397" s="31" t="n">
        <f aca="false">IF(OR($F397="",$J397="-"),0,ROUND($F397-$F397/(1+$H397),2))</f>
        <v>0</v>
      </c>
      <c r="L397" s="31" t="n">
        <f aca="false">IF($F397="",0,$F397-$K397)</f>
        <v>0</v>
      </c>
      <c r="M397" s="31" t="n">
        <f aca="false">IF($F397="",0,IF($J397="V",$L397,$F397))</f>
        <v>0</v>
      </c>
      <c r="N397" s="31" t="n">
        <f aca="false">IF($F397="",0,IF($J397="U",$L397,$F397))</f>
        <v>0</v>
      </c>
      <c r="O397" s="35" t="str">
        <f aca="false">IF($A397="","",MONTH($A397))</f>
        <v/>
      </c>
      <c r="P397" s="35" t="str">
        <f aca="false">IF($A397="","",ROUNDUP(MONTH($A397)/3,0))</f>
        <v/>
      </c>
      <c r="Q397" s="35" t="str">
        <f aca="false">IF($A397="","",IF(MONTH($A397)&lt;=6,1,2))</f>
        <v/>
      </c>
      <c r="R397" s="35" t="str">
        <f aca="false">IF($E397="","",IFERROR(INDEX(Kontenplan!$F$5:$F$90,MATCH($E397,Kontenplan!$A$5:$A$90,0)),""))</f>
        <v/>
      </c>
      <c r="S397" s="35" t="str">
        <f aca="false">IF($D397="","",IFERROR(INDEX(Kontenplan!$F$5:$F$90,MATCH($D397,Kontenplan!$A$5:$A$90,0)),""))</f>
        <v/>
      </c>
      <c r="T397" s="35" t="str">
        <f aca="false">IF($D397="","",IFERROR(INDEX(Kontenplan!$C$5:$C$90,MATCH($D397,Kontenplan!$A$5:$A$90,0)),"?"))</f>
        <v/>
      </c>
      <c r="U397" s="35" t="str">
        <f aca="false">IF($E397="","",IFERROR(INDEX(Kontenplan!$C$5:$C$90,MATCH($E397,Kontenplan!$A$5:$A$90,0)),"?"))</f>
        <v/>
      </c>
      <c r="V397" s="35" t="str">
        <f aca="false">IF($F397="","",IF(OR($D397="",$E397="",$T397="?",$U397="?"),"Konto prüfen!",IF($A397="","Datum fehlt",IF(YEAR($A397)&lt;&gt;Einstellungen!$B$7,"anderes Jahr!",IF($G397="","MWST-Code fehlt","OK")))))</f>
        <v/>
      </c>
      <c r="W397" s="35" t="str">
        <f aca="false">IF($F397="","",IF(OR($D397=Kontoauszug!$C$4,$E397=Kontoauszug!$C$4),MAX(W$4:W396)+1,""))</f>
        <v/>
      </c>
    </row>
    <row r="398" customFormat="false" ht="15" hidden="false" customHeight="false" outlineLevel="0" collapsed="false">
      <c r="A398" s="33"/>
      <c r="B398" s="32"/>
      <c r="C398" s="32"/>
      <c r="D398" s="32"/>
      <c r="E398" s="32"/>
      <c r="F398" s="30"/>
      <c r="G398" s="32"/>
      <c r="H398" s="34" t="n">
        <f aca="false">IF($G398="",0,IFERROR(INDEX(Einstellungen!$G$5:$G$11,MATCH($G398,Einstellungen!$E$5:$E$11,0)),0))</f>
        <v>0</v>
      </c>
      <c r="I398" s="35" t="str">
        <f aca="false">IF($G398="","-",IFERROR(INDEX(Einstellungen!$H$5:$H$11,MATCH($G398,Einstellungen!$E$5:$E$11,0)),"-"))</f>
        <v>-</v>
      </c>
      <c r="J398" s="35" t="str">
        <f aca="false">IF(AND(Einstellungen!$B$8="Ja",Einstellungen!$B$9="Effektiv"),$I398,"-")</f>
        <v>-</v>
      </c>
      <c r="K398" s="31" t="n">
        <f aca="false">IF(OR($F398="",$J398="-"),0,ROUND($F398-$F398/(1+$H398),2))</f>
        <v>0</v>
      </c>
      <c r="L398" s="31" t="n">
        <f aca="false">IF($F398="",0,$F398-$K398)</f>
        <v>0</v>
      </c>
      <c r="M398" s="31" t="n">
        <f aca="false">IF($F398="",0,IF($J398="V",$L398,$F398))</f>
        <v>0</v>
      </c>
      <c r="N398" s="31" t="n">
        <f aca="false">IF($F398="",0,IF($J398="U",$L398,$F398))</f>
        <v>0</v>
      </c>
      <c r="O398" s="35" t="str">
        <f aca="false">IF($A398="","",MONTH($A398))</f>
        <v/>
      </c>
      <c r="P398" s="35" t="str">
        <f aca="false">IF($A398="","",ROUNDUP(MONTH($A398)/3,0))</f>
        <v/>
      </c>
      <c r="Q398" s="35" t="str">
        <f aca="false">IF($A398="","",IF(MONTH($A398)&lt;=6,1,2))</f>
        <v/>
      </c>
      <c r="R398" s="35" t="str">
        <f aca="false">IF($E398="","",IFERROR(INDEX(Kontenplan!$F$5:$F$90,MATCH($E398,Kontenplan!$A$5:$A$90,0)),""))</f>
        <v/>
      </c>
      <c r="S398" s="35" t="str">
        <f aca="false">IF($D398="","",IFERROR(INDEX(Kontenplan!$F$5:$F$90,MATCH($D398,Kontenplan!$A$5:$A$90,0)),""))</f>
        <v/>
      </c>
      <c r="T398" s="35" t="str">
        <f aca="false">IF($D398="","",IFERROR(INDEX(Kontenplan!$C$5:$C$90,MATCH($D398,Kontenplan!$A$5:$A$90,0)),"?"))</f>
        <v/>
      </c>
      <c r="U398" s="35" t="str">
        <f aca="false">IF($E398="","",IFERROR(INDEX(Kontenplan!$C$5:$C$90,MATCH($E398,Kontenplan!$A$5:$A$90,0)),"?"))</f>
        <v/>
      </c>
      <c r="V398" s="35" t="str">
        <f aca="false">IF($F398="","",IF(OR($D398="",$E398="",$T398="?",$U398="?"),"Konto prüfen!",IF($A398="","Datum fehlt",IF(YEAR($A398)&lt;&gt;Einstellungen!$B$7,"anderes Jahr!",IF($G398="","MWST-Code fehlt","OK")))))</f>
        <v/>
      </c>
      <c r="W398" s="35" t="str">
        <f aca="false">IF($F398="","",IF(OR($D398=Kontoauszug!$C$4,$E398=Kontoauszug!$C$4),MAX(W$4:W397)+1,""))</f>
        <v/>
      </c>
    </row>
    <row r="399" customFormat="false" ht="15" hidden="false" customHeight="false" outlineLevel="0" collapsed="false">
      <c r="A399" s="33"/>
      <c r="B399" s="32"/>
      <c r="C399" s="32"/>
      <c r="D399" s="32"/>
      <c r="E399" s="32"/>
      <c r="F399" s="30"/>
      <c r="G399" s="32"/>
      <c r="H399" s="34" t="n">
        <f aca="false">IF($G399="",0,IFERROR(INDEX(Einstellungen!$G$5:$G$11,MATCH($G399,Einstellungen!$E$5:$E$11,0)),0))</f>
        <v>0</v>
      </c>
      <c r="I399" s="35" t="str">
        <f aca="false">IF($G399="","-",IFERROR(INDEX(Einstellungen!$H$5:$H$11,MATCH($G399,Einstellungen!$E$5:$E$11,0)),"-"))</f>
        <v>-</v>
      </c>
      <c r="J399" s="35" t="str">
        <f aca="false">IF(AND(Einstellungen!$B$8="Ja",Einstellungen!$B$9="Effektiv"),$I399,"-")</f>
        <v>-</v>
      </c>
      <c r="K399" s="31" t="n">
        <f aca="false">IF(OR($F399="",$J399="-"),0,ROUND($F399-$F399/(1+$H399),2))</f>
        <v>0</v>
      </c>
      <c r="L399" s="31" t="n">
        <f aca="false">IF($F399="",0,$F399-$K399)</f>
        <v>0</v>
      </c>
      <c r="M399" s="31" t="n">
        <f aca="false">IF($F399="",0,IF($J399="V",$L399,$F399))</f>
        <v>0</v>
      </c>
      <c r="N399" s="31" t="n">
        <f aca="false">IF($F399="",0,IF($J399="U",$L399,$F399))</f>
        <v>0</v>
      </c>
      <c r="O399" s="35" t="str">
        <f aca="false">IF($A399="","",MONTH($A399))</f>
        <v/>
      </c>
      <c r="P399" s="35" t="str">
        <f aca="false">IF($A399="","",ROUNDUP(MONTH($A399)/3,0))</f>
        <v/>
      </c>
      <c r="Q399" s="35" t="str">
        <f aca="false">IF($A399="","",IF(MONTH($A399)&lt;=6,1,2))</f>
        <v/>
      </c>
      <c r="R399" s="35" t="str">
        <f aca="false">IF($E399="","",IFERROR(INDEX(Kontenplan!$F$5:$F$90,MATCH($E399,Kontenplan!$A$5:$A$90,0)),""))</f>
        <v/>
      </c>
      <c r="S399" s="35" t="str">
        <f aca="false">IF($D399="","",IFERROR(INDEX(Kontenplan!$F$5:$F$90,MATCH($D399,Kontenplan!$A$5:$A$90,0)),""))</f>
        <v/>
      </c>
      <c r="T399" s="35" t="str">
        <f aca="false">IF($D399="","",IFERROR(INDEX(Kontenplan!$C$5:$C$90,MATCH($D399,Kontenplan!$A$5:$A$90,0)),"?"))</f>
        <v/>
      </c>
      <c r="U399" s="35" t="str">
        <f aca="false">IF($E399="","",IFERROR(INDEX(Kontenplan!$C$5:$C$90,MATCH($E399,Kontenplan!$A$5:$A$90,0)),"?"))</f>
        <v/>
      </c>
      <c r="V399" s="35" t="str">
        <f aca="false">IF($F399="","",IF(OR($D399="",$E399="",$T399="?",$U399="?"),"Konto prüfen!",IF($A399="","Datum fehlt",IF(YEAR($A399)&lt;&gt;Einstellungen!$B$7,"anderes Jahr!",IF($G399="","MWST-Code fehlt","OK")))))</f>
        <v/>
      </c>
      <c r="W399" s="35" t="str">
        <f aca="false">IF($F399="","",IF(OR($D399=Kontoauszug!$C$4,$E399=Kontoauszug!$C$4),MAX(W$4:W398)+1,""))</f>
        <v/>
      </c>
    </row>
    <row r="400" customFormat="false" ht="15" hidden="false" customHeight="false" outlineLevel="0" collapsed="false">
      <c r="A400" s="33"/>
      <c r="B400" s="32"/>
      <c r="C400" s="32"/>
      <c r="D400" s="32"/>
      <c r="E400" s="32"/>
      <c r="F400" s="30"/>
      <c r="G400" s="32"/>
      <c r="H400" s="34" t="n">
        <f aca="false">IF($G400="",0,IFERROR(INDEX(Einstellungen!$G$5:$G$11,MATCH($G400,Einstellungen!$E$5:$E$11,0)),0))</f>
        <v>0</v>
      </c>
      <c r="I400" s="35" t="str">
        <f aca="false">IF($G400="","-",IFERROR(INDEX(Einstellungen!$H$5:$H$11,MATCH($G400,Einstellungen!$E$5:$E$11,0)),"-"))</f>
        <v>-</v>
      </c>
      <c r="J400" s="35" t="str">
        <f aca="false">IF(AND(Einstellungen!$B$8="Ja",Einstellungen!$B$9="Effektiv"),$I400,"-")</f>
        <v>-</v>
      </c>
      <c r="K400" s="31" t="n">
        <f aca="false">IF(OR($F400="",$J400="-"),0,ROUND($F400-$F400/(1+$H400),2))</f>
        <v>0</v>
      </c>
      <c r="L400" s="31" t="n">
        <f aca="false">IF($F400="",0,$F400-$K400)</f>
        <v>0</v>
      </c>
      <c r="M400" s="31" t="n">
        <f aca="false">IF($F400="",0,IF($J400="V",$L400,$F400))</f>
        <v>0</v>
      </c>
      <c r="N400" s="31" t="n">
        <f aca="false">IF($F400="",0,IF($J400="U",$L400,$F400))</f>
        <v>0</v>
      </c>
      <c r="O400" s="35" t="str">
        <f aca="false">IF($A400="","",MONTH($A400))</f>
        <v/>
      </c>
      <c r="P400" s="35" t="str">
        <f aca="false">IF($A400="","",ROUNDUP(MONTH($A400)/3,0))</f>
        <v/>
      </c>
      <c r="Q400" s="35" t="str">
        <f aca="false">IF($A400="","",IF(MONTH($A400)&lt;=6,1,2))</f>
        <v/>
      </c>
      <c r="R400" s="35" t="str">
        <f aca="false">IF($E400="","",IFERROR(INDEX(Kontenplan!$F$5:$F$90,MATCH($E400,Kontenplan!$A$5:$A$90,0)),""))</f>
        <v/>
      </c>
      <c r="S400" s="35" t="str">
        <f aca="false">IF($D400="","",IFERROR(INDEX(Kontenplan!$F$5:$F$90,MATCH($D400,Kontenplan!$A$5:$A$90,0)),""))</f>
        <v/>
      </c>
      <c r="T400" s="35" t="str">
        <f aca="false">IF($D400="","",IFERROR(INDEX(Kontenplan!$C$5:$C$90,MATCH($D400,Kontenplan!$A$5:$A$90,0)),"?"))</f>
        <v/>
      </c>
      <c r="U400" s="35" t="str">
        <f aca="false">IF($E400="","",IFERROR(INDEX(Kontenplan!$C$5:$C$90,MATCH($E400,Kontenplan!$A$5:$A$90,0)),"?"))</f>
        <v/>
      </c>
      <c r="V400" s="35" t="str">
        <f aca="false">IF($F400="","",IF(OR($D400="",$E400="",$T400="?",$U400="?"),"Konto prüfen!",IF($A400="","Datum fehlt",IF(YEAR($A400)&lt;&gt;Einstellungen!$B$7,"anderes Jahr!",IF($G400="","MWST-Code fehlt","OK")))))</f>
        <v/>
      </c>
      <c r="W400" s="35" t="str">
        <f aca="false">IF($F400="","",IF(OR($D400=Kontoauszug!$C$4,$E400=Kontoauszug!$C$4),MAX(W$4:W399)+1,""))</f>
        <v/>
      </c>
    </row>
    <row r="401" customFormat="false" ht="15" hidden="false" customHeight="false" outlineLevel="0" collapsed="false">
      <c r="A401" s="33"/>
      <c r="B401" s="32"/>
      <c r="C401" s="32"/>
      <c r="D401" s="32"/>
      <c r="E401" s="32"/>
      <c r="F401" s="30"/>
      <c r="G401" s="32"/>
      <c r="H401" s="34" t="n">
        <f aca="false">IF($G401="",0,IFERROR(INDEX(Einstellungen!$G$5:$G$11,MATCH($G401,Einstellungen!$E$5:$E$11,0)),0))</f>
        <v>0</v>
      </c>
      <c r="I401" s="35" t="str">
        <f aca="false">IF($G401="","-",IFERROR(INDEX(Einstellungen!$H$5:$H$11,MATCH($G401,Einstellungen!$E$5:$E$11,0)),"-"))</f>
        <v>-</v>
      </c>
      <c r="J401" s="35" t="str">
        <f aca="false">IF(AND(Einstellungen!$B$8="Ja",Einstellungen!$B$9="Effektiv"),$I401,"-")</f>
        <v>-</v>
      </c>
      <c r="K401" s="31" t="n">
        <f aca="false">IF(OR($F401="",$J401="-"),0,ROUND($F401-$F401/(1+$H401),2))</f>
        <v>0</v>
      </c>
      <c r="L401" s="31" t="n">
        <f aca="false">IF($F401="",0,$F401-$K401)</f>
        <v>0</v>
      </c>
      <c r="M401" s="31" t="n">
        <f aca="false">IF($F401="",0,IF($J401="V",$L401,$F401))</f>
        <v>0</v>
      </c>
      <c r="N401" s="31" t="n">
        <f aca="false">IF($F401="",0,IF($J401="U",$L401,$F401))</f>
        <v>0</v>
      </c>
      <c r="O401" s="35" t="str">
        <f aca="false">IF($A401="","",MONTH($A401))</f>
        <v/>
      </c>
      <c r="P401" s="35" t="str">
        <f aca="false">IF($A401="","",ROUNDUP(MONTH($A401)/3,0))</f>
        <v/>
      </c>
      <c r="Q401" s="35" t="str">
        <f aca="false">IF($A401="","",IF(MONTH($A401)&lt;=6,1,2))</f>
        <v/>
      </c>
      <c r="R401" s="35" t="str">
        <f aca="false">IF($E401="","",IFERROR(INDEX(Kontenplan!$F$5:$F$90,MATCH($E401,Kontenplan!$A$5:$A$90,0)),""))</f>
        <v/>
      </c>
      <c r="S401" s="35" t="str">
        <f aca="false">IF($D401="","",IFERROR(INDEX(Kontenplan!$F$5:$F$90,MATCH($D401,Kontenplan!$A$5:$A$90,0)),""))</f>
        <v/>
      </c>
      <c r="T401" s="35" t="str">
        <f aca="false">IF($D401="","",IFERROR(INDEX(Kontenplan!$C$5:$C$90,MATCH($D401,Kontenplan!$A$5:$A$90,0)),"?"))</f>
        <v/>
      </c>
      <c r="U401" s="35" t="str">
        <f aca="false">IF($E401="","",IFERROR(INDEX(Kontenplan!$C$5:$C$90,MATCH($E401,Kontenplan!$A$5:$A$90,0)),"?"))</f>
        <v/>
      </c>
      <c r="V401" s="35" t="str">
        <f aca="false">IF($F401="","",IF(OR($D401="",$E401="",$T401="?",$U401="?"),"Konto prüfen!",IF($A401="","Datum fehlt",IF(YEAR($A401)&lt;&gt;Einstellungen!$B$7,"anderes Jahr!",IF($G401="","MWST-Code fehlt","OK")))))</f>
        <v/>
      </c>
      <c r="W401" s="35" t="str">
        <f aca="false">IF($F401="","",IF(OR($D401=Kontoauszug!$C$4,$E401=Kontoauszug!$C$4),MAX(W$4:W400)+1,""))</f>
        <v/>
      </c>
    </row>
    <row r="402" customFormat="false" ht="15" hidden="false" customHeight="false" outlineLevel="0" collapsed="false">
      <c r="A402" s="33"/>
      <c r="B402" s="32"/>
      <c r="C402" s="32"/>
      <c r="D402" s="32"/>
      <c r="E402" s="32"/>
      <c r="F402" s="30"/>
      <c r="G402" s="32"/>
      <c r="H402" s="34" t="n">
        <f aca="false">IF($G402="",0,IFERROR(INDEX(Einstellungen!$G$5:$G$11,MATCH($G402,Einstellungen!$E$5:$E$11,0)),0))</f>
        <v>0</v>
      </c>
      <c r="I402" s="35" t="str">
        <f aca="false">IF($G402="","-",IFERROR(INDEX(Einstellungen!$H$5:$H$11,MATCH($G402,Einstellungen!$E$5:$E$11,0)),"-"))</f>
        <v>-</v>
      </c>
      <c r="J402" s="35" t="str">
        <f aca="false">IF(AND(Einstellungen!$B$8="Ja",Einstellungen!$B$9="Effektiv"),$I402,"-")</f>
        <v>-</v>
      </c>
      <c r="K402" s="31" t="n">
        <f aca="false">IF(OR($F402="",$J402="-"),0,ROUND($F402-$F402/(1+$H402),2))</f>
        <v>0</v>
      </c>
      <c r="L402" s="31" t="n">
        <f aca="false">IF($F402="",0,$F402-$K402)</f>
        <v>0</v>
      </c>
      <c r="M402" s="31" t="n">
        <f aca="false">IF($F402="",0,IF($J402="V",$L402,$F402))</f>
        <v>0</v>
      </c>
      <c r="N402" s="31" t="n">
        <f aca="false">IF($F402="",0,IF($J402="U",$L402,$F402))</f>
        <v>0</v>
      </c>
      <c r="O402" s="35" t="str">
        <f aca="false">IF($A402="","",MONTH($A402))</f>
        <v/>
      </c>
      <c r="P402" s="35" t="str">
        <f aca="false">IF($A402="","",ROUNDUP(MONTH($A402)/3,0))</f>
        <v/>
      </c>
      <c r="Q402" s="35" t="str">
        <f aca="false">IF($A402="","",IF(MONTH($A402)&lt;=6,1,2))</f>
        <v/>
      </c>
      <c r="R402" s="35" t="str">
        <f aca="false">IF($E402="","",IFERROR(INDEX(Kontenplan!$F$5:$F$90,MATCH($E402,Kontenplan!$A$5:$A$90,0)),""))</f>
        <v/>
      </c>
      <c r="S402" s="35" t="str">
        <f aca="false">IF($D402="","",IFERROR(INDEX(Kontenplan!$F$5:$F$90,MATCH($D402,Kontenplan!$A$5:$A$90,0)),""))</f>
        <v/>
      </c>
      <c r="T402" s="35" t="str">
        <f aca="false">IF($D402="","",IFERROR(INDEX(Kontenplan!$C$5:$C$90,MATCH($D402,Kontenplan!$A$5:$A$90,0)),"?"))</f>
        <v/>
      </c>
      <c r="U402" s="35" t="str">
        <f aca="false">IF($E402="","",IFERROR(INDEX(Kontenplan!$C$5:$C$90,MATCH($E402,Kontenplan!$A$5:$A$90,0)),"?"))</f>
        <v/>
      </c>
      <c r="V402" s="35" t="str">
        <f aca="false">IF($F402="","",IF(OR($D402="",$E402="",$T402="?",$U402="?"),"Konto prüfen!",IF($A402="","Datum fehlt",IF(YEAR($A402)&lt;&gt;Einstellungen!$B$7,"anderes Jahr!",IF($G402="","MWST-Code fehlt","OK")))))</f>
        <v/>
      </c>
      <c r="W402" s="35" t="str">
        <f aca="false">IF($F402="","",IF(OR($D402=Kontoauszug!$C$4,$E402=Kontoauszug!$C$4),MAX(W$4:W401)+1,""))</f>
        <v/>
      </c>
    </row>
    <row r="403" customFormat="false" ht="15" hidden="false" customHeight="false" outlineLevel="0" collapsed="false">
      <c r="A403" s="33"/>
      <c r="B403" s="32"/>
      <c r="C403" s="32"/>
      <c r="D403" s="32"/>
      <c r="E403" s="32"/>
      <c r="F403" s="30"/>
      <c r="G403" s="32"/>
      <c r="H403" s="34" t="n">
        <f aca="false">IF($G403="",0,IFERROR(INDEX(Einstellungen!$G$5:$G$11,MATCH($G403,Einstellungen!$E$5:$E$11,0)),0))</f>
        <v>0</v>
      </c>
      <c r="I403" s="35" t="str">
        <f aca="false">IF($G403="","-",IFERROR(INDEX(Einstellungen!$H$5:$H$11,MATCH($G403,Einstellungen!$E$5:$E$11,0)),"-"))</f>
        <v>-</v>
      </c>
      <c r="J403" s="35" t="str">
        <f aca="false">IF(AND(Einstellungen!$B$8="Ja",Einstellungen!$B$9="Effektiv"),$I403,"-")</f>
        <v>-</v>
      </c>
      <c r="K403" s="31" t="n">
        <f aca="false">IF(OR($F403="",$J403="-"),0,ROUND($F403-$F403/(1+$H403),2))</f>
        <v>0</v>
      </c>
      <c r="L403" s="31" t="n">
        <f aca="false">IF($F403="",0,$F403-$K403)</f>
        <v>0</v>
      </c>
      <c r="M403" s="31" t="n">
        <f aca="false">IF($F403="",0,IF($J403="V",$L403,$F403))</f>
        <v>0</v>
      </c>
      <c r="N403" s="31" t="n">
        <f aca="false">IF($F403="",0,IF($J403="U",$L403,$F403))</f>
        <v>0</v>
      </c>
      <c r="O403" s="35" t="str">
        <f aca="false">IF($A403="","",MONTH($A403))</f>
        <v/>
      </c>
      <c r="P403" s="35" t="str">
        <f aca="false">IF($A403="","",ROUNDUP(MONTH($A403)/3,0))</f>
        <v/>
      </c>
      <c r="Q403" s="35" t="str">
        <f aca="false">IF($A403="","",IF(MONTH($A403)&lt;=6,1,2))</f>
        <v/>
      </c>
      <c r="R403" s="35" t="str">
        <f aca="false">IF($E403="","",IFERROR(INDEX(Kontenplan!$F$5:$F$90,MATCH($E403,Kontenplan!$A$5:$A$90,0)),""))</f>
        <v/>
      </c>
      <c r="S403" s="35" t="str">
        <f aca="false">IF($D403="","",IFERROR(INDEX(Kontenplan!$F$5:$F$90,MATCH($D403,Kontenplan!$A$5:$A$90,0)),""))</f>
        <v/>
      </c>
      <c r="T403" s="35" t="str">
        <f aca="false">IF($D403="","",IFERROR(INDEX(Kontenplan!$C$5:$C$90,MATCH($D403,Kontenplan!$A$5:$A$90,0)),"?"))</f>
        <v/>
      </c>
      <c r="U403" s="35" t="str">
        <f aca="false">IF($E403="","",IFERROR(INDEX(Kontenplan!$C$5:$C$90,MATCH($E403,Kontenplan!$A$5:$A$90,0)),"?"))</f>
        <v/>
      </c>
      <c r="V403" s="35" t="str">
        <f aca="false">IF($F403="","",IF(OR($D403="",$E403="",$T403="?",$U403="?"),"Konto prüfen!",IF($A403="","Datum fehlt",IF(YEAR($A403)&lt;&gt;Einstellungen!$B$7,"anderes Jahr!",IF($G403="","MWST-Code fehlt","OK")))))</f>
        <v/>
      </c>
      <c r="W403" s="35" t="str">
        <f aca="false">IF($F403="","",IF(OR($D403=Kontoauszug!$C$4,$E403=Kontoauszug!$C$4),MAX(W$4:W402)+1,""))</f>
        <v/>
      </c>
    </row>
    <row r="404" customFormat="false" ht="15" hidden="false" customHeight="false" outlineLevel="0" collapsed="false">
      <c r="A404" s="33"/>
      <c r="B404" s="32"/>
      <c r="C404" s="32"/>
      <c r="D404" s="32"/>
      <c r="E404" s="32"/>
      <c r="F404" s="30"/>
      <c r="G404" s="32"/>
      <c r="H404" s="34" t="n">
        <f aca="false">IF($G404="",0,IFERROR(INDEX(Einstellungen!$G$5:$G$11,MATCH($G404,Einstellungen!$E$5:$E$11,0)),0))</f>
        <v>0</v>
      </c>
      <c r="I404" s="35" t="str">
        <f aca="false">IF($G404="","-",IFERROR(INDEX(Einstellungen!$H$5:$H$11,MATCH($G404,Einstellungen!$E$5:$E$11,0)),"-"))</f>
        <v>-</v>
      </c>
      <c r="J404" s="35" t="str">
        <f aca="false">IF(AND(Einstellungen!$B$8="Ja",Einstellungen!$B$9="Effektiv"),$I404,"-")</f>
        <v>-</v>
      </c>
      <c r="K404" s="31" t="n">
        <f aca="false">IF(OR($F404="",$J404="-"),0,ROUND($F404-$F404/(1+$H404),2))</f>
        <v>0</v>
      </c>
      <c r="L404" s="31" t="n">
        <f aca="false">IF($F404="",0,$F404-$K404)</f>
        <v>0</v>
      </c>
      <c r="M404" s="31" t="n">
        <f aca="false">IF($F404="",0,IF($J404="V",$L404,$F404))</f>
        <v>0</v>
      </c>
      <c r="N404" s="31" t="n">
        <f aca="false">IF($F404="",0,IF($J404="U",$L404,$F404))</f>
        <v>0</v>
      </c>
      <c r="O404" s="35" t="str">
        <f aca="false">IF($A404="","",MONTH($A404))</f>
        <v/>
      </c>
      <c r="P404" s="35" t="str">
        <f aca="false">IF($A404="","",ROUNDUP(MONTH($A404)/3,0))</f>
        <v/>
      </c>
      <c r="Q404" s="35" t="str">
        <f aca="false">IF($A404="","",IF(MONTH($A404)&lt;=6,1,2))</f>
        <v/>
      </c>
      <c r="R404" s="35" t="str">
        <f aca="false">IF($E404="","",IFERROR(INDEX(Kontenplan!$F$5:$F$90,MATCH($E404,Kontenplan!$A$5:$A$90,0)),""))</f>
        <v/>
      </c>
      <c r="S404" s="35" t="str">
        <f aca="false">IF($D404="","",IFERROR(INDEX(Kontenplan!$F$5:$F$90,MATCH($D404,Kontenplan!$A$5:$A$90,0)),""))</f>
        <v/>
      </c>
      <c r="T404" s="35" t="str">
        <f aca="false">IF($D404="","",IFERROR(INDEX(Kontenplan!$C$5:$C$90,MATCH($D404,Kontenplan!$A$5:$A$90,0)),"?"))</f>
        <v/>
      </c>
      <c r="U404" s="35" t="str">
        <f aca="false">IF($E404="","",IFERROR(INDEX(Kontenplan!$C$5:$C$90,MATCH($E404,Kontenplan!$A$5:$A$90,0)),"?"))</f>
        <v/>
      </c>
      <c r="V404" s="35" t="str">
        <f aca="false">IF($F404="","",IF(OR($D404="",$E404="",$T404="?",$U404="?"),"Konto prüfen!",IF($A404="","Datum fehlt",IF(YEAR($A404)&lt;&gt;Einstellungen!$B$7,"anderes Jahr!",IF($G404="","MWST-Code fehlt","OK")))))</f>
        <v/>
      </c>
      <c r="W404" s="35" t="str">
        <f aca="false">IF($F404="","",IF(OR($D404=Kontoauszug!$C$4,$E404=Kontoauszug!$C$4),MAX(W$4:W403)+1,""))</f>
        <v/>
      </c>
    </row>
    <row r="405" customFormat="false" ht="15" hidden="false" customHeight="false" outlineLevel="0" collapsed="false">
      <c r="A405" s="33"/>
      <c r="B405" s="32"/>
      <c r="C405" s="32"/>
      <c r="D405" s="32"/>
      <c r="E405" s="32"/>
      <c r="F405" s="30"/>
      <c r="G405" s="32"/>
      <c r="H405" s="34" t="n">
        <f aca="false">IF($G405="",0,IFERROR(INDEX(Einstellungen!$G$5:$G$11,MATCH($G405,Einstellungen!$E$5:$E$11,0)),0))</f>
        <v>0</v>
      </c>
      <c r="I405" s="35" t="str">
        <f aca="false">IF($G405="","-",IFERROR(INDEX(Einstellungen!$H$5:$H$11,MATCH($G405,Einstellungen!$E$5:$E$11,0)),"-"))</f>
        <v>-</v>
      </c>
      <c r="J405" s="35" t="str">
        <f aca="false">IF(AND(Einstellungen!$B$8="Ja",Einstellungen!$B$9="Effektiv"),$I405,"-")</f>
        <v>-</v>
      </c>
      <c r="K405" s="31" t="n">
        <f aca="false">IF(OR($F405="",$J405="-"),0,ROUND($F405-$F405/(1+$H405),2))</f>
        <v>0</v>
      </c>
      <c r="L405" s="31" t="n">
        <f aca="false">IF($F405="",0,$F405-$K405)</f>
        <v>0</v>
      </c>
      <c r="M405" s="31" t="n">
        <f aca="false">IF($F405="",0,IF($J405="V",$L405,$F405))</f>
        <v>0</v>
      </c>
      <c r="N405" s="31" t="n">
        <f aca="false">IF($F405="",0,IF($J405="U",$L405,$F405))</f>
        <v>0</v>
      </c>
      <c r="O405" s="35" t="str">
        <f aca="false">IF($A405="","",MONTH($A405))</f>
        <v/>
      </c>
      <c r="P405" s="35" t="str">
        <f aca="false">IF($A405="","",ROUNDUP(MONTH($A405)/3,0))</f>
        <v/>
      </c>
      <c r="Q405" s="35" t="str">
        <f aca="false">IF($A405="","",IF(MONTH($A405)&lt;=6,1,2))</f>
        <v/>
      </c>
      <c r="R405" s="35" t="str">
        <f aca="false">IF($E405="","",IFERROR(INDEX(Kontenplan!$F$5:$F$90,MATCH($E405,Kontenplan!$A$5:$A$90,0)),""))</f>
        <v/>
      </c>
      <c r="S405" s="35" t="str">
        <f aca="false">IF($D405="","",IFERROR(INDEX(Kontenplan!$F$5:$F$90,MATCH($D405,Kontenplan!$A$5:$A$90,0)),""))</f>
        <v/>
      </c>
      <c r="T405" s="35" t="str">
        <f aca="false">IF($D405="","",IFERROR(INDEX(Kontenplan!$C$5:$C$90,MATCH($D405,Kontenplan!$A$5:$A$90,0)),"?"))</f>
        <v/>
      </c>
      <c r="U405" s="35" t="str">
        <f aca="false">IF($E405="","",IFERROR(INDEX(Kontenplan!$C$5:$C$90,MATCH($E405,Kontenplan!$A$5:$A$90,0)),"?"))</f>
        <v/>
      </c>
      <c r="V405" s="35" t="str">
        <f aca="false">IF($F405="","",IF(OR($D405="",$E405="",$T405="?",$U405="?"),"Konto prüfen!",IF($A405="","Datum fehlt",IF(YEAR($A405)&lt;&gt;Einstellungen!$B$7,"anderes Jahr!",IF($G405="","MWST-Code fehlt","OK")))))</f>
        <v/>
      </c>
      <c r="W405" s="35" t="str">
        <f aca="false">IF($F405="","",IF(OR($D405=Kontoauszug!$C$4,$E405=Kontoauszug!$C$4),MAX(W$4:W404)+1,""))</f>
        <v/>
      </c>
    </row>
    <row r="406" customFormat="false" ht="15" hidden="false" customHeight="false" outlineLevel="0" collapsed="false">
      <c r="A406" s="33"/>
      <c r="B406" s="32"/>
      <c r="C406" s="32"/>
      <c r="D406" s="32"/>
      <c r="E406" s="32"/>
      <c r="F406" s="30"/>
      <c r="G406" s="32"/>
      <c r="H406" s="34" t="n">
        <f aca="false">IF($G406="",0,IFERROR(INDEX(Einstellungen!$G$5:$G$11,MATCH($G406,Einstellungen!$E$5:$E$11,0)),0))</f>
        <v>0</v>
      </c>
      <c r="I406" s="35" t="str">
        <f aca="false">IF($G406="","-",IFERROR(INDEX(Einstellungen!$H$5:$H$11,MATCH($G406,Einstellungen!$E$5:$E$11,0)),"-"))</f>
        <v>-</v>
      </c>
      <c r="J406" s="35" t="str">
        <f aca="false">IF(AND(Einstellungen!$B$8="Ja",Einstellungen!$B$9="Effektiv"),$I406,"-")</f>
        <v>-</v>
      </c>
      <c r="K406" s="31" t="n">
        <f aca="false">IF(OR($F406="",$J406="-"),0,ROUND($F406-$F406/(1+$H406),2))</f>
        <v>0</v>
      </c>
      <c r="L406" s="31" t="n">
        <f aca="false">IF($F406="",0,$F406-$K406)</f>
        <v>0</v>
      </c>
      <c r="M406" s="31" t="n">
        <f aca="false">IF($F406="",0,IF($J406="V",$L406,$F406))</f>
        <v>0</v>
      </c>
      <c r="N406" s="31" t="n">
        <f aca="false">IF($F406="",0,IF($J406="U",$L406,$F406))</f>
        <v>0</v>
      </c>
      <c r="O406" s="35" t="str">
        <f aca="false">IF($A406="","",MONTH($A406))</f>
        <v/>
      </c>
      <c r="P406" s="35" t="str">
        <f aca="false">IF($A406="","",ROUNDUP(MONTH($A406)/3,0))</f>
        <v/>
      </c>
      <c r="Q406" s="35" t="str">
        <f aca="false">IF($A406="","",IF(MONTH($A406)&lt;=6,1,2))</f>
        <v/>
      </c>
      <c r="R406" s="35" t="str">
        <f aca="false">IF($E406="","",IFERROR(INDEX(Kontenplan!$F$5:$F$90,MATCH($E406,Kontenplan!$A$5:$A$90,0)),""))</f>
        <v/>
      </c>
      <c r="S406" s="35" t="str">
        <f aca="false">IF($D406="","",IFERROR(INDEX(Kontenplan!$F$5:$F$90,MATCH($D406,Kontenplan!$A$5:$A$90,0)),""))</f>
        <v/>
      </c>
      <c r="T406" s="35" t="str">
        <f aca="false">IF($D406="","",IFERROR(INDEX(Kontenplan!$C$5:$C$90,MATCH($D406,Kontenplan!$A$5:$A$90,0)),"?"))</f>
        <v/>
      </c>
      <c r="U406" s="35" t="str">
        <f aca="false">IF($E406="","",IFERROR(INDEX(Kontenplan!$C$5:$C$90,MATCH($E406,Kontenplan!$A$5:$A$90,0)),"?"))</f>
        <v/>
      </c>
      <c r="V406" s="35" t="str">
        <f aca="false">IF($F406="","",IF(OR($D406="",$E406="",$T406="?",$U406="?"),"Konto prüfen!",IF($A406="","Datum fehlt",IF(YEAR($A406)&lt;&gt;Einstellungen!$B$7,"anderes Jahr!",IF($G406="","MWST-Code fehlt","OK")))))</f>
        <v/>
      </c>
      <c r="W406" s="35" t="str">
        <f aca="false">IF($F406="","",IF(OR($D406=Kontoauszug!$C$4,$E406=Kontoauszug!$C$4),MAX(W$4:W405)+1,""))</f>
        <v/>
      </c>
    </row>
    <row r="407" customFormat="false" ht="15" hidden="false" customHeight="false" outlineLevel="0" collapsed="false">
      <c r="A407" s="33"/>
      <c r="B407" s="32"/>
      <c r="C407" s="32"/>
      <c r="D407" s="32"/>
      <c r="E407" s="32"/>
      <c r="F407" s="30"/>
      <c r="G407" s="32"/>
      <c r="H407" s="34" t="n">
        <f aca="false">IF($G407="",0,IFERROR(INDEX(Einstellungen!$G$5:$G$11,MATCH($G407,Einstellungen!$E$5:$E$11,0)),0))</f>
        <v>0</v>
      </c>
      <c r="I407" s="35" t="str">
        <f aca="false">IF($G407="","-",IFERROR(INDEX(Einstellungen!$H$5:$H$11,MATCH($G407,Einstellungen!$E$5:$E$11,0)),"-"))</f>
        <v>-</v>
      </c>
      <c r="J407" s="35" t="str">
        <f aca="false">IF(AND(Einstellungen!$B$8="Ja",Einstellungen!$B$9="Effektiv"),$I407,"-")</f>
        <v>-</v>
      </c>
      <c r="K407" s="31" t="n">
        <f aca="false">IF(OR($F407="",$J407="-"),0,ROUND($F407-$F407/(1+$H407),2))</f>
        <v>0</v>
      </c>
      <c r="L407" s="31" t="n">
        <f aca="false">IF($F407="",0,$F407-$K407)</f>
        <v>0</v>
      </c>
      <c r="M407" s="31" t="n">
        <f aca="false">IF($F407="",0,IF($J407="V",$L407,$F407))</f>
        <v>0</v>
      </c>
      <c r="N407" s="31" t="n">
        <f aca="false">IF($F407="",0,IF($J407="U",$L407,$F407))</f>
        <v>0</v>
      </c>
      <c r="O407" s="35" t="str">
        <f aca="false">IF($A407="","",MONTH($A407))</f>
        <v/>
      </c>
      <c r="P407" s="35" t="str">
        <f aca="false">IF($A407="","",ROUNDUP(MONTH($A407)/3,0))</f>
        <v/>
      </c>
      <c r="Q407" s="35" t="str">
        <f aca="false">IF($A407="","",IF(MONTH($A407)&lt;=6,1,2))</f>
        <v/>
      </c>
      <c r="R407" s="35" t="str">
        <f aca="false">IF($E407="","",IFERROR(INDEX(Kontenplan!$F$5:$F$90,MATCH($E407,Kontenplan!$A$5:$A$90,0)),""))</f>
        <v/>
      </c>
      <c r="S407" s="35" t="str">
        <f aca="false">IF($D407="","",IFERROR(INDEX(Kontenplan!$F$5:$F$90,MATCH($D407,Kontenplan!$A$5:$A$90,0)),""))</f>
        <v/>
      </c>
      <c r="T407" s="35" t="str">
        <f aca="false">IF($D407="","",IFERROR(INDEX(Kontenplan!$C$5:$C$90,MATCH($D407,Kontenplan!$A$5:$A$90,0)),"?"))</f>
        <v/>
      </c>
      <c r="U407" s="35" t="str">
        <f aca="false">IF($E407="","",IFERROR(INDEX(Kontenplan!$C$5:$C$90,MATCH($E407,Kontenplan!$A$5:$A$90,0)),"?"))</f>
        <v/>
      </c>
      <c r="V407" s="35" t="str">
        <f aca="false">IF($F407="","",IF(OR($D407="",$E407="",$T407="?",$U407="?"),"Konto prüfen!",IF($A407="","Datum fehlt",IF(YEAR($A407)&lt;&gt;Einstellungen!$B$7,"anderes Jahr!",IF($G407="","MWST-Code fehlt","OK")))))</f>
        <v/>
      </c>
      <c r="W407" s="35" t="str">
        <f aca="false">IF($F407="","",IF(OR($D407=Kontoauszug!$C$4,$E407=Kontoauszug!$C$4),MAX(W$4:W406)+1,""))</f>
        <v/>
      </c>
    </row>
    <row r="408" customFormat="false" ht="15" hidden="false" customHeight="false" outlineLevel="0" collapsed="false">
      <c r="A408" s="33"/>
      <c r="B408" s="32"/>
      <c r="C408" s="32"/>
      <c r="D408" s="32"/>
      <c r="E408" s="32"/>
      <c r="F408" s="30"/>
      <c r="G408" s="32"/>
      <c r="H408" s="34" t="n">
        <f aca="false">IF($G408="",0,IFERROR(INDEX(Einstellungen!$G$5:$G$11,MATCH($G408,Einstellungen!$E$5:$E$11,0)),0))</f>
        <v>0</v>
      </c>
      <c r="I408" s="35" t="str">
        <f aca="false">IF($G408="","-",IFERROR(INDEX(Einstellungen!$H$5:$H$11,MATCH($G408,Einstellungen!$E$5:$E$11,0)),"-"))</f>
        <v>-</v>
      </c>
      <c r="J408" s="35" t="str">
        <f aca="false">IF(AND(Einstellungen!$B$8="Ja",Einstellungen!$B$9="Effektiv"),$I408,"-")</f>
        <v>-</v>
      </c>
      <c r="K408" s="31" t="n">
        <f aca="false">IF(OR($F408="",$J408="-"),0,ROUND($F408-$F408/(1+$H408),2))</f>
        <v>0</v>
      </c>
      <c r="L408" s="31" t="n">
        <f aca="false">IF($F408="",0,$F408-$K408)</f>
        <v>0</v>
      </c>
      <c r="M408" s="31" t="n">
        <f aca="false">IF($F408="",0,IF($J408="V",$L408,$F408))</f>
        <v>0</v>
      </c>
      <c r="N408" s="31" t="n">
        <f aca="false">IF($F408="",0,IF($J408="U",$L408,$F408))</f>
        <v>0</v>
      </c>
      <c r="O408" s="35" t="str">
        <f aca="false">IF($A408="","",MONTH($A408))</f>
        <v/>
      </c>
      <c r="P408" s="35" t="str">
        <f aca="false">IF($A408="","",ROUNDUP(MONTH($A408)/3,0))</f>
        <v/>
      </c>
      <c r="Q408" s="35" t="str">
        <f aca="false">IF($A408="","",IF(MONTH($A408)&lt;=6,1,2))</f>
        <v/>
      </c>
      <c r="R408" s="35" t="str">
        <f aca="false">IF($E408="","",IFERROR(INDEX(Kontenplan!$F$5:$F$90,MATCH($E408,Kontenplan!$A$5:$A$90,0)),""))</f>
        <v/>
      </c>
      <c r="S408" s="35" t="str">
        <f aca="false">IF($D408="","",IFERROR(INDEX(Kontenplan!$F$5:$F$90,MATCH($D408,Kontenplan!$A$5:$A$90,0)),""))</f>
        <v/>
      </c>
      <c r="T408" s="35" t="str">
        <f aca="false">IF($D408="","",IFERROR(INDEX(Kontenplan!$C$5:$C$90,MATCH($D408,Kontenplan!$A$5:$A$90,0)),"?"))</f>
        <v/>
      </c>
      <c r="U408" s="35" t="str">
        <f aca="false">IF($E408="","",IFERROR(INDEX(Kontenplan!$C$5:$C$90,MATCH($E408,Kontenplan!$A$5:$A$90,0)),"?"))</f>
        <v/>
      </c>
      <c r="V408" s="35" t="str">
        <f aca="false">IF($F408="","",IF(OR($D408="",$E408="",$T408="?",$U408="?"),"Konto prüfen!",IF($A408="","Datum fehlt",IF(YEAR($A408)&lt;&gt;Einstellungen!$B$7,"anderes Jahr!",IF($G408="","MWST-Code fehlt","OK")))))</f>
        <v/>
      </c>
      <c r="W408" s="35" t="str">
        <f aca="false">IF($F408="","",IF(OR($D408=Kontoauszug!$C$4,$E408=Kontoauszug!$C$4),MAX(W$4:W407)+1,""))</f>
        <v/>
      </c>
    </row>
    <row r="409" customFormat="false" ht="15" hidden="false" customHeight="false" outlineLevel="0" collapsed="false">
      <c r="A409" s="33"/>
      <c r="B409" s="32"/>
      <c r="C409" s="32"/>
      <c r="D409" s="32"/>
      <c r="E409" s="32"/>
      <c r="F409" s="30"/>
      <c r="G409" s="32"/>
      <c r="H409" s="34" t="n">
        <f aca="false">IF($G409="",0,IFERROR(INDEX(Einstellungen!$G$5:$G$11,MATCH($G409,Einstellungen!$E$5:$E$11,0)),0))</f>
        <v>0</v>
      </c>
      <c r="I409" s="35" t="str">
        <f aca="false">IF($G409="","-",IFERROR(INDEX(Einstellungen!$H$5:$H$11,MATCH($G409,Einstellungen!$E$5:$E$11,0)),"-"))</f>
        <v>-</v>
      </c>
      <c r="J409" s="35" t="str">
        <f aca="false">IF(AND(Einstellungen!$B$8="Ja",Einstellungen!$B$9="Effektiv"),$I409,"-")</f>
        <v>-</v>
      </c>
      <c r="K409" s="31" t="n">
        <f aca="false">IF(OR($F409="",$J409="-"),0,ROUND($F409-$F409/(1+$H409),2))</f>
        <v>0</v>
      </c>
      <c r="L409" s="31" t="n">
        <f aca="false">IF($F409="",0,$F409-$K409)</f>
        <v>0</v>
      </c>
      <c r="M409" s="31" t="n">
        <f aca="false">IF($F409="",0,IF($J409="V",$L409,$F409))</f>
        <v>0</v>
      </c>
      <c r="N409" s="31" t="n">
        <f aca="false">IF($F409="",0,IF($J409="U",$L409,$F409))</f>
        <v>0</v>
      </c>
      <c r="O409" s="35" t="str">
        <f aca="false">IF($A409="","",MONTH($A409))</f>
        <v/>
      </c>
      <c r="P409" s="35" t="str">
        <f aca="false">IF($A409="","",ROUNDUP(MONTH($A409)/3,0))</f>
        <v/>
      </c>
      <c r="Q409" s="35" t="str">
        <f aca="false">IF($A409="","",IF(MONTH($A409)&lt;=6,1,2))</f>
        <v/>
      </c>
      <c r="R409" s="35" t="str">
        <f aca="false">IF($E409="","",IFERROR(INDEX(Kontenplan!$F$5:$F$90,MATCH($E409,Kontenplan!$A$5:$A$90,0)),""))</f>
        <v/>
      </c>
      <c r="S409" s="35" t="str">
        <f aca="false">IF($D409="","",IFERROR(INDEX(Kontenplan!$F$5:$F$90,MATCH($D409,Kontenplan!$A$5:$A$90,0)),""))</f>
        <v/>
      </c>
      <c r="T409" s="35" t="str">
        <f aca="false">IF($D409="","",IFERROR(INDEX(Kontenplan!$C$5:$C$90,MATCH($D409,Kontenplan!$A$5:$A$90,0)),"?"))</f>
        <v/>
      </c>
      <c r="U409" s="35" t="str">
        <f aca="false">IF($E409="","",IFERROR(INDEX(Kontenplan!$C$5:$C$90,MATCH($E409,Kontenplan!$A$5:$A$90,0)),"?"))</f>
        <v/>
      </c>
      <c r="V409" s="35" t="str">
        <f aca="false">IF($F409="","",IF(OR($D409="",$E409="",$T409="?",$U409="?"),"Konto prüfen!",IF($A409="","Datum fehlt",IF(YEAR($A409)&lt;&gt;Einstellungen!$B$7,"anderes Jahr!",IF($G409="","MWST-Code fehlt","OK")))))</f>
        <v/>
      </c>
      <c r="W409" s="35" t="str">
        <f aca="false">IF($F409="","",IF(OR($D409=Kontoauszug!$C$4,$E409=Kontoauszug!$C$4),MAX(W$4:W408)+1,""))</f>
        <v/>
      </c>
    </row>
    <row r="410" customFormat="false" ht="15" hidden="false" customHeight="false" outlineLevel="0" collapsed="false">
      <c r="A410" s="33"/>
      <c r="B410" s="32"/>
      <c r="C410" s="32"/>
      <c r="D410" s="32"/>
      <c r="E410" s="32"/>
      <c r="F410" s="30"/>
      <c r="G410" s="32"/>
      <c r="H410" s="34" t="n">
        <f aca="false">IF($G410="",0,IFERROR(INDEX(Einstellungen!$G$5:$G$11,MATCH($G410,Einstellungen!$E$5:$E$11,0)),0))</f>
        <v>0</v>
      </c>
      <c r="I410" s="35" t="str">
        <f aca="false">IF($G410="","-",IFERROR(INDEX(Einstellungen!$H$5:$H$11,MATCH($G410,Einstellungen!$E$5:$E$11,0)),"-"))</f>
        <v>-</v>
      </c>
      <c r="J410" s="35" t="str">
        <f aca="false">IF(AND(Einstellungen!$B$8="Ja",Einstellungen!$B$9="Effektiv"),$I410,"-")</f>
        <v>-</v>
      </c>
      <c r="K410" s="31" t="n">
        <f aca="false">IF(OR($F410="",$J410="-"),0,ROUND($F410-$F410/(1+$H410),2))</f>
        <v>0</v>
      </c>
      <c r="L410" s="31" t="n">
        <f aca="false">IF($F410="",0,$F410-$K410)</f>
        <v>0</v>
      </c>
      <c r="M410" s="31" t="n">
        <f aca="false">IF($F410="",0,IF($J410="V",$L410,$F410))</f>
        <v>0</v>
      </c>
      <c r="N410" s="31" t="n">
        <f aca="false">IF($F410="",0,IF($J410="U",$L410,$F410))</f>
        <v>0</v>
      </c>
      <c r="O410" s="35" t="str">
        <f aca="false">IF($A410="","",MONTH($A410))</f>
        <v/>
      </c>
      <c r="P410" s="35" t="str">
        <f aca="false">IF($A410="","",ROUNDUP(MONTH($A410)/3,0))</f>
        <v/>
      </c>
      <c r="Q410" s="35" t="str">
        <f aca="false">IF($A410="","",IF(MONTH($A410)&lt;=6,1,2))</f>
        <v/>
      </c>
      <c r="R410" s="35" t="str">
        <f aca="false">IF($E410="","",IFERROR(INDEX(Kontenplan!$F$5:$F$90,MATCH($E410,Kontenplan!$A$5:$A$90,0)),""))</f>
        <v/>
      </c>
      <c r="S410" s="35" t="str">
        <f aca="false">IF($D410="","",IFERROR(INDEX(Kontenplan!$F$5:$F$90,MATCH($D410,Kontenplan!$A$5:$A$90,0)),""))</f>
        <v/>
      </c>
      <c r="T410" s="35" t="str">
        <f aca="false">IF($D410="","",IFERROR(INDEX(Kontenplan!$C$5:$C$90,MATCH($D410,Kontenplan!$A$5:$A$90,0)),"?"))</f>
        <v/>
      </c>
      <c r="U410" s="35" t="str">
        <f aca="false">IF($E410="","",IFERROR(INDEX(Kontenplan!$C$5:$C$90,MATCH($E410,Kontenplan!$A$5:$A$90,0)),"?"))</f>
        <v/>
      </c>
      <c r="V410" s="35" t="str">
        <f aca="false">IF($F410="","",IF(OR($D410="",$E410="",$T410="?",$U410="?"),"Konto prüfen!",IF($A410="","Datum fehlt",IF(YEAR($A410)&lt;&gt;Einstellungen!$B$7,"anderes Jahr!",IF($G410="","MWST-Code fehlt","OK")))))</f>
        <v/>
      </c>
      <c r="W410" s="35" t="str">
        <f aca="false">IF($F410="","",IF(OR($D410=Kontoauszug!$C$4,$E410=Kontoauszug!$C$4),MAX(W$4:W409)+1,""))</f>
        <v/>
      </c>
    </row>
    <row r="411" customFormat="false" ht="15" hidden="false" customHeight="false" outlineLevel="0" collapsed="false">
      <c r="A411" s="33"/>
      <c r="B411" s="32"/>
      <c r="C411" s="32"/>
      <c r="D411" s="32"/>
      <c r="E411" s="32"/>
      <c r="F411" s="30"/>
      <c r="G411" s="32"/>
      <c r="H411" s="34" t="n">
        <f aca="false">IF($G411="",0,IFERROR(INDEX(Einstellungen!$G$5:$G$11,MATCH($G411,Einstellungen!$E$5:$E$11,0)),0))</f>
        <v>0</v>
      </c>
      <c r="I411" s="35" t="str">
        <f aca="false">IF($G411="","-",IFERROR(INDEX(Einstellungen!$H$5:$H$11,MATCH($G411,Einstellungen!$E$5:$E$11,0)),"-"))</f>
        <v>-</v>
      </c>
      <c r="J411" s="35" t="str">
        <f aca="false">IF(AND(Einstellungen!$B$8="Ja",Einstellungen!$B$9="Effektiv"),$I411,"-")</f>
        <v>-</v>
      </c>
      <c r="K411" s="31" t="n">
        <f aca="false">IF(OR($F411="",$J411="-"),0,ROUND($F411-$F411/(1+$H411),2))</f>
        <v>0</v>
      </c>
      <c r="L411" s="31" t="n">
        <f aca="false">IF($F411="",0,$F411-$K411)</f>
        <v>0</v>
      </c>
      <c r="M411" s="31" t="n">
        <f aca="false">IF($F411="",0,IF($J411="V",$L411,$F411))</f>
        <v>0</v>
      </c>
      <c r="N411" s="31" t="n">
        <f aca="false">IF($F411="",0,IF($J411="U",$L411,$F411))</f>
        <v>0</v>
      </c>
      <c r="O411" s="35" t="str">
        <f aca="false">IF($A411="","",MONTH($A411))</f>
        <v/>
      </c>
      <c r="P411" s="35" t="str">
        <f aca="false">IF($A411="","",ROUNDUP(MONTH($A411)/3,0))</f>
        <v/>
      </c>
      <c r="Q411" s="35" t="str">
        <f aca="false">IF($A411="","",IF(MONTH($A411)&lt;=6,1,2))</f>
        <v/>
      </c>
      <c r="R411" s="35" t="str">
        <f aca="false">IF($E411="","",IFERROR(INDEX(Kontenplan!$F$5:$F$90,MATCH($E411,Kontenplan!$A$5:$A$90,0)),""))</f>
        <v/>
      </c>
      <c r="S411" s="35" t="str">
        <f aca="false">IF($D411="","",IFERROR(INDEX(Kontenplan!$F$5:$F$90,MATCH($D411,Kontenplan!$A$5:$A$90,0)),""))</f>
        <v/>
      </c>
      <c r="T411" s="35" t="str">
        <f aca="false">IF($D411="","",IFERROR(INDEX(Kontenplan!$C$5:$C$90,MATCH($D411,Kontenplan!$A$5:$A$90,0)),"?"))</f>
        <v/>
      </c>
      <c r="U411" s="35" t="str">
        <f aca="false">IF($E411="","",IFERROR(INDEX(Kontenplan!$C$5:$C$90,MATCH($E411,Kontenplan!$A$5:$A$90,0)),"?"))</f>
        <v/>
      </c>
      <c r="V411" s="35" t="str">
        <f aca="false">IF($F411="","",IF(OR($D411="",$E411="",$T411="?",$U411="?"),"Konto prüfen!",IF($A411="","Datum fehlt",IF(YEAR($A411)&lt;&gt;Einstellungen!$B$7,"anderes Jahr!",IF($G411="","MWST-Code fehlt","OK")))))</f>
        <v/>
      </c>
      <c r="W411" s="35" t="str">
        <f aca="false">IF($F411="","",IF(OR($D411=Kontoauszug!$C$4,$E411=Kontoauszug!$C$4),MAX(W$4:W410)+1,""))</f>
        <v/>
      </c>
    </row>
    <row r="412" customFormat="false" ht="15" hidden="false" customHeight="false" outlineLevel="0" collapsed="false">
      <c r="A412" s="33"/>
      <c r="B412" s="32"/>
      <c r="C412" s="32"/>
      <c r="D412" s="32"/>
      <c r="E412" s="32"/>
      <c r="F412" s="30"/>
      <c r="G412" s="32"/>
      <c r="H412" s="34" t="n">
        <f aca="false">IF($G412="",0,IFERROR(INDEX(Einstellungen!$G$5:$G$11,MATCH($G412,Einstellungen!$E$5:$E$11,0)),0))</f>
        <v>0</v>
      </c>
      <c r="I412" s="35" t="str">
        <f aca="false">IF($G412="","-",IFERROR(INDEX(Einstellungen!$H$5:$H$11,MATCH($G412,Einstellungen!$E$5:$E$11,0)),"-"))</f>
        <v>-</v>
      </c>
      <c r="J412" s="35" t="str">
        <f aca="false">IF(AND(Einstellungen!$B$8="Ja",Einstellungen!$B$9="Effektiv"),$I412,"-")</f>
        <v>-</v>
      </c>
      <c r="K412" s="31" t="n">
        <f aca="false">IF(OR($F412="",$J412="-"),0,ROUND($F412-$F412/(1+$H412),2))</f>
        <v>0</v>
      </c>
      <c r="L412" s="31" t="n">
        <f aca="false">IF($F412="",0,$F412-$K412)</f>
        <v>0</v>
      </c>
      <c r="M412" s="31" t="n">
        <f aca="false">IF($F412="",0,IF($J412="V",$L412,$F412))</f>
        <v>0</v>
      </c>
      <c r="N412" s="31" t="n">
        <f aca="false">IF($F412="",0,IF($J412="U",$L412,$F412))</f>
        <v>0</v>
      </c>
      <c r="O412" s="35" t="str">
        <f aca="false">IF($A412="","",MONTH($A412))</f>
        <v/>
      </c>
      <c r="P412" s="35" t="str">
        <f aca="false">IF($A412="","",ROUNDUP(MONTH($A412)/3,0))</f>
        <v/>
      </c>
      <c r="Q412" s="35" t="str">
        <f aca="false">IF($A412="","",IF(MONTH($A412)&lt;=6,1,2))</f>
        <v/>
      </c>
      <c r="R412" s="35" t="str">
        <f aca="false">IF($E412="","",IFERROR(INDEX(Kontenplan!$F$5:$F$90,MATCH($E412,Kontenplan!$A$5:$A$90,0)),""))</f>
        <v/>
      </c>
      <c r="S412" s="35" t="str">
        <f aca="false">IF($D412="","",IFERROR(INDEX(Kontenplan!$F$5:$F$90,MATCH($D412,Kontenplan!$A$5:$A$90,0)),""))</f>
        <v/>
      </c>
      <c r="T412" s="35" t="str">
        <f aca="false">IF($D412="","",IFERROR(INDEX(Kontenplan!$C$5:$C$90,MATCH($D412,Kontenplan!$A$5:$A$90,0)),"?"))</f>
        <v/>
      </c>
      <c r="U412" s="35" t="str">
        <f aca="false">IF($E412="","",IFERROR(INDEX(Kontenplan!$C$5:$C$90,MATCH($E412,Kontenplan!$A$5:$A$90,0)),"?"))</f>
        <v/>
      </c>
      <c r="V412" s="35" t="str">
        <f aca="false">IF($F412="","",IF(OR($D412="",$E412="",$T412="?",$U412="?"),"Konto prüfen!",IF($A412="","Datum fehlt",IF(YEAR($A412)&lt;&gt;Einstellungen!$B$7,"anderes Jahr!",IF($G412="","MWST-Code fehlt","OK")))))</f>
        <v/>
      </c>
      <c r="W412" s="35" t="str">
        <f aca="false">IF($F412="","",IF(OR($D412=Kontoauszug!$C$4,$E412=Kontoauszug!$C$4),MAX(W$4:W411)+1,""))</f>
        <v/>
      </c>
    </row>
    <row r="413" customFormat="false" ht="15" hidden="false" customHeight="false" outlineLevel="0" collapsed="false">
      <c r="A413" s="33"/>
      <c r="B413" s="32"/>
      <c r="C413" s="32"/>
      <c r="D413" s="32"/>
      <c r="E413" s="32"/>
      <c r="F413" s="30"/>
      <c r="G413" s="32"/>
      <c r="H413" s="34" t="n">
        <f aca="false">IF($G413="",0,IFERROR(INDEX(Einstellungen!$G$5:$G$11,MATCH($G413,Einstellungen!$E$5:$E$11,0)),0))</f>
        <v>0</v>
      </c>
      <c r="I413" s="35" t="str">
        <f aca="false">IF($G413="","-",IFERROR(INDEX(Einstellungen!$H$5:$H$11,MATCH($G413,Einstellungen!$E$5:$E$11,0)),"-"))</f>
        <v>-</v>
      </c>
      <c r="J413" s="35" t="str">
        <f aca="false">IF(AND(Einstellungen!$B$8="Ja",Einstellungen!$B$9="Effektiv"),$I413,"-")</f>
        <v>-</v>
      </c>
      <c r="K413" s="31" t="n">
        <f aca="false">IF(OR($F413="",$J413="-"),0,ROUND($F413-$F413/(1+$H413),2))</f>
        <v>0</v>
      </c>
      <c r="L413" s="31" t="n">
        <f aca="false">IF($F413="",0,$F413-$K413)</f>
        <v>0</v>
      </c>
      <c r="M413" s="31" t="n">
        <f aca="false">IF($F413="",0,IF($J413="V",$L413,$F413))</f>
        <v>0</v>
      </c>
      <c r="N413" s="31" t="n">
        <f aca="false">IF($F413="",0,IF($J413="U",$L413,$F413))</f>
        <v>0</v>
      </c>
      <c r="O413" s="35" t="str">
        <f aca="false">IF($A413="","",MONTH($A413))</f>
        <v/>
      </c>
      <c r="P413" s="35" t="str">
        <f aca="false">IF($A413="","",ROUNDUP(MONTH($A413)/3,0))</f>
        <v/>
      </c>
      <c r="Q413" s="35" t="str">
        <f aca="false">IF($A413="","",IF(MONTH($A413)&lt;=6,1,2))</f>
        <v/>
      </c>
      <c r="R413" s="35" t="str">
        <f aca="false">IF($E413="","",IFERROR(INDEX(Kontenplan!$F$5:$F$90,MATCH($E413,Kontenplan!$A$5:$A$90,0)),""))</f>
        <v/>
      </c>
      <c r="S413" s="35" t="str">
        <f aca="false">IF($D413="","",IFERROR(INDEX(Kontenplan!$F$5:$F$90,MATCH($D413,Kontenplan!$A$5:$A$90,0)),""))</f>
        <v/>
      </c>
      <c r="T413" s="35" t="str">
        <f aca="false">IF($D413="","",IFERROR(INDEX(Kontenplan!$C$5:$C$90,MATCH($D413,Kontenplan!$A$5:$A$90,0)),"?"))</f>
        <v/>
      </c>
      <c r="U413" s="35" t="str">
        <f aca="false">IF($E413="","",IFERROR(INDEX(Kontenplan!$C$5:$C$90,MATCH($E413,Kontenplan!$A$5:$A$90,0)),"?"))</f>
        <v/>
      </c>
      <c r="V413" s="35" t="str">
        <f aca="false">IF($F413="","",IF(OR($D413="",$E413="",$T413="?",$U413="?"),"Konto prüfen!",IF($A413="","Datum fehlt",IF(YEAR($A413)&lt;&gt;Einstellungen!$B$7,"anderes Jahr!",IF($G413="","MWST-Code fehlt","OK")))))</f>
        <v/>
      </c>
      <c r="W413" s="35" t="str">
        <f aca="false">IF($F413="","",IF(OR($D413=Kontoauszug!$C$4,$E413=Kontoauszug!$C$4),MAX(W$4:W412)+1,""))</f>
        <v/>
      </c>
    </row>
    <row r="414" customFormat="false" ht="15" hidden="false" customHeight="false" outlineLevel="0" collapsed="false">
      <c r="A414" s="33"/>
      <c r="B414" s="32"/>
      <c r="C414" s="32"/>
      <c r="D414" s="32"/>
      <c r="E414" s="32"/>
      <c r="F414" s="30"/>
      <c r="G414" s="32"/>
      <c r="H414" s="34" t="n">
        <f aca="false">IF($G414="",0,IFERROR(INDEX(Einstellungen!$G$5:$G$11,MATCH($G414,Einstellungen!$E$5:$E$11,0)),0))</f>
        <v>0</v>
      </c>
      <c r="I414" s="35" t="str">
        <f aca="false">IF($G414="","-",IFERROR(INDEX(Einstellungen!$H$5:$H$11,MATCH($G414,Einstellungen!$E$5:$E$11,0)),"-"))</f>
        <v>-</v>
      </c>
      <c r="J414" s="35" t="str">
        <f aca="false">IF(AND(Einstellungen!$B$8="Ja",Einstellungen!$B$9="Effektiv"),$I414,"-")</f>
        <v>-</v>
      </c>
      <c r="K414" s="31" t="n">
        <f aca="false">IF(OR($F414="",$J414="-"),0,ROUND($F414-$F414/(1+$H414),2))</f>
        <v>0</v>
      </c>
      <c r="L414" s="31" t="n">
        <f aca="false">IF($F414="",0,$F414-$K414)</f>
        <v>0</v>
      </c>
      <c r="M414" s="31" t="n">
        <f aca="false">IF($F414="",0,IF($J414="V",$L414,$F414))</f>
        <v>0</v>
      </c>
      <c r="N414" s="31" t="n">
        <f aca="false">IF($F414="",0,IF($J414="U",$L414,$F414))</f>
        <v>0</v>
      </c>
      <c r="O414" s="35" t="str">
        <f aca="false">IF($A414="","",MONTH($A414))</f>
        <v/>
      </c>
      <c r="P414" s="35" t="str">
        <f aca="false">IF($A414="","",ROUNDUP(MONTH($A414)/3,0))</f>
        <v/>
      </c>
      <c r="Q414" s="35" t="str">
        <f aca="false">IF($A414="","",IF(MONTH($A414)&lt;=6,1,2))</f>
        <v/>
      </c>
      <c r="R414" s="35" t="str">
        <f aca="false">IF($E414="","",IFERROR(INDEX(Kontenplan!$F$5:$F$90,MATCH($E414,Kontenplan!$A$5:$A$90,0)),""))</f>
        <v/>
      </c>
      <c r="S414" s="35" t="str">
        <f aca="false">IF($D414="","",IFERROR(INDEX(Kontenplan!$F$5:$F$90,MATCH($D414,Kontenplan!$A$5:$A$90,0)),""))</f>
        <v/>
      </c>
      <c r="T414" s="35" t="str">
        <f aca="false">IF($D414="","",IFERROR(INDEX(Kontenplan!$C$5:$C$90,MATCH($D414,Kontenplan!$A$5:$A$90,0)),"?"))</f>
        <v/>
      </c>
      <c r="U414" s="35" t="str">
        <f aca="false">IF($E414="","",IFERROR(INDEX(Kontenplan!$C$5:$C$90,MATCH($E414,Kontenplan!$A$5:$A$90,0)),"?"))</f>
        <v/>
      </c>
      <c r="V414" s="35" t="str">
        <f aca="false">IF($F414="","",IF(OR($D414="",$E414="",$T414="?",$U414="?"),"Konto prüfen!",IF($A414="","Datum fehlt",IF(YEAR($A414)&lt;&gt;Einstellungen!$B$7,"anderes Jahr!",IF($G414="","MWST-Code fehlt","OK")))))</f>
        <v/>
      </c>
      <c r="W414" s="35" t="str">
        <f aca="false">IF($F414="","",IF(OR($D414=Kontoauszug!$C$4,$E414=Kontoauszug!$C$4),MAX(W$4:W413)+1,""))</f>
        <v/>
      </c>
    </row>
    <row r="415" customFormat="false" ht="15" hidden="false" customHeight="false" outlineLevel="0" collapsed="false">
      <c r="A415" s="33"/>
      <c r="B415" s="32"/>
      <c r="C415" s="32"/>
      <c r="D415" s="32"/>
      <c r="E415" s="32"/>
      <c r="F415" s="30"/>
      <c r="G415" s="32"/>
      <c r="H415" s="34" t="n">
        <f aca="false">IF($G415="",0,IFERROR(INDEX(Einstellungen!$G$5:$G$11,MATCH($G415,Einstellungen!$E$5:$E$11,0)),0))</f>
        <v>0</v>
      </c>
      <c r="I415" s="35" t="str">
        <f aca="false">IF($G415="","-",IFERROR(INDEX(Einstellungen!$H$5:$H$11,MATCH($G415,Einstellungen!$E$5:$E$11,0)),"-"))</f>
        <v>-</v>
      </c>
      <c r="J415" s="35" t="str">
        <f aca="false">IF(AND(Einstellungen!$B$8="Ja",Einstellungen!$B$9="Effektiv"),$I415,"-")</f>
        <v>-</v>
      </c>
      <c r="K415" s="31" t="n">
        <f aca="false">IF(OR($F415="",$J415="-"),0,ROUND($F415-$F415/(1+$H415),2))</f>
        <v>0</v>
      </c>
      <c r="L415" s="31" t="n">
        <f aca="false">IF($F415="",0,$F415-$K415)</f>
        <v>0</v>
      </c>
      <c r="M415" s="31" t="n">
        <f aca="false">IF($F415="",0,IF($J415="V",$L415,$F415))</f>
        <v>0</v>
      </c>
      <c r="N415" s="31" t="n">
        <f aca="false">IF($F415="",0,IF($J415="U",$L415,$F415))</f>
        <v>0</v>
      </c>
      <c r="O415" s="35" t="str">
        <f aca="false">IF($A415="","",MONTH($A415))</f>
        <v/>
      </c>
      <c r="P415" s="35" t="str">
        <f aca="false">IF($A415="","",ROUNDUP(MONTH($A415)/3,0))</f>
        <v/>
      </c>
      <c r="Q415" s="35" t="str">
        <f aca="false">IF($A415="","",IF(MONTH($A415)&lt;=6,1,2))</f>
        <v/>
      </c>
      <c r="R415" s="35" t="str">
        <f aca="false">IF($E415="","",IFERROR(INDEX(Kontenplan!$F$5:$F$90,MATCH($E415,Kontenplan!$A$5:$A$90,0)),""))</f>
        <v/>
      </c>
      <c r="S415" s="35" t="str">
        <f aca="false">IF($D415="","",IFERROR(INDEX(Kontenplan!$F$5:$F$90,MATCH($D415,Kontenplan!$A$5:$A$90,0)),""))</f>
        <v/>
      </c>
      <c r="T415" s="35" t="str">
        <f aca="false">IF($D415="","",IFERROR(INDEX(Kontenplan!$C$5:$C$90,MATCH($D415,Kontenplan!$A$5:$A$90,0)),"?"))</f>
        <v/>
      </c>
      <c r="U415" s="35" t="str">
        <f aca="false">IF($E415="","",IFERROR(INDEX(Kontenplan!$C$5:$C$90,MATCH($E415,Kontenplan!$A$5:$A$90,0)),"?"))</f>
        <v/>
      </c>
      <c r="V415" s="35" t="str">
        <f aca="false">IF($F415="","",IF(OR($D415="",$E415="",$T415="?",$U415="?"),"Konto prüfen!",IF($A415="","Datum fehlt",IF(YEAR($A415)&lt;&gt;Einstellungen!$B$7,"anderes Jahr!",IF($G415="","MWST-Code fehlt","OK")))))</f>
        <v/>
      </c>
      <c r="W415" s="35" t="str">
        <f aca="false">IF($F415="","",IF(OR($D415=Kontoauszug!$C$4,$E415=Kontoauszug!$C$4),MAX(W$4:W414)+1,""))</f>
        <v/>
      </c>
    </row>
    <row r="416" customFormat="false" ht="15" hidden="false" customHeight="false" outlineLevel="0" collapsed="false">
      <c r="A416" s="33"/>
      <c r="B416" s="32"/>
      <c r="C416" s="32"/>
      <c r="D416" s="32"/>
      <c r="E416" s="32"/>
      <c r="F416" s="30"/>
      <c r="G416" s="32"/>
      <c r="H416" s="34" t="n">
        <f aca="false">IF($G416="",0,IFERROR(INDEX(Einstellungen!$G$5:$G$11,MATCH($G416,Einstellungen!$E$5:$E$11,0)),0))</f>
        <v>0</v>
      </c>
      <c r="I416" s="35" t="str">
        <f aca="false">IF($G416="","-",IFERROR(INDEX(Einstellungen!$H$5:$H$11,MATCH($G416,Einstellungen!$E$5:$E$11,0)),"-"))</f>
        <v>-</v>
      </c>
      <c r="J416" s="35" t="str">
        <f aca="false">IF(AND(Einstellungen!$B$8="Ja",Einstellungen!$B$9="Effektiv"),$I416,"-")</f>
        <v>-</v>
      </c>
      <c r="K416" s="31" t="n">
        <f aca="false">IF(OR($F416="",$J416="-"),0,ROUND($F416-$F416/(1+$H416),2))</f>
        <v>0</v>
      </c>
      <c r="L416" s="31" t="n">
        <f aca="false">IF($F416="",0,$F416-$K416)</f>
        <v>0</v>
      </c>
      <c r="M416" s="31" t="n">
        <f aca="false">IF($F416="",0,IF($J416="V",$L416,$F416))</f>
        <v>0</v>
      </c>
      <c r="N416" s="31" t="n">
        <f aca="false">IF($F416="",0,IF($J416="U",$L416,$F416))</f>
        <v>0</v>
      </c>
      <c r="O416" s="35" t="str">
        <f aca="false">IF($A416="","",MONTH($A416))</f>
        <v/>
      </c>
      <c r="P416" s="35" t="str">
        <f aca="false">IF($A416="","",ROUNDUP(MONTH($A416)/3,0))</f>
        <v/>
      </c>
      <c r="Q416" s="35" t="str">
        <f aca="false">IF($A416="","",IF(MONTH($A416)&lt;=6,1,2))</f>
        <v/>
      </c>
      <c r="R416" s="35" t="str">
        <f aca="false">IF($E416="","",IFERROR(INDEX(Kontenplan!$F$5:$F$90,MATCH($E416,Kontenplan!$A$5:$A$90,0)),""))</f>
        <v/>
      </c>
      <c r="S416" s="35" t="str">
        <f aca="false">IF($D416="","",IFERROR(INDEX(Kontenplan!$F$5:$F$90,MATCH($D416,Kontenplan!$A$5:$A$90,0)),""))</f>
        <v/>
      </c>
      <c r="T416" s="35" t="str">
        <f aca="false">IF($D416="","",IFERROR(INDEX(Kontenplan!$C$5:$C$90,MATCH($D416,Kontenplan!$A$5:$A$90,0)),"?"))</f>
        <v/>
      </c>
      <c r="U416" s="35" t="str">
        <f aca="false">IF($E416="","",IFERROR(INDEX(Kontenplan!$C$5:$C$90,MATCH($E416,Kontenplan!$A$5:$A$90,0)),"?"))</f>
        <v/>
      </c>
      <c r="V416" s="35" t="str">
        <f aca="false">IF($F416="","",IF(OR($D416="",$E416="",$T416="?",$U416="?"),"Konto prüfen!",IF($A416="","Datum fehlt",IF(YEAR($A416)&lt;&gt;Einstellungen!$B$7,"anderes Jahr!",IF($G416="","MWST-Code fehlt","OK")))))</f>
        <v/>
      </c>
      <c r="W416" s="35" t="str">
        <f aca="false">IF($F416="","",IF(OR($D416=Kontoauszug!$C$4,$E416=Kontoauszug!$C$4),MAX(W$4:W415)+1,""))</f>
        <v/>
      </c>
    </row>
    <row r="417" customFormat="false" ht="15" hidden="false" customHeight="false" outlineLevel="0" collapsed="false">
      <c r="A417" s="33"/>
      <c r="B417" s="32"/>
      <c r="C417" s="32"/>
      <c r="D417" s="32"/>
      <c r="E417" s="32"/>
      <c r="F417" s="30"/>
      <c r="G417" s="32"/>
      <c r="H417" s="34" t="n">
        <f aca="false">IF($G417="",0,IFERROR(INDEX(Einstellungen!$G$5:$G$11,MATCH($G417,Einstellungen!$E$5:$E$11,0)),0))</f>
        <v>0</v>
      </c>
      <c r="I417" s="35" t="str">
        <f aca="false">IF($G417="","-",IFERROR(INDEX(Einstellungen!$H$5:$H$11,MATCH($G417,Einstellungen!$E$5:$E$11,0)),"-"))</f>
        <v>-</v>
      </c>
      <c r="J417" s="35" t="str">
        <f aca="false">IF(AND(Einstellungen!$B$8="Ja",Einstellungen!$B$9="Effektiv"),$I417,"-")</f>
        <v>-</v>
      </c>
      <c r="K417" s="31" t="n">
        <f aca="false">IF(OR($F417="",$J417="-"),0,ROUND($F417-$F417/(1+$H417),2))</f>
        <v>0</v>
      </c>
      <c r="L417" s="31" t="n">
        <f aca="false">IF($F417="",0,$F417-$K417)</f>
        <v>0</v>
      </c>
      <c r="M417" s="31" t="n">
        <f aca="false">IF($F417="",0,IF($J417="V",$L417,$F417))</f>
        <v>0</v>
      </c>
      <c r="N417" s="31" t="n">
        <f aca="false">IF($F417="",0,IF($J417="U",$L417,$F417))</f>
        <v>0</v>
      </c>
      <c r="O417" s="35" t="str">
        <f aca="false">IF($A417="","",MONTH($A417))</f>
        <v/>
      </c>
      <c r="P417" s="35" t="str">
        <f aca="false">IF($A417="","",ROUNDUP(MONTH($A417)/3,0))</f>
        <v/>
      </c>
      <c r="Q417" s="35" t="str">
        <f aca="false">IF($A417="","",IF(MONTH($A417)&lt;=6,1,2))</f>
        <v/>
      </c>
      <c r="R417" s="35" t="str">
        <f aca="false">IF($E417="","",IFERROR(INDEX(Kontenplan!$F$5:$F$90,MATCH($E417,Kontenplan!$A$5:$A$90,0)),""))</f>
        <v/>
      </c>
      <c r="S417" s="35" t="str">
        <f aca="false">IF($D417="","",IFERROR(INDEX(Kontenplan!$F$5:$F$90,MATCH($D417,Kontenplan!$A$5:$A$90,0)),""))</f>
        <v/>
      </c>
      <c r="T417" s="35" t="str">
        <f aca="false">IF($D417="","",IFERROR(INDEX(Kontenplan!$C$5:$C$90,MATCH($D417,Kontenplan!$A$5:$A$90,0)),"?"))</f>
        <v/>
      </c>
      <c r="U417" s="35" t="str">
        <f aca="false">IF($E417="","",IFERROR(INDEX(Kontenplan!$C$5:$C$90,MATCH($E417,Kontenplan!$A$5:$A$90,0)),"?"))</f>
        <v/>
      </c>
      <c r="V417" s="35" t="str">
        <f aca="false">IF($F417="","",IF(OR($D417="",$E417="",$T417="?",$U417="?"),"Konto prüfen!",IF($A417="","Datum fehlt",IF(YEAR($A417)&lt;&gt;Einstellungen!$B$7,"anderes Jahr!",IF($G417="","MWST-Code fehlt","OK")))))</f>
        <v/>
      </c>
      <c r="W417" s="35" t="str">
        <f aca="false">IF($F417="","",IF(OR($D417=Kontoauszug!$C$4,$E417=Kontoauszug!$C$4),MAX(W$4:W416)+1,""))</f>
        <v/>
      </c>
    </row>
    <row r="418" customFormat="false" ht="15" hidden="false" customHeight="false" outlineLevel="0" collapsed="false">
      <c r="A418" s="33"/>
      <c r="B418" s="32"/>
      <c r="C418" s="32"/>
      <c r="D418" s="32"/>
      <c r="E418" s="32"/>
      <c r="F418" s="30"/>
      <c r="G418" s="32"/>
      <c r="H418" s="34" t="n">
        <f aca="false">IF($G418="",0,IFERROR(INDEX(Einstellungen!$G$5:$G$11,MATCH($G418,Einstellungen!$E$5:$E$11,0)),0))</f>
        <v>0</v>
      </c>
      <c r="I418" s="35" t="str">
        <f aca="false">IF($G418="","-",IFERROR(INDEX(Einstellungen!$H$5:$H$11,MATCH($G418,Einstellungen!$E$5:$E$11,0)),"-"))</f>
        <v>-</v>
      </c>
      <c r="J418" s="35" t="str">
        <f aca="false">IF(AND(Einstellungen!$B$8="Ja",Einstellungen!$B$9="Effektiv"),$I418,"-")</f>
        <v>-</v>
      </c>
      <c r="K418" s="31" t="n">
        <f aca="false">IF(OR($F418="",$J418="-"),0,ROUND($F418-$F418/(1+$H418),2))</f>
        <v>0</v>
      </c>
      <c r="L418" s="31" t="n">
        <f aca="false">IF($F418="",0,$F418-$K418)</f>
        <v>0</v>
      </c>
      <c r="M418" s="31" t="n">
        <f aca="false">IF($F418="",0,IF($J418="V",$L418,$F418))</f>
        <v>0</v>
      </c>
      <c r="N418" s="31" t="n">
        <f aca="false">IF($F418="",0,IF($J418="U",$L418,$F418))</f>
        <v>0</v>
      </c>
      <c r="O418" s="35" t="str">
        <f aca="false">IF($A418="","",MONTH($A418))</f>
        <v/>
      </c>
      <c r="P418" s="35" t="str">
        <f aca="false">IF($A418="","",ROUNDUP(MONTH($A418)/3,0))</f>
        <v/>
      </c>
      <c r="Q418" s="35" t="str">
        <f aca="false">IF($A418="","",IF(MONTH($A418)&lt;=6,1,2))</f>
        <v/>
      </c>
      <c r="R418" s="35" t="str">
        <f aca="false">IF($E418="","",IFERROR(INDEX(Kontenplan!$F$5:$F$90,MATCH($E418,Kontenplan!$A$5:$A$90,0)),""))</f>
        <v/>
      </c>
      <c r="S418" s="35" t="str">
        <f aca="false">IF($D418="","",IFERROR(INDEX(Kontenplan!$F$5:$F$90,MATCH($D418,Kontenplan!$A$5:$A$90,0)),""))</f>
        <v/>
      </c>
      <c r="T418" s="35" t="str">
        <f aca="false">IF($D418="","",IFERROR(INDEX(Kontenplan!$C$5:$C$90,MATCH($D418,Kontenplan!$A$5:$A$90,0)),"?"))</f>
        <v/>
      </c>
      <c r="U418" s="35" t="str">
        <f aca="false">IF($E418="","",IFERROR(INDEX(Kontenplan!$C$5:$C$90,MATCH($E418,Kontenplan!$A$5:$A$90,0)),"?"))</f>
        <v/>
      </c>
      <c r="V418" s="35" t="str">
        <f aca="false">IF($F418="","",IF(OR($D418="",$E418="",$T418="?",$U418="?"),"Konto prüfen!",IF($A418="","Datum fehlt",IF(YEAR($A418)&lt;&gt;Einstellungen!$B$7,"anderes Jahr!",IF($G418="","MWST-Code fehlt","OK")))))</f>
        <v/>
      </c>
      <c r="W418" s="35" t="str">
        <f aca="false">IF($F418="","",IF(OR($D418=Kontoauszug!$C$4,$E418=Kontoauszug!$C$4),MAX(W$4:W417)+1,""))</f>
        <v/>
      </c>
    </row>
    <row r="419" customFormat="false" ht="15" hidden="false" customHeight="false" outlineLevel="0" collapsed="false">
      <c r="A419" s="33"/>
      <c r="B419" s="32"/>
      <c r="C419" s="32"/>
      <c r="D419" s="32"/>
      <c r="E419" s="32"/>
      <c r="F419" s="30"/>
      <c r="G419" s="32"/>
      <c r="H419" s="34" t="n">
        <f aca="false">IF($G419="",0,IFERROR(INDEX(Einstellungen!$G$5:$G$11,MATCH($G419,Einstellungen!$E$5:$E$11,0)),0))</f>
        <v>0</v>
      </c>
      <c r="I419" s="35" t="str">
        <f aca="false">IF($G419="","-",IFERROR(INDEX(Einstellungen!$H$5:$H$11,MATCH($G419,Einstellungen!$E$5:$E$11,0)),"-"))</f>
        <v>-</v>
      </c>
      <c r="J419" s="35" t="str">
        <f aca="false">IF(AND(Einstellungen!$B$8="Ja",Einstellungen!$B$9="Effektiv"),$I419,"-")</f>
        <v>-</v>
      </c>
      <c r="K419" s="31" t="n">
        <f aca="false">IF(OR($F419="",$J419="-"),0,ROUND($F419-$F419/(1+$H419),2))</f>
        <v>0</v>
      </c>
      <c r="L419" s="31" t="n">
        <f aca="false">IF($F419="",0,$F419-$K419)</f>
        <v>0</v>
      </c>
      <c r="M419" s="31" t="n">
        <f aca="false">IF($F419="",0,IF($J419="V",$L419,$F419))</f>
        <v>0</v>
      </c>
      <c r="N419" s="31" t="n">
        <f aca="false">IF($F419="",0,IF($J419="U",$L419,$F419))</f>
        <v>0</v>
      </c>
      <c r="O419" s="35" t="str">
        <f aca="false">IF($A419="","",MONTH($A419))</f>
        <v/>
      </c>
      <c r="P419" s="35" t="str">
        <f aca="false">IF($A419="","",ROUNDUP(MONTH($A419)/3,0))</f>
        <v/>
      </c>
      <c r="Q419" s="35" t="str">
        <f aca="false">IF($A419="","",IF(MONTH($A419)&lt;=6,1,2))</f>
        <v/>
      </c>
      <c r="R419" s="35" t="str">
        <f aca="false">IF($E419="","",IFERROR(INDEX(Kontenplan!$F$5:$F$90,MATCH($E419,Kontenplan!$A$5:$A$90,0)),""))</f>
        <v/>
      </c>
      <c r="S419" s="35" t="str">
        <f aca="false">IF($D419="","",IFERROR(INDEX(Kontenplan!$F$5:$F$90,MATCH($D419,Kontenplan!$A$5:$A$90,0)),""))</f>
        <v/>
      </c>
      <c r="T419" s="35" t="str">
        <f aca="false">IF($D419="","",IFERROR(INDEX(Kontenplan!$C$5:$C$90,MATCH($D419,Kontenplan!$A$5:$A$90,0)),"?"))</f>
        <v/>
      </c>
      <c r="U419" s="35" t="str">
        <f aca="false">IF($E419="","",IFERROR(INDEX(Kontenplan!$C$5:$C$90,MATCH($E419,Kontenplan!$A$5:$A$90,0)),"?"))</f>
        <v/>
      </c>
      <c r="V419" s="35" t="str">
        <f aca="false">IF($F419="","",IF(OR($D419="",$E419="",$T419="?",$U419="?"),"Konto prüfen!",IF($A419="","Datum fehlt",IF(YEAR($A419)&lt;&gt;Einstellungen!$B$7,"anderes Jahr!",IF($G419="","MWST-Code fehlt","OK")))))</f>
        <v/>
      </c>
      <c r="W419" s="35" t="str">
        <f aca="false">IF($F419="","",IF(OR($D419=Kontoauszug!$C$4,$E419=Kontoauszug!$C$4),MAX(W$4:W418)+1,""))</f>
        <v/>
      </c>
    </row>
    <row r="420" customFormat="false" ht="15" hidden="false" customHeight="false" outlineLevel="0" collapsed="false">
      <c r="A420" s="33"/>
      <c r="B420" s="32"/>
      <c r="C420" s="32"/>
      <c r="D420" s="32"/>
      <c r="E420" s="32"/>
      <c r="F420" s="30"/>
      <c r="G420" s="32"/>
      <c r="H420" s="34" t="n">
        <f aca="false">IF($G420="",0,IFERROR(INDEX(Einstellungen!$G$5:$G$11,MATCH($G420,Einstellungen!$E$5:$E$11,0)),0))</f>
        <v>0</v>
      </c>
      <c r="I420" s="35" t="str">
        <f aca="false">IF($G420="","-",IFERROR(INDEX(Einstellungen!$H$5:$H$11,MATCH($G420,Einstellungen!$E$5:$E$11,0)),"-"))</f>
        <v>-</v>
      </c>
      <c r="J420" s="35" t="str">
        <f aca="false">IF(AND(Einstellungen!$B$8="Ja",Einstellungen!$B$9="Effektiv"),$I420,"-")</f>
        <v>-</v>
      </c>
      <c r="K420" s="31" t="n">
        <f aca="false">IF(OR($F420="",$J420="-"),0,ROUND($F420-$F420/(1+$H420),2))</f>
        <v>0</v>
      </c>
      <c r="L420" s="31" t="n">
        <f aca="false">IF($F420="",0,$F420-$K420)</f>
        <v>0</v>
      </c>
      <c r="M420" s="31" t="n">
        <f aca="false">IF($F420="",0,IF($J420="V",$L420,$F420))</f>
        <v>0</v>
      </c>
      <c r="N420" s="31" t="n">
        <f aca="false">IF($F420="",0,IF($J420="U",$L420,$F420))</f>
        <v>0</v>
      </c>
      <c r="O420" s="35" t="str">
        <f aca="false">IF($A420="","",MONTH($A420))</f>
        <v/>
      </c>
      <c r="P420" s="35" t="str">
        <f aca="false">IF($A420="","",ROUNDUP(MONTH($A420)/3,0))</f>
        <v/>
      </c>
      <c r="Q420" s="35" t="str">
        <f aca="false">IF($A420="","",IF(MONTH($A420)&lt;=6,1,2))</f>
        <v/>
      </c>
      <c r="R420" s="35" t="str">
        <f aca="false">IF($E420="","",IFERROR(INDEX(Kontenplan!$F$5:$F$90,MATCH($E420,Kontenplan!$A$5:$A$90,0)),""))</f>
        <v/>
      </c>
      <c r="S420" s="35" t="str">
        <f aca="false">IF($D420="","",IFERROR(INDEX(Kontenplan!$F$5:$F$90,MATCH($D420,Kontenplan!$A$5:$A$90,0)),""))</f>
        <v/>
      </c>
      <c r="T420" s="35" t="str">
        <f aca="false">IF($D420="","",IFERROR(INDEX(Kontenplan!$C$5:$C$90,MATCH($D420,Kontenplan!$A$5:$A$90,0)),"?"))</f>
        <v/>
      </c>
      <c r="U420" s="35" t="str">
        <f aca="false">IF($E420="","",IFERROR(INDEX(Kontenplan!$C$5:$C$90,MATCH($E420,Kontenplan!$A$5:$A$90,0)),"?"))</f>
        <v/>
      </c>
      <c r="V420" s="35" t="str">
        <f aca="false">IF($F420="","",IF(OR($D420="",$E420="",$T420="?",$U420="?"),"Konto prüfen!",IF($A420="","Datum fehlt",IF(YEAR($A420)&lt;&gt;Einstellungen!$B$7,"anderes Jahr!",IF($G420="","MWST-Code fehlt","OK")))))</f>
        <v/>
      </c>
      <c r="W420" s="35" t="str">
        <f aca="false">IF($F420="","",IF(OR($D420=Kontoauszug!$C$4,$E420=Kontoauszug!$C$4),MAX(W$4:W419)+1,""))</f>
        <v/>
      </c>
    </row>
    <row r="421" customFormat="false" ht="15" hidden="false" customHeight="false" outlineLevel="0" collapsed="false">
      <c r="A421" s="33"/>
      <c r="B421" s="32"/>
      <c r="C421" s="32"/>
      <c r="D421" s="32"/>
      <c r="E421" s="32"/>
      <c r="F421" s="30"/>
      <c r="G421" s="32"/>
      <c r="H421" s="34" t="n">
        <f aca="false">IF($G421="",0,IFERROR(INDEX(Einstellungen!$G$5:$G$11,MATCH($G421,Einstellungen!$E$5:$E$11,0)),0))</f>
        <v>0</v>
      </c>
      <c r="I421" s="35" t="str">
        <f aca="false">IF($G421="","-",IFERROR(INDEX(Einstellungen!$H$5:$H$11,MATCH($G421,Einstellungen!$E$5:$E$11,0)),"-"))</f>
        <v>-</v>
      </c>
      <c r="J421" s="35" t="str">
        <f aca="false">IF(AND(Einstellungen!$B$8="Ja",Einstellungen!$B$9="Effektiv"),$I421,"-")</f>
        <v>-</v>
      </c>
      <c r="K421" s="31" t="n">
        <f aca="false">IF(OR($F421="",$J421="-"),0,ROUND($F421-$F421/(1+$H421),2))</f>
        <v>0</v>
      </c>
      <c r="L421" s="31" t="n">
        <f aca="false">IF($F421="",0,$F421-$K421)</f>
        <v>0</v>
      </c>
      <c r="M421" s="31" t="n">
        <f aca="false">IF($F421="",0,IF($J421="V",$L421,$F421))</f>
        <v>0</v>
      </c>
      <c r="N421" s="31" t="n">
        <f aca="false">IF($F421="",0,IF($J421="U",$L421,$F421))</f>
        <v>0</v>
      </c>
      <c r="O421" s="35" t="str">
        <f aca="false">IF($A421="","",MONTH($A421))</f>
        <v/>
      </c>
      <c r="P421" s="35" t="str">
        <f aca="false">IF($A421="","",ROUNDUP(MONTH($A421)/3,0))</f>
        <v/>
      </c>
      <c r="Q421" s="35" t="str">
        <f aca="false">IF($A421="","",IF(MONTH($A421)&lt;=6,1,2))</f>
        <v/>
      </c>
      <c r="R421" s="35" t="str">
        <f aca="false">IF($E421="","",IFERROR(INDEX(Kontenplan!$F$5:$F$90,MATCH($E421,Kontenplan!$A$5:$A$90,0)),""))</f>
        <v/>
      </c>
      <c r="S421" s="35" t="str">
        <f aca="false">IF($D421="","",IFERROR(INDEX(Kontenplan!$F$5:$F$90,MATCH($D421,Kontenplan!$A$5:$A$90,0)),""))</f>
        <v/>
      </c>
      <c r="T421" s="35" t="str">
        <f aca="false">IF($D421="","",IFERROR(INDEX(Kontenplan!$C$5:$C$90,MATCH($D421,Kontenplan!$A$5:$A$90,0)),"?"))</f>
        <v/>
      </c>
      <c r="U421" s="35" t="str">
        <f aca="false">IF($E421="","",IFERROR(INDEX(Kontenplan!$C$5:$C$90,MATCH($E421,Kontenplan!$A$5:$A$90,0)),"?"))</f>
        <v/>
      </c>
      <c r="V421" s="35" t="str">
        <f aca="false">IF($F421="","",IF(OR($D421="",$E421="",$T421="?",$U421="?"),"Konto prüfen!",IF($A421="","Datum fehlt",IF(YEAR($A421)&lt;&gt;Einstellungen!$B$7,"anderes Jahr!",IF($G421="","MWST-Code fehlt","OK")))))</f>
        <v/>
      </c>
      <c r="W421" s="35" t="str">
        <f aca="false">IF($F421="","",IF(OR($D421=Kontoauszug!$C$4,$E421=Kontoauszug!$C$4),MAX(W$4:W420)+1,""))</f>
        <v/>
      </c>
    </row>
    <row r="422" customFormat="false" ht="15" hidden="false" customHeight="false" outlineLevel="0" collapsed="false">
      <c r="A422" s="33"/>
      <c r="B422" s="32"/>
      <c r="C422" s="32"/>
      <c r="D422" s="32"/>
      <c r="E422" s="32"/>
      <c r="F422" s="30"/>
      <c r="G422" s="32"/>
      <c r="H422" s="34" t="n">
        <f aca="false">IF($G422="",0,IFERROR(INDEX(Einstellungen!$G$5:$G$11,MATCH($G422,Einstellungen!$E$5:$E$11,0)),0))</f>
        <v>0</v>
      </c>
      <c r="I422" s="35" t="str">
        <f aca="false">IF($G422="","-",IFERROR(INDEX(Einstellungen!$H$5:$H$11,MATCH($G422,Einstellungen!$E$5:$E$11,0)),"-"))</f>
        <v>-</v>
      </c>
      <c r="J422" s="35" t="str">
        <f aca="false">IF(AND(Einstellungen!$B$8="Ja",Einstellungen!$B$9="Effektiv"),$I422,"-")</f>
        <v>-</v>
      </c>
      <c r="K422" s="31" t="n">
        <f aca="false">IF(OR($F422="",$J422="-"),0,ROUND($F422-$F422/(1+$H422),2))</f>
        <v>0</v>
      </c>
      <c r="L422" s="31" t="n">
        <f aca="false">IF($F422="",0,$F422-$K422)</f>
        <v>0</v>
      </c>
      <c r="M422" s="31" t="n">
        <f aca="false">IF($F422="",0,IF($J422="V",$L422,$F422))</f>
        <v>0</v>
      </c>
      <c r="N422" s="31" t="n">
        <f aca="false">IF($F422="",0,IF($J422="U",$L422,$F422))</f>
        <v>0</v>
      </c>
      <c r="O422" s="35" t="str">
        <f aca="false">IF($A422="","",MONTH($A422))</f>
        <v/>
      </c>
      <c r="P422" s="35" t="str">
        <f aca="false">IF($A422="","",ROUNDUP(MONTH($A422)/3,0))</f>
        <v/>
      </c>
      <c r="Q422" s="35" t="str">
        <f aca="false">IF($A422="","",IF(MONTH($A422)&lt;=6,1,2))</f>
        <v/>
      </c>
      <c r="R422" s="35" t="str">
        <f aca="false">IF($E422="","",IFERROR(INDEX(Kontenplan!$F$5:$F$90,MATCH($E422,Kontenplan!$A$5:$A$90,0)),""))</f>
        <v/>
      </c>
      <c r="S422" s="35" t="str">
        <f aca="false">IF($D422="","",IFERROR(INDEX(Kontenplan!$F$5:$F$90,MATCH($D422,Kontenplan!$A$5:$A$90,0)),""))</f>
        <v/>
      </c>
      <c r="T422" s="35" t="str">
        <f aca="false">IF($D422="","",IFERROR(INDEX(Kontenplan!$C$5:$C$90,MATCH($D422,Kontenplan!$A$5:$A$90,0)),"?"))</f>
        <v/>
      </c>
      <c r="U422" s="35" t="str">
        <f aca="false">IF($E422="","",IFERROR(INDEX(Kontenplan!$C$5:$C$90,MATCH($E422,Kontenplan!$A$5:$A$90,0)),"?"))</f>
        <v/>
      </c>
      <c r="V422" s="35" t="str">
        <f aca="false">IF($F422="","",IF(OR($D422="",$E422="",$T422="?",$U422="?"),"Konto prüfen!",IF($A422="","Datum fehlt",IF(YEAR($A422)&lt;&gt;Einstellungen!$B$7,"anderes Jahr!",IF($G422="","MWST-Code fehlt","OK")))))</f>
        <v/>
      </c>
      <c r="W422" s="35" t="str">
        <f aca="false">IF($F422="","",IF(OR($D422=Kontoauszug!$C$4,$E422=Kontoauszug!$C$4),MAX(W$4:W421)+1,""))</f>
        <v/>
      </c>
    </row>
    <row r="423" customFormat="false" ht="15" hidden="false" customHeight="false" outlineLevel="0" collapsed="false">
      <c r="A423" s="33"/>
      <c r="B423" s="32"/>
      <c r="C423" s="32"/>
      <c r="D423" s="32"/>
      <c r="E423" s="32"/>
      <c r="F423" s="30"/>
      <c r="G423" s="32"/>
      <c r="H423" s="34" t="n">
        <f aca="false">IF($G423="",0,IFERROR(INDEX(Einstellungen!$G$5:$G$11,MATCH($G423,Einstellungen!$E$5:$E$11,0)),0))</f>
        <v>0</v>
      </c>
      <c r="I423" s="35" t="str">
        <f aca="false">IF($G423="","-",IFERROR(INDEX(Einstellungen!$H$5:$H$11,MATCH($G423,Einstellungen!$E$5:$E$11,0)),"-"))</f>
        <v>-</v>
      </c>
      <c r="J423" s="35" t="str">
        <f aca="false">IF(AND(Einstellungen!$B$8="Ja",Einstellungen!$B$9="Effektiv"),$I423,"-")</f>
        <v>-</v>
      </c>
      <c r="K423" s="31" t="n">
        <f aca="false">IF(OR($F423="",$J423="-"),0,ROUND($F423-$F423/(1+$H423),2))</f>
        <v>0</v>
      </c>
      <c r="L423" s="31" t="n">
        <f aca="false">IF($F423="",0,$F423-$K423)</f>
        <v>0</v>
      </c>
      <c r="M423" s="31" t="n">
        <f aca="false">IF($F423="",0,IF($J423="V",$L423,$F423))</f>
        <v>0</v>
      </c>
      <c r="N423" s="31" t="n">
        <f aca="false">IF($F423="",0,IF($J423="U",$L423,$F423))</f>
        <v>0</v>
      </c>
      <c r="O423" s="35" t="str">
        <f aca="false">IF($A423="","",MONTH($A423))</f>
        <v/>
      </c>
      <c r="P423" s="35" t="str">
        <f aca="false">IF($A423="","",ROUNDUP(MONTH($A423)/3,0))</f>
        <v/>
      </c>
      <c r="Q423" s="35" t="str">
        <f aca="false">IF($A423="","",IF(MONTH($A423)&lt;=6,1,2))</f>
        <v/>
      </c>
      <c r="R423" s="35" t="str">
        <f aca="false">IF($E423="","",IFERROR(INDEX(Kontenplan!$F$5:$F$90,MATCH($E423,Kontenplan!$A$5:$A$90,0)),""))</f>
        <v/>
      </c>
      <c r="S423" s="35" t="str">
        <f aca="false">IF($D423="","",IFERROR(INDEX(Kontenplan!$F$5:$F$90,MATCH($D423,Kontenplan!$A$5:$A$90,0)),""))</f>
        <v/>
      </c>
      <c r="T423" s="35" t="str">
        <f aca="false">IF($D423="","",IFERROR(INDEX(Kontenplan!$C$5:$C$90,MATCH($D423,Kontenplan!$A$5:$A$90,0)),"?"))</f>
        <v/>
      </c>
      <c r="U423" s="35" t="str">
        <f aca="false">IF($E423="","",IFERROR(INDEX(Kontenplan!$C$5:$C$90,MATCH($E423,Kontenplan!$A$5:$A$90,0)),"?"))</f>
        <v/>
      </c>
      <c r="V423" s="35" t="str">
        <f aca="false">IF($F423="","",IF(OR($D423="",$E423="",$T423="?",$U423="?"),"Konto prüfen!",IF($A423="","Datum fehlt",IF(YEAR($A423)&lt;&gt;Einstellungen!$B$7,"anderes Jahr!",IF($G423="","MWST-Code fehlt","OK")))))</f>
        <v/>
      </c>
      <c r="W423" s="35" t="str">
        <f aca="false">IF($F423="","",IF(OR($D423=Kontoauszug!$C$4,$E423=Kontoauszug!$C$4),MAX(W$4:W422)+1,""))</f>
        <v/>
      </c>
    </row>
    <row r="424" customFormat="false" ht="15" hidden="false" customHeight="false" outlineLevel="0" collapsed="false">
      <c r="A424" s="33"/>
      <c r="B424" s="32"/>
      <c r="C424" s="32"/>
      <c r="D424" s="32"/>
      <c r="E424" s="32"/>
      <c r="F424" s="30"/>
      <c r="G424" s="32"/>
      <c r="H424" s="34" t="n">
        <f aca="false">IF($G424="",0,IFERROR(INDEX(Einstellungen!$G$5:$G$11,MATCH($G424,Einstellungen!$E$5:$E$11,0)),0))</f>
        <v>0</v>
      </c>
      <c r="I424" s="35" t="str">
        <f aca="false">IF($G424="","-",IFERROR(INDEX(Einstellungen!$H$5:$H$11,MATCH($G424,Einstellungen!$E$5:$E$11,0)),"-"))</f>
        <v>-</v>
      </c>
      <c r="J424" s="35" t="str">
        <f aca="false">IF(AND(Einstellungen!$B$8="Ja",Einstellungen!$B$9="Effektiv"),$I424,"-")</f>
        <v>-</v>
      </c>
      <c r="K424" s="31" t="n">
        <f aca="false">IF(OR($F424="",$J424="-"),0,ROUND($F424-$F424/(1+$H424),2))</f>
        <v>0</v>
      </c>
      <c r="L424" s="31" t="n">
        <f aca="false">IF($F424="",0,$F424-$K424)</f>
        <v>0</v>
      </c>
      <c r="M424" s="31" t="n">
        <f aca="false">IF($F424="",0,IF($J424="V",$L424,$F424))</f>
        <v>0</v>
      </c>
      <c r="N424" s="31" t="n">
        <f aca="false">IF($F424="",0,IF($J424="U",$L424,$F424))</f>
        <v>0</v>
      </c>
      <c r="O424" s="35" t="str">
        <f aca="false">IF($A424="","",MONTH($A424))</f>
        <v/>
      </c>
      <c r="P424" s="35" t="str">
        <f aca="false">IF($A424="","",ROUNDUP(MONTH($A424)/3,0))</f>
        <v/>
      </c>
      <c r="Q424" s="35" t="str">
        <f aca="false">IF($A424="","",IF(MONTH($A424)&lt;=6,1,2))</f>
        <v/>
      </c>
      <c r="R424" s="35" t="str">
        <f aca="false">IF($E424="","",IFERROR(INDEX(Kontenplan!$F$5:$F$90,MATCH($E424,Kontenplan!$A$5:$A$90,0)),""))</f>
        <v/>
      </c>
      <c r="S424" s="35" t="str">
        <f aca="false">IF($D424="","",IFERROR(INDEX(Kontenplan!$F$5:$F$90,MATCH($D424,Kontenplan!$A$5:$A$90,0)),""))</f>
        <v/>
      </c>
      <c r="T424" s="35" t="str">
        <f aca="false">IF($D424="","",IFERROR(INDEX(Kontenplan!$C$5:$C$90,MATCH($D424,Kontenplan!$A$5:$A$90,0)),"?"))</f>
        <v/>
      </c>
      <c r="U424" s="35" t="str">
        <f aca="false">IF($E424="","",IFERROR(INDEX(Kontenplan!$C$5:$C$90,MATCH($E424,Kontenplan!$A$5:$A$90,0)),"?"))</f>
        <v/>
      </c>
      <c r="V424" s="35" t="str">
        <f aca="false">IF($F424="","",IF(OR($D424="",$E424="",$T424="?",$U424="?"),"Konto prüfen!",IF($A424="","Datum fehlt",IF(YEAR($A424)&lt;&gt;Einstellungen!$B$7,"anderes Jahr!",IF($G424="","MWST-Code fehlt","OK")))))</f>
        <v/>
      </c>
      <c r="W424" s="35" t="str">
        <f aca="false">IF($F424="","",IF(OR($D424=Kontoauszug!$C$4,$E424=Kontoauszug!$C$4),MAX(W$4:W423)+1,""))</f>
        <v/>
      </c>
    </row>
    <row r="425" customFormat="false" ht="15" hidden="false" customHeight="false" outlineLevel="0" collapsed="false">
      <c r="A425" s="33"/>
      <c r="B425" s="32"/>
      <c r="C425" s="32"/>
      <c r="D425" s="32"/>
      <c r="E425" s="32"/>
      <c r="F425" s="30"/>
      <c r="G425" s="32"/>
      <c r="H425" s="34" t="n">
        <f aca="false">IF($G425="",0,IFERROR(INDEX(Einstellungen!$G$5:$G$11,MATCH($G425,Einstellungen!$E$5:$E$11,0)),0))</f>
        <v>0</v>
      </c>
      <c r="I425" s="35" t="str">
        <f aca="false">IF($G425="","-",IFERROR(INDEX(Einstellungen!$H$5:$H$11,MATCH($G425,Einstellungen!$E$5:$E$11,0)),"-"))</f>
        <v>-</v>
      </c>
      <c r="J425" s="35" t="str">
        <f aca="false">IF(AND(Einstellungen!$B$8="Ja",Einstellungen!$B$9="Effektiv"),$I425,"-")</f>
        <v>-</v>
      </c>
      <c r="K425" s="31" t="n">
        <f aca="false">IF(OR($F425="",$J425="-"),0,ROUND($F425-$F425/(1+$H425),2))</f>
        <v>0</v>
      </c>
      <c r="L425" s="31" t="n">
        <f aca="false">IF($F425="",0,$F425-$K425)</f>
        <v>0</v>
      </c>
      <c r="M425" s="31" t="n">
        <f aca="false">IF($F425="",0,IF($J425="V",$L425,$F425))</f>
        <v>0</v>
      </c>
      <c r="N425" s="31" t="n">
        <f aca="false">IF($F425="",0,IF($J425="U",$L425,$F425))</f>
        <v>0</v>
      </c>
      <c r="O425" s="35" t="str">
        <f aca="false">IF($A425="","",MONTH($A425))</f>
        <v/>
      </c>
      <c r="P425" s="35" t="str">
        <f aca="false">IF($A425="","",ROUNDUP(MONTH($A425)/3,0))</f>
        <v/>
      </c>
      <c r="Q425" s="35" t="str">
        <f aca="false">IF($A425="","",IF(MONTH($A425)&lt;=6,1,2))</f>
        <v/>
      </c>
      <c r="R425" s="35" t="str">
        <f aca="false">IF($E425="","",IFERROR(INDEX(Kontenplan!$F$5:$F$90,MATCH($E425,Kontenplan!$A$5:$A$90,0)),""))</f>
        <v/>
      </c>
      <c r="S425" s="35" t="str">
        <f aca="false">IF($D425="","",IFERROR(INDEX(Kontenplan!$F$5:$F$90,MATCH($D425,Kontenplan!$A$5:$A$90,0)),""))</f>
        <v/>
      </c>
      <c r="T425" s="35" t="str">
        <f aca="false">IF($D425="","",IFERROR(INDEX(Kontenplan!$C$5:$C$90,MATCH($D425,Kontenplan!$A$5:$A$90,0)),"?"))</f>
        <v/>
      </c>
      <c r="U425" s="35" t="str">
        <f aca="false">IF($E425="","",IFERROR(INDEX(Kontenplan!$C$5:$C$90,MATCH($E425,Kontenplan!$A$5:$A$90,0)),"?"))</f>
        <v/>
      </c>
      <c r="V425" s="35" t="str">
        <f aca="false">IF($F425="","",IF(OR($D425="",$E425="",$T425="?",$U425="?"),"Konto prüfen!",IF($A425="","Datum fehlt",IF(YEAR($A425)&lt;&gt;Einstellungen!$B$7,"anderes Jahr!",IF($G425="","MWST-Code fehlt","OK")))))</f>
        <v/>
      </c>
      <c r="W425" s="35" t="str">
        <f aca="false">IF($F425="","",IF(OR($D425=Kontoauszug!$C$4,$E425=Kontoauszug!$C$4),MAX(W$4:W424)+1,""))</f>
        <v/>
      </c>
    </row>
    <row r="426" customFormat="false" ht="15" hidden="false" customHeight="false" outlineLevel="0" collapsed="false">
      <c r="A426" s="33"/>
      <c r="B426" s="32"/>
      <c r="C426" s="32"/>
      <c r="D426" s="32"/>
      <c r="E426" s="32"/>
      <c r="F426" s="30"/>
      <c r="G426" s="32"/>
      <c r="H426" s="34" t="n">
        <f aca="false">IF($G426="",0,IFERROR(INDEX(Einstellungen!$G$5:$G$11,MATCH($G426,Einstellungen!$E$5:$E$11,0)),0))</f>
        <v>0</v>
      </c>
      <c r="I426" s="35" t="str">
        <f aca="false">IF($G426="","-",IFERROR(INDEX(Einstellungen!$H$5:$H$11,MATCH($G426,Einstellungen!$E$5:$E$11,0)),"-"))</f>
        <v>-</v>
      </c>
      <c r="J426" s="35" t="str">
        <f aca="false">IF(AND(Einstellungen!$B$8="Ja",Einstellungen!$B$9="Effektiv"),$I426,"-")</f>
        <v>-</v>
      </c>
      <c r="K426" s="31" t="n">
        <f aca="false">IF(OR($F426="",$J426="-"),0,ROUND($F426-$F426/(1+$H426),2))</f>
        <v>0</v>
      </c>
      <c r="L426" s="31" t="n">
        <f aca="false">IF($F426="",0,$F426-$K426)</f>
        <v>0</v>
      </c>
      <c r="M426" s="31" t="n">
        <f aca="false">IF($F426="",0,IF($J426="V",$L426,$F426))</f>
        <v>0</v>
      </c>
      <c r="N426" s="31" t="n">
        <f aca="false">IF($F426="",0,IF($J426="U",$L426,$F426))</f>
        <v>0</v>
      </c>
      <c r="O426" s="35" t="str">
        <f aca="false">IF($A426="","",MONTH($A426))</f>
        <v/>
      </c>
      <c r="P426" s="35" t="str">
        <f aca="false">IF($A426="","",ROUNDUP(MONTH($A426)/3,0))</f>
        <v/>
      </c>
      <c r="Q426" s="35" t="str">
        <f aca="false">IF($A426="","",IF(MONTH($A426)&lt;=6,1,2))</f>
        <v/>
      </c>
      <c r="R426" s="35" t="str">
        <f aca="false">IF($E426="","",IFERROR(INDEX(Kontenplan!$F$5:$F$90,MATCH($E426,Kontenplan!$A$5:$A$90,0)),""))</f>
        <v/>
      </c>
      <c r="S426" s="35" t="str">
        <f aca="false">IF($D426="","",IFERROR(INDEX(Kontenplan!$F$5:$F$90,MATCH($D426,Kontenplan!$A$5:$A$90,0)),""))</f>
        <v/>
      </c>
      <c r="T426" s="35" t="str">
        <f aca="false">IF($D426="","",IFERROR(INDEX(Kontenplan!$C$5:$C$90,MATCH($D426,Kontenplan!$A$5:$A$90,0)),"?"))</f>
        <v/>
      </c>
      <c r="U426" s="35" t="str">
        <f aca="false">IF($E426="","",IFERROR(INDEX(Kontenplan!$C$5:$C$90,MATCH($E426,Kontenplan!$A$5:$A$90,0)),"?"))</f>
        <v/>
      </c>
      <c r="V426" s="35" t="str">
        <f aca="false">IF($F426="","",IF(OR($D426="",$E426="",$T426="?",$U426="?"),"Konto prüfen!",IF($A426="","Datum fehlt",IF(YEAR($A426)&lt;&gt;Einstellungen!$B$7,"anderes Jahr!",IF($G426="","MWST-Code fehlt","OK")))))</f>
        <v/>
      </c>
      <c r="W426" s="35" t="str">
        <f aca="false">IF($F426="","",IF(OR($D426=Kontoauszug!$C$4,$E426=Kontoauszug!$C$4),MAX(W$4:W425)+1,""))</f>
        <v/>
      </c>
    </row>
    <row r="427" customFormat="false" ht="15" hidden="false" customHeight="false" outlineLevel="0" collapsed="false">
      <c r="A427" s="33"/>
      <c r="B427" s="32"/>
      <c r="C427" s="32"/>
      <c r="D427" s="32"/>
      <c r="E427" s="32"/>
      <c r="F427" s="30"/>
      <c r="G427" s="32"/>
      <c r="H427" s="34" t="n">
        <f aca="false">IF($G427="",0,IFERROR(INDEX(Einstellungen!$G$5:$G$11,MATCH($G427,Einstellungen!$E$5:$E$11,0)),0))</f>
        <v>0</v>
      </c>
      <c r="I427" s="35" t="str">
        <f aca="false">IF($G427="","-",IFERROR(INDEX(Einstellungen!$H$5:$H$11,MATCH($G427,Einstellungen!$E$5:$E$11,0)),"-"))</f>
        <v>-</v>
      </c>
      <c r="J427" s="35" t="str">
        <f aca="false">IF(AND(Einstellungen!$B$8="Ja",Einstellungen!$B$9="Effektiv"),$I427,"-")</f>
        <v>-</v>
      </c>
      <c r="K427" s="31" t="n">
        <f aca="false">IF(OR($F427="",$J427="-"),0,ROUND($F427-$F427/(1+$H427),2))</f>
        <v>0</v>
      </c>
      <c r="L427" s="31" t="n">
        <f aca="false">IF($F427="",0,$F427-$K427)</f>
        <v>0</v>
      </c>
      <c r="M427" s="31" t="n">
        <f aca="false">IF($F427="",0,IF($J427="V",$L427,$F427))</f>
        <v>0</v>
      </c>
      <c r="N427" s="31" t="n">
        <f aca="false">IF($F427="",0,IF($J427="U",$L427,$F427))</f>
        <v>0</v>
      </c>
      <c r="O427" s="35" t="str">
        <f aca="false">IF($A427="","",MONTH($A427))</f>
        <v/>
      </c>
      <c r="P427" s="35" t="str">
        <f aca="false">IF($A427="","",ROUNDUP(MONTH($A427)/3,0))</f>
        <v/>
      </c>
      <c r="Q427" s="35" t="str">
        <f aca="false">IF($A427="","",IF(MONTH($A427)&lt;=6,1,2))</f>
        <v/>
      </c>
      <c r="R427" s="35" t="str">
        <f aca="false">IF($E427="","",IFERROR(INDEX(Kontenplan!$F$5:$F$90,MATCH($E427,Kontenplan!$A$5:$A$90,0)),""))</f>
        <v/>
      </c>
      <c r="S427" s="35" t="str">
        <f aca="false">IF($D427="","",IFERROR(INDEX(Kontenplan!$F$5:$F$90,MATCH($D427,Kontenplan!$A$5:$A$90,0)),""))</f>
        <v/>
      </c>
      <c r="T427" s="35" t="str">
        <f aca="false">IF($D427="","",IFERROR(INDEX(Kontenplan!$C$5:$C$90,MATCH($D427,Kontenplan!$A$5:$A$90,0)),"?"))</f>
        <v/>
      </c>
      <c r="U427" s="35" t="str">
        <f aca="false">IF($E427="","",IFERROR(INDEX(Kontenplan!$C$5:$C$90,MATCH($E427,Kontenplan!$A$5:$A$90,0)),"?"))</f>
        <v/>
      </c>
      <c r="V427" s="35" t="str">
        <f aca="false">IF($F427="","",IF(OR($D427="",$E427="",$T427="?",$U427="?"),"Konto prüfen!",IF($A427="","Datum fehlt",IF(YEAR($A427)&lt;&gt;Einstellungen!$B$7,"anderes Jahr!",IF($G427="","MWST-Code fehlt","OK")))))</f>
        <v/>
      </c>
      <c r="W427" s="35" t="str">
        <f aca="false">IF($F427="","",IF(OR($D427=Kontoauszug!$C$4,$E427=Kontoauszug!$C$4),MAX(W$4:W426)+1,""))</f>
        <v/>
      </c>
    </row>
    <row r="428" customFormat="false" ht="15" hidden="false" customHeight="false" outlineLevel="0" collapsed="false">
      <c r="A428" s="33"/>
      <c r="B428" s="32"/>
      <c r="C428" s="32"/>
      <c r="D428" s="32"/>
      <c r="E428" s="32"/>
      <c r="F428" s="30"/>
      <c r="G428" s="32"/>
      <c r="H428" s="34" t="n">
        <f aca="false">IF($G428="",0,IFERROR(INDEX(Einstellungen!$G$5:$G$11,MATCH($G428,Einstellungen!$E$5:$E$11,0)),0))</f>
        <v>0</v>
      </c>
      <c r="I428" s="35" t="str">
        <f aca="false">IF($G428="","-",IFERROR(INDEX(Einstellungen!$H$5:$H$11,MATCH($G428,Einstellungen!$E$5:$E$11,0)),"-"))</f>
        <v>-</v>
      </c>
      <c r="J428" s="35" t="str">
        <f aca="false">IF(AND(Einstellungen!$B$8="Ja",Einstellungen!$B$9="Effektiv"),$I428,"-")</f>
        <v>-</v>
      </c>
      <c r="K428" s="31" t="n">
        <f aca="false">IF(OR($F428="",$J428="-"),0,ROUND($F428-$F428/(1+$H428),2))</f>
        <v>0</v>
      </c>
      <c r="L428" s="31" t="n">
        <f aca="false">IF($F428="",0,$F428-$K428)</f>
        <v>0</v>
      </c>
      <c r="M428" s="31" t="n">
        <f aca="false">IF($F428="",0,IF($J428="V",$L428,$F428))</f>
        <v>0</v>
      </c>
      <c r="N428" s="31" t="n">
        <f aca="false">IF($F428="",0,IF($J428="U",$L428,$F428))</f>
        <v>0</v>
      </c>
      <c r="O428" s="35" t="str">
        <f aca="false">IF($A428="","",MONTH($A428))</f>
        <v/>
      </c>
      <c r="P428" s="35" t="str">
        <f aca="false">IF($A428="","",ROUNDUP(MONTH($A428)/3,0))</f>
        <v/>
      </c>
      <c r="Q428" s="35" t="str">
        <f aca="false">IF($A428="","",IF(MONTH($A428)&lt;=6,1,2))</f>
        <v/>
      </c>
      <c r="R428" s="35" t="str">
        <f aca="false">IF($E428="","",IFERROR(INDEX(Kontenplan!$F$5:$F$90,MATCH($E428,Kontenplan!$A$5:$A$90,0)),""))</f>
        <v/>
      </c>
      <c r="S428" s="35" t="str">
        <f aca="false">IF($D428="","",IFERROR(INDEX(Kontenplan!$F$5:$F$90,MATCH($D428,Kontenplan!$A$5:$A$90,0)),""))</f>
        <v/>
      </c>
      <c r="T428" s="35" t="str">
        <f aca="false">IF($D428="","",IFERROR(INDEX(Kontenplan!$C$5:$C$90,MATCH($D428,Kontenplan!$A$5:$A$90,0)),"?"))</f>
        <v/>
      </c>
      <c r="U428" s="35" t="str">
        <f aca="false">IF($E428="","",IFERROR(INDEX(Kontenplan!$C$5:$C$90,MATCH($E428,Kontenplan!$A$5:$A$90,0)),"?"))</f>
        <v/>
      </c>
      <c r="V428" s="35" t="str">
        <f aca="false">IF($F428="","",IF(OR($D428="",$E428="",$T428="?",$U428="?"),"Konto prüfen!",IF($A428="","Datum fehlt",IF(YEAR($A428)&lt;&gt;Einstellungen!$B$7,"anderes Jahr!",IF($G428="","MWST-Code fehlt","OK")))))</f>
        <v/>
      </c>
      <c r="W428" s="35" t="str">
        <f aca="false">IF($F428="","",IF(OR($D428=Kontoauszug!$C$4,$E428=Kontoauszug!$C$4),MAX(W$4:W427)+1,""))</f>
        <v/>
      </c>
    </row>
    <row r="429" customFormat="false" ht="15" hidden="false" customHeight="false" outlineLevel="0" collapsed="false">
      <c r="A429" s="33"/>
      <c r="B429" s="32"/>
      <c r="C429" s="32"/>
      <c r="D429" s="32"/>
      <c r="E429" s="32"/>
      <c r="F429" s="30"/>
      <c r="G429" s="32"/>
      <c r="H429" s="34" t="n">
        <f aca="false">IF($G429="",0,IFERROR(INDEX(Einstellungen!$G$5:$G$11,MATCH($G429,Einstellungen!$E$5:$E$11,0)),0))</f>
        <v>0</v>
      </c>
      <c r="I429" s="35" t="str">
        <f aca="false">IF($G429="","-",IFERROR(INDEX(Einstellungen!$H$5:$H$11,MATCH($G429,Einstellungen!$E$5:$E$11,0)),"-"))</f>
        <v>-</v>
      </c>
      <c r="J429" s="35" t="str">
        <f aca="false">IF(AND(Einstellungen!$B$8="Ja",Einstellungen!$B$9="Effektiv"),$I429,"-")</f>
        <v>-</v>
      </c>
      <c r="K429" s="31" t="n">
        <f aca="false">IF(OR($F429="",$J429="-"),0,ROUND($F429-$F429/(1+$H429),2))</f>
        <v>0</v>
      </c>
      <c r="L429" s="31" t="n">
        <f aca="false">IF($F429="",0,$F429-$K429)</f>
        <v>0</v>
      </c>
      <c r="M429" s="31" t="n">
        <f aca="false">IF($F429="",0,IF($J429="V",$L429,$F429))</f>
        <v>0</v>
      </c>
      <c r="N429" s="31" t="n">
        <f aca="false">IF($F429="",0,IF($J429="U",$L429,$F429))</f>
        <v>0</v>
      </c>
      <c r="O429" s="35" t="str">
        <f aca="false">IF($A429="","",MONTH($A429))</f>
        <v/>
      </c>
      <c r="P429" s="35" t="str">
        <f aca="false">IF($A429="","",ROUNDUP(MONTH($A429)/3,0))</f>
        <v/>
      </c>
      <c r="Q429" s="35" t="str">
        <f aca="false">IF($A429="","",IF(MONTH($A429)&lt;=6,1,2))</f>
        <v/>
      </c>
      <c r="R429" s="35" t="str">
        <f aca="false">IF($E429="","",IFERROR(INDEX(Kontenplan!$F$5:$F$90,MATCH($E429,Kontenplan!$A$5:$A$90,0)),""))</f>
        <v/>
      </c>
      <c r="S429" s="35" t="str">
        <f aca="false">IF($D429="","",IFERROR(INDEX(Kontenplan!$F$5:$F$90,MATCH($D429,Kontenplan!$A$5:$A$90,0)),""))</f>
        <v/>
      </c>
      <c r="T429" s="35" t="str">
        <f aca="false">IF($D429="","",IFERROR(INDEX(Kontenplan!$C$5:$C$90,MATCH($D429,Kontenplan!$A$5:$A$90,0)),"?"))</f>
        <v/>
      </c>
      <c r="U429" s="35" t="str">
        <f aca="false">IF($E429="","",IFERROR(INDEX(Kontenplan!$C$5:$C$90,MATCH($E429,Kontenplan!$A$5:$A$90,0)),"?"))</f>
        <v/>
      </c>
      <c r="V429" s="35" t="str">
        <f aca="false">IF($F429="","",IF(OR($D429="",$E429="",$T429="?",$U429="?"),"Konto prüfen!",IF($A429="","Datum fehlt",IF(YEAR($A429)&lt;&gt;Einstellungen!$B$7,"anderes Jahr!",IF($G429="","MWST-Code fehlt","OK")))))</f>
        <v/>
      </c>
      <c r="W429" s="35" t="str">
        <f aca="false">IF($F429="","",IF(OR($D429=Kontoauszug!$C$4,$E429=Kontoauszug!$C$4),MAX(W$4:W428)+1,""))</f>
        <v/>
      </c>
    </row>
    <row r="430" customFormat="false" ht="15" hidden="false" customHeight="false" outlineLevel="0" collapsed="false">
      <c r="A430" s="33"/>
      <c r="B430" s="32"/>
      <c r="C430" s="32"/>
      <c r="D430" s="32"/>
      <c r="E430" s="32"/>
      <c r="F430" s="30"/>
      <c r="G430" s="32"/>
      <c r="H430" s="34" t="n">
        <f aca="false">IF($G430="",0,IFERROR(INDEX(Einstellungen!$G$5:$G$11,MATCH($G430,Einstellungen!$E$5:$E$11,0)),0))</f>
        <v>0</v>
      </c>
      <c r="I430" s="35" t="str">
        <f aca="false">IF($G430="","-",IFERROR(INDEX(Einstellungen!$H$5:$H$11,MATCH($G430,Einstellungen!$E$5:$E$11,0)),"-"))</f>
        <v>-</v>
      </c>
      <c r="J430" s="35" t="str">
        <f aca="false">IF(AND(Einstellungen!$B$8="Ja",Einstellungen!$B$9="Effektiv"),$I430,"-")</f>
        <v>-</v>
      </c>
      <c r="K430" s="31" t="n">
        <f aca="false">IF(OR($F430="",$J430="-"),0,ROUND($F430-$F430/(1+$H430),2))</f>
        <v>0</v>
      </c>
      <c r="L430" s="31" t="n">
        <f aca="false">IF($F430="",0,$F430-$K430)</f>
        <v>0</v>
      </c>
      <c r="M430" s="31" t="n">
        <f aca="false">IF($F430="",0,IF($J430="V",$L430,$F430))</f>
        <v>0</v>
      </c>
      <c r="N430" s="31" t="n">
        <f aca="false">IF($F430="",0,IF($J430="U",$L430,$F430))</f>
        <v>0</v>
      </c>
      <c r="O430" s="35" t="str">
        <f aca="false">IF($A430="","",MONTH($A430))</f>
        <v/>
      </c>
      <c r="P430" s="35" t="str">
        <f aca="false">IF($A430="","",ROUNDUP(MONTH($A430)/3,0))</f>
        <v/>
      </c>
      <c r="Q430" s="35" t="str">
        <f aca="false">IF($A430="","",IF(MONTH($A430)&lt;=6,1,2))</f>
        <v/>
      </c>
      <c r="R430" s="35" t="str">
        <f aca="false">IF($E430="","",IFERROR(INDEX(Kontenplan!$F$5:$F$90,MATCH($E430,Kontenplan!$A$5:$A$90,0)),""))</f>
        <v/>
      </c>
      <c r="S430" s="35" t="str">
        <f aca="false">IF($D430="","",IFERROR(INDEX(Kontenplan!$F$5:$F$90,MATCH($D430,Kontenplan!$A$5:$A$90,0)),""))</f>
        <v/>
      </c>
      <c r="T430" s="35" t="str">
        <f aca="false">IF($D430="","",IFERROR(INDEX(Kontenplan!$C$5:$C$90,MATCH($D430,Kontenplan!$A$5:$A$90,0)),"?"))</f>
        <v/>
      </c>
      <c r="U430" s="35" t="str">
        <f aca="false">IF($E430="","",IFERROR(INDEX(Kontenplan!$C$5:$C$90,MATCH($E430,Kontenplan!$A$5:$A$90,0)),"?"))</f>
        <v/>
      </c>
      <c r="V430" s="35" t="str">
        <f aca="false">IF($F430="","",IF(OR($D430="",$E430="",$T430="?",$U430="?"),"Konto prüfen!",IF($A430="","Datum fehlt",IF(YEAR($A430)&lt;&gt;Einstellungen!$B$7,"anderes Jahr!",IF($G430="","MWST-Code fehlt","OK")))))</f>
        <v/>
      </c>
      <c r="W430" s="35" t="str">
        <f aca="false">IF($F430="","",IF(OR($D430=Kontoauszug!$C$4,$E430=Kontoauszug!$C$4),MAX(W$4:W429)+1,""))</f>
        <v/>
      </c>
    </row>
    <row r="431" customFormat="false" ht="15" hidden="false" customHeight="false" outlineLevel="0" collapsed="false">
      <c r="A431" s="33"/>
      <c r="B431" s="32"/>
      <c r="C431" s="32"/>
      <c r="D431" s="32"/>
      <c r="E431" s="32"/>
      <c r="F431" s="30"/>
      <c r="G431" s="32"/>
      <c r="H431" s="34" t="n">
        <f aca="false">IF($G431="",0,IFERROR(INDEX(Einstellungen!$G$5:$G$11,MATCH($G431,Einstellungen!$E$5:$E$11,0)),0))</f>
        <v>0</v>
      </c>
      <c r="I431" s="35" t="str">
        <f aca="false">IF($G431="","-",IFERROR(INDEX(Einstellungen!$H$5:$H$11,MATCH($G431,Einstellungen!$E$5:$E$11,0)),"-"))</f>
        <v>-</v>
      </c>
      <c r="J431" s="35" t="str">
        <f aca="false">IF(AND(Einstellungen!$B$8="Ja",Einstellungen!$B$9="Effektiv"),$I431,"-")</f>
        <v>-</v>
      </c>
      <c r="K431" s="31" t="n">
        <f aca="false">IF(OR($F431="",$J431="-"),0,ROUND($F431-$F431/(1+$H431),2))</f>
        <v>0</v>
      </c>
      <c r="L431" s="31" t="n">
        <f aca="false">IF($F431="",0,$F431-$K431)</f>
        <v>0</v>
      </c>
      <c r="M431" s="31" t="n">
        <f aca="false">IF($F431="",0,IF($J431="V",$L431,$F431))</f>
        <v>0</v>
      </c>
      <c r="N431" s="31" t="n">
        <f aca="false">IF($F431="",0,IF($J431="U",$L431,$F431))</f>
        <v>0</v>
      </c>
      <c r="O431" s="35" t="str">
        <f aca="false">IF($A431="","",MONTH($A431))</f>
        <v/>
      </c>
      <c r="P431" s="35" t="str">
        <f aca="false">IF($A431="","",ROUNDUP(MONTH($A431)/3,0))</f>
        <v/>
      </c>
      <c r="Q431" s="35" t="str">
        <f aca="false">IF($A431="","",IF(MONTH($A431)&lt;=6,1,2))</f>
        <v/>
      </c>
      <c r="R431" s="35" t="str">
        <f aca="false">IF($E431="","",IFERROR(INDEX(Kontenplan!$F$5:$F$90,MATCH($E431,Kontenplan!$A$5:$A$90,0)),""))</f>
        <v/>
      </c>
      <c r="S431" s="35" t="str">
        <f aca="false">IF($D431="","",IFERROR(INDEX(Kontenplan!$F$5:$F$90,MATCH($D431,Kontenplan!$A$5:$A$90,0)),""))</f>
        <v/>
      </c>
      <c r="T431" s="35" t="str">
        <f aca="false">IF($D431="","",IFERROR(INDEX(Kontenplan!$C$5:$C$90,MATCH($D431,Kontenplan!$A$5:$A$90,0)),"?"))</f>
        <v/>
      </c>
      <c r="U431" s="35" t="str">
        <f aca="false">IF($E431="","",IFERROR(INDEX(Kontenplan!$C$5:$C$90,MATCH($E431,Kontenplan!$A$5:$A$90,0)),"?"))</f>
        <v/>
      </c>
      <c r="V431" s="35" t="str">
        <f aca="false">IF($F431="","",IF(OR($D431="",$E431="",$T431="?",$U431="?"),"Konto prüfen!",IF($A431="","Datum fehlt",IF(YEAR($A431)&lt;&gt;Einstellungen!$B$7,"anderes Jahr!",IF($G431="","MWST-Code fehlt","OK")))))</f>
        <v/>
      </c>
      <c r="W431" s="35" t="str">
        <f aca="false">IF($F431="","",IF(OR($D431=Kontoauszug!$C$4,$E431=Kontoauszug!$C$4),MAX(W$4:W430)+1,""))</f>
        <v/>
      </c>
    </row>
    <row r="432" customFormat="false" ht="15" hidden="false" customHeight="false" outlineLevel="0" collapsed="false">
      <c r="A432" s="33"/>
      <c r="B432" s="32"/>
      <c r="C432" s="32"/>
      <c r="D432" s="32"/>
      <c r="E432" s="32"/>
      <c r="F432" s="30"/>
      <c r="G432" s="32"/>
      <c r="H432" s="34" t="n">
        <f aca="false">IF($G432="",0,IFERROR(INDEX(Einstellungen!$G$5:$G$11,MATCH($G432,Einstellungen!$E$5:$E$11,0)),0))</f>
        <v>0</v>
      </c>
      <c r="I432" s="35" t="str">
        <f aca="false">IF($G432="","-",IFERROR(INDEX(Einstellungen!$H$5:$H$11,MATCH($G432,Einstellungen!$E$5:$E$11,0)),"-"))</f>
        <v>-</v>
      </c>
      <c r="J432" s="35" t="str">
        <f aca="false">IF(AND(Einstellungen!$B$8="Ja",Einstellungen!$B$9="Effektiv"),$I432,"-")</f>
        <v>-</v>
      </c>
      <c r="K432" s="31" t="n">
        <f aca="false">IF(OR($F432="",$J432="-"),0,ROUND($F432-$F432/(1+$H432),2))</f>
        <v>0</v>
      </c>
      <c r="L432" s="31" t="n">
        <f aca="false">IF($F432="",0,$F432-$K432)</f>
        <v>0</v>
      </c>
      <c r="M432" s="31" t="n">
        <f aca="false">IF($F432="",0,IF($J432="V",$L432,$F432))</f>
        <v>0</v>
      </c>
      <c r="N432" s="31" t="n">
        <f aca="false">IF($F432="",0,IF($J432="U",$L432,$F432))</f>
        <v>0</v>
      </c>
      <c r="O432" s="35" t="str">
        <f aca="false">IF($A432="","",MONTH($A432))</f>
        <v/>
      </c>
      <c r="P432" s="35" t="str">
        <f aca="false">IF($A432="","",ROUNDUP(MONTH($A432)/3,0))</f>
        <v/>
      </c>
      <c r="Q432" s="35" t="str">
        <f aca="false">IF($A432="","",IF(MONTH($A432)&lt;=6,1,2))</f>
        <v/>
      </c>
      <c r="R432" s="35" t="str">
        <f aca="false">IF($E432="","",IFERROR(INDEX(Kontenplan!$F$5:$F$90,MATCH($E432,Kontenplan!$A$5:$A$90,0)),""))</f>
        <v/>
      </c>
      <c r="S432" s="35" t="str">
        <f aca="false">IF($D432="","",IFERROR(INDEX(Kontenplan!$F$5:$F$90,MATCH($D432,Kontenplan!$A$5:$A$90,0)),""))</f>
        <v/>
      </c>
      <c r="T432" s="35" t="str">
        <f aca="false">IF($D432="","",IFERROR(INDEX(Kontenplan!$C$5:$C$90,MATCH($D432,Kontenplan!$A$5:$A$90,0)),"?"))</f>
        <v/>
      </c>
      <c r="U432" s="35" t="str">
        <f aca="false">IF($E432="","",IFERROR(INDEX(Kontenplan!$C$5:$C$90,MATCH($E432,Kontenplan!$A$5:$A$90,0)),"?"))</f>
        <v/>
      </c>
      <c r="V432" s="35" t="str">
        <f aca="false">IF($F432="","",IF(OR($D432="",$E432="",$T432="?",$U432="?"),"Konto prüfen!",IF($A432="","Datum fehlt",IF(YEAR($A432)&lt;&gt;Einstellungen!$B$7,"anderes Jahr!",IF($G432="","MWST-Code fehlt","OK")))))</f>
        <v/>
      </c>
      <c r="W432" s="35" t="str">
        <f aca="false">IF($F432="","",IF(OR($D432=Kontoauszug!$C$4,$E432=Kontoauszug!$C$4),MAX(W$4:W431)+1,""))</f>
        <v/>
      </c>
    </row>
    <row r="433" customFormat="false" ht="15" hidden="false" customHeight="false" outlineLevel="0" collapsed="false">
      <c r="A433" s="33"/>
      <c r="B433" s="32"/>
      <c r="C433" s="32"/>
      <c r="D433" s="32"/>
      <c r="E433" s="32"/>
      <c r="F433" s="30"/>
      <c r="G433" s="32"/>
      <c r="H433" s="34" t="n">
        <f aca="false">IF($G433="",0,IFERROR(INDEX(Einstellungen!$G$5:$G$11,MATCH($G433,Einstellungen!$E$5:$E$11,0)),0))</f>
        <v>0</v>
      </c>
      <c r="I433" s="35" t="str">
        <f aca="false">IF($G433="","-",IFERROR(INDEX(Einstellungen!$H$5:$H$11,MATCH($G433,Einstellungen!$E$5:$E$11,0)),"-"))</f>
        <v>-</v>
      </c>
      <c r="J433" s="35" t="str">
        <f aca="false">IF(AND(Einstellungen!$B$8="Ja",Einstellungen!$B$9="Effektiv"),$I433,"-")</f>
        <v>-</v>
      </c>
      <c r="K433" s="31" t="n">
        <f aca="false">IF(OR($F433="",$J433="-"),0,ROUND($F433-$F433/(1+$H433),2))</f>
        <v>0</v>
      </c>
      <c r="L433" s="31" t="n">
        <f aca="false">IF($F433="",0,$F433-$K433)</f>
        <v>0</v>
      </c>
      <c r="M433" s="31" t="n">
        <f aca="false">IF($F433="",0,IF($J433="V",$L433,$F433))</f>
        <v>0</v>
      </c>
      <c r="N433" s="31" t="n">
        <f aca="false">IF($F433="",0,IF($J433="U",$L433,$F433))</f>
        <v>0</v>
      </c>
      <c r="O433" s="35" t="str">
        <f aca="false">IF($A433="","",MONTH($A433))</f>
        <v/>
      </c>
      <c r="P433" s="35" t="str">
        <f aca="false">IF($A433="","",ROUNDUP(MONTH($A433)/3,0))</f>
        <v/>
      </c>
      <c r="Q433" s="35" t="str">
        <f aca="false">IF($A433="","",IF(MONTH($A433)&lt;=6,1,2))</f>
        <v/>
      </c>
      <c r="R433" s="35" t="str">
        <f aca="false">IF($E433="","",IFERROR(INDEX(Kontenplan!$F$5:$F$90,MATCH($E433,Kontenplan!$A$5:$A$90,0)),""))</f>
        <v/>
      </c>
      <c r="S433" s="35" t="str">
        <f aca="false">IF($D433="","",IFERROR(INDEX(Kontenplan!$F$5:$F$90,MATCH($D433,Kontenplan!$A$5:$A$90,0)),""))</f>
        <v/>
      </c>
      <c r="T433" s="35" t="str">
        <f aca="false">IF($D433="","",IFERROR(INDEX(Kontenplan!$C$5:$C$90,MATCH($D433,Kontenplan!$A$5:$A$90,0)),"?"))</f>
        <v/>
      </c>
      <c r="U433" s="35" t="str">
        <f aca="false">IF($E433="","",IFERROR(INDEX(Kontenplan!$C$5:$C$90,MATCH($E433,Kontenplan!$A$5:$A$90,0)),"?"))</f>
        <v/>
      </c>
      <c r="V433" s="35" t="str">
        <f aca="false">IF($F433="","",IF(OR($D433="",$E433="",$T433="?",$U433="?"),"Konto prüfen!",IF($A433="","Datum fehlt",IF(YEAR($A433)&lt;&gt;Einstellungen!$B$7,"anderes Jahr!",IF($G433="","MWST-Code fehlt","OK")))))</f>
        <v/>
      </c>
      <c r="W433" s="35" t="str">
        <f aca="false">IF($F433="","",IF(OR($D433=Kontoauszug!$C$4,$E433=Kontoauszug!$C$4),MAX(W$4:W432)+1,""))</f>
        <v/>
      </c>
    </row>
    <row r="434" customFormat="false" ht="15" hidden="false" customHeight="false" outlineLevel="0" collapsed="false">
      <c r="A434" s="33"/>
      <c r="B434" s="32"/>
      <c r="C434" s="32"/>
      <c r="D434" s="32"/>
      <c r="E434" s="32"/>
      <c r="F434" s="30"/>
      <c r="G434" s="32"/>
      <c r="H434" s="34" t="n">
        <f aca="false">IF($G434="",0,IFERROR(INDEX(Einstellungen!$G$5:$G$11,MATCH($G434,Einstellungen!$E$5:$E$11,0)),0))</f>
        <v>0</v>
      </c>
      <c r="I434" s="35" t="str">
        <f aca="false">IF($G434="","-",IFERROR(INDEX(Einstellungen!$H$5:$H$11,MATCH($G434,Einstellungen!$E$5:$E$11,0)),"-"))</f>
        <v>-</v>
      </c>
      <c r="J434" s="35" t="str">
        <f aca="false">IF(AND(Einstellungen!$B$8="Ja",Einstellungen!$B$9="Effektiv"),$I434,"-")</f>
        <v>-</v>
      </c>
      <c r="K434" s="31" t="n">
        <f aca="false">IF(OR($F434="",$J434="-"),0,ROUND($F434-$F434/(1+$H434),2))</f>
        <v>0</v>
      </c>
      <c r="L434" s="31" t="n">
        <f aca="false">IF($F434="",0,$F434-$K434)</f>
        <v>0</v>
      </c>
      <c r="M434" s="31" t="n">
        <f aca="false">IF($F434="",0,IF($J434="V",$L434,$F434))</f>
        <v>0</v>
      </c>
      <c r="N434" s="31" t="n">
        <f aca="false">IF($F434="",0,IF($J434="U",$L434,$F434))</f>
        <v>0</v>
      </c>
      <c r="O434" s="35" t="str">
        <f aca="false">IF($A434="","",MONTH($A434))</f>
        <v/>
      </c>
      <c r="P434" s="35" t="str">
        <f aca="false">IF($A434="","",ROUNDUP(MONTH($A434)/3,0))</f>
        <v/>
      </c>
      <c r="Q434" s="35" t="str">
        <f aca="false">IF($A434="","",IF(MONTH($A434)&lt;=6,1,2))</f>
        <v/>
      </c>
      <c r="R434" s="35" t="str">
        <f aca="false">IF($E434="","",IFERROR(INDEX(Kontenplan!$F$5:$F$90,MATCH($E434,Kontenplan!$A$5:$A$90,0)),""))</f>
        <v/>
      </c>
      <c r="S434" s="35" t="str">
        <f aca="false">IF($D434="","",IFERROR(INDEX(Kontenplan!$F$5:$F$90,MATCH($D434,Kontenplan!$A$5:$A$90,0)),""))</f>
        <v/>
      </c>
      <c r="T434" s="35" t="str">
        <f aca="false">IF($D434="","",IFERROR(INDEX(Kontenplan!$C$5:$C$90,MATCH($D434,Kontenplan!$A$5:$A$90,0)),"?"))</f>
        <v/>
      </c>
      <c r="U434" s="35" t="str">
        <f aca="false">IF($E434="","",IFERROR(INDEX(Kontenplan!$C$5:$C$90,MATCH($E434,Kontenplan!$A$5:$A$90,0)),"?"))</f>
        <v/>
      </c>
      <c r="V434" s="35" t="str">
        <f aca="false">IF($F434="","",IF(OR($D434="",$E434="",$T434="?",$U434="?"),"Konto prüfen!",IF($A434="","Datum fehlt",IF(YEAR($A434)&lt;&gt;Einstellungen!$B$7,"anderes Jahr!",IF($G434="","MWST-Code fehlt","OK")))))</f>
        <v/>
      </c>
      <c r="W434" s="35" t="str">
        <f aca="false">IF($F434="","",IF(OR($D434=Kontoauszug!$C$4,$E434=Kontoauszug!$C$4),MAX(W$4:W433)+1,""))</f>
        <v/>
      </c>
    </row>
    <row r="435" customFormat="false" ht="15" hidden="false" customHeight="false" outlineLevel="0" collapsed="false">
      <c r="A435" s="33"/>
      <c r="B435" s="32"/>
      <c r="C435" s="32"/>
      <c r="D435" s="32"/>
      <c r="E435" s="32"/>
      <c r="F435" s="30"/>
      <c r="G435" s="32"/>
      <c r="H435" s="34" t="n">
        <f aca="false">IF($G435="",0,IFERROR(INDEX(Einstellungen!$G$5:$G$11,MATCH($G435,Einstellungen!$E$5:$E$11,0)),0))</f>
        <v>0</v>
      </c>
      <c r="I435" s="35" t="str">
        <f aca="false">IF($G435="","-",IFERROR(INDEX(Einstellungen!$H$5:$H$11,MATCH($G435,Einstellungen!$E$5:$E$11,0)),"-"))</f>
        <v>-</v>
      </c>
      <c r="J435" s="35" t="str">
        <f aca="false">IF(AND(Einstellungen!$B$8="Ja",Einstellungen!$B$9="Effektiv"),$I435,"-")</f>
        <v>-</v>
      </c>
      <c r="K435" s="31" t="n">
        <f aca="false">IF(OR($F435="",$J435="-"),0,ROUND($F435-$F435/(1+$H435),2))</f>
        <v>0</v>
      </c>
      <c r="L435" s="31" t="n">
        <f aca="false">IF($F435="",0,$F435-$K435)</f>
        <v>0</v>
      </c>
      <c r="M435" s="31" t="n">
        <f aca="false">IF($F435="",0,IF($J435="V",$L435,$F435))</f>
        <v>0</v>
      </c>
      <c r="N435" s="31" t="n">
        <f aca="false">IF($F435="",0,IF($J435="U",$L435,$F435))</f>
        <v>0</v>
      </c>
      <c r="O435" s="35" t="str">
        <f aca="false">IF($A435="","",MONTH($A435))</f>
        <v/>
      </c>
      <c r="P435" s="35" t="str">
        <f aca="false">IF($A435="","",ROUNDUP(MONTH($A435)/3,0))</f>
        <v/>
      </c>
      <c r="Q435" s="35" t="str">
        <f aca="false">IF($A435="","",IF(MONTH($A435)&lt;=6,1,2))</f>
        <v/>
      </c>
      <c r="R435" s="35" t="str">
        <f aca="false">IF($E435="","",IFERROR(INDEX(Kontenplan!$F$5:$F$90,MATCH($E435,Kontenplan!$A$5:$A$90,0)),""))</f>
        <v/>
      </c>
      <c r="S435" s="35" t="str">
        <f aca="false">IF($D435="","",IFERROR(INDEX(Kontenplan!$F$5:$F$90,MATCH($D435,Kontenplan!$A$5:$A$90,0)),""))</f>
        <v/>
      </c>
      <c r="T435" s="35" t="str">
        <f aca="false">IF($D435="","",IFERROR(INDEX(Kontenplan!$C$5:$C$90,MATCH($D435,Kontenplan!$A$5:$A$90,0)),"?"))</f>
        <v/>
      </c>
      <c r="U435" s="35" t="str">
        <f aca="false">IF($E435="","",IFERROR(INDEX(Kontenplan!$C$5:$C$90,MATCH($E435,Kontenplan!$A$5:$A$90,0)),"?"))</f>
        <v/>
      </c>
      <c r="V435" s="35" t="str">
        <f aca="false">IF($F435="","",IF(OR($D435="",$E435="",$T435="?",$U435="?"),"Konto prüfen!",IF($A435="","Datum fehlt",IF(YEAR($A435)&lt;&gt;Einstellungen!$B$7,"anderes Jahr!",IF($G435="","MWST-Code fehlt","OK")))))</f>
        <v/>
      </c>
      <c r="W435" s="35" t="str">
        <f aca="false">IF($F435="","",IF(OR($D435=Kontoauszug!$C$4,$E435=Kontoauszug!$C$4),MAX(W$4:W434)+1,""))</f>
        <v/>
      </c>
    </row>
    <row r="436" customFormat="false" ht="15" hidden="false" customHeight="false" outlineLevel="0" collapsed="false">
      <c r="A436" s="33"/>
      <c r="B436" s="32"/>
      <c r="C436" s="32"/>
      <c r="D436" s="32"/>
      <c r="E436" s="32"/>
      <c r="F436" s="30"/>
      <c r="G436" s="32"/>
      <c r="H436" s="34" t="n">
        <f aca="false">IF($G436="",0,IFERROR(INDEX(Einstellungen!$G$5:$G$11,MATCH($G436,Einstellungen!$E$5:$E$11,0)),0))</f>
        <v>0</v>
      </c>
      <c r="I436" s="35" t="str">
        <f aca="false">IF($G436="","-",IFERROR(INDEX(Einstellungen!$H$5:$H$11,MATCH($G436,Einstellungen!$E$5:$E$11,0)),"-"))</f>
        <v>-</v>
      </c>
      <c r="J436" s="35" t="str">
        <f aca="false">IF(AND(Einstellungen!$B$8="Ja",Einstellungen!$B$9="Effektiv"),$I436,"-")</f>
        <v>-</v>
      </c>
      <c r="K436" s="31" t="n">
        <f aca="false">IF(OR($F436="",$J436="-"),0,ROUND($F436-$F436/(1+$H436),2))</f>
        <v>0</v>
      </c>
      <c r="L436" s="31" t="n">
        <f aca="false">IF($F436="",0,$F436-$K436)</f>
        <v>0</v>
      </c>
      <c r="M436" s="31" t="n">
        <f aca="false">IF($F436="",0,IF($J436="V",$L436,$F436))</f>
        <v>0</v>
      </c>
      <c r="N436" s="31" t="n">
        <f aca="false">IF($F436="",0,IF($J436="U",$L436,$F436))</f>
        <v>0</v>
      </c>
      <c r="O436" s="35" t="str">
        <f aca="false">IF($A436="","",MONTH($A436))</f>
        <v/>
      </c>
      <c r="P436" s="35" t="str">
        <f aca="false">IF($A436="","",ROUNDUP(MONTH($A436)/3,0))</f>
        <v/>
      </c>
      <c r="Q436" s="35" t="str">
        <f aca="false">IF($A436="","",IF(MONTH($A436)&lt;=6,1,2))</f>
        <v/>
      </c>
      <c r="R436" s="35" t="str">
        <f aca="false">IF($E436="","",IFERROR(INDEX(Kontenplan!$F$5:$F$90,MATCH($E436,Kontenplan!$A$5:$A$90,0)),""))</f>
        <v/>
      </c>
      <c r="S436" s="35" t="str">
        <f aca="false">IF($D436="","",IFERROR(INDEX(Kontenplan!$F$5:$F$90,MATCH($D436,Kontenplan!$A$5:$A$90,0)),""))</f>
        <v/>
      </c>
      <c r="T436" s="35" t="str">
        <f aca="false">IF($D436="","",IFERROR(INDEX(Kontenplan!$C$5:$C$90,MATCH($D436,Kontenplan!$A$5:$A$90,0)),"?"))</f>
        <v/>
      </c>
      <c r="U436" s="35" t="str">
        <f aca="false">IF($E436="","",IFERROR(INDEX(Kontenplan!$C$5:$C$90,MATCH($E436,Kontenplan!$A$5:$A$90,0)),"?"))</f>
        <v/>
      </c>
      <c r="V436" s="35" t="str">
        <f aca="false">IF($F436="","",IF(OR($D436="",$E436="",$T436="?",$U436="?"),"Konto prüfen!",IF($A436="","Datum fehlt",IF(YEAR($A436)&lt;&gt;Einstellungen!$B$7,"anderes Jahr!",IF($G436="","MWST-Code fehlt","OK")))))</f>
        <v/>
      </c>
      <c r="W436" s="35" t="str">
        <f aca="false">IF($F436="","",IF(OR($D436=Kontoauszug!$C$4,$E436=Kontoauszug!$C$4),MAX(W$4:W435)+1,""))</f>
        <v/>
      </c>
    </row>
    <row r="437" customFormat="false" ht="15" hidden="false" customHeight="false" outlineLevel="0" collapsed="false">
      <c r="A437" s="33"/>
      <c r="B437" s="32"/>
      <c r="C437" s="32"/>
      <c r="D437" s="32"/>
      <c r="E437" s="32"/>
      <c r="F437" s="30"/>
      <c r="G437" s="32"/>
      <c r="H437" s="34" t="n">
        <f aca="false">IF($G437="",0,IFERROR(INDEX(Einstellungen!$G$5:$G$11,MATCH($G437,Einstellungen!$E$5:$E$11,0)),0))</f>
        <v>0</v>
      </c>
      <c r="I437" s="35" t="str">
        <f aca="false">IF($G437="","-",IFERROR(INDEX(Einstellungen!$H$5:$H$11,MATCH($G437,Einstellungen!$E$5:$E$11,0)),"-"))</f>
        <v>-</v>
      </c>
      <c r="J437" s="35" t="str">
        <f aca="false">IF(AND(Einstellungen!$B$8="Ja",Einstellungen!$B$9="Effektiv"),$I437,"-")</f>
        <v>-</v>
      </c>
      <c r="K437" s="31" t="n">
        <f aca="false">IF(OR($F437="",$J437="-"),0,ROUND($F437-$F437/(1+$H437),2))</f>
        <v>0</v>
      </c>
      <c r="L437" s="31" t="n">
        <f aca="false">IF($F437="",0,$F437-$K437)</f>
        <v>0</v>
      </c>
      <c r="M437" s="31" t="n">
        <f aca="false">IF($F437="",0,IF($J437="V",$L437,$F437))</f>
        <v>0</v>
      </c>
      <c r="N437" s="31" t="n">
        <f aca="false">IF($F437="",0,IF($J437="U",$L437,$F437))</f>
        <v>0</v>
      </c>
      <c r="O437" s="35" t="str">
        <f aca="false">IF($A437="","",MONTH($A437))</f>
        <v/>
      </c>
      <c r="P437" s="35" t="str">
        <f aca="false">IF($A437="","",ROUNDUP(MONTH($A437)/3,0))</f>
        <v/>
      </c>
      <c r="Q437" s="35" t="str">
        <f aca="false">IF($A437="","",IF(MONTH($A437)&lt;=6,1,2))</f>
        <v/>
      </c>
      <c r="R437" s="35" t="str">
        <f aca="false">IF($E437="","",IFERROR(INDEX(Kontenplan!$F$5:$F$90,MATCH($E437,Kontenplan!$A$5:$A$90,0)),""))</f>
        <v/>
      </c>
      <c r="S437" s="35" t="str">
        <f aca="false">IF($D437="","",IFERROR(INDEX(Kontenplan!$F$5:$F$90,MATCH($D437,Kontenplan!$A$5:$A$90,0)),""))</f>
        <v/>
      </c>
      <c r="T437" s="35" t="str">
        <f aca="false">IF($D437="","",IFERROR(INDEX(Kontenplan!$C$5:$C$90,MATCH($D437,Kontenplan!$A$5:$A$90,0)),"?"))</f>
        <v/>
      </c>
      <c r="U437" s="35" t="str">
        <f aca="false">IF($E437="","",IFERROR(INDEX(Kontenplan!$C$5:$C$90,MATCH($E437,Kontenplan!$A$5:$A$90,0)),"?"))</f>
        <v/>
      </c>
      <c r="V437" s="35" t="str">
        <f aca="false">IF($F437="","",IF(OR($D437="",$E437="",$T437="?",$U437="?"),"Konto prüfen!",IF($A437="","Datum fehlt",IF(YEAR($A437)&lt;&gt;Einstellungen!$B$7,"anderes Jahr!",IF($G437="","MWST-Code fehlt","OK")))))</f>
        <v/>
      </c>
      <c r="W437" s="35" t="str">
        <f aca="false">IF($F437="","",IF(OR($D437=Kontoauszug!$C$4,$E437=Kontoauszug!$C$4),MAX(W$4:W436)+1,""))</f>
        <v/>
      </c>
    </row>
    <row r="438" customFormat="false" ht="15" hidden="false" customHeight="false" outlineLevel="0" collapsed="false">
      <c r="A438" s="33"/>
      <c r="B438" s="32"/>
      <c r="C438" s="32"/>
      <c r="D438" s="32"/>
      <c r="E438" s="32"/>
      <c r="F438" s="30"/>
      <c r="G438" s="32"/>
      <c r="H438" s="34" t="n">
        <f aca="false">IF($G438="",0,IFERROR(INDEX(Einstellungen!$G$5:$G$11,MATCH($G438,Einstellungen!$E$5:$E$11,0)),0))</f>
        <v>0</v>
      </c>
      <c r="I438" s="35" t="str">
        <f aca="false">IF($G438="","-",IFERROR(INDEX(Einstellungen!$H$5:$H$11,MATCH($G438,Einstellungen!$E$5:$E$11,0)),"-"))</f>
        <v>-</v>
      </c>
      <c r="J438" s="35" t="str">
        <f aca="false">IF(AND(Einstellungen!$B$8="Ja",Einstellungen!$B$9="Effektiv"),$I438,"-")</f>
        <v>-</v>
      </c>
      <c r="K438" s="31" t="n">
        <f aca="false">IF(OR($F438="",$J438="-"),0,ROUND($F438-$F438/(1+$H438),2))</f>
        <v>0</v>
      </c>
      <c r="L438" s="31" t="n">
        <f aca="false">IF($F438="",0,$F438-$K438)</f>
        <v>0</v>
      </c>
      <c r="M438" s="31" t="n">
        <f aca="false">IF($F438="",0,IF($J438="V",$L438,$F438))</f>
        <v>0</v>
      </c>
      <c r="N438" s="31" t="n">
        <f aca="false">IF($F438="",0,IF($J438="U",$L438,$F438))</f>
        <v>0</v>
      </c>
      <c r="O438" s="35" t="str">
        <f aca="false">IF($A438="","",MONTH($A438))</f>
        <v/>
      </c>
      <c r="P438" s="35" t="str">
        <f aca="false">IF($A438="","",ROUNDUP(MONTH($A438)/3,0))</f>
        <v/>
      </c>
      <c r="Q438" s="35" t="str">
        <f aca="false">IF($A438="","",IF(MONTH($A438)&lt;=6,1,2))</f>
        <v/>
      </c>
      <c r="R438" s="35" t="str">
        <f aca="false">IF($E438="","",IFERROR(INDEX(Kontenplan!$F$5:$F$90,MATCH($E438,Kontenplan!$A$5:$A$90,0)),""))</f>
        <v/>
      </c>
      <c r="S438" s="35" t="str">
        <f aca="false">IF($D438="","",IFERROR(INDEX(Kontenplan!$F$5:$F$90,MATCH($D438,Kontenplan!$A$5:$A$90,0)),""))</f>
        <v/>
      </c>
      <c r="T438" s="35" t="str">
        <f aca="false">IF($D438="","",IFERROR(INDEX(Kontenplan!$C$5:$C$90,MATCH($D438,Kontenplan!$A$5:$A$90,0)),"?"))</f>
        <v/>
      </c>
      <c r="U438" s="35" t="str">
        <f aca="false">IF($E438="","",IFERROR(INDEX(Kontenplan!$C$5:$C$90,MATCH($E438,Kontenplan!$A$5:$A$90,0)),"?"))</f>
        <v/>
      </c>
      <c r="V438" s="35" t="str">
        <f aca="false">IF($F438="","",IF(OR($D438="",$E438="",$T438="?",$U438="?"),"Konto prüfen!",IF($A438="","Datum fehlt",IF(YEAR($A438)&lt;&gt;Einstellungen!$B$7,"anderes Jahr!",IF($G438="","MWST-Code fehlt","OK")))))</f>
        <v/>
      </c>
      <c r="W438" s="35" t="str">
        <f aca="false">IF($F438="","",IF(OR($D438=Kontoauszug!$C$4,$E438=Kontoauszug!$C$4),MAX(W$4:W437)+1,""))</f>
        <v/>
      </c>
    </row>
    <row r="439" customFormat="false" ht="15" hidden="false" customHeight="false" outlineLevel="0" collapsed="false">
      <c r="A439" s="33"/>
      <c r="B439" s="32"/>
      <c r="C439" s="32"/>
      <c r="D439" s="32"/>
      <c r="E439" s="32"/>
      <c r="F439" s="30"/>
      <c r="G439" s="32"/>
      <c r="H439" s="34" t="n">
        <f aca="false">IF($G439="",0,IFERROR(INDEX(Einstellungen!$G$5:$G$11,MATCH($G439,Einstellungen!$E$5:$E$11,0)),0))</f>
        <v>0</v>
      </c>
      <c r="I439" s="35" t="str">
        <f aca="false">IF($G439="","-",IFERROR(INDEX(Einstellungen!$H$5:$H$11,MATCH($G439,Einstellungen!$E$5:$E$11,0)),"-"))</f>
        <v>-</v>
      </c>
      <c r="J439" s="35" t="str">
        <f aca="false">IF(AND(Einstellungen!$B$8="Ja",Einstellungen!$B$9="Effektiv"),$I439,"-")</f>
        <v>-</v>
      </c>
      <c r="K439" s="31" t="n">
        <f aca="false">IF(OR($F439="",$J439="-"),0,ROUND($F439-$F439/(1+$H439),2))</f>
        <v>0</v>
      </c>
      <c r="L439" s="31" t="n">
        <f aca="false">IF($F439="",0,$F439-$K439)</f>
        <v>0</v>
      </c>
      <c r="M439" s="31" t="n">
        <f aca="false">IF($F439="",0,IF($J439="V",$L439,$F439))</f>
        <v>0</v>
      </c>
      <c r="N439" s="31" t="n">
        <f aca="false">IF($F439="",0,IF($J439="U",$L439,$F439))</f>
        <v>0</v>
      </c>
      <c r="O439" s="35" t="str">
        <f aca="false">IF($A439="","",MONTH($A439))</f>
        <v/>
      </c>
      <c r="P439" s="35" t="str">
        <f aca="false">IF($A439="","",ROUNDUP(MONTH($A439)/3,0))</f>
        <v/>
      </c>
      <c r="Q439" s="35" t="str">
        <f aca="false">IF($A439="","",IF(MONTH($A439)&lt;=6,1,2))</f>
        <v/>
      </c>
      <c r="R439" s="35" t="str">
        <f aca="false">IF($E439="","",IFERROR(INDEX(Kontenplan!$F$5:$F$90,MATCH($E439,Kontenplan!$A$5:$A$90,0)),""))</f>
        <v/>
      </c>
      <c r="S439" s="35" t="str">
        <f aca="false">IF($D439="","",IFERROR(INDEX(Kontenplan!$F$5:$F$90,MATCH($D439,Kontenplan!$A$5:$A$90,0)),""))</f>
        <v/>
      </c>
      <c r="T439" s="35" t="str">
        <f aca="false">IF($D439="","",IFERROR(INDEX(Kontenplan!$C$5:$C$90,MATCH($D439,Kontenplan!$A$5:$A$90,0)),"?"))</f>
        <v/>
      </c>
      <c r="U439" s="35" t="str">
        <f aca="false">IF($E439="","",IFERROR(INDEX(Kontenplan!$C$5:$C$90,MATCH($E439,Kontenplan!$A$5:$A$90,0)),"?"))</f>
        <v/>
      </c>
      <c r="V439" s="35" t="str">
        <f aca="false">IF($F439="","",IF(OR($D439="",$E439="",$T439="?",$U439="?"),"Konto prüfen!",IF($A439="","Datum fehlt",IF(YEAR($A439)&lt;&gt;Einstellungen!$B$7,"anderes Jahr!",IF($G439="","MWST-Code fehlt","OK")))))</f>
        <v/>
      </c>
      <c r="W439" s="35" t="str">
        <f aca="false">IF($F439="","",IF(OR($D439=Kontoauszug!$C$4,$E439=Kontoauszug!$C$4),MAX(W$4:W438)+1,""))</f>
        <v/>
      </c>
    </row>
    <row r="440" customFormat="false" ht="15" hidden="false" customHeight="false" outlineLevel="0" collapsed="false">
      <c r="A440" s="33"/>
      <c r="B440" s="32"/>
      <c r="C440" s="32"/>
      <c r="D440" s="32"/>
      <c r="E440" s="32"/>
      <c r="F440" s="30"/>
      <c r="G440" s="32"/>
      <c r="H440" s="34" t="n">
        <f aca="false">IF($G440="",0,IFERROR(INDEX(Einstellungen!$G$5:$G$11,MATCH($G440,Einstellungen!$E$5:$E$11,0)),0))</f>
        <v>0</v>
      </c>
      <c r="I440" s="35" t="str">
        <f aca="false">IF($G440="","-",IFERROR(INDEX(Einstellungen!$H$5:$H$11,MATCH($G440,Einstellungen!$E$5:$E$11,0)),"-"))</f>
        <v>-</v>
      </c>
      <c r="J440" s="35" t="str">
        <f aca="false">IF(AND(Einstellungen!$B$8="Ja",Einstellungen!$B$9="Effektiv"),$I440,"-")</f>
        <v>-</v>
      </c>
      <c r="K440" s="31" t="n">
        <f aca="false">IF(OR($F440="",$J440="-"),0,ROUND($F440-$F440/(1+$H440),2))</f>
        <v>0</v>
      </c>
      <c r="L440" s="31" t="n">
        <f aca="false">IF($F440="",0,$F440-$K440)</f>
        <v>0</v>
      </c>
      <c r="M440" s="31" t="n">
        <f aca="false">IF($F440="",0,IF($J440="V",$L440,$F440))</f>
        <v>0</v>
      </c>
      <c r="N440" s="31" t="n">
        <f aca="false">IF($F440="",0,IF($J440="U",$L440,$F440))</f>
        <v>0</v>
      </c>
      <c r="O440" s="35" t="str">
        <f aca="false">IF($A440="","",MONTH($A440))</f>
        <v/>
      </c>
      <c r="P440" s="35" t="str">
        <f aca="false">IF($A440="","",ROUNDUP(MONTH($A440)/3,0))</f>
        <v/>
      </c>
      <c r="Q440" s="35" t="str">
        <f aca="false">IF($A440="","",IF(MONTH($A440)&lt;=6,1,2))</f>
        <v/>
      </c>
      <c r="R440" s="35" t="str">
        <f aca="false">IF($E440="","",IFERROR(INDEX(Kontenplan!$F$5:$F$90,MATCH($E440,Kontenplan!$A$5:$A$90,0)),""))</f>
        <v/>
      </c>
      <c r="S440" s="35" t="str">
        <f aca="false">IF($D440="","",IFERROR(INDEX(Kontenplan!$F$5:$F$90,MATCH($D440,Kontenplan!$A$5:$A$90,0)),""))</f>
        <v/>
      </c>
      <c r="T440" s="35" t="str">
        <f aca="false">IF($D440="","",IFERROR(INDEX(Kontenplan!$C$5:$C$90,MATCH($D440,Kontenplan!$A$5:$A$90,0)),"?"))</f>
        <v/>
      </c>
      <c r="U440" s="35" t="str">
        <f aca="false">IF($E440="","",IFERROR(INDEX(Kontenplan!$C$5:$C$90,MATCH($E440,Kontenplan!$A$5:$A$90,0)),"?"))</f>
        <v/>
      </c>
      <c r="V440" s="35" t="str">
        <f aca="false">IF($F440="","",IF(OR($D440="",$E440="",$T440="?",$U440="?"),"Konto prüfen!",IF($A440="","Datum fehlt",IF(YEAR($A440)&lt;&gt;Einstellungen!$B$7,"anderes Jahr!",IF($G440="","MWST-Code fehlt","OK")))))</f>
        <v/>
      </c>
      <c r="W440" s="35" t="str">
        <f aca="false">IF($F440="","",IF(OR($D440=Kontoauszug!$C$4,$E440=Kontoauszug!$C$4),MAX(W$4:W439)+1,""))</f>
        <v/>
      </c>
    </row>
    <row r="441" customFormat="false" ht="15" hidden="false" customHeight="false" outlineLevel="0" collapsed="false">
      <c r="A441" s="33"/>
      <c r="B441" s="32"/>
      <c r="C441" s="32"/>
      <c r="D441" s="32"/>
      <c r="E441" s="32"/>
      <c r="F441" s="30"/>
      <c r="G441" s="32"/>
      <c r="H441" s="34" t="n">
        <f aca="false">IF($G441="",0,IFERROR(INDEX(Einstellungen!$G$5:$G$11,MATCH($G441,Einstellungen!$E$5:$E$11,0)),0))</f>
        <v>0</v>
      </c>
      <c r="I441" s="35" t="str">
        <f aca="false">IF($G441="","-",IFERROR(INDEX(Einstellungen!$H$5:$H$11,MATCH($G441,Einstellungen!$E$5:$E$11,0)),"-"))</f>
        <v>-</v>
      </c>
      <c r="J441" s="35" t="str">
        <f aca="false">IF(AND(Einstellungen!$B$8="Ja",Einstellungen!$B$9="Effektiv"),$I441,"-")</f>
        <v>-</v>
      </c>
      <c r="K441" s="31" t="n">
        <f aca="false">IF(OR($F441="",$J441="-"),0,ROUND($F441-$F441/(1+$H441),2))</f>
        <v>0</v>
      </c>
      <c r="L441" s="31" t="n">
        <f aca="false">IF($F441="",0,$F441-$K441)</f>
        <v>0</v>
      </c>
      <c r="M441" s="31" t="n">
        <f aca="false">IF($F441="",0,IF($J441="V",$L441,$F441))</f>
        <v>0</v>
      </c>
      <c r="N441" s="31" t="n">
        <f aca="false">IF($F441="",0,IF($J441="U",$L441,$F441))</f>
        <v>0</v>
      </c>
      <c r="O441" s="35" t="str">
        <f aca="false">IF($A441="","",MONTH($A441))</f>
        <v/>
      </c>
      <c r="P441" s="35" t="str">
        <f aca="false">IF($A441="","",ROUNDUP(MONTH($A441)/3,0))</f>
        <v/>
      </c>
      <c r="Q441" s="35" t="str">
        <f aca="false">IF($A441="","",IF(MONTH($A441)&lt;=6,1,2))</f>
        <v/>
      </c>
      <c r="R441" s="35" t="str">
        <f aca="false">IF($E441="","",IFERROR(INDEX(Kontenplan!$F$5:$F$90,MATCH($E441,Kontenplan!$A$5:$A$90,0)),""))</f>
        <v/>
      </c>
      <c r="S441" s="35" t="str">
        <f aca="false">IF($D441="","",IFERROR(INDEX(Kontenplan!$F$5:$F$90,MATCH($D441,Kontenplan!$A$5:$A$90,0)),""))</f>
        <v/>
      </c>
      <c r="T441" s="35" t="str">
        <f aca="false">IF($D441="","",IFERROR(INDEX(Kontenplan!$C$5:$C$90,MATCH($D441,Kontenplan!$A$5:$A$90,0)),"?"))</f>
        <v/>
      </c>
      <c r="U441" s="35" t="str">
        <f aca="false">IF($E441="","",IFERROR(INDEX(Kontenplan!$C$5:$C$90,MATCH($E441,Kontenplan!$A$5:$A$90,0)),"?"))</f>
        <v/>
      </c>
      <c r="V441" s="35" t="str">
        <f aca="false">IF($F441="","",IF(OR($D441="",$E441="",$T441="?",$U441="?"),"Konto prüfen!",IF($A441="","Datum fehlt",IF(YEAR($A441)&lt;&gt;Einstellungen!$B$7,"anderes Jahr!",IF($G441="","MWST-Code fehlt","OK")))))</f>
        <v/>
      </c>
      <c r="W441" s="35" t="str">
        <f aca="false">IF($F441="","",IF(OR($D441=Kontoauszug!$C$4,$E441=Kontoauszug!$C$4),MAX(W$4:W440)+1,""))</f>
        <v/>
      </c>
    </row>
    <row r="442" customFormat="false" ht="15" hidden="false" customHeight="false" outlineLevel="0" collapsed="false">
      <c r="A442" s="33"/>
      <c r="B442" s="32"/>
      <c r="C442" s="32"/>
      <c r="D442" s="32"/>
      <c r="E442" s="32"/>
      <c r="F442" s="30"/>
      <c r="G442" s="32"/>
      <c r="H442" s="34" t="n">
        <f aca="false">IF($G442="",0,IFERROR(INDEX(Einstellungen!$G$5:$G$11,MATCH($G442,Einstellungen!$E$5:$E$11,0)),0))</f>
        <v>0</v>
      </c>
      <c r="I442" s="35" t="str">
        <f aca="false">IF($G442="","-",IFERROR(INDEX(Einstellungen!$H$5:$H$11,MATCH($G442,Einstellungen!$E$5:$E$11,0)),"-"))</f>
        <v>-</v>
      </c>
      <c r="J442" s="35" t="str">
        <f aca="false">IF(AND(Einstellungen!$B$8="Ja",Einstellungen!$B$9="Effektiv"),$I442,"-")</f>
        <v>-</v>
      </c>
      <c r="K442" s="31" t="n">
        <f aca="false">IF(OR($F442="",$J442="-"),0,ROUND($F442-$F442/(1+$H442),2))</f>
        <v>0</v>
      </c>
      <c r="L442" s="31" t="n">
        <f aca="false">IF($F442="",0,$F442-$K442)</f>
        <v>0</v>
      </c>
      <c r="M442" s="31" t="n">
        <f aca="false">IF($F442="",0,IF($J442="V",$L442,$F442))</f>
        <v>0</v>
      </c>
      <c r="N442" s="31" t="n">
        <f aca="false">IF($F442="",0,IF($J442="U",$L442,$F442))</f>
        <v>0</v>
      </c>
      <c r="O442" s="35" t="str">
        <f aca="false">IF($A442="","",MONTH($A442))</f>
        <v/>
      </c>
      <c r="P442" s="35" t="str">
        <f aca="false">IF($A442="","",ROUNDUP(MONTH($A442)/3,0))</f>
        <v/>
      </c>
      <c r="Q442" s="35" t="str">
        <f aca="false">IF($A442="","",IF(MONTH($A442)&lt;=6,1,2))</f>
        <v/>
      </c>
      <c r="R442" s="35" t="str">
        <f aca="false">IF($E442="","",IFERROR(INDEX(Kontenplan!$F$5:$F$90,MATCH($E442,Kontenplan!$A$5:$A$90,0)),""))</f>
        <v/>
      </c>
      <c r="S442" s="35" t="str">
        <f aca="false">IF($D442="","",IFERROR(INDEX(Kontenplan!$F$5:$F$90,MATCH($D442,Kontenplan!$A$5:$A$90,0)),""))</f>
        <v/>
      </c>
      <c r="T442" s="35" t="str">
        <f aca="false">IF($D442="","",IFERROR(INDEX(Kontenplan!$C$5:$C$90,MATCH($D442,Kontenplan!$A$5:$A$90,0)),"?"))</f>
        <v/>
      </c>
      <c r="U442" s="35" t="str">
        <f aca="false">IF($E442="","",IFERROR(INDEX(Kontenplan!$C$5:$C$90,MATCH($E442,Kontenplan!$A$5:$A$90,0)),"?"))</f>
        <v/>
      </c>
      <c r="V442" s="35" t="str">
        <f aca="false">IF($F442="","",IF(OR($D442="",$E442="",$T442="?",$U442="?"),"Konto prüfen!",IF($A442="","Datum fehlt",IF(YEAR($A442)&lt;&gt;Einstellungen!$B$7,"anderes Jahr!",IF($G442="","MWST-Code fehlt","OK")))))</f>
        <v/>
      </c>
      <c r="W442" s="35" t="str">
        <f aca="false">IF($F442="","",IF(OR($D442=Kontoauszug!$C$4,$E442=Kontoauszug!$C$4),MAX(W$4:W441)+1,""))</f>
        <v/>
      </c>
    </row>
    <row r="443" customFormat="false" ht="15" hidden="false" customHeight="false" outlineLevel="0" collapsed="false">
      <c r="A443" s="33"/>
      <c r="B443" s="32"/>
      <c r="C443" s="32"/>
      <c r="D443" s="32"/>
      <c r="E443" s="32"/>
      <c r="F443" s="30"/>
      <c r="G443" s="32"/>
      <c r="H443" s="34" t="n">
        <f aca="false">IF($G443="",0,IFERROR(INDEX(Einstellungen!$G$5:$G$11,MATCH($G443,Einstellungen!$E$5:$E$11,0)),0))</f>
        <v>0</v>
      </c>
      <c r="I443" s="35" t="str">
        <f aca="false">IF($G443="","-",IFERROR(INDEX(Einstellungen!$H$5:$H$11,MATCH($G443,Einstellungen!$E$5:$E$11,0)),"-"))</f>
        <v>-</v>
      </c>
      <c r="J443" s="35" t="str">
        <f aca="false">IF(AND(Einstellungen!$B$8="Ja",Einstellungen!$B$9="Effektiv"),$I443,"-")</f>
        <v>-</v>
      </c>
      <c r="K443" s="31" t="n">
        <f aca="false">IF(OR($F443="",$J443="-"),0,ROUND($F443-$F443/(1+$H443),2))</f>
        <v>0</v>
      </c>
      <c r="L443" s="31" t="n">
        <f aca="false">IF($F443="",0,$F443-$K443)</f>
        <v>0</v>
      </c>
      <c r="M443" s="31" t="n">
        <f aca="false">IF($F443="",0,IF($J443="V",$L443,$F443))</f>
        <v>0</v>
      </c>
      <c r="N443" s="31" t="n">
        <f aca="false">IF($F443="",0,IF($J443="U",$L443,$F443))</f>
        <v>0</v>
      </c>
      <c r="O443" s="35" t="str">
        <f aca="false">IF($A443="","",MONTH($A443))</f>
        <v/>
      </c>
      <c r="P443" s="35" t="str">
        <f aca="false">IF($A443="","",ROUNDUP(MONTH($A443)/3,0))</f>
        <v/>
      </c>
      <c r="Q443" s="35" t="str">
        <f aca="false">IF($A443="","",IF(MONTH($A443)&lt;=6,1,2))</f>
        <v/>
      </c>
      <c r="R443" s="35" t="str">
        <f aca="false">IF($E443="","",IFERROR(INDEX(Kontenplan!$F$5:$F$90,MATCH($E443,Kontenplan!$A$5:$A$90,0)),""))</f>
        <v/>
      </c>
      <c r="S443" s="35" t="str">
        <f aca="false">IF($D443="","",IFERROR(INDEX(Kontenplan!$F$5:$F$90,MATCH($D443,Kontenplan!$A$5:$A$90,0)),""))</f>
        <v/>
      </c>
      <c r="T443" s="35" t="str">
        <f aca="false">IF($D443="","",IFERROR(INDEX(Kontenplan!$C$5:$C$90,MATCH($D443,Kontenplan!$A$5:$A$90,0)),"?"))</f>
        <v/>
      </c>
      <c r="U443" s="35" t="str">
        <f aca="false">IF($E443="","",IFERROR(INDEX(Kontenplan!$C$5:$C$90,MATCH($E443,Kontenplan!$A$5:$A$90,0)),"?"))</f>
        <v/>
      </c>
      <c r="V443" s="35" t="str">
        <f aca="false">IF($F443="","",IF(OR($D443="",$E443="",$T443="?",$U443="?"),"Konto prüfen!",IF($A443="","Datum fehlt",IF(YEAR($A443)&lt;&gt;Einstellungen!$B$7,"anderes Jahr!",IF($G443="","MWST-Code fehlt","OK")))))</f>
        <v/>
      </c>
      <c r="W443" s="35" t="str">
        <f aca="false">IF($F443="","",IF(OR($D443=Kontoauszug!$C$4,$E443=Kontoauszug!$C$4),MAX(W$4:W442)+1,""))</f>
        <v/>
      </c>
    </row>
    <row r="444" customFormat="false" ht="15" hidden="false" customHeight="false" outlineLevel="0" collapsed="false">
      <c r="A444" s="33"/>
      <c r="B444" s="32"/>
      <c r="C444" s="32"/>
      <c r="D444" s="32"/>
      <c r="E444" s="32"/>
      <c r="F444" s="30"/>
      <c r="G444" s="32"/>
      <c r="H444" s="34" t="n">
        <f aca="false">IF($G444="",0,IFERROR(INDEX(Einstellungen!$G$5:$G$11,MATCH($G444,Einstellungen!$E$5:$E$11,0)),0))</f>
        <v>0</v>
      </c>
      <c r="I444" s="35" t="str">
        <f aca="false">IF($G444="","-",IFERROR(INDEX(Einstellungen!$H$5:$H$11,MATCH($G444,Einstellungen!$E$5:$E$11,0)),"-"))</f>
        <v>-</v>
      </c>
      <c r="J444" s="35" t="str">
        <f aca="false">IF(AND(Einstellungen!$B$8="Ja",Einstellungen!$B$9="Effektiv"),$I444,"-")</f>
        <v>-</v>
      </c>
      <c r="K444" s="31" t="n">
        <f aca="false">IF(OR($F444="",$J444="-"),0,ROUND($F444-$F444/(1+$H444),2))</f>
        <v>0</v>
      </c>
      <c r="L444" s="31" t="n">
        <f aca="false">IF($F444="",0,$F444-$K444)</f>
        <v>0</v>
      </c>
      <c r="M444" s="31" t="n">
        <f aca="false">IF($F444="",0,IF($J444="V",$L444,$F444))</f>
        <v>0</v>
      </c>
      <c r="N444" s="31" t="n">
        <f aca="false">IF($F444="",0,IF($J444="U",$L444,$F444))</f>
        <v>0</v>
      </c>
      <c r="O444" s="35" t="str">
        <f aca="false">IF($A444="","",MONTH($A444))</f>
        <v/>
      </c>
      <c r="P444" s="35" t="str">
        <f aca="false">IF($A444="","",ROUNDUP(MONTH($A444)/3,0))</f>
        <v/>
      </c>
      <c r="Q444" s="35" t="str">
        <f aca="false">IF($A444="","",IF(MONTH($A444)&lt;=6,1,2))</f>
        <v/>
      </c>
      <c r="R444" s="35" t="str">
        <f aca="false">IF($E444="","",IFERROR(INDEX(Kontenplan!$F$5:$F$90,MATCH($E444,Kontenplan!$A$5:$A$90,0)),""))</f>
        <v/>
      </c>
      <c r="S444" s="35" t="str">
        <f aca="false">IF($D444="","",IFERROR(INDEX(Kontenplan!$F$5:$F$90,MATCH($D444,Kontenplan!$A$5:$A$90,0)),""))</f>
        <v/>
      </c>
      <c r="T444" s="35" t="str">
        <f aca="false">IF($D444="","",IFERROR(INDEX(Kontenplan!$C$5:$C$90,MATCH($D444,Kontenplan!$A$5:$A$90,0)),"?"))</f>
        <v/>
      </c>
      <c r="U444" s="35" t="str">
        <f aca="false">IF($E444="","",IFERROR(INDEX(Kontenplan!$C$5:$C$90,MATCH($E444,Kontenplan!$A$5:$A$90,0)),"?"))</f>
        <v/>
      </c>
      <c r="V444" s="35" t="str">
        <f aca="false">IF($F444="","",IF(OR($D444="",$E444="",$T444="?",$U444="?"),"Konto prüfen!",IF($A444="","Datum fehlt",IF(YEAR($A444)&lt;&gt;Einstellungen!$B$7,"anderes Jahr!",IF($G444="","MWST-Code fehlt","OK")))))</f>
        <v/>
      </c>
      <c r="W444" s="35" t="str">
        <f aca="false">IF($F444="","",IF(OR($D444=Kontoauszug!$C$4,$E444=Kontoauszug!$C$4),MAX(W$4:W443)+1,""))</f>
        <v/>
      </c>
    </row>
    <row r="445" customFormat="false" ht="15" hidden="false" customHeight="false" outlineLevel="0" collapsed="false">
      <c r="A445" s="33"/>
      <c r="B445" s="32"/>
      <c r="C445" s="32"/>
      <c r="D445" s="32"/>
      <c r="E445" s="32"/>
      <c r="F445" s="30"/>
      <c r="G445" s="32"/>
      <c r="H445" s="34" t="n">
        <f aca="false">IF($G445="",0,IFERROR(INDEX(Einstellungen!$G$5:$G$11,MATCH($G445,Einstellungen!$E$5:$E$11,0)),0))</f>
        <v>0</v>
      </c>
      <c r="I445" s="35" t="str">
        <f aca="false">IF($G445="","-",IFERROR(INDEX(Einstellungen!$H$5:$H$11,MATCH($G445,Einstellungen!$E$5:$E$11,0)),"-"))</f>
        <v>-</v>
      </c>
      <c r="J445" s="35" t="str">
        <f aca="false">IF(AND(Einstellungen!$B$8="Ja",Einstellungen!$B$9="Effektiv"),$I445,"-")</f>
        <v>-</v>
      </c>
      <c r="K445" s="31" t="n">
        <f aca="false">IF(OR($F445="",$J445="-"),0,ROUND($F445-$F445/(1+$H445),2))</f>
        <v>0</v>
      </c>
      <c r="L445" s="31" t="n">
        <f aca="false">IF($F445="",0,$F445-$K445)</f>
        <v>0</v>
      </c>
      <c r="M445" s="31" t="n">
        <f aca="false">IF($F445="",0,IF($J445="V",$L445,$F445))</f>
        <v>0</v>
      </c>
      <c r="N445" s="31" t="n">
        <f aca="false">IF($F445="",0,IF($J445="U",$L445,$F445))</f>
        <v>0</v>
      </c>
      <c r="O445" s="35" t="str">
        <f aca="false">IF($A445="","",MONTH($A445))</f>
        <v/>
      </c>
      <c r="P445" s="35" t="str">
        <f aca="false">IF($A445="","",ROUNDUP(MONTH($A445)/3,0))</f>
        <v/>
      </c>
      <c r="Q445" s="35" t="str">
        <f aca="false">IF($A445="","",IF(MONTH($A445)&lt;=6,1,2))</f>
        <v/>
      </c>
      <c r="R445" s="35" t="str">
        <f aca="false">IF($E445="","",IFERROR(INDEX(Kontenplan!$F$5:$F$90,MATCH($E445,Kontenplan!$A$5:$A$90,0)),""))</f>
        <v/>
      </c>
      <c r="S445" s="35" t="str">
        <f aca="false">IF($D445="","",IFERROR(INDEX(Kontenplan!$F$5:$F$90,MATCH($D445,Kontenplan!$A$5:$A$90,0)),""))</f>
        <v/>
      </c>
      <c r="T445" s="35" t="str">
        <f aca="false">IF($D445="","",IFERROR(INDEX(Kontenplan!$C$5:$C$90,MATCH($D445,Kontenplan!$A$5:$A$90,0)),"?"))</f>
        <v/>
      </c>
      <c r="U445" s="35" t="str">
        <f aca="false">IF($E445="","",IFERROR(INDEX(Kontenplan!$C$5:$C$90,MATCH($E445,Kontenplan!$A$5:$A$90,0)),"?"))</f>
        <v/>
      </c>
      <c r="V445" s="35" t="str">
        <f aca="false">IF($F445="","",IF(OR($D445="",$E445="",$T445="?",$U445="?"),"Konto prüfen!",IF($A445="","Datum fehlt",IF(YEAR($A445)&lt;&gt;Einstellungen!$B$7,"anderes Jahr!",IF($G445="","MWST-Code fehlt","OK")))))</f>
        <v/>
      </c>
      <c r="W445" s="35" t="str">
        <f aca="false">IF($F445="","",IF(OR($D445=Kontoauszug!$C$4,$E445=Kontoauszug!$C$4),MAX(W$4:W444)+1,""))</f>
        <v/>
      </c>
    </row>
    <row r="446" customFormat="false" ht="15" hidden="false" customHeight="false" outlineLevel="0" collapsed="false">
      <c r="A446" s="33"/>
      <c r="B446" s="32"/>
      <c r="C446" s="32"/>
      <c r="D446" s="32"/>
      <c r="E446" s="32"/>
      <c r="F446" s="30"/>
      <c r="G446" s="32"/>
      <c r="H446" s="34" t="n">
        <f aca="false">IF($G446="",0,IFERROR(INDEX(Einstellungen!$G$5:$G$11,MATCH($G446,Einstellungen!$E$5:$E$11,0)),0))</f>
        <v>0</v>
      </c>
      <c r="I446" s="35" t="str">
        <f aca="false">IF($G446="","-",IFERROR(INDEX(Einstellungen!$H$5:$H$11,MATCH($G446,Einstellungen!$E$5:$E$11,0)),"-"))</f>
        <v>-</v>
      </c>
      <c r="J446" s="35" t="str">
        <f aca="false">IF(AND(Einstellungen!$B$8="Ja",Einstellungen!$B$9="Effektiv"),$I446,"-")</f>
        <v>-</v>
      </c>
      <c r="K446" s="31" t="n">
        <f aca="false">IF(OR($F446="",$J446="-"),0,ROUND($F446-$F446/(1+$H446),2))</f>
        <v>0</v>
      </c>
      <c r="L446" s="31" t="n">
        <f aca="false">IF($F446="",0,$F446-$K446)</f>
        <v>0</v>
      </c>
      <c r="M446" s="31" t="n">
        <f aca="false">IF($F446="",0,IF($J446="V",$L446,$F446))</f>
        <v>0</v>
      </c>
      <c r="N446" s="31" t="n">
        <f aca="false">IF($F446="",0,IF($J446="U",$L446,$F446))</f>
        <v>0</v>
      </c>
      <c r="O446" s="35" t="str">
        <f aca="false">IF($A446="","",MONTH($A446))</f>
        <v/>
      </c>
      <c r="P446" s="35" t="str">
        <f aca="false">IF($A446="","",ROUNDUP(MONTH($A446)/3,0))</f>
        <v/>
      </c>
      <c r="Q446" s="35" t="str">
        <f aca="false">IF($A446="","",IF(MONTH($A446)&lt;=6,1,2))</f>
        <v/>
      </c>
      <c r="R446" s="35" t="str">
        <f aca="false">IF($E446="","",IFERROR(INDEX(Kontenplan!$F$5:$F$90,MATCH($E446,Kontenplan!$A$5:$A$90,0)),""))</f>
        <v/>
      </c>
      <c r="S446" s="35" t="str">
        <f aca="false">IF($D446="","",IFERROR(INDEX(Kontenplan!$F$5:$F$90,MATCH($D446,Kontenplan!$A$5:$A$90,0)),""))</f>
        <v/>
      </c>
      <c r="T446" s="35" t="str">
        <f aca="false">IF($D446="","",IFERROR(INDEX(Kontenplan!$C$5:$C$90,MATCH($D446,Kontenplan!$A$5:$A$90,0)),"?"))</f>
        <v/>
      </c>
      <c r="U446" s="35" t="str">
        <f aca="false">IF($E446="","",IFERROR(INDEX(Kontenplan!$C$5:$C$90,MATCH($E446,Kontenplan!$A$5:$A$90,0)),"?"))</f>
        <v/>
      </c>
      <c r="V446" s="35" t="str">
        <f aca="false">IF($F446="","",IF(OR($D446="",$E446="",$T446="?",$U446="?"),"Konto prüfen!",IF($A446="","Datum fehlt",IF(YEAR($A446)&lt;&gt;Einstellungen!$B$7,"anderes Jahr!",IF($G446="","MWST-Code fehlt","OK")))))</f>
        <v/>
      </c>
      <c r="W446" s="35" t="str">
        <f aca="false">IF($F446="","",IF(OR($D446=Kontoauszug!$C$4,$E446=Kontoauszug!$C$4),MAX(W$4:W445)+1,""))</f>
        <v/>
      </c>
    </row>
    <row r="447" customFormat="false" ht="15" hidden="false" customHeight="false" outlineLevel="0" collapsed="false">
      <c r="A447" s="33"/>
      <c r="B447" s="32"/>
      <c r="C447" s="32"/>
      <c r="D447" s="32"/>
      <c r="E447" s="32"/>
      <c r="F447" s="30"/>
      <c r="G447" s="32"/>
      <c r="H447" s="34" t="n">
        <f aca="false">IF($G447="",0,IFERROR(INDEX(Einstellungen!$G$5:$G$11,MATCH($G447,Einstellungen!$E$5:$E$11,0)),0))</f>
        <v>0</v>
      </c>
      <c r="I447" s="35" t="str">
        <f aca="false">IF($G447="","-",IFERROR(INDEX(Einstellungen!$H$5:$H$11,MATCH($G447,Einstellungen!$E$5:$E$11,0)),"-"))</f>
        <v>-</v>
      </c>
      <c r="J447" s="35" t="str">
        <f aca="false">IF(AND(Einstellungen!$B$8="Ja",Einstellungen!$B$9="Effektiv"),$I447,"-")</f>
        <v>-</v>
      </c>
      <c r="K447" s="31" t="n">
        <f aca="false">IF(OR($F447="",$J447="-"),0,ROUND($F447-$F447/(1+$H447),2))</f>
        <v>0</v>
      </c>
      <c r="L447" s="31" t="n">
        <f aca="false">IF($F447="",0,$F447-$K447)</f>
        <v>0</v>
      </c>
      <c r="M447" s="31" t="n">
        <f aca="false">IF($F447="",0,IF($J447="V",$L447,$F447))</f>
        <v>0</v>
      </c>
      <c r="N447" s="31" t="n">
        <f aca="false">IF($F447="",0,IF($J447="U",$L447,$F447))</f>
        <v>0</v>
      </c>
      <c r="O447" s="35" t="str">
        <f aca="false">IF($A447="","",MONTH($A447))</f>
        <v/>
      </c>
      <c r="P447" s="35" t="str">
        <f aca="false">IF($A447="","",ROUNDUP(MONTH($A447)/3,0))</f>
        <v/>
      </c>
      <c r="Q447" s="35" t="str">
        <f aca="false">IF($A447="","",IF(MONTH($A447)&lt;=6,1,2))</f>
        <v/>
      </c>
      <c r="R447" s="35" t="str">
        <f aca="false">IF($E447="","",IFERROR(INDEX(Kontenplan!$F$5:$F$90,MATCH($E447,Kontenplan!$A$5:$A$90,0)),""))</f>
        <v/>
      </c>
      <c r="S447" s="35" t="str">
        <f aca="false">IF($D447="","",IFERROR(INDEX(Kontenplan!$F$5:$F$90,MATCH($D447,Kontenplan!$A$5:$A$90,0)),""))</f>
        <v/>
      </c>
      <c r="T447" s="35" t="str">
        <f aca="false">IF($D447="","",IFERROR(INDEX(Kontenplan!$C$5:$C$90,MATCH($D447,Kontenplan!$A$5:$A$90,0)),"?"))</f>
        <v/>
      </c>
      <c r="U447" s="35" t="str">
        <f aca="false">IF($E447="","",IFERROR(INDEX(Kontenplan!$C$5:$C$90,MATCH($E447,Kontenplan!$A$5:$A$90,0)),"?"))</f>
        <v/>
      </c>
      <c r="V447" s="35" t="str">
        <f aca="false">IF($F447="","",IF(OR($D447="",$E447="",$T447="?",$U447="?"),"Konto prüfen!",IF($A447="","Datum fehlt",IF(YEAR($A447)&lt;&gt;Einstellungen!$B$7,"anderes Jahr!",IF($G447="","MWST-Code fehlt","OK")))))</f>
        <v/>
      </c>
      <c r="W447" s="35" t="str">
        <f aca="false">IF($F447="","",IF(OR($D447=Kontoauszug!$C$4,$E447=Kontoauszug!$C$4),MAX(W$4:W446)+1,""))</f>
        <v/>
      </c>
    </row>
    <row r="448" customFormat="false" ht="15" hidden="false" customHeight="false" outlineLevel="0" collapsed="false">
      <c r="A448" s="33"/>
      <c r="B448" s="32"/>
      <c r="C448" s="32"/>
      <c r="D448" s="32"/>
      <c r="E448" s="32"/>
      <c r="F448" s="30"/>
      <c r="G448" s="32"/>
      <c r="H448" s="34" t="n">
        <f aca="false">IF($G448="",0,IFERROR(INDEX(Einstellungen!$G$5:$G$11,MATCH($G448,Einstellungen!$E$5:$E$11,0)),0))</f>
        <v>0</v>
      </c>
      <c r="I448" s="35" t="str">
        <f aca="false">IF($G448="","-",IFERROR(INDEX(Einstellungen!$H$5:$H$11,MATCH($G448,Einstellungen!$E$5:$E$11,0)),"-"))</f>
        <v>-</v>
      </c>
      <c r="J448" s="35" t="str">
        <f aca="false">IF(AND(Einstellungen!$B$8="Ja",Einstellungen!$B$9="Effektiv"),$I448,"-")</f>
        <v>-</v>
      </c>
      <c r="K448" s="31" t="n">
        <f aca="false">IF(OR($F448="",$J448="-"),0,ROUND($F448-$F448/(1+$H448),2))</f>
        <v>0</v>
      </c>
      <c r="L448" s="31" t="n">
        <f aca="false">IF($F448="",0,$F448-$K448)</f>
        <v>0</v>
      </c>
      <c r="M448" s="31" t="n">
        <f aca="false">IF($F448="",0,IF($J448="V",$L448,$F448))</f>
        <v>0</v>
      </c>
      <c r="N448" s="31" t="n">
        <f aca="false">IF($F448="",0,IF($J448="U",$L448,$F448))</f>
        <v>0</v>
      </c>
      <c r="O448" s="35" t="str">
        <f aca="false">IF($A448="","",MONTH($A448))</f>
        <v/>
      </c>
      <c r="P448" s="35" t="str">
        <f aca="false">IF($A448="","",ROUNDUP(MONTH($A448)/3,0))</f>
        <v/>
      </c>
      <c r="Q448" s="35" t="str">
        <f aca="false">IF($A448="","",IF(MONTH($A448)&lt;=6,1,2))</f>
        <v/>
      </c>
      <c r="R448" s="35" t="str">
        <f aca="false">IF($E448="","",IFERROR(INDEX(Kontenplan!$F$5:$F$90,MATCH($E448,Kontenplan!$A$5:$A$90,0)),""))</f>
        <v/>
      </c>
      <c r="S448" s="35" t="str">
        <f aca="false">IF($D448="","",IFERROR(INDEX(Kontenplan!$F$5:$F$90,MATCH($D448,Kontenplan!$A$5:$A$90,0)),""))</f>
        <v/>
      </c>
      <c r="T448" s="35" t="str">
        <f aca="false">IF($D448="","",IFERROR(INDEX(Kontenplan!$C$5:$C$90,MATCH($D448,Kontenplan!$A$5:$A$90,0)),"?"))</f>
        <v/>
      </c>
      <c r="U448" s="35" t="str">
        <f aca="false">IF($E448="","",IFERROR(INDEX(Kontenplan!$C$5:$C$90,MATCH($E448,Kontenplan!$A$5:$A$90,0)),"?"))</f>
        <v/>
      </c>
      <c r="V448" s="35" t="str">
        <f aca="false">IF($F448="","",IF(OR($D448="",$E448="",$T448="?",$U448="?"),"Konto prüfen!",IF($A448="","Datum fehlt",IF(YEAR($A448)&lt;&gt;Einstellungen!$B$7,"anderes Jahr!",IF($G448="","MWST-Code fehlt","OK")))))</f>
        <v/>
      </c>
      <c r="W448" s="35" t="str">
        <f aca="false">IF($F448="","",IF(OR($D448=Kontoauszug!$C$4,$E448=Kontoauszug!$C$4),MAX(W$4:W447)+1,""))</f>
        <v/>
      </c>
    </row>
    <row r="449" customFormat="false" ht="15" hidden="false" customHeight="false" outlineLevel="0" collapsed="false">
      <c r="A449" s="33"/>
      <c r="B449" s="32"/>
      <c r="C449" s="32"/>
      <c r="D449" s="32"/>
      <c r="E449" s="32"/>
      <c r="F449" s="30"/>
      <c r="G449" s="32"/>
      <c r="H449" s="34" t="n">
        <f aca="false">IF($G449="",0,IFERROR(INDEX(Einstellungen!$G$5:$G$11,MATCH($G449,Einstellungen!$E$5:$E$11,0)),0))</f>
        <v>0</v>
      </c>
      <c r="I449" s="35" t="str">
        <f aca="false">IF($G449="","-",IFERROR(INDEX(Einstellungen!$H$5:$H$11,MATCH($G449,Einstellungen!$E$5:$E$11,0)),"-"))</f>
        <v>-</v>
      </c>
      <c r="J449" s="35" t="str">
        <f aca="false">IF(AND(Einstellungen!$B$8="Ja",Einstellungen!$B$9="Effektiv"),$I449,"-")</f>
        <v>-</v>
      </c>
      <c r="K449" s="31" t="n">
        <f aca="false">IF(OR($F449="",$J449="-"),0,ROUND($F449-$F449/(1+$H449),2))</f>
        <v>0</v>
      </c>
      <c r="L449" s="31" t="n">
        <f aca="false">IF($F449="",0,$F449-$K449)</f>
        <v>0</v>
      </c>
      <c r="M449" s="31" t="n">
        <f aca="false">IF($F449="",0,IF($J449="V",$L449,$F449))</f>
        <v>0</v>
      </c>
      <c r="N449" s="31" t="n">
        <f aca="false">IF($F449="",0,IF($J449="U",$L449,$F449))</f>
        <v>0</v>
      </c>
      <c r="O449" s="35" t="str">
        <f aca="false">IF($A449="","",MONTH($A449))</f>
        <v/>
      </c>
      <c r="P449" s="35" t="str">
        <f aca="false">IF($A449="","",ROUNDUP(MONTH($A449)/3,0))</f>
        <v/>
      </c>
      <c r="Q449" s="35" t="str">
        <f aca="false">IF($A449="","",IF(MONTH($A449)&lt;=6,1,2))</f>
        <v/>
      </c>
      <c r="R449" s="35" t="str">
        <f aca="false">IF($E449="","",IFERROR(INDEX(Kontenplan!$F$5:$F$90,MATCH($E449,Kontenplan!$A$5:$A$90,0)),""))</f>
        <v/>
      </c>
      <c r="S449" s="35" t="str">
        <f aca="false">IF($D449="","",IFERROR(INDEX(Kontenplan!$F$5:$F$90,MATCH($D449,Kontenplan!$A$5:$A$90,0)),""))</f>
        <v/>
      </c>
      <c r="T449" s="35" t="str">
        <f aca="false">IF($D449="","",IFERROR(INDEX(Kontenplan!$C$5:$C$90,MATCH($D449,Kontenplan!$A$5:$A$90,0)),"?"))</f>
        <v/>
      </c>
      <c r="U449" s="35" t="str">
        <f aca="false">IF($E449="","",IFERROR(INDEX(Kontenplan!$C$5:$C$90,MATCH($E449,Kontenplan!$A$5:$A$90,0)),"?"))</f>
        <v/>
      </c>
      <c r="V449" s="35" t="str">
        <f aca="false">IF($F449="","",IF(OR($D449="",$E449="",$T449="?",$U449="?"),"Konto prüfen!",IF($A449="","Datum fehlt",IF(YEAR($A449)&lt;&gt;Einstellungen!$B$7,"anderes Jahr!",IF($G449="","MWST-Code fehlt","OK")))))</f>
        <v/>
      </c>
      <c r="W449" s="35" t="str">
        <f aca="false">IF($F449="","",IF(OR($D449=Kontoauszug!$C$4,$E449=Kontoauszug!$C$4),MAX(W$4:W448)+1,""))</f>
        <v/>
      </c>
    </row>
    <row r="450" customFormat="false" ht="15" hidden="false" customHeight="false" outlineLevel="0" collapsed="false">
      <c r="A450" s="33"/>
      <c r="B450" s="32"/>
      <c r="C450" s="32"/>
      <c r="D450" s="32"/>
      <c r="E450" s="32"/>
      <c r="F450" s="30"/>
      <c r="G450" s="32"/>
      <c r="H450" s="34" t="n">
        <f aca="false">IF($G450="",0,IFERROR(INDEX(Einstellungen!$G$5:$G$11,MATCH($G450,Einstellungen!$E$5:$E$11,0)),0))</f>
        <v>0</v>
      </c>
      <c r="I450" s="35" t="str">
        <f aca="false">IF($G450="","-",IFERROR(INDEX(Einstellungen!$H$5:$H$11,MATCH($G450,Einstellungen!$E$5:$E$11,0)),"-"))</f>
        <v>-</v>
      </c>
      <c r="J450" s="35" t="str">
        <f aca="false">IF(AND(Einstellungen!$B$8="Ja",Einstellungen!$B$9="Effektiv"),$I450,"-")</f>
        <v>-</v>
      </c>
      <c r="K450" s="31" t="n">
        <f aca="false">IF(OR($F450="",$J450="-"),0,ROUND($F450-$F450/(1+$H450),2))</f>
        <v>0</v>
      </c>
      <c r="L450" s="31" t="n">
        <f aca="false">IF($F450="",0,$F450-$K450)</f>
        <v>0</v>
      </c>
      <c r="M450" s="31" t="n">
        <f aca="false">IF($F450="",0,IF($J450="V",$L450,$F450))</f>
        <v>0</v>
      </c>
      <c r="N450" s="31" t="n">
        <f aca="false">IF($F450="",0,IF($J450="U",$L450,$F450))</f>
        <v>0</v>
      </c>
      <c r="O450" s="35" t="str">
        <f aca="false">IF($A450="","",MONTH($A450))</f>
        <v/>
      </c>
      <c r="P450" s="35" t="str">
        <f aca="false">IF($A450="","",ROUNDUP(MONTH($A450)/3,0))</f>
        <v/>
      </c>
      <c r="Q450" s="35" t="str">
        <f aca="false">IF($A450="","",IF(MONTH($A450)&lt;=6,1,2))</f>
        <v/>
      </c>
      <c r="R450" s="35" t="str">
        <f aca="false">IF($E450="","",IFERROR(INDEX(Kontenplan!$F$5:$F$90,MATCH($E450,Kontenplan!$A$5:$A$90,0)),""))</f>
        <v/>
      </c>
      <c r="S450" s="35" t="str">
        <f aca="false">IF($D450="","",IFERROR(INDEX(Kontenplan!$F$5:$F$90,MATCH($D450,Kontenplan!$A$5:$A$90,0)),""))</f>
        <v/>
      </c>
      <c r="T450" s="35" t="str">
        <f aca="false">IF($D450="","",IFERROR(INDEX(Kontenplan!$C$5:$C$90,MATCH($D450,Kontenplan!$A$5:$A$90,0)),"?"))</f>
        <v/>
      </c>
      <c r="U450" s="35" t="str">
        <f aca="false">IF($E450="","",IFERROR(INDEX(Kontenplan!$C$5:$C$90,MATCH($E450,Kontenplan!$A$5:$A$90,0)),"?"))</f>
        <v/>
      </c>
      <c r="V450" s="35" t="str">
        <f aca="false">IF($F450="","",IF(OR($D450="",$E450="",$T450="?",$U450="?"),"Konto prüfen!",IF($A450="","Datum fehlt",IF(YEAR($A450)&lt;&gt;Einstellungen!$B$7,"anderes Jahr!",IF($G450="","MWST-Code fehlt","OK")))))</f>
        <v/>
      </c>
      <c r="W450" s="35" t="str">
        <f aca="false">IF($F450="","",IF(OR($D450=Kontoauszug!$C$4,$E450=Kontoauszug!$C$4),MAX(W$4:W449)+1,""))</f>
        <v/>
      </c>
    </row>
    <row r="451" customFormat="false" ht="15" hidden="false" customHeight="false" outlineLevel="0" collapsed="false">
      <c r="A451" s="33"/>
      <c r="B451" s="32"/>
      <c r="C451" s="32"/>
      <c r="D451" s="32"/>
      <c r="E451" s="32"/>
      <c r="F451" s="30"/>
      <c r="G451" s="32"/>
      <c r="H451" s="34" t="n">
        <f aca="false">IF($G451="",0,IFERROR(INDEX(Einstellungen!$G$5:$G$11,MATCH($G451,Einstellungen!$E$5:$E$11,0)),0))</f>
        <v>0</v>
      </c>
      <c r="I451" s="35" t="str">
        <f aca="false">IF($G451="","-",IFERROR(INDEX(Einstellungen!$H$5:$H$11,MATCH($G451,Einstellungen!$E$5:$E$11,0)),"-"))</f>
        <v>-</v>
      </c>
      <c r="J451" s="35" t="str">
        <f aca="false">IF(AND(Einstellungen!$B$8="Ja",Einstellungen!$B$9="Effektiv"),$I451,"-")</f>
        <v>-</v>
      </c>
      <c r="K451" s="31" t="n">
        <f aca="false">IF(OR($F451="",$J451="-"),0,ROUND($F451-$F451/(1+$H451),2))</f>
        <v>0</v>
      </c>
      <c r="L451" s="31" t="n">
        <f aca="false">IF($F451="",0,$F451-$K451)</f>
        <v>0</v>
      </c>
      <c r="M451" s="31" t="n">
        <f aca="false">IF($F451="",0,IF($J451="V",$L451,$F451))</f>
        <v>0</v>
      </c>
      <c r="N451" s="31" t="n">
        <f aca="false">IF($F451="",0,IF($J451="U",$L451,$F451))</f>
        <v>0</v>
      </c>
      <c r="O451" s="35" t="str">
        <f aca="false">IF($A451="","",MONTH($A451))</f>
        <v/>
      </c>
      <c r="P451" s="35" t="str">
        <f aca="false">IF($A451="","",ROUNDUP(MONTH($A451)/3,0))</f>
        <v/>
      </c>
      <c r="Q451" s="35" t="str">
        <f aca="false">IF($A451="","",IF(MONTH($A451)&lt;=6,1,2))</f>
        <v/>
      </c>
      <c r="R451" s="35" t="str">
        <f aca="false">IF($E451="","",IFERROR(INDEX(Kontenplan!$F$5:$F$90,MATCH($E451,Kontenplan!$A$5:$A$90,0)),""))</f>
        <v/>
      </c>
      <c r="S451" s="35" t="str">
        <f aca="false">IF($D451="","",IFERROR(INDEX(Kontenplan!$F$5:$F$90,MATCH($D451,Kontenplan!$A$5:$A$90,0)),""))</f>
        <v/>
      </c>
      <c r="T451" s="35" t="str">
        <f aca="false">IF($D451="","",IFERROR(INDEX(Kontenplan!$C$5:$C$90,MATCH($D451,Kontenplan!$A$5:$A$90,0)),"?"))</f>
        <v/>
      </c>
      <c r="U451" s="35" t="str">
        <f aca="false">IF($E451="","",IFERROR(INDEX(Kontenplan!$C$5:$C$90,MATCH($E451,Kontenplan!$A$5:$A$90,0)),"?"))</f>
        <v/>
      </c>
      <c r="V451" s="35" t="str">
        <f aca="false">IF($F451="","",IF(OR($D451="",$E451="",$T451="?",$U451="?"),"Konto prüfen!",IF($A451="","Datum fehlt",IF(YEAR($A451)&lt;&gt;Einstellungen!$B$7,"anderes Jahr!",IF($G451="","MWST-Code fehlt","OK")))))</f>
        <v/>
      </c>
      <c r="W451" s="35" t="str">
        <f aca="false">IF($F451="","",IF(OR($D451=Kontoauszug!$C$4,$E451=Kontoauszug!$C$4),MAX(W$4:W450)+1,""))</f>
        <v/>
      </c>
    </row>
    <row r="452" customFormat="false" ht="15" hidden="false" customHeight="false" outlineLevel="0" collapsed="false">
      <c r="A452" s="33"/>
      <c r="B452" s="32"/>
      <c r="C452" s="32"/>
      <c r="D452" s="32"/>
      <c r="E452" s="32"/>
      <c r="F452" s="30"/>
      <c r="G452" s="32"/>
      <c r="H452" s="34" t="n">
        <f aca="false">IF($G452="",0,IFERROR(INDEX(Einstellungen!$G$5:$G$11,MATCH($G452,Einstellungen!$E$5:$E$11,0)),0))</f>
        <v>0</v>
      </c>
      <c r="I452" s="35" t="str">
        <f aca="false">IF($G452="","-",IFERROR(INDEX(Einstellungen!$H$5:$H$11,MATCH($G452,Einstellungen!$E$5:$E$11,0)),"-"))</f>
        <v>-</v>
      </c>
      <c r="J452" s="35" t="str">
        <f aca="false">IF(AND(Einstellungen!$B$8="Ja",Einstellungen!$B$9="Effektiv"),$I452,"-")</f>
        <v>-</v>
      </c>
      <c r="K452" s="31" t="n">
        <f aca="false">IF(OR($F452="",$J452="-"),0,ROUND($F452-$F452/(1+$H452),2))</f>
        <v>0</v>
      </c>
      <c r="L452" s="31" t="n">
        <f aca="false">IF($F452="",0,$F452-$K452)</f>
        <v>0</v>
      </c>
      <c r="M452" s="31" t="n">
        <f aca="false">IF($F452="",0,IF($J452="V",$L452,$F452))</f>
        <v>0</v>
      </c>
      <c r="N452" s="31" t="n">
        <f aca="false">IF($F452="",0,IF($J452="U",$L452,$F452))</f>
        <v>0</v>
      </c>
      <c r="O452" s="35" t="str">
        <f aca="false">IF($A452="","",MONTH($A452))</f>
        <v/>
      </c>
      <c r="P452" s="35" t="str">
        <f aca="false">IF($A452="","",ROUNDUP(MONTH($A452)/3,0))</f>
        <v/>
      </c>
      <c r="Q452" s="35" t="str">
        <f aca="false">IF($A452="","",IF(MONTH($A452)&lt;=6,1,2))</f>
        <v/>
      </c>
      <c r="R452" s="35" t="str">
        <f aca="false">IF($E452="","",IFERROR(INDEX(Kontenplan!$F$5:$F$90,MATCH($E452,Kontenplan!$A$5:$A$90,0)),""))</f>
        <v/>
      </c>
      <c r="S452" s="35" t="str">
        <f aca="false">IF($D452="","",IFERROR(INDEX(Kontenplan!$F$5:$F$90,MATCH($D452,Kontenplan!$A$5:$A$90,0)),""))</f>
        <v/>
      </c>
      <c r="T452" s="35" t="str">
        <f aca="false">IF($D452="","",IFERROR(INDEX(Kontenplan!$C$5:$C$90,MATCH($D452,Kontenplan!$A$5:$A$90,0)),"?"))</f>
        <v/>
      </c>
      <c r="U452" s="35" t="str">
        <f aca="false">IF($E452="","",IFERROR(INDEX(Kontenplan!$C$5:$C$90,MATCH($E452,Kontenplan!$A$5:$A$90,0)),"?"))</f>
        <v/>
      </c>
      <c r="V452" s="35" t="str">
        <f aca="false">IF($F452="","",IF(OR($D452="",$E452="",$T452="?",$U452="?"),"Konto prüfen!",IF($A452="","Datum fehlt",IF(YEAR($A452)&lt;&gt;Einstellungen!$B$7,"anderes Jahr!",IF($G452="","MWST-Code fehlt","OK")))))</f>
        <v/>
      </c>
      <c r="W452" s="35" t="str">
        <f aca="false">IF($F452="","",IF(OR($D452=Kontoauszug!$C$4,$E452=Kontoauszug!$C$4),MAX(W$4:W451)+1,""))</f>
        <v/>
      </c>
    </row>
    <row r="453" customFormat="false" ht="15" hidden="false" customHeight="false" outlineLevel="0" collapsed="false">
      <c r="A453" s="33"/>
      <c r="B453" s="32"/>
      <c r="C453" s="32"/>
      <c r="D453" s="32"/>
      <c r="E453" s="32"/>
      <c r="F453" s="30"/>
      <c r="G453" s="32"/>
      <c r="H453" s="34" t="n">
        <f aca="false">IF($G453="",0,IFERROR(INDEX(Einstellungen!$G$5:$G$11,MATCH($G453,Einstellungen!$E$5:$E$11,0)),0))</f>
        <v>0</v>
      </c>
      <c r="I453" s="35" t="str">
        <f aca="false">IF($G453="","-",IFERROR(INDEX(Einstellungen!$H$5:$H$11,MATCH($G453,Einstellungen!$E$5:$E$11,0)),"-"))</f>
        <v>-</v>
      </c>
      <c r="J453" s="35" t="str">
        <f aca="false">IF(AND(Einstellungen!$B$8="Ja",Einstellungen!$B$9="Effektiv"),$I453,"-")</f>
        <v>-</v>
      </c>
      <c r="K453" s="31" t="n">
        <f aca="false">IF(OR($F453="",$J453="-"),0,ROUND($F453-$F453/(1+$H453),2))</f>
        <v>0</v>
      </c>
      <c r="L453" s="31" t="n">
        <f aca="false">IF($F453="",0,$F453-$K453)</f>
        <v>0</v>
      </c>
      <c r="M453" s="31" t="n">
        <f aca="false">IF($F453="",0,IF($J453="V",$L453,$F453))</f>
        <v>0</v>
      </c>
      <c r="N453" s="31" t="n">
        <f aca="false">IF($F453="",0,IF($J453="U",$L453,$F453))</f>
        <v>0</v>
      </c>
      <c r="O453" s="35" t="str">
        <f aca="false">IF($A453="","",MONTH($A453))</f>
        <v/>
      </c>
      <c r="P453" s="35" t="str">
        <f aca="false">IF($A453="","",ROUNDUP(MONTH($A453)/3,0))</f>
        <v/>
      </c>
      <c r="Q453" s="35" t="str">
        <f aca="false">IF($A453="","",IF(MONTH($A453)&lt;=6,1,2))</f>
        <v/>
      </c>
      <c r="R453" s="35" t="str">
        <f aca="false">IF($E453="","",IFERROR(INDEX(Kontenplan!$F$5:$F$90,MATCH($E453,Kontenplan!$A$5:$A$90,0)),""))</f>
        <v/>
      </c>
      <c r="S453" s="35" t="str">
        <f aca="false">IF($D453="","",IFERROR(INDEX(Kontenplan!$F$5:$F$90,MATCH($D453,Kontenplan!$A$5:$A$90,0)),""))</f>
        <v/>
      </c>
      <c r="T453" s="35" t="str">
        <f aca="false">IF($D453="","",IFERROR(INDEX(Kontenplan!$C$5:$C$90,MATCH($D453,Kontenplan!$A$5:$A$90,0)),"?"))</f>
        <v/>
      </c>
      <c r="U453" s="35" t="str">
        <f aca="false">IF($E453="","",IFERROR(INDEX(Kontenplan!$C$5:$C$90,MATCH($E453,Kontenplan!$A$5:$A$90,0)),"?"))</f>
        <v/>
      </c>
      <c r="V453" s="35" t="str">
        <f aca="false">IF($F453="","",IF(OR($D453="",$E453="",$T453="?",$U453="?"),"Konto prüfen!",IF($A453="","Datum fehlt",IF(YEAR($A453)&lt;&gt;Einstellungen!$B$7,"anderes Jahr!",IF($G453="","MWST-Code fehlt","OK")))))</f>
        <v/>
      </c>
      <c r="W453" s="35" t="str">
        <f aca="false">IF($F453="","",IF(OR($D453=Kontoauszug!$C$4,$E453=Kontoauszug!$C$4),MAX(W$4:W452)+1,""))</f>
        <v/>
      </c>
    </row>
    <row r="454" customFormat="false" ht="15" hidden="false" customHeight="false" outlineLevel="0" collapsed="false">
      <c r="A454" s="33"/>
      <c r="B454" s="32"/>
      <c r="C454" s="32"/>
      <c r="D454" s="32"/>
      <c r="E454" s="32"/>
      <c r="F454" s="30"/>
      <c r="G454" s="32"/>
      <c r="H454" s="34" t="n">
        <f aca="false">IF($G454="",0,IFERROR(INDEX(Einstellungen!$G$5:$G$11,MATCH($G454,Einstellungen!$E$5:$E$11,0)),0))</f>
        <v>0</v>
      </c>
      <c r="I454" s="35" t="str">
        <f aca="false">IF($G454="","-",IFERROR(INDEX(Einstellungen!$H$5:$H$11,MATCH($G454,Einstellungen!$E$5:$E$11,0)),"-"))</f>
        <v>-</v>
      </c>
      <c r="J454" s="35" t="str">
        <f aca="false">IF(AND(Einstellungen!$B$8="Ja",Einstellungen!$B$9="Effektiv"),$I454,"-")</f>
        <v>-</v>
      </c>
      <c r="K454" s="31" t="n">
        <f aca="false">IF(OR($F454="",$J454="-"),0,ROUND($F454-$F454/(1+$H454),2))</f>
        <v>0</v>
      </c>
      <c r="L454" s="31" t="n">
        <f aca="false">IF($F454="",0,$F454-$K454)</f>
        <v>0</v>
      </c>
      <c r="M454" s="31" t="n">
        <f aca="false">IF($F454="",0,IF($J454="V",$L454,$F454))</f>
        <v>0</v>
      </c>
      <c r="N454" s="31" t="n">
        <f aca="false">IF($F454="",0,IF($J454="U",$L454,$F454))</f>
        <v>0</v>
      </c>
      <c r="O454" s="35" t="str">
        <f aca="false">IF($A454="","",MONTH($A454))</f>
        <v/>
      </c>
      <c r="P454" s="35" t="str">
        <f aca="false">IF($A454="","",ROUNDUP(MONTH($A454)/3,0))</f>
        <v/>
      </c>
      <c r="Q454" s="35" t="str">
        <f aca="false">IF($A454="","",IF(MONTH($A454)&lt;=6,1,2))</f>
        <v/>
      </c>
      <c r="R454" s="35" t="str">
        <f aca="false">IF($E454="","",IFERROR(INDEX(Kontenplan!$F$5:$F$90,MATCH($E454,Kontenplan!$A$5:$A$90,0)),""))</f>
        <v/>
      </c>
      <c r="S454" s="35" t="str">
        <f aca="false">IF($D454="","",IFERROR(INDEX(Kontenplan!$F$5:$F$90,MATCH($D454,Kontenplan!$A$5:$A$90,0)),""))</f>
        <v/>
      </c>
      <c r="T454" s="35" t="str">
        <f aca="false">IF($D454="","",IFERROR(INDEX(Kontenplan!$C$5:$C$90,MATCH($D454,Kontenplan!$A$5:$A$90,0)),"?"))</f>
        <v/>
      </c>
      <c r="U454" s="35" t="str">
        <f aca="false">IF($E454="","",IFERROR(INDEX(Kontenplan!$C$5:$C$90,MATCH($E454,Kontenplan!$A$5:$A$90,0)),"?"))</f>
        <v/>
      </c>
      <c r="V454" s="35" t="str">
        <f aca="false">IF($F454="","",IF(OR($D454="",$E454="",$T454="?",$U454="?"),"Konto prüfen!",IF($A454="","Datum fehlt",IF(YEAR($A454)&lt;&gt;Einstellungen!$B$7,"anderes Jahr!",IF($G454="","MWST-Code fehlt","OK")))))</f>
        <v/>
      </c>
      <c r="W454" s="35" t="str">
        <f aca="false">IF($F454="","",IF(OR($D454=Kontoauszug!$C$4,$E454=Kontoauszug!$C$4),MAX(W$4:W453)+1,""))</f>
        <v/>
      </c>
    </row>
    <row r="455" customFormat="false" ht="15" hidden="false" customHeight="false" outlineLevel="0" collapsed="false">
      <c r="A455" s="33"/>
      <c r="B455" s="32"/>
      <c r="C455" s="32"/>
      <c r="D455" s="32"/>
      <c r="E455" s="32"/>
      <c r="F455" s="30"/>
      <c r="G455" s="32"/>
      <c r="H455" s="34" t="n">
        <f aca="false">IF($G455="",0,IFERROR(INDEX(Einstellungen!$G$5:$G$11,MATCH($G455,Einstellungen!$E$5:$E$11,0)),0))</f>
        <v>0</v>
      </c>
      <c r="I455" s="35" t="str">
        <f aca="false">IF($G455="","-",IFERROR(INDEX(Einstellungen!$H$5:$H$11,MATCH($G455,Einstellungen!$E$5:$E$11,0)),"-"))</f>
        <v>-</v>
      </c>
      <c r="J455" s="35" t="str">
        <f aca="false">IF(AND(Einstellungen!$B$8="Ja",Einstellungen!$B$9="Effektiv"),$I455,"-")</f>
        <v>-</v>
      </c>
      <c r="K455" s="31" t="n">
        <f aca="false">IF(OR($F455="",$J455="-"),0,ROUND($F455-$F455/(1+$H455),2))</f>
        <v>0</v>
      </c>
      <c r="L455" s="31" t="n">
        <f aca="false">IF($F455="",0,$F455-$K455)</f>
        <v>0</v>
      </c>
      <c r="M455" s="31" t="n">
        <f aca="false">IF($F455="",0,IF($J455="V",$L455,$F455))</f>
        <v>0</v>
      </c>
      <c r="N455" s="31" t="n">
        <f aca="false">IF($F455="",0,IF($J455="U",$L455,$F455))</f>
        <v>0</v>
      </c>
      <c r="O455" s="35" t="str">
        <f aca="false">IF($A455="","",MONTH($A455))</f>
        <v/>
      </c>
      <c r="P455" s="35" t="str">
        <f aca="false">IF($A455="","",ROUNDUP(MONTH($A455)/3,0))</f>
        <v/>
      </c>
      <c r="Q455" s="35" t="str">
        <f aca="false">IF($A455="","",IF(MONTH($A455)&lt;=6,1,2))</f>
        <v/>
      </c>
      <c r="R455" s="35" t="str">
        <f aca="false">IF($E455="","",IFERROR(INDEX(Kontenplan!$F$5:$F$90,MATCH($E455,Kontenplan!$A$5:$A$90,0)),""))</f>
        <v/>
      </c>
      <c r="S455" s="35" t="str">
        <f aca="false">IF($D455="","",IFERROR(INDEX(Kontenplan!$F$5:$F$90,MATCH($D455,Kontenplan!$A$5:$A$90,0)),""))</f>
        <v/>
      </c>
      <c r="T455" s="35" t="str">
        <f aca="false">IF($D455="","",IFERROR(INDEX(Kontenplan!$C$5:$C$90,MATCH($D455,Kontenplan!$A$5:$A$90,0)),"?"))</f>
        <v/>
      </c>
      <c r="U455" s="35" t="str">
        <f aca="false">IF($E455="","",IFERROR(INDEX(Kontenplan!$C$5:$C$90,MATCH($E455,Kontenplan!$A$5:$A$90,0)),"?"))</f>
        <v/>
      </c>
      <c r="V455" s="35" t="str">
        <f aca="false">IF($F455="","",IF(OR($D455="",$E455="",$T455="?",$U455="?"),"Konto prüfen!",IF($A455="","Datum fehlt",IF(YEAR($A455)&lt;&gt;Einstellungen!$B$7,"anderes Jahr!",IF($G455="","MWST-Code fehlt","OK")))))</f>
        <v/>
      </c>
      <c r="W455" s="35" t="str">
        <f aca="false">IF($F455="","",IF(OR($D455=Kontoauszug!$C$4,$E455=Kontoauszug!$C$4),MAX(W$4:W454)+1,""))</f>
        <v/>
      </c>
    </row>
    <row r="456" customFormat="false" ht="15" hidden="false" customHeight="false" outlineLevel="0" collapsed="false">
      <c r="A456" s="33"/>
      <c r="B456" s="32"/>
      <c r="C456" s="32"/>
      <c r="D456" s="32"/>
      <c r="E456" s="32"/>
      <c r="F456" s="30"/>
      <c r="G456" s="32"/>
      <c r="H456" s="34" t="n">
        <f aca="false">IF($G456="",0,IFERROR(INDEX(Einstellungen!$G$5:$G$11,MATCH($G456,Einstellungen!$E$5:$E$11,0)),0))</f>
        <v>0</v>
      </c>
      <c r="I456" s="35" t="str">
        <f aca="false">IF($G456="","-",IFERROR(INDEX(Einstellungen!$H$5:$H$11,MATCH($G456,Einstellungen!$E$5:$E$11,0)),"-"))</f>
        <v>-</v>
      </c>
      <c r="J456" s="35" t="str">
        <f aca="false">IF(AND(Einstellungen!$B$8="Ja",Einstellungen!$B$9="Effektiv"),$I456,"-")</f>
        <v>-</v>
      </c>
      <c r="K456" s="31" t="n">
        <f aca="false">IF(OR($F456="",$J456="-"),0,ROUND($F456-$F456/(1+$H456),2))</f>
        <v>0</v>
      </c>
      <c r="L456" s="31" t="n">
        <f aca="false">IF($F456="",0,$F456-$K456)</f>
        <v>0</v>
      </c>
      <c r="M456" s="31" t="n">
        <f aca="false">IF($F456="",0,IF($J456="V",$L456,$F456))</f>
        <v>0</v>
      </c>
      <c r="N456" s="31" t="n">
        <f aca="false">IF($F456="",0,IF($J456="U",$L456,$F456))</f>
        <v>0</v>
      </c>
      <c r="O456" s="35" t="str">
        <f aca="false">IF($A456="","",MONTH($A456))</f>
        <v/>
      </c>
      <c r="P456" s="35" t="str">
        <f aca="false">IF($A456="","",ROUNDUP(MONTH($A456)/3,0))</f>
        <v/>
      </c>
      <c r="Q456" s="35" t="str">
        <f aca="false">IF($A456="","",IF(MONTH($A456)&lt;=6,1,2))</f>
        <v/>
      </c>
      <c r="R456" s="35" t="str">
        <f aca="false">IF($E456="","",IFERROR(INDEX(Kontenplan!$F$5:$F$90,MATCH($E456,Kontenplan!$A$5:$A$90,0)),""))</f>
        <v/>
      </c>
      <c r="S456" s="35" t="str">
        <f aca="false">IF($D456="","",IFERROR(INDEX(Kontenplan!$F$5:$F$90,MATCH($D456,Kontenplan!$A$5:$A$90,0)),""))</f>
        <v/>
      </c>
      <c r="T456" s="35" t="str">
        <f aca="false">IF($D456="","",IFERROR(INDEX(Kontenplan!$C$5:$C$90,MATCH($D456,Kontenplan!$A$5:$A$90,0)),"?"))</f>
        <v/>
      </c>
      <c r="U456" s="35" t="str">
        <f aca="false">IF($E456="","",IFERROR(INDEX(Kontenplan!$C$5:$C$90,MATCH($E456,Kontenplan!$A$5:$A$90,0)),"?"))</f>
        <v/>
      </c>
      <c r="V456" s="35" t="str">
        <f aca="false">IF($F456="","",IF(OR($D456="",$E456="",$T456="?",$U456="?"),"Konto prüfen!",IF($A456="","Datum fehlt",IF(YEAR($A456)&lt;&gt;Einstellungen!$B$7,"anderes Jahr!",IF($G456="","MWST-Code fehlt","OK")))))</f>
        <v/>
      </c>
      <c r="W456" s="35" t="str">
        <f aca="false">IF($F456="","",IF(OR($D456=Kontoauszug!$C$4,$E456=Kontoauszug!$C$4),MAX(W$4:W455)+1,""))</f>
        <v/>
      </c>
    </row>
    <row r="457" customFormat="false" ht="15" hidden="false" customHeight="false" outlineLevel="0" collapsed="false">
      <c r="A457" s="33"/>
      <c r="B457" s="32"/>
      <c r="C457" s="32"/>
      <c r="D457" s="32"/>
      <c r="E457" s="32"/>
      <c r="F457" s="30"/>
      <c r="G457" s="32"/>
      <c r="H457" s="34" t="n">
        <f aca="false">IF($G457="",0,IFERROR(INDEX(Einstellungen!$G$5:$G$11,MATCH($G457,Einstellungen!$E$5:$E$11,0)),0))</f>
        <v>0</v>
      </c>
      <c r="I457" s="35" t="str">
        <f aca="false">IF($G457="","-",IFERROR(INDEX(Einstellungen!$H$5:$H$11,MATCH($G457,Einstellungen!$E$5:$E$11,0)),"-"))</f>
        <v>-</v>
      </c>
      <c r="J457" s="35" t="str">
        <f aca="false">IF(AND(Einstellungen!$B$8="Ja",Einstellungen!$B$9="Effektiv"),$I457,"-")</f>
        <v>-</v>
      </c>
      <c r="K457" s="31" t="n">
        <f aca="false">IF(OR($F457="",$J457="-"),0,ROUND($F457-$F457/(1+$H457),2))</f>
        <v>0</v>
      </c>
      <c r="L457" s="31" t="n">
        <f aca="false">IF($F457="",0,$F457-$K457)</f>
        <v>0</v>
      </c>
      <c r="M457" s="31" t="n">
        <f aca="false">IF($F457="",0,IF($J457="V",$L457,$F457))</f>
        <v>0</v>
      </c>
      <c r="N457" s="31" t="n">
        <f aca="false">IF($F457="",0,IF($J457="U",$L457,$F457))</f>
        <v>0</v>
      </c>
      <c r="O457" s="35" t="str">
        <f aca="false">IF($A457="","",MONTH($A457))</f>
        <v/>
      </c>
      <c r="P457" s="35" t="str">
        <f aca="false">IF($A457="","",ROUNDUP(MONTH($A457)/3,0))</f>
        <v/>
      </c>
      <c r="Q457" s="35" t="str">
        <f aca="false">IF($A457="","",IF(MONTH($A457)&lt;=6,1,2))</f>
        <v/>
      </c>
      <c r="R457" s="35" t="str">
        <f aca="false">IF($E457="","",IFERROR(INDEX(Kontenplan!$F$5:$F$90,MATCH($E457,Kontenplan!$A$5:$A$90,0)),""))</f>
        <v/>
      </c>
      <c r="S457" s="35" t="str">
        <f aca="false">IF($D457="","",IFERROR(INDEX(Kontenplan!$F$5:$F$90,MATCH($D457,Kontenplan!$A$5:$A$90,0)),""))</f>
        <v/>
      </c>
      <c r="T457" s="35" t="str">
        <f aca="false">IF($D457="","",IFERROR(INDEX(Kontenplan!$C$5:$C$90,MATCH($D457,Kontenplan!$A$5:$A$90,0)),"?"))</f>
        <v/>
      </c>
      <c r="U457" s="35" t="str">
        <f aca="false">IF($E457="","",IFERROR(INDEX(Kontenplan!$C$5:$C$90,MATCH($E457,Kontenplan!$A$5:$A$90,0)),"?"))</f>
        <v/>
      </c>
      <c r="V457" s="35" t="str">
        <f aca="false">IF($F457="","",IF(OR($D457="",$E457="",$T457="?",$U457="?"),"Konto prüfen!",IF($A457="","Datum fehlt",IF(YEAR($A457)&lt;&gt;Einstellungen!$B$7,"anderes Jahr!",IF($G457="","MWST-Code fehlt","OK")))))</f>
        <v/>
      </c>
      <c r="W457" s="35" t="str">
        <f aca="false">IF($F457="","",IF(OR($D457=Kontoauszug!$C$4,$E457=Kontoauszug!$C$4),MAX(W$4:W456)+1,""))</f>
        <v/>
      </c>
    </row>
    <row r="458" customFormat="false" ht="15" hidden="false" customHeight="false" outlineLevel="0" collapsed="false">
      <c r="A458" s="33"/>
      <c r="B458" s="32"/>
      <c r="C458" s="32"/>
      <c r="D458" s="32"/>
      <c r="E458" s="32"/>
      <c r="F458" s="30"/>
      <c r="G458" s="32"/>
      <c r="H458" s="34" t="n">
        <f aca="false">IF($G458="",0,IFERROR(INDEX(Einstellungen!$G$5:$G$11,MATCH($G458,Einstellungen!$E$5:$E$11,0)),0))</f>
        <v>0</v>
      </c>
      <c r="I458" s="35" t="str">
        <f aca="false">IF($G458="","-",IFERROR(INDEX(Einstellungen!$H$5:$H$11,MATCH($G458,Einstellungen!$E$5:$E$11,0)),"-"))</f>
        <v>-</v>
      </c>
      <c r="J458" s="35" t="str">
        <f aca="false">IF(AND(Einstellungen!$B$8="Ja",Einstellungen!$B$9="Effektiv"),$I458,"-")</f>
        <v>-</v>
      </c>
      <c r="K458" s="31" t="n">
        <f aca="false">IF(OR($F458="",$J458="-"),0,ROUND($F458-$F458/(1+$H458),2))</f>
        <v>0</v>
      </c>
      <c r="L458" s="31" t="n">
        <f aca="false">IF($F458="",0,$F458-$K458)</f>
        <v>0</v>
      </c>
      <c r="M458" s="31" t="n">
        <f aca="false">IF($F458="",0,IF($J458="V",$L458,$F458))</f>
        <v>0</v>
      </c>
      <c r="N458" s="31" t="n">
        <f aca="false">IF($F458="",0,IF($J458="U",$L458,$F458))</f>
        <v>0</v>
      </c>
      <c r="O458" s="35" t="str">
        <f aca="false">IF($A458="","",MONTH($A458))</f>
        <v/>
      </c>
      <c r="P458" s="35" t="str">
        <f aca="false">IF($A458="","",ROUNDUP(MONTH($A458)/3,0))</f>
        <v/>
      </c>
      <c r="Q458" s="35" t="str">
        <f aca="false">IF($A458="","",IF(MONTH($A458)&lt;=6,1,2))</f>
        <v/>
      </c>
      <c r="R458" s="35" t="str">
        <f aca="false">IF($E458="","",IFERROR(INDEX(Kontenplan!$F$5:$F$90,MATCH($E458,Kontenplan!$A$5:$A$90,0)),""))</f>
        <v/>
      </c>
      <c r="S458" s="35" t="str">
        <f aca="false">IF($D458="","",IFERROR(INDEX(Kontenplan!$F$5:$F$90,MATCH($D458,Kontenplan!$A$5:$A$90,0)),""))</f>
        <v/>
      </c>
      <c r="T458" s="35" t="str">
        <f aca="false">IF($D458="","",IFERROR(INDEX(Kontenplan!$C$5:$C$90,MATCH($D458,Kontenplan!$A$5:$A$90,0)),"?"))</f>
        <v/>
      </c>
      <c r="U458" s="35" t="str">
        <f aca="false">IF($E458="","",IFERROR(INDEX(Kontenplan!$C$5:$C$90,MATCH($E458,Kontenplan!$A$5:$A$90,0)),"?"))</f>
        <v/>
      </c>
      <c r="V458" s="35" t="str">
        <f aca="false">IF($F458="","",IF(OR($D458="",$E458="",$T458="?",$U458="?"),"Konto prüfen!",IF($A458="","Datum fehlt",IF(YEAR($A458)&lt;&gt;Einstellungen!$B$7,"anderes Jahr!",IF($G458="","MWST-Code fehlt","OK")))))</f>
        <v/>
      </c>
      <c r="W458" s="35" t="str">
        <f aca="false">IF($F458="","",IF(OR($D458=Kontoauszug!$C$4,$E458=Kontoauszug!$C$4),MAX(W$4:W457)+1,""))</f>
        <v/>
      </c>
    </row>
    <row r="459" customFormat="false" ht="15" hidden="false" customHeight="false" outlineLevel="0" collapsed="false">
      <c r="A459" s="33"/>
      <c r="B459" s="32"/>
      <c r="C459" s="32"/>
      <c r="D459" s="32"/>
      <c r="E459" s="32"/>
      <c r="F459" s="30"/>
      <c r="G459" s="32"/>
      <c r="H459" s="34" t="n">
        <f aca="false">IF($G459="",0,IFERROR(INDEX(Einstellungen!$G$5:$G$11,MATCH($G459,Einstellungen!$E$5:$E$11,0)),0))</f>
        <v>0</v>
      </c>
      <c r="I459" s="35" t="str">
        <f aca="false">IF($G459="","-",IFERROR(INDEX(Einstellungen!$H$5:$H$11,MATCH($G459,Einstellungen!$E$5:$E$11,0)),"-"))</f>
        <v>-</v>
      </c>
      <c r="J459" s="35" t="str">
        <f aca="false">IF(AND(Einstellungen!$B$8="Ja",Einstellungen!$B$9="Effektiv"),$I459,"-")</f>
        <v>-</v>
      </c>
      <c r="K459" s="31" t="n">
        <f aca="false">IF(OR($F459="",$J459="-"),0,ROUND($F459-$F459/(1+$H459),2))</f>
        <v>0</v>
      </c>
      <c r="L459" s="31" t="n">
        <f aca="false">IF($F459="",0,$F459-$K459)</f>
        <v>0</v>
      </c>
      <c r="M459" s="31" t="n">
        <f aca="false">IF($F459="",0,IF($J459="V",$L459,$F459))</f>
        <v>0</v>
      </c>
      <c r="N459" s="31" t="n">
        <f aca="false">IF($F459="",0,IF($J459="U",$L459,$F459))</f>
        <v>0</v>
      </c>
      <c r="O459" s="35" t="str">
        <f aca="false">IF($A459="","",MONTH($A459))</f>
        <v/>
      </c>
      <c r="P459" s="35" t="str">
        <f aca="false">IF($A459="","",ROUNDUP(MONTH($A459)/3,0))</f>
        <v/>
      </c>
      <c r="Q459" s="35" t="str">
        <f aca="false">IF($A459="","",IF(MONTH($A459)&lt;=6,1,2))</f>
        <v/>
      </c>
      <c r="R459" s="35" t="str">
        <f aca="false">IF($E459="","",IFERROR(INDEX(Kontenplan!$F$5:$F$90,MATCH($E459,Kontenplan!$A$5:$A$90,0)),""))</f>
        <v/>
      </c>
      <c r="S459" s="35" t="str">
        <f aca="false">IF($D459="","",IFERROR(INDEX(Kontenplan!$F$5:$F$90,MATCH($D459,Kontenplan!$A$5:$A$90,0)),""))</f>
        <v/>
      </c>
      <c r="T459" s="35" t="str">
        <f aca="false">IF($D459="","",IFERROR(INDEX(Kontenplan!$C$5:$C$90,MATCH($D459,Kontenplan!$A$5:$A$90,0)),"?"))</f>
        <v/>
      </c>
      <c r="U459" s="35" t="str">
        <f aca="false">IF($E459="","",IFERROR(INDEX(Kontenplan!$C$5:$C$90,MATCH($E459,Kontenplan!$A$5:$A$90,0)),"?"))</f>
        <v/>
      </c>
      <c r="V459" s="35" t="str">
        <f aca="false">IF($F459="","",IF(OR($D459="",$E459="",$T459="?",$U459="?"),"Konto prüfen!",IF($A459="","Datum fehlt",IF(YEAR($A459)&lt;&gt;Einstellungen!$B$7,"anderes Jahr!",IF($G459="","MWST-Code fehlt","OK")))))</f>
        <v/>
      </c>
      <c r="W459" s="35" t="str">
        <f aca="false">IF($F459="","",IF(OR($D459=Kontoauszug!$C$4,$E459=Kontoauszug!$C$4),MAX(W$4:W458)+1,""))</f>
        <v/>
      </c>
    </row>
    <row r="460" customFormat="false" ht="15" hidden="false" customHeight="false" outlineLevel="0" collapsed="false">
      <c r="A460" s="33"/>
      <c r="B460" s="32"/>
      <c r="C460" s="32"/>
      <c r="D460" s="32"/>
      <c r="E460" s="32"/>
      <c r="F460" s="30"/>
      <c r="G460" s="32"/>
      <c r="H460" s="34" t="n">
        <f aca="false">IF($G460="",0,IFERROR(INDEX(Einstellungen!$G$5:$G$11,MATCH($G460,Einstellungen!$E$5:$E$11,0)),0))</f>
        <v>0</v>
      </c>
      <c r="I460" s="35" t="str">
        <f aca="false">IF($G460="","-",IFERROR(INDEX(Einstellungen!$H$5:$H$11,MATCH($G460,Einstellungen!$E$5:$E$11,0)),"-"))</f>
        <v>-</v>
      </c>
      <c r="J460" s="35" t="str">
        <f aca="false">IF(AND(Einstellungen!$B$8="Ja",Einstellungen!$B$9="Effektiv"),$I460,"-")</f>
        <v>-</v>
      </c>
      <c r="K460" s="31" t="n">
        <f aca="false">IF(OR($F460="",$J460="-"),0,ROUND($F460-$F460/(1+$H460),2))</f>
        <v>0</v>
      </c>
      <c r="L460" s="31" t="n">
        <f aca="false">IF($F460="",0,$F460-$K460)</f>
        <v>0</v>
      </c>
      <c r="M460" s="31" t="n">
        <f aca="false">IF($F460="",0,IF($J460="V",$L460,$F460))</f>
        <v>0</v>
      </c>
      <c r="N460" s="31" t="n">
        <f aca="false">IF($F460="",0,IF($J460="U",$L460,$F460))</f>
        <v>0</v>
      </c>
      <c r="O460" s="35" t="str">
        <f aca="false">IF($A460="","",MONTH($A460))</f>
        <v/>
      </c>
      <c r="P460" s="35" t="str">
        <f aca="false">IF($A460="","",ROUNDUP(MONTH($A460)/3,0))</f>
        <v/>
      </c>
      <c r="Q460" s="35" t="str">
        <f aca="false">IF($A460="","",IF(MONTH($A460)&lt;=6,1,2))</f>
        <v/>
      </c>
      <c r="R460" s="35" t="str">
        <f aca="false">IF($E460="","",IFERROR(INDEX(Kontenplan!$F$5:$F$90,MATCH($E460,Kontenplan!$A$5:$A$90,0)),""))</f>
        <v/>
      </c>
      <c r="S460" s="35" t="str">
        <f aca="false">IF($D460="","",IFERROR(INDEX(Kontenplan!$F$5:$F$90,MATCH($D460,Kontenplan!$A$5:$A$90,0)),""))</f>
        <v/>
      </c>
      <c r="T460" s="35" t="str">
        <f aca="false">IF($D460="","",IFERROR(INDEX(Kontenplan!$C$5:$C$90,MATCH($D460,Kontenplan!$A$5:$A$90,0)),"?"))</f>
        <v/>
      </c>
      <c r="U460" s="35" t="str">
        <f aca="false">IF($E460="","",IFERROR(INDEX(Kontenplan!$C$5:$C$90,MATCH($E460,Kontenplan!$A$5:$A$90,0)),"?"))</f>
        <v/>
      </c>
      <c r="V460" s="35" t="str">
        <f aca="false">IF($F460="","",IF(OR($D460="",$E460="",$T460="?",$U460="?"),"Konto prüfen!",IF($A460="","Datum fehlt",IF(YEAR($A460)&lt;&gt;Einstellungen!$B$7,"anderes Jahr!",IF($G460="","MWST-Code fehlt","OK")))))</f>
        <v/>
      </c>
      <c r="W460" s="35" t="str">
        <f aca="false">IF($F460="","",IF(OR($D460=Kontoauszug!$C$4,$E460=Kontoauszug!$C$4),MAX(W$4:W459)+1,""))</f>
        <v/>
      </c>
    </row>
    <row r="461" customFormat="false" ht="15" hidden="false" customHeight="false" outlineLevel="0" collapsed="false">
      <c r="A461" s="33"/>
      <c r="B461" s="32"/>
      <c r="C461" s="32"/>
      <c r="D461" s="32"/>
      <c r="E461" s="32"/>
      <c r="F461" s="30"/>
      <c r="G461" s="32"/>
      <c r="H461" s="34" t="n">
        <f aca="false">IF($G461="",0,IFERROR(INDEX(Einstellungen!$G$5:$G$11,MATCH($G461,Einstellungen!$E$5:$E$11,0)),0))</f>
        <v>0</v>
      </c>
      <c r="I461" s="35" t="str">
        <f aca="false">IF($G461="","-",IFERROR(INDEX(Einstellungen!$H$5:$H$11,MATCH($G461,Einstellungen!$E$5:$E$11,0)),"-"))</f>
        <v>-</v>
      </c>
      <c r="J461" s="35" t="str">
        <f aca="false">IF(AND(Einstellungen!$B$8="Ja",Einstellungen!$B$9="Effektiv"),$I461,"-")</f>
        <v>-</v>
      </c>
      <c r="K461" s="31" t="n">
        <f aca="false">IF(OR($F461="",$J461="-"),0,ROUND($F461-$F461/(1+$H461),2))</f>
        <v>0</v>
      </c>
      <c r="L461" s="31" t="n">
        <f aca="false">IF($F461="",0,$F461-$K461)</f>
        <v>0</v>
      </c>
      <c r="M461" s="31" t="n">
        <f aca="false">IF($F461="",0,IF($J461="V",$L461,$F461))</f>
        <v>0</v>
      </c>
      <c r="N461" s="31" t="n">
        <f aca="false">IF($F461="",0,IF($J461="U",$L461,$F461))</f>
        <v>0</v>
      </c>
      <c r="O461" s="35" t="str">
        <f aca="false">IF($A461="","",MONTH($A461))</f>
        <v/>
      </c>
      <c r="P461" s="35" t="str">
        <f aca="false">IF($A461="","",ROUNDUP(MONTH($A461)/3,0))</f>
        <v/>
      </c>
      <c r="Q461" s="35" t="str">
        <f aca="false">IF($A461="","",IF(MONTH($A461)&lt;=6,1,2))</f>
        <v/>
      </c>
      <c r="R461" s="35" t="str">
        <f aca="false">IF($E461="","",IFERROR(INDEX(Kontenplan!$F$5:$F$90,MATCH($E461,Kontenplan!$A$5:$A$90,0)),""))</f>
        <v/>
      </c>
      <c r="S461" s="35" t="str">
        <f aca="false">IF($D461="","",IFERROR(INDEX(Kontenplan!$F$5:$F$90,MATCH($D461,Kontenplan!$A$5:$A$90,0)),""))</f>
        <v/>
      </c>
      <c r="T461" s="35" t="str">
        <f aca="false">IF($D461="","",IFERROR(INDEX(Kontenplan!$C$5:$C$90,MATCH($D461,Kontenplan!$A$5:$A$90,0)),"?"))</f>
        <v/>
      </c>
      <c r="U461" s="35" t="str">
        <f aca="false">IF($E461="","",IFERROR(INDEX(Kontenplan!$C$5:$C$90,MATCH($E461,Kontenplan!$A$5:$A$90,0)),"?"))</f>
        <v/>
      </c>
      <c r="V461" s="35" t="str">
        <f aca="false">IF($F461="","",IF(OR($D461="",$E461="",$T461="?",$U461="?"),"Konto prüfen!",IF($A461="","Datum fehlt",IF(YEAR($A461)&lt;&gt;Einstellungen!$B$7,"anderes Jahr!",IF($G461="","MWST-Code fehlt","OK")))))</f>
        <v/>
      </c>
      <c r="W461" s="35" t="str">
        <f aca="false">IF($F461="","",IF(OR($D461=Kontoauszug!$C$4,$E461=Kontoauszug!$C$4),MAX(W$4:W460)+1,""))</f>
        <v/>
      </c>
    </row>
    <row r="462" customFormat="false" ht="15" hidden="false" customHeight="false" outlineLevel="0" collapsed="false">
      <c r="A462" s="33"/>
      <c r="B462" s="32"/>
      <c r="C462" s="32"/>
      <c r="D462" s="32"/>
      <c r="E462" s="32"/>
      <c r="F462" s="30"/>
      <c r="G462" s="32"/>
      <c r="H462" s="34" t="n">
        <f aca="false">IF($G462="",0,IFERROR(INDEX(Einstellungen!$G$5:$G$11,MATCH($G462,Einstellungen!$E$5:$E$11,0)),0))</f>
        <v>0</v>
      </c>
      <c r="I462" s="35" t="str">
        <f aca="false">IF($G462="","-",IFERROR(INDEX(Einstellungen!$H$5:$H$11,MATCH($G462,Einstellungen!$E$5:$E$11,0)),"-"))</f>
        <v>-</v>
      </c>
      <c r="J462" s="35" t="str">
        <f aca="false">IF(AND(Einstellungen!$B$8="Ja",Einstellungen!$B$9="Effektiv"),$I462,"-")</f>
        <v>-</v>
      </c>
      <c r="K462" s="31" t="n">
        <f aca="false">IF(OR($F462="",$J462="-"),0,ROUND($F462-$F462/(1+$H462),2))</f>
        <v>0</v>
      </c>
      <c r="L462" s="31" t="n">
        <f aca="false">IF($F462="",0,$F462-$K462)</f>
        <v>0</v>
      </c>
      <c r="M462" s="31" t="n">
        <f aca="false">IF($F462="",0,IF($J462="V",$L462,$F462))</f>
        <v>0</v>
      </c>
      <c r="N462" s="31" t="n">
        <f aca="false">IF($F462="",0,IF($J462="U",$L462,$F462))</f>
        <v>0</v>
      </c>
      <c r="O462" s="35" t="str">
        <f aca="false">IF($A462="","",MONTH($A462))</f>
        <v/>
      </c>
      <c r="P462" s="35" t="str">
        <f aca="false">IF($A462="","",ROUNDUP(MONTH($A462)/3,0))</f>
        <v/>
      </c>
      <c r="Q462" s="35" t="str">
        <f aca="false">IF($A462="","",IF(MONTH($A462)&lt;=6,1,2))</f>
        <v/>
      </c>
      <c r="R462" s="35" t="str">
        <f aca="false">IF($E462="","",IFERROR(INDEX(Kontenplan!$F$5:$F$90,MATCH($E462,Kontenplan!$A$5:$A$90,0)),""))</f>
        <v/>
      </c>
      <c r="S462" s="35" t="str">
        <f aca="false">IF($D462="","",IFERROR(INDEX(Kontenplan!$F$5:$F$90,MATCH($D462,Kontenplan!$A$5:$A$90,0)),""))</f>
        <v/>
      </c>
      <c r="T462" s="35" t="str">
        <f aca="false">IF($D462="","",IFERROR(INDEX(Kontenplan!$C$5:$C$90,MATCH($D462,Kontenplan!$A$5:$A$90,0)),"?"))</f>
        <v/>
      </c>
      <c r="U462" s="35" t="str">
        <f aca="false">IF($E462="","",IFERROR(INDEX(Kontenplan!$C$5:$C$90,MATCH($E462,Kontenplan!$A$5:$A$90,0)),"?"))</f>
        <v/>
      </c>
      <c r="V462" s="35" t="str">
        <f aca="false">IF($F462="","",IF(OR($D462="",$E462="",$T462="?",$U462="?"),"Konto prüfen!",IF($A462="","Datum fehlt",IF(YEAR($A462)&lt;&gt;Einstellungen!$B$7,"anderes Jahr!",IF($G462="","MWST-Code fehlt","OK")))))</f>
        <v/>
      </c>
      <c r="W462" s="35" t="str">
        <f aca="false">IF($F462="","",IF(OR($D462=Kontoauszug!$C$4,$E462=Kontoauszug!$C$4),MAX(W$4:W461)+1,""))</f>
        <v/>
      </c>
    </row>
    <row r="463" customFormat="false" ht="15" hidden="false" customHeight="false" outlineLevel="0" collapsed="false">
      <c r="A463" s="33"/>
      <c r="B463" s="32"/>
      <c r="C463" s="32"/>
      <c r="D463" s="32"/>
      <c r="E463" s="32"/>
      <c r="F463" s="30"/>
      <c r="G463" s="32"/>
      <c r="H463" s="34" t="n">
        <f aca="false">IF($G463="",0,IFERROR(INDEX(Einstellungen!$G$5:$G$11,MATCH($G463,Einstellungen!$E$5:$E$11,0)),0))</f>
        <v>0</v>
      </c>
      <c r="I463" s="35" t="str">
        <f aca="false">IF($G463="","-",IFERROR(INDEX(Einstellungen!$H$5:$H$11,MATCH($G463,Einstellungen!$E$5:$E$11,0)),"-"))</f>
        <v>-</v>
      </c>
      <c r="J463" s="35" t="str">
        <f aca="false">IF(AND(Einstellungen!$B$8="Ja",Einstellungen!$B$9="Effektiv"),$I463,"-")</f>
        <v>-</v>
      </c>
      <c r="K463" s="31" t="n">
        <f aca="false">IF(OR($F463="",$J463="-"),0,ROUND($F463-$F463/(1+$H463),2))</f>
        <v>0</v>
      </c>
      <c r="L463" s="31" t="n">
        <f aca="false">IF($F463="",0,$F463-$K463)</f>
        <v>0</v>
      </c>
      <c r="M463" s="31" t="n">
        <f aca="false">IF($F463="",0,IF($J463="V",$L463,$F463))</f>
        <v>0</v>
      </c>
      <c r="N463" s="31" t="n">
        <f aca="false">IF($F463="",0,IF($J463="U",$L463,$F463))</f>
        <v>0</v>
      </c>
      <c r="O463" s="35" t="str">
        <f aca="false">IF($A463="","",MONTH($A463))</f>
        <v/>
      </c>
      <c r="P463" s="35" t="str">
        <f aca="false">IF($A463="","",ROUNDUP(MONTH($A463)/3,0))</f>
        <v/>
      </c>
      <c r="Q463" s="35" t="str">
        <f aca="false">IF($A463="","",IF(MONTH($A463)&lt;=6,1,2))</f>
        <v/>
      </c>
      <c r="R463" s="35" t="str">
        <f aca="false">IF($E463="","",IFERROR(INDEX(Kontenplan!$F$5:$F$90,MATCH($E463,Kontenplan!$A$5:$A$90,0)),""))</f>
        <v/>
      </c>
      <c r="S463" s="35" t="str">
        <f aca="false">IF($D463="","",IFERROR(INDEX(Kontenplan!$F$5:$F$90,MATCH($D463,Kontenplan!$A$5:$A$90,0)),""))</f>
        <v/>
      </c>
      <c r="T463" s="35" t="str">
        <f aca="false">IF($D463="","",IFERROR(INDEX(Kontenplan!$C$5:$C$90,MATCH($D463,Kontenplan!$A$5:$A$90,0)),"?"))</f>
        <v/>
      </c>
      <c r="U463" s="35" t="str">
        <f aca="false">IF($E463="","",IFERROR(INDEX(Kontenplan!$C$5:$C$90,MATCH($E463,Kontenplan!$A$5:$A$90,0)),"?"))</f>
        <v/>
      </c>
      <c r="V463" s="35" t="str">
        <f aca="false">IF($F463="","",IF(OR($D463="",$E463="",$T463="?",$U463="?"),"Konto prüfen!",IF($A463="","Datum fehlt",IF(YEAR($A463)&lt;&gt;Einstellungen!$B$7,"anderes Jahr!",IF($G463="","MWST-Code fehlt","OK")))))</f>
        <v/>
      </c>
      <c r="W463" s="35" t="str">
        <f aca="false">IF($F463="","",IF(OR($D463=Kontoauszug!$C$4,$E463=Kontoauszug!$C$4),MAX(W$4:W462)+1,""))</f>
        <v/>
      </c>
    </row>
    <row r="464" customFormat="false" ht="15" hidden="false" customHeight="false" outlineLevel="0" collapsed="false">
      <c r="A464" s="33"/>
      <c r="B464" s="32"/>
      <c r="C464" s="32"/>
      <c r="D464" s="32"/>
      <c r="E464" s="32"/>
      <c r="F464" s="30"/>
      <c r="G464" s="32"/>
      <c r="H464" s="34" t="n">
        <f aca="false">IF($G464="",0,IFERROR(INDEX(Einstellungen!$G$5:$G$11,MATCH($G464,Einstellungen!$E$5:$E$11,0)),0))</f>
        <v>0</v>
      </c>
      <c r="I464" s="35" t="str">
        <f aca="false">IF($G464="","-",IFERROR(INDEX(Einstellungen!$H$5:$H$11,MATCH($G464,Einstellungen!$E$5:$E$11,0)),"-"))</f>
        <v>-</v>
      </c>
      <c r="J464" s="35" t="str">
        <f aca="false">IF(AND(Einstellungen!$B$8="Ja",Einstellungen!$B$9="Effektiv"),$I464,"-")</f>
        <v>-</v>
      </c>
      <c r="K464" s="31" t="n">
        <f aca="false">IF(OR($F464="",$J464="-"),0,ROUND($F464-$F464/(1+$H464),2))</f>
        <v>0</v>
      </c>
      <c r="L464" s="31" t="n">
        <f aca="false">IF($F464="",0,$F464-$K464)</f>
        <v>0</v>
      </c>
      <c r="M464" s="31" t="n">
        <f aca="false">IF($F464="",0,IF($J464="V",$L464,$F464))</f>
        <v>0</v>
      </c>
      <c r="N464" s="31" t="n">
        <f aca="false">IF($F464="",0,IF($J464="U",$L464,$F464))</f>
        <v>0</v>
      </c>
      <c r="O464" s="35" t="str">
        <f aca="false">IF($A464="","",MONTH($A464))</f>
        <v/>
      </c>
      <c r="P464" s="35" t="str">
        <f aca="false">IF($A464="","",ROUNDUP(MONTH($A464)/3,0))</f>
        <v/>
      </c>
      <c r="Q464" s="35" t="str">
        <f aca="false">IF($A464="","",IF(MONTH($A464)&lt;=6,1,2))</f>
        <v/>
      </c>
      <c r="R464" s="35" t="str">
        <f aca="false">IF($E464="","",IFERROR(INDEX(Kontenplan!$F$5:$F$90,MATCH($E464,Kontenplan!$A$5:$A$90,0)),""))</f>
        <v/>
      </c>
      <c r="S464" s="35" t="str">
        <f aca="false">IF($D464="","",IFERROR(INDEX(Kontenplan!$F$5:$F$90,MATCH($D464,Kontenplan!$A$5:$A$90,0)),""))</f>
        <v/>
      </c>
      <c r="T464" s="35" t="str">
        <f aca="false">IF($D464="","",IFERROR(INDEX(Kontenplan!$C$5:$C$90,MATCH($D464,Kontenplan!$A$5:$A$90,0)),"?"))</f>
        <v/>
      </c>
      <c r="U464" s="35" t="str">
        <f aca="false">IF($E464="","",IFERROR(INDEX(Kontenplan!$C$5:$C$90,MATCH($E464,Kontenplan!$A$5:$A$90,0)),"?"))</f>
        <v/>
      </c>
      <c r="V464" s="35" t="str">
        <f aca="false">IF($F464="","",IF(OR($D464="",$E464="",$T464="?",$U464="?"),"Konto prüfen!",IF($A464="","Datum fehlt",IF(YEAR($A464)&lt;&gt;Einstellungen!$B$7,"anderes Jahr!",IF($G464="","MWST-Code fehlt","OK")))))</f>
        <v/>
      </c>
      <c r="W464" s="35" t="str">
        <f aca="false">IF($F464="","",IF(OR($D464=Kontoauszug!$C$4,$E464=Kontoauszug!$C$4),MAX(W$4:W463)+1,""))</f>
        <v/>
      </c>
    </row>
    <row r="465" customFormat="false" ht="15" hidden="false" customHeight="false" outlineLevel="0" collapsed="false">
      <c r="A465" s="33"/>
      <c r="B465" s="32"/>
      <c r="C465" s="32"/>
      <c r="D465" s="32"/>
      <c r="E465" s="32"/>
      <c r="F465" s="30"/>
      <c r="G465" s="32"/>
      <c r="H465" s="34" t="n">
        <f aca="false">IF($G465="",0,IFERROR(INDEX(Einstellungen!$G$5:$G$11,MATCH($G465,Einstellungen!$E$5:$E$11,0)),0))</f>
        <v>0</v>
      </c>
      <c r="I465" s="35" t="str">
        <f aca="false">IF($G465="","-",IFERROR(INDEX(Einstellungen!$H$5:$H$11,MATCH($G465,Einstellungen!$E$5:$E$11,0)),"-"))</f>
        <v>-</v>
      </c>
      <c r="J465" s="35" t="str">
        <f aca="false">IF(AND(Einstellungen!$B$8="Ja",Einstellungen!$B$9="Effektiv"),$I465,"-")</f>
        <v>-</v>
      </c>
      <c r="K465" s="31" t="n">
        <f aca="false">IF(OR($F465="",$J465="-"),0,ROUND($F465-$F465/(1+$H465),2))</f>
        <v>0</v>
      </c>
      <c r="L465" s="31" t="n">
        <f aca="false">IF($F465="",0,$F465-$K465)</f>
        <v>0</v>
      </c>
      <c r="M465" s="31" t="n">
        <f aca="false">IF($F465="",0,IF($J465="V",$L465,$F465))</f>
        <v>0</v>
      </c>
      <c r="N465" s="31" t="n">
        <f aca="false">IF($F465="",0,IF($J465="U",$L465,$F465))</f>
        <v>0</v>
      </c>
      <c r="O465" s="35" t="str">
        <f aca="false">IF($A465="","",MONTH($A465))</f>
        <v/>
      </c>
      <c r="P465" s="35" t="str">
        <f aca="false">IF($A465="","",ROUNDUP(MONTH($A465)/3,0))</f>
        <v/>
      </c>
      <c r="Q465" s="35" t="str">
        <f aca="false">IF($A465="","",IF(MONTH($A465)&lt;=6,1,2))</f>
        <v/>
      </c>
      <c r="R465" s="35" t="str">
        <f aca="false">IF($E465="","",IFERROR(INDEX(Kontenplan!$F$5:$F$90,MATCH($E465,Kontenplan!$A$5:$A$90,0)),""))</f>
        <v/>
      </c>
      <c r="S465" s="35" t="str">
        <f aca="false">IF($D465="","",IFERROR(INDEX(Kontenplan!$F$5:$F$90,MATCH($D465,Kontenplan!$A$5:$A$90,0)),""))</f>
        <v/>
      </c>
      <c r="T465" s="35" t="str">
        <f aca="false">IF($D465="","",IFERROR(INDEX(Kontenplan!$C$5:$C$90,MATCH($D465,Kontenplan!$A$5:$A$90,0)),"?"))</f>
        <v/>
      </c>
      <c r="U465" s="35" t="str">
        <f aca="false">IF($E465="","",IFERROR(INDEX(Kontenplan!$C$5:$C$90,MATCH($E465,Kontenplan!$A$5:$A$90,0)),"?"))</f>
        <v/>
      </c>
      <c r="V465" s="35" t="str">
        <f aca="false">IF($F465="","",IF(OR($D465="",$E465="",$T465="?",$U465="?"),"Konto prüfen!",IF($A465="","Datum fehlt",IF(YEAR($A465)&lt;&gt;Einstellungen!$B$7,"anderes Jahr!",IF($G465="","MWST-Code fehlt","OK")))))</f>
        <v/>
      </c>
      <c r="W465" s="35" t="str">
        <f aca="false">IF($F465="","",IF(OR($D465=Kontoauszug!$C$4,$E465=Kontoauszug!$C$4),MAX(W$4:W464)+1,""))</f>
        <v/>
      </c>
    </row>
    <row r="466" customFormat="false" ht="15" hidden="false" customHeight="false" outlineLevel="0" collapsed="false">
      <c r="A466" s="33"/>
      <c r="B466" s="32"/>
      <c r="C466" s="32"/>
      <c r="D466" s="32"/>
      <c r="E466" s="32"/>
      <c r="F466" s="30"/>
      <c r="G466" s="32"/>
      <c r="H466" s="34" t="n">
        <f aca="false">IF($G466="",0,IFERROR(INDEX(Einstellungen!$G$5:$G$11,MATCH($G466,Einstellungen!$E$5:$E$11,0)),0))</f>
        <v>0</v>
      </c>
      <c r="I466" s="35" t="str">
        <f aca="false">IF($G466="","-",IFERROR(INDEX(Einstellungen!$H$5:$H$11,MATCH($G466,Einstellungen!$E$5:$E$11,0)),"-"))</f>
        <v>-</v>
      </c>
      <c r="J466" s="35" t="str">
        <f aca="false">IF(AND(Einstellungen!$B$8="Ja",Einstellungen!$B$9="Effektiv"),$I466,"-")</f>
        <v>-</v>
      </c>
      <c r="K466" s="31" t="n">
        <f aca="false">IF(OR($F466="",$J466="-"),0,ROUND($F466-$F466/(1+$H466),2))</f>
        <v>0</v>
      </c>
      <c r="L466" s="31" t="n">
        <f aca="false">IF($F466="",0,$F466-$K466)</f>
        <v>0</v>
      </c>
      <c r="M466" s="31" t="n">
        <f aca="false">IF($F466="",0,IF($J466="V",$L466,$F466))</f>
        <v>0</v>
      </c>
      <c r="N466" s="31" t="n">
        <f aca="false">IF($F466="",0,IF($J466="U",$L466,$F466))</f>
        <v>0</v>
      </c>
      <c r="O466" s="35" t="str">
        <f aca="false">IF($A466="","",MONTH($A466))</f>
        <v/>
      </c>
      <c r="P466" s="35" t="str">
        <f aca="false">IF($A466="","",ROUNDUP(MONTH($A466)/3,0))</f>
        <v/>
      </c>
      <c r="Q466" s="35" t="str">
        <f aca="false">IF($A466="","",IF(MONTH($A466)&lt;=6,1,2))</f>
        <v/>
      </c>
      <c r="R466" s="35" t="str">
        <f aca="false">IF($E466="","",IFERROR(INDEX(Kontenplan!$F$5:$F$90,MATCH($E466,Kontenplan!$A$5:$A$90,0)),""))</f>
        <v/>
      </c>
      <c r="S466" s="35" t="str">
        <f aca="false">IF($D466="","",IFERROR(INDEX(Kontenplan!$F$5:$F$90,MATCH($D466,Kontenplan!$A$5:$A$90,0)),""))</f>
        <v/>
      </c>
      <c r="T466" s="35" t="str">
        <f aca="false">IF($D466="","",IFERROR(INDEX(Kontenplan!$C$5:$C$90,MATCH($D466,Kontenplan!$A$5:$A$90,0)),"?"))</f>
        <v/>
      </c>
      <c r="U466" s="35" t="str">
        <f aca="false">IF($E466="","",IFERROR(INDEX(Kontenplan!$C$5:$C$90,MATCH($E466,Kontenplan!$A$5:$A$90,0)),"?"))</f>
        <v/>
      </c>
      <c r="V466" s="35" t="str">
        <f aca="false">IF($F466="","",IF(OR($D466="",$E466="",$T466="?",$U466="?"),"Konto prüfen!",IF($A466="","Datum fehlt",IF(YEAR($A466)&lt;&gt;Einstellungen!$B$7,"anderes Jahr!",IF($G466="","MWST-Code fehlt","OK")))))</f>
        <v/>
      </c>
      <c r="W466" s="35" t="str">
        <f aca="false">IF($F466="","",IF(OR($D466=Kontoauszug!$C$4,$E466=Kontoauszug!$C$4),MAX(W$4:W465)+1,""))</f>
        <v/>
      </c>
    </row>
    <row r="467" customFormat="false" ht="15" hidden="false" customHeight="false" outlineLevel="0" collapsed="false">
      <c r="A467" s="33"/>
      <c r="B467" s="32"/>
      <c r="C467" s="32"/>
      <c r="D467" s="32"/>
      <c r="E467" s="32"/>
      <c r="F467" s="30"/>
      <c r="G467" s="32"/>
      <c r="H467" s="34" t="n">
        <f aca="false">IF($G467="",0,IFERROR(INDEX(Einstellungen!$G$5:$G$11,MATCH($G467,Einstellungen!$E$5:$E$11,0)),0))</f>
        <v>0</v>
      </c>
      <c r="I467" s="35" t="str">
        <f aca="false">IF($G467="","-",IFERROR(INDEX(Einstellungen!$H$5:$H$11,MATCH($G467,Einstellungen!$E$5:$E$11,0)),"-"))</f>
        <v>-</v>
      </c>
      <c r="J467" s="35" t="str">
        <f aca="false">IF(AND(Einstellungen!$B$8="Ja",Einstellungen!$B$9="Effektiv"),$I467,"-")</f>
        <v>-</v>
      </c>
      <c r="K467" s="31" t="n">
        <f aca="false">IF(OR($F467="",$J467="-"),0,ROUND($F467-$F467/(1+$H467),2))</f>
        <v>0</v>
      </c>
      <c r="L467" s="31" t="n">
        <f aca="false">IF($F467="",0,$F467-$K467)</f>
        <v>0</v>
      </c>
      <c r="M467" s="31" t="n">
        <f aca="false">IF($F467="",0,IF($J467="V",$L467,$F467))</f>
        <v>0</v>
      </c>
      <c r="N467" s="31" t="n">
        <f aca="false">IF($F467="",0,IF($J467="U",$L467,$F467))</f>
        <v>0</v>
      </c>
      <c r="O467" s="35" t="str">
        <f aca="false">IF($A467="","",MONTH($A467))</f>
        <v/>
      </c>
      <c r="P467" s="35" t="str">
        <f aca="false">IF($A467="","",ROUNDUP(MONTH($A467)/3,0))</f>
        <v/>
      </c>
      <c r="Q467" s="35" t="str">
        <f aca="false">IF($A467="","",IF(MONTH($A467)&lt;=6,1,2))</f>
        <v/>
      </c>
      <c r="R467" s="35" t="str">
        <f aca="false">IF($E467="","",IFERROR(INDEX(Kontenplan!$F$5:$F$90,MATCH($E467,Kontenplan!$A$5:$A$90,0)),""))</f>
        <v/>
      </c>
      <c r="S467" s="35" t="str">
        <f aca="false">IF($D467="","",IFERROR(INDEX(Kontenplan!$F$5:$F$90,MATCH($D467,Kontenplan!$A$5:$A$90,0)),""))</f>
        <v/>
      </c>
      <c r="T467" s="35" t="str">
        <f aca="false">IF($D467="","",IFERROR(INDEX(Kontenplan!$C$5:$C$90,MATCH($D467,Kontenplan!$A$5:$A$90,0)),"?"))</f>
        <v/>
      </c>
      <c r="U467" s="35" t="str">
        <f aca="false">IF($E467="","",IFERROR(INDEX(Kontenplan!$C$5:$C$90,MATCH($E467,Kontenplan!$A$5:$A$90,0)),"?"))</f>
        <v/>
      </c>
      <c r="V467" s="35" t="str">
        <f aca="false">IF($F467="","",IF(OR($D467="",$E467="",$T467="?",$U467="?"),"Konto prüfen!",IF($A467="","Datum fehlt",IF(YEAR($A467)&lt;&gt;Einstellungen!$B$7,"anderes Jahr!",IF($G467="","MWST-Code fehlt","OK")))))</f>
        <v/>
      </c>
      <c r="W467" s="35" t="str">
        <f aca="false">IF($F467="","",IF(OR($D467=Kontoauszug!$C$4,$E467=Kontoauszug!$C$4),MAX(W$4:W466)+1,""))</f>
        <v/>
      </c>
    </row>
    <row r="468" customFormat="false" ht="15" hidden="false" customHeight="false" outlineLevel="0" collapsed="false">
      <c r="A468" s="33"/>
      <c r="B468" s="32"/>
      <c r="C468" s="32"/>
      <c r="D468" s="32"/>
      <c r="E468" s="32"/>
      <c r="F468" s="30"/>
      <c r="G468" s="32"/>
      <c r="H468" s="34" t="n">
        <f aca="false">IF($G468="",0,IFERROR(INDEX(Einstellungen!$G$5:$G$11,MATCH($G468,Einstellungen!$E$5:$E$11,0)),0))</f>
        <v>0</v>
      </c>
      <c r="I468" s="35" t="str">
        <f aca="false">IF($G468="","-",IFERROR(INDEX(Einstellungen!$H$5:$H$11,MATCH($G468,Einstellungen!$E$5:$E$11,0)),"-"))</f>
        <v>-</v>
      </c>
      <c r="J468" s="35" t="str">
        <f aca="false">IF(AND(Einstellungen!$B$8="Ja",Einstellungen!$B$9="Effektiv"),$I468,"-")</f>
        <v>-</v>
      </c>
      <c r="K468" s="31" t="n">
        <f aca="false">IF(OR($F468="",$J468="-"),0,ROUND($F468-$F468/(1+$H468),2))</f>
        <v>0</v>
      </c>
      <c r="L468" s="31" t="n">
        <f aca="false">IF($F468="",0,$F468-$K468)</f>
        <v>0</v>
      </c>
      <c r="M468" s="31" t="n">
        <f aca="false">IF($F468="",0,IF($J468="V",$L468,$F468))</f>
        <v>0</v>
      </c>
      <c r="N468" s="31" t="n">
        <f aca="false">IF($F468="",0,IF($J468="U",$L468,$F468))</f>
        <v>0</v>
      </c>
      <c r="O468" s="35" t="str">
        <f aca="false">IF($A468="","",MONTH($A468))</f>
        <v/>
      </c>
      <c r="P468" s="35" t="str">
        <f aca="false">IF($A468="","",ROUNDUP(MONTH($A468)/3,0))</f>
        <v/>
      </c>
      <c r="Q468" s="35" t="str">
        <f aca="false">IF($A468="","",IF(MONTH($A468)&lt;=6,1,2))</f>
        <v/>
      </c>
      <c r="R468" s="35" t="str">
        <f aca="false">IF($E468="","",IFERROR(INDEX(Kontenplan!$F$5:$F$90,MATCH($E468,Kontenplan!$A$5:$A$90,0)),""))</f>
        <v/>
      </c>
      <c r="S468" s="35" t="str">
        <f aca="false">IF($D468="","",IFERROR(INDEX(Kontenplan!$F$5:$F$90,MATCH($D468,Kontenplan!$A$5:$A$90,0)),""))</f>
        <v/>
      </c>
      <c r="T468" s="35" t="str">
        <f aca="false">IF($D468="","",IFERROR(INDEX(Kontenplan!$C$5:$C$90,MATCH($D468,Kontenplan!$A$5:$A$90,0)),"?"))</f>
        <v/>
      </c>
      <c r="U468" s="35" t="str">
        <f aca="false">IF($E468="","",IFERROR(INDEX(Kontenplan!$C$5:$C$90,MATCH($E468,Kontenplan!$A$5:$A$90,0)),"?"))</f>
        <v/>
      </c>
      <c r="V468" s="35" t="str">
        <f aca="false">IF($F468="","",IF(OR($D468="",$E468="",$T468="?",$U468="?"),"Konto prüfen!",IF($A468="","Datum fehlt",IF(YEAR($A468)&lt;&gt;Einstellungen!$B$7,"anderes Jahr!",IF($G468="","MWST-Code fehlt","OK")))))</f>
        <v/>
      </c>
      <c r="W468" s="35" t="str">
        <f aca="false">IF($F468="","",IF(OR($D468=Kontoauszug!$C$4,$E468=Kontoauszug!$C$4),MAX(W$4:W467)+1,""))</f>
        <v/>
      </c>
    </row>
    <row r="469" customFormat="false" ht="15" hidden="false" customHeight="false" outlineLevel="0" collapsed="false">
      <c r="A469" s="33"/>
      <c r="B469" s="32"/>
      <c r="C469" s="32"/>
      <c r="D469" s="32"/>
      <c r="E469" s="32"/>
      <c r="F469" s="30"/>
      <c r="G469" s="32"/>
      <c r="H469" s="34" t="n">
        <f aca="false">IF($G469="",0,IFERROR(INDEX(Einstellungen!$G$5:$G$11,MATCH($G469,Einstellungen!$E$5:$E$11,0)),0))</f>
        <v>0</v>
      </c>
      <c r="I469" s="35" t="str">
        <f aca="false">IF($G469="","-",IFERROR(INDEX(Einstellungen!$H$5:$H$11,MATCH($G469,Einstellungen!$E$5:$E$11,0)),"-"))</f>
        <v>-</v>
      </c>
      <c r="J469" s="35" t="str">
        <f aca="false">IF(AND(Einstellungen!$B$8="Ja",Einstellungen!$B$9="Effektiv"),$I469,"-")</f>
        <v>-</v>
      </c>
      <c r="K469" s="31" t="n">
        <f aca="false">IF(OR($F469="",$J469="-"),0,ROUND($F469-$F469/(1+$H469),2))</f>
        <v>0</v>
      </c>
      <c r="L469" s="31" t="n">
        <f aca="false">IF($F469="",0,$F469-$K469)</f>
        <v>0</v>
      </c>
      <c r="M469" s="31" t="n">
        <f aca="false">IF($F469="",0,IF($J469="V",$L469,$F469))</f>
        <v>0</v>
      </c>
      <c r="N469" s="31" t="n">
        <f aca="false">IF($F469="",0,IF($J469="U",$L469,$F469))</f>
        <v>0</v>
      </c>
      <c r="O469" s="35" t="str">
        <f aca="false">IF($A469="","",MONTH($A469))</f>
        <v/>
      </c>
      <c r="P469" s="35" t="str">
        <f aca="false">IF($A469="","",ROUNDUP(MONTH($A469)/3,0))</f>
        <v/>
      </c>
      <c r="Q469" s="35" t="str">
        <f aca="false">IF($A469="","",IF(MONTH($A469)&lt;=6,1,2))</f>
        <v/>
      </c>
      <c r="R469" s="35" t="str">
        <f aca="false">IF($E469="","",IFERROR(INDEX(Kontenplan!$F$5:$F$90,MATCH($E469,Kontenplan!$A$5:$A$90,0)),""))</f>
        <v/>
      </c>
      <c r="S469" s="35" t="str">
        <f aca="false">IF($D469="","",IFERROR(INDEX(Kontenplan!$F$5:$F$90,MATCH($D469,Kontenplan!$A$5:$A$90,0)),""))</f>
        <v/>
      </c>
      <c r="T469" s="35" t="str">
        <f aca="false">IF($D469="","",IFERROR(INDEX(Kontenplan!$C$5:$C$90,MATCH($D469,Kontenplan!$A$5:$A$90,0)),"?"))</f>
        <v/>
      </c>
      <c r="U469" s="35" t="str">
        <f aca="false">IF($E469="","",IFERROR(INDEX(Kontenplan!$C$5:$C$90,MATCH($E469,Kontenplan!$A$5:$A$90,0)),"?"))</f>
        <v/>
      </c>
      <c r="V469" s="35" t="str">
        <f aca="false">IF($F469="","",IF(OR($D469="",$E469="",$T469="?",$U469="?"),"Konto prüfen!",IF($A469="","Datum fehlt",IF(YEAR($A469)&lt;&gt;Einstellungen!$B$7,"anderes Jahr!",IF($G469="","MWST-Code fehlt","OK")))))</f>
        <v/>
      </c>
      <c r="W469" s="35" t="str">
        <f aca="false">IF($F469="","",IF(OR($D469=Kontoauszug!$C$4,$E469=Kontoauszug!$C$4),MAX(W$4:W468)+1,""))</f>
        <v/>
      </c>
    </row>
    <row r="470" customFormat="false" ht="15" hidden="false" customHeight="false" outlineLevel="0" collapsed="false">
      <c r="A470" s="33"/>
      <c r="B470" s="32"/>
      <c r="C470" s="32"/>
      <c r="D470" s="32"/>
      <c r="E470" s="32"/>
      <c r="F470" s="30"/>
      <c r="G470" s="32"/>
      <c r="H470" s="34" t="n">
        <f aca="false">IF($G470="",0,IFERROR(INDEX(Einstellungen!$G$5:$G$11,MATCH($G470,Einstellungen!$E$5:$E$11,0)),0))</f>
        <v>0</v>
      </c>
      <c r="I470" s="35" t="str">
        <f aca="false">IF($G470="","-",IFERROR(INDEX(Einstellungen!$H$5:$H$11,MATCH($G470,Einstellungen!$E$5:$E$11,0)),"-"))</f>
        <v>-</v>
      </c>
      <c r="J470" s="35" t="str">
        <f aca="false">IF(AND(Einstellungen!$B$8="Ja",Einstellungen!$B$9="Effektiv"),$I470,"-")</f>
        <v>-</v>
      </c>
      <c r="K470" s="31" t="n">
        <f aca="false">IF(OR($F470="",$J470="-"),0,ROUND($F470-$F470/(1+$H470),2))</f>
        <v>0</v>
      </c>
      <c r="L470" s="31" t="n">
        <f aca="false">IF($F470="",0,$F470-$K470)</f>
        <v>0</v>
      </c>
      <c r="M470" s="31" t="n">
        <f aca="false">IF($F470="",0,IF($J470="V",$L470,$F470))</f>
        <v>0</v>
      </c>
      <c r="N470" s="31" t="n">
        <f aca="false">IF($F470="",0,IF($J470="U",$L470,$F470))</f>
        <v>0</v>
      </c>
      <c r="O470" s="35" t="str">
        <f aca="false">IF($A470="","",MONTH($A470))</f>
        <v/>
      </c>
      <c r="P470" s="35" t="str">
        <f aca="false">IF($A470="","",ROUNDUP(MONTH($A470)/3,0))</f>
        <v/>
      </c>
      <c r="Q470" s="35" t="str">
        <f aca="false">IF($A470="","",IF(MONTH($A470)&lt;=6,1,2))</f>
        <v/>
      </c>
      <c r="R470" s="35" t="str">
        <f aca="false">IF($E470="","",IFERROR(INDEX(Kontenplan!$F$5:$F$90,MATCH($E470,Kontenplan!$A$5:$A$90,0)),""))</f>
        <v/>
      </c>
      <c r="S470" s="35" t="str">
        <f aca="false">IF($D470="","",IFERROR(INDEX(Kontenplan!$F$5:$F$90,MATCH($D470,Kontenplan!$A$5:$A$90,0)),""))</f>
        <v/>
      </c>
      <c r="T470" s="35" t="str">
        <f aca="false">IF($D470="","",IFERROR(INDEX(Kontenplan!$C$5:$C$90,MATCH($D470,Kontenplan!$A$5:$A$90,0)),"?"))</f>
        <v/>
      </c>
      <c r="U470" s="35" t="str">
        <f aca="false">IF($E470="","",IFERROR(INDEX(Kontenplan!$C$5:$C$90,MATCH($E470,Kontenplan!$A$5:$A$90,0)),"?"))</f>
        <v/>
      </c>
      <c r="V470" s="35" t="str">
        <f aca="false">IF($F470="","",IF(OR($D470="",$E470="",$T470="?",$U470="?"),"Konto prüfen!",IF($A470="","Datum fehlt",IF(YEAR($A470)&lt;&gt;Einstellungen!$B$7,"anderes Jahr!",IF($G470="","MWST-Code fehlt","OK")))))</f>
        <v/>
      </c>
      <c r="W470" s="35" t="str">
        <f aca="false">IF($F470="","",IF(OR($D470=Kontoauszug!$C$4,$E470=Kontoauszug!$C$4),MAX(W$4:W469)+1,""))</f>
        <v/>
      </c>
    </row>
    <row r="471" customFormat="false" ht="15" hidden="false" customHeight="false" outlineLevel="0" collapsed="false">
      <c r="A471" s="33"/>
      <c r="B471" s="32"/>
      <c r="C471" s="32"/>
      <c r="D471" s="32"/>
      <c r="E471" s="32"/>
      <c r="F471" s="30"/>
      <c r="G471" s="32"/>
      <c r="H471" s="34" t="n">
        <f aca="false">IF($G471="",0,IFERROR(INDEX(Einstellungen!$G$5:$G$11,MATCH($G471,Einstellungen!$E$5:$E$11,0)),0))</f>
        <v>0</v>
      </c>
      <c r="I471" s="35" t="str">
        <f aca="false">IF($G471="","-",IFERROR(INDEX(Einstellungen!$H$5:$H$11,MATCH($G471,Einstellungen!$E$5:$E$11,0)),"-"))</f>
        <v>-</v>
      </c>
      <c r="J471" s="35" t="str">
        <f aca="false">IF(AND(Einstellungen!$B$8="Ja",Einstellungen!$B$9="Effektiv"),$I471,"-")</f>
        <v>-</v>
      </c>
      <c r="K471" s="31" t="n">
        <f aca="false">IF(OR($F471="",$J471="-"),0,ROUND($F471-$F471/(1+$H471),2))</f>
        <v>0</v>
      </c>
      <c r="L471" s="31" t="n">
        <f aca="false">IF($F471="",0,$F471-$K471)</f>
        <v>0</v>
      </c>
      <c r="M471" s="31" t="n">
        <f aca="false">IF($F471="",0,IF($J471="V",$L471,$F471))</f>
        <v>0</v>
      </c>
      <c r="N471" s="31" t="n">
        <f aca="false">IF($F471="",0,IF($J471="U",$L471,$F471))</f>
        <v>0</v>
      </c>
      <c r="O471" s="35" t="str">
        <f aca="false">IF($A471="","",MONTH($A471))</f>
        <v/>
      </c>
      <c r="P471" s="35" t="str">
        <f aca="false">IF($A471="","",ROUNDUP(MONTH($A471)/3,0))</f>
        <v/>
      </c>
      <c r="Q471" s="35" t="str">
        <f aca="false">IF($A471="","",IF(MONTH($A471)&lt;=6,1,2))</f>
        <v/>
      </c>
      <c r="R471" s="35" t="str">
        <f aca="false">IF($E471="","",IFERROR(INDEX(Kontenplan!$F$5:$F$90,MATCH($E471,Kontenplan!$A$5:$A$90,0)),""))</f>
        <v/>
      </c>
      <c r="S471" s="35" t="str">
        <f aca="false">IF($D471="","",IFERROR(INDEX(Kontenplan!$F$5:$F$90,MATCH($D471,Kontenplan!$A$5:$A$90,0)),""))</f>
        <v/>
      </c>
      <c r="T471" s="35" t="str">
        <f aca="false">IF($D471="","",IFERROR(INDEX(Kontenplan!$C$5:$C$90,MATCH($D471,Kontenplan!$A$5:$A$90,0)),"?"))</f>
        <v/>
      </c>
      <c r="U471" s="35" t="str">
        <f aca="false">IF($E471="","",IFERROR(INDEX(Kontenplan!$C$5:$C$90,MATCH($E471,Kontenplan!$A$5:$A$90,0)),"?"))</f>
        <v/>
      </c>
      <c r="V471" s="35" t="str">
        <f aca="false">IF($F471="","",IF(OR($D471="",$E471="",$T471="?",$U471="?"),"Konto prüfen!",IF($A471="","Datum fehlt",IF(YEAR($A471)&lt;&gt;Einstellungen!$B$7,"anderes Jahr!",IF($G471="","MWST-Code fehlt","OK")))))</f>
        <v/>
      </c>
      <c r="W471" s="35" t="str">
        <f aca="false">IF($F471="","",IF(OR($D471=Kontoauszug!$C$4,$E471=Kontoauszug!$C$4),MAX(W$4:W470)+1,""))</f>
        <v/>
      </c>
    </row>
    <row r="472" customFormat="false" ht="15" hidden="false" customHeight="false" outlineLevel="0" collapsed="false">
      <c r="A472" s="33"/>
      <c r="B472" s="32"/>
      <c r="C472" s="32"/>
      <c r="D472" s="32"/>
      <c r="E472" s="32"/>
      <c r="F472" s="30"/>
      <c r="G472" s="32"/>
      <c r="H472" s="34" t="n">
        <f aca="false">IF($G472="",0,IFERROR(INDEX(Einstellungen!$G$5:$G$11,MATCH($G472,Einstellungen!$E$5:$E$11,0)),0))</f>
        <v>0</v>
      </c>
      <c r="I472" s="35" t="str">
        <f aca="false">IF($G472="","-",IFERROR(INDEX(Einstellungen!$H$5:$H$11,MATCH($G472,Einstellungen!$E$5:$E$11,0)),"-"))</f>
        <v>-</v>
      </c>
      <c r="J472" s="35" t="str">
        <f aca="false">IF(AND(Einstellungen!$B$8="Ja",Einstellungen!$B$9="Effektiv"),$I472,"-")</f>
        <v>-</v>
      </c>
      <c r="K472" s="31" t="n">
        <f aca="false">IF(OR($F472="",$J472="-"),0,ROUND($F472-$F472/(1+$H472),2))</f>
        <v>0</v>
      </c>
      <c r="L472" s="31" t="n">
        <f aca="false">IF($F472="",0,$F472-$K472)</f>
        <v>0</v>
      </c>
      <c r="M472" s="31" t="n">
        <f aca="false">IF($F472="",0,IF($J472="V",$L472,$F472))</f>
        <v>0</v>
      </c>
      <c r="N472" s="31" t="n">
        <f aca="false">IF($F472="",0,IF($J472="U",$L472,$F472))</f>
        <v>0</v>
      </c>
      <c r="O472" s="35" t="str">
        <f aca="false">IF($A472="","",MONTH($A472))</f>
        <v/>
      </c>
      <c r="P472" s="35" t="str">
        <f aca="false">IF($A472="","",ROUNDUP(MONTH($A472)/3,0))</f>
        <v/>
      </c>
      <c r="Q472" s="35" t="str">
        <f aca="false">IF($A472="","",IF(MONTH($A472)&lt;=6,1,2))</f>
        <v/>
      </c>
      <c r="R472" s="35" t="str">
        <f aca="false">IF($E472="","",IFERROR(INDEX(Kontenplan!$F$5:$F$90,MATCH($E472,Kontenplan!$A$5:$A$90,0)),""))</f>
        <v/>
      </c>
      <c r="S472" s="35" t="str">
        <f aca="false">IF($D472="","",IFERROR(INDEX(Kontenplan!$F$5:$F$90,MATCH($D472,Kontenplan!$A$5:$A$90,0)),""))</f>
        <v/>
      </c>
      <c r="T472" s="35" t="str">
        <f aca="false">IF($D472="","",IFERROR(INDEX(Kontenplan!$C$5:$C$90,MATCH($D472,Kontenplan!$A$5:$A$90,0)),"?"))</f>
        <v/>
      </c>
      <c r="U472" s="35" t="str">
        <f aca="false">IF($E472="","",IFERROR(INDEX(Kontenplan!$C$5:$C$90,MATCH($E472,Kontenplan!$A$5:$A$90,0)),"?"))</f>
        <v/>
      </c>
      <c r="V472" s="35" t="str">
        <f aca="false">IF($F472="","",IF(OR($D472="",$E472="",$T472="?",$U472="?"),"Konto prüfen!",IF($A472="","Datum fehlt",IF(YEAR($A472)&lt;&gt;Einstellungen!$B$7,"anderes Jahr!",IF($G472="","MWST-Code fehlt","OK")))))</f>
        <v/>
      </c>
      <c r="W472" s="35" t="str">
        <f aca="false">IF($F472="","",IF(OR($D472=Kontoauszug!$C$4,$E472=Kontoauszug!$C$4),MAX(W$4:W471)+1,""))</f>
        <v/>
      </c>
    </row>
    <row r="473" customFormat="false" ht="15" hidden="false" customHeight="false" outlineLevel="0" collapsed="false">
      <c r="A473" s="33"/>
      <c r="B473" s="32"/>
      <c r="C473" s="32"/>
      <c r="D473" s="32"/>
      <c r="E473" s="32"/>
      <c r="F473" s="30"/>
      <c r="G473" s="32"/>
      <c r="H473" s="34" t="n">
        <f aca="false">IF($G473="",0,IFERROR(INDEX(Einstellungen!$G$5:$G$11,MATCH($G473,Einstellungen!$E$5:$E$11,0)),0))</f>
        <v>0</v>
      </c>
      <c r="I473" s="35" t="str">
        <f aca="false">IF($G473="","-",IFERROR(INDEX(Einstellungen!$H$5:$H$11,MATCH($G473,Einstellungen!$E$5:$E$11,0)),"-"))</f>
        <v>-</v>
      </c>
      <c r="J473" s="35" t="str">
        <f aca="false">IF(AND(Einstellungen!$B$8="Ja",Einstellungen!$B$9="Effektiv"),$I473,"-")</f>
        <v>-</v>
      </c>
      <c r="K473" s="31" t="n">
        <f aca="false">IF(OR($F473="",$J473="-"),0,ROUND($F473-$F473/(1+$H473),2))</f>
        <v>0</v>
      </c>
      <c r="L473" s="31" t="n">
        <f aca="false">IF($F473="",0,$F473-$K473)</f>
        <v>0</v>
      </c>
      <c r="M473" s="31" t="n">
        <f aca="false">IF($F473="",0,IF($J473="V",$L473,$F473))</f>
        <v>0</v>
      </c>
      <c r="N473" s="31" t="n">
        <f aca="false">IF($F473="",0,IF($J473="U",$L473,$F473))</f>
        <v>0</v>
      </c>
      <c r="O473" s="35" t="str">
        <f aca="false">IF($A473="","",MONTH($A473))</f>
        <v/>
      </c>
      <c r="P473" s="35" t="str">
        <f aca="false">IF($A473="","",ROUNDUP(MONTH($A473)/3,0))</f>
        <v/>
      </c>
      <c r="Q473" s="35" t="str">
        <f aca="false">IF($A473="","",IF(MONTH($A473)&lt;=6,1,2))</f>
        <v/>
      </c>
      <c r="R473" s="35" t="str">
        <f aca="false">IF($E473="","",IFERROR(INDEX(Kontenplan!$F$5:$F$90,MATCH($E473,Kontenplan!$A$5:$A$90,0)),""))</f>
        <v/>
      </c>
      <c r="S473" s="35" t="str">
        <f aca="false">IF($D473="","",IFERROR(INDEX(Kontenplan!$F$5:$F$90,MATCH($D473,Kontenplan!$A$5:$A$90,0)),""))</f>
        <v/>
      </c>
      <c r="T473" s="35" t="str">
        <f aca="false">IF($D473="","",IFERROR(INDEX(Kontenplan!$C$5:$C$90,MATCH($D473,Kontenplan!$A$5:$A$90,0)),"?"))</f>
        <v/>
      </c>
      <c r="U473" s="35" t="str">
        <f aca="false">IF($E473="","",IFERROR(INDEX(Kontenplan!$C$5:$C$90,MATCH($E473,Kontenplan!$A$5:$A$90,0)),"?"))</f>
        <v/>
      </c>
      <c r="V473" s="35" t="str">
        <f aca="false">IF($F473="","",IF(OR($D473="",$E473="",$T473="?",$U473="?"),"Konto prüfen!",IF($A473="","Datum fehlt",IF(YEAR($A473)&lt;&gt;Einstellungen!$B$7,"anderes Jahr!",IF($G473="","MWST-Code fehlt","OK")))))</f>
        <v/>
      </c>
      <c r="W473" s="35" t="str">
        <f aca="false">IF($F473="","",IF(OR($D473=Kontoauszug!$C$4,$E473=Kontoauszug!$C$4),MAX(W$4:W472)+1,""))</f>
        <v/>
      </c>
    </row>
    <row r="474" customFormat="false" ht="15" hidden="false" customHeight="false" outlineLevel="0" collapsed="false">
      <c r="A474" s="33"/>
      <c r="B474" s="32"/>
      <c r="C474" s="32"/>
      <c r="D474" s="32"/>
      <c r="E474" s="32"/>
      <c r="F474" s="30"/>
      <c r="G474" s="32"/>
      <c r="H474" s="34" t="n">
        <f aca="false">IF($G474="",0,IFERROR(INDEX(Einstellungen!$G$5:$G$11,MATCH($G474,Einstellungen!$E$5:$E$11,0)),0))</f>
        <v>0</v>
      </c>
      <c r="I474" s="35" t="str">
        <f aca="false">IF($G474="","-",IFERROR(INDEX(Einstellungen!$H$5:$H$11,MATCH($G474,Einstellungen!$E$5:$E$11,0)),"-"))</f>
        <v>-</v>
      </c>
      <c r="J474" s="35" t="str">
        <f aca="false">IF(AND(Einstellungen!$B$8="Ja",Einstellungen!$B$9="Effektiv"),$I474,"-")</f>
        <v>-</v>
      </c>
      <c r="K474" s="31" t="n">
        <f aca="false">IF(OR($F474="",$J474="-"),0,ROUND($F474-$F474/(1+$H474),2))</f>
        <v>0</v>
      </c>
      <c r="L474" s="31" t="n">
        <f aca="false">IF($F474="",0,$F474-$K474)</f>
        <v>0</v>
      </c>
      <c r="M474" s="31" t="n">
        <f aca="false">IF($F474="",0,IF($J474="V",$L474,$F474))</f>
        <v>0</v>
      </c>
      <c r="N474" s="31" t="n">
        <f aca="false">IF($F474="",0,IF($J474="U",$L474,$F474))</f>
        <v>0</v>
      </c>
      <c r="O474" s="35" t="str">
        <f aca="false">IF($A474="","",MONTH($A474))</f>
        <v/>
      </c>
      <c r="P474" s="35" t="str">
        <f aca="false">IF($A474="","",ROUNDUP(MONTH($A474)/3,0))</f>
        <v/>
      </c>
      <c r="Q474" s="35" t="str">
        <f aca="false">IF($A474="","",IF(MONTH($A474)&lt;=6,1,2))</f>
        <v/>
      </c>
      <c r="R474" s="35" t="str">
        <f aca="false">IF($E474="","",IFERROR(INDEX(Kontenplan!$F$5:$F$90,MATCH($E474,Kontenplan!$A$5:$A$90,0)),""))</f>
        <v/>
      </c>
      <c r="S474" s="35" t="str">
        <f aca="false">IF($D474="","",IFERROR(INDEX(Kontenplan!$F$5:$F$90,MATCH($D474,Kontenplan!$A$5:$A$90,0)),""))</f>
        <v/>
      </c>
      <c r="T474" s="35" t="str">
        <f aca="false">IF($D474="","",IFERROR(INDEX(Kontenplan!$C$5:$C$90,MATCH($D474,Kontenplan!$A$5:$A$90,0)),"?"))</f>
        <v/>
      </c>
      <c r="U474" s="35" t="str">
        <f aca="false">IF($E474="","",IFERROR(INDEX(Kontenplan!$C$5:$C$90,MATCH($E474,Kontenplan!$A$5:$A$90,0)),"?"))</f>
        <v/>
      </c>
      <c r="V474" s="35" t="str">
        <f aca="false">IF($F474="","",IF(OR($D474="",$E474="",$T474="?",$U474="?"),"Konto prüfen!",IF($A474="","Datum fehlt",IF(YEAR($A474)&lt;&gt;Einstellungen!$B$7,"anderes Jahr!",IF($G474="","MWST-Code fehlt","OK")))))</f>
        <v/>
      </c>
      <c r="W474" s="35" t="str">
        <f aca="false">IF($F474="","",IF(OR($D474=Kontoauszug!$C$4,$E474=Kontoauszug!$C$4),MAX(W$4:W473)+1,""))</f>
        <v/>
      </c>
    </row>
    <row r="475" customFormat="false" ht="15" hidden="false" customHeight="false" outlineLevel="0" collapsed="false">
      <c r="A475" s="33"/>
      <c r="B475" s="32"/>
      <c r="C475" s="32"/>
      <c r="D475" s="32"/>
      <c r="E475" s="32"/>
      <c r="F475" s="30"/>
      <c r="G475" s="32"/>
      <c r="H475" s="34" t="n">
        <f aca="false">IF($G475="",0,IFERROR(INDEX(Einstellungen!$G$5:$G$11,MATCH($G475,Einstellungen!$E$5:$E$11,0)),0))</f>
        <v>0</v>
      </c>
      <c r="I475" s="35" t="str">
        <f aca="false">IF($G475="","-",IFERROR(INDEX(Einstellungen!$H$5:$H$11,MATCH($G475,Einstellungen!$E$5:$E$11,0)),"-"))</f>
        <v>-</v>
      </c>
      <c r="J475" s="35" t="str">
        <f aca="false">IF(AND(Einstellungen!$B$8="Ja",Einstellungen!$B$9="Effektiv"),$I475,"-")</f>
        <v>-</v>
      </c>
      <c r="K475" s="31" t="n">
        <f aca="false">IF(OR($F475="",$J475="-"),0,ROUND($F475-$F475/(1+$H475),2))</f>
        <v>0</v>
      </c>
      <c r="L475" s="31" t="n">
        <f aca="false">IF($F475="",0,$F475-$K475)</f>
        <v>0</v>
      </c>
      <c r="M475" s="31" t="n">
        <f aca="false">IF($F475="",0,IF($J475="V",$L475,$F475))</f>
        <v>0</v>
      </c>
      <c r="N475" s="31" t="n">
        <f aca="false">IF($F475="",0,IF($J475="U",$L475,$F475))</f>
        <v>0</v>
      </c>
      <c r="O475" s="35" t="str">
        <f aca="false">IF($A475="","",MONTH($A475))</f>
        <v/>
      </c>
      <c r="P475" s="35" t="str">
        <f aca="false">IF($A475="","",ROUNDUP(MONTH($A475)/3,0))</f>
        <v/>
      </c>
      <c r="Q475" s="35" t="str">
        <f aca="false">IF($A475="","",IF(MONTH($A475)&lt;=6,1,2))</f>
        <v/>
      </c>
      <c r="R475" s="35" t="str">
        <f aca="false">IF($E475="","",IFERROR(INDEX(Kontenplan!$F$5:$F$90,MATCH($E475,Kontenplan!$A$5:$A$90,0)),""))</f>
        <v/>
      </c>
      <c r="S475" s="35" t="str">
        <f aca="false">IF($D475="","",IFERROR(INDEX(Kontenplan!$F$5:$F$90,MATCH($D475,Kontenplan!$A$5:$A$90,0)),""))</f>
        <v/>
      </c>
      <c r="T475" s="35" t="str">
        <f aca="false">IF($D475="","",IFERROR(INDEX(Kontenplan!$C$5:$C$90,MATCH($D475,Kontenplan!$A$5:$A$90,0)),"?"))</f>
        <v/>
      </c>
      <c r="U475" s="35" t="str">
        <f aca="false">IF($E475="","",IFERROR(INDEX(Kontenplan!$C$5:$C$90,MATCH($E475,Kontenplan!$A$5:$A$90,0)),"?"))</f>
        <v/>
      </c>
      <c r="V475" s="35" t="str">
        <f aca="false">IF($F475="","",IF(OR($D475="",$E475="",$T475="?",$U475="?"),"Konto prüfen!",IF($A475="","Datum fehlt",IF(YEAR($A475)&lt;&gt;Einstellungen!$B$7,"anderes Jahr!",IF($G475="","MWST-Code fehlt","OK")))))</f>
        <v/>
      </c>
      <c r="W475" s="35" t="str">
        <f aca="false">IF($F475="","",IF(OR($D475=Kontoauszug!$C$4,$E475=Kontoauszug!$C$4),MAX(W$4:W474)+1,""))</f>
        <v/>
      </c>
    </row>
    <row r="476" customFormat="false" ht="15" hidden="false" customHeight="false" outlineLevel="0" collapsed="false">
      <c r="A476" s="33"/>
      <c r="B476" s="32"/>
      <c r="C476" s="32"/>
      <c r="D476" s="32"/>
      <c r="E476" s="32"/>
      <c r="F476" s="30"/>
      <c r="G476" s="32"/>
      <c r="H476" s="34" t="n">
        <f aca="false">IF($G476="",0,IFERROR(INDEX(Einstellungen!$G$5:$G$11,MATCH($G476,Einstellungen!$E$5:$E$11,0)),0))</f>
        <v>0</v>
      </c>
      <c r="I476" s="35" t="str">
        <f aca="false">IF($G476="","-",IFERROR(INDEX(Einstellungen!$H$5:$H$11,MATCH($G476,Einstellungen!$E$5:$E$11,0)),"-"))</f>
        <v>-</v>
      </c>
      <c r="J476" s="35" t="str">
        <f aca="false">IF(AND(Einstellungen!$B$8="Ja",Einstellungen!$B$9="Effektiv"),$I476,"-")</f>
        <v>-</v>
      </c>
      <c r="K476" s="31" t="n">
        <f aca="false">IF(OR($F476="",$J476="-"),0,ROUND($F476-$F476/(1+$H476),2))</f>
        <v>0</v>
      </c>
      <c r="L476" s="31" t="n">
        <f aca="false">IF($F476="",0,$F476-$K476)</f>
        <v>0</v>
      </c>
      <c r="M476" s="31" t="n">
        <f aca="false">IF($F476="",0,IF($J476="V",$L476,$F476))</f>
        <v>0</v>
      </c>
      <c r="N476" s="31" t="n">
        <f aca="false">IF($F476="",0,IF($J476="U",$L476,$F476))</f>
        <v>0</v>
      </c>
      <c r="O476" s="35" t="str">
        <f aca="false">IF($A476="","",MONTH($A476))</f>
        <v/>
      </c>
      <c r="P476" s="35" t="str">
        <f aca="false">IF($A476="","",ROUNDUP(MONTH($A476)/3,0))</f>
        <v/>
      </c>
      <c r="Q476" s="35" t="str">
        <f aca="false">IF($A476="","",IF(MONTH($A476)&lt;=6,1,2))</f>
        <v/>
      </c>
      <c r="R476" s="35" t="str">
        <f aca="false">IF($E476="","",IFERROR(INDEX(Kontenplan!$F$5:$F$90,MATCH($E476,Kontenplan!$A$5:$A$90,0)),""))</f>
        <v/>
      </c>
      <c r="S476" s="35" t="str">
        <f aca="false">IF($D476="","",IFERROR(INDEX(Kontenplan!$F$5:$F$90,MATCH($D476,Kontenplan!$A$5:$A$90,0)),""))</f>
        <v/>
      </c>
      <c r="T476" s="35" t="str">
        <f aca="false">IF($D476="","",IFERROR(INDEX(Kontenplan!$C$5:$C$90,MATCH($D476,Kontenplan!$A$5:$A$90,0)),"?"))</f>
        <v/>
      </c>
      <c r="U476" s="35" t="str">
        <f aca="false">IF($E476="","",IFERROR(INDEX(Kontenplan!$C$5:$C$90,MATCH($E476,Kontenplan!$A$5:$A$90,0)),"?"))</f>
        <v/>
      </c>
      <c r="V476" s="35" t="str">
        <f aca="false">IF($F476="","",IF(OR($D476="",$E476="",$T476="?",$U476="?"),"Konto prüfen!",IF($A476="","Datum fehlt",IF(YEAR($A476)&lt;&gt;Einstellungen!$B$7,"anderes Jahr!",IF($G476="","MWST-Code fehlt","OK")))))</f>
        <v/>
      </c>
      <c r="W476" s="35" t="str">
        <f aca="false">IF($F476="","",IF(OR($D476=Kontoauszug!$C$4,$E476=Kontoauszug!$C$4),MAX(W$4:W475)+1,""))</f>
        <v/>
      </c>
    </row>
    <row r="477" customFormat="false" ht="15" hidden="false" customHeight="false" outlineLevel="0" collapsed="false">
      <c r="A477" s="33"/>
      <c r="B477" s="32"/>
      <c r="C477" s="32"/>
      <c r="D477" s="32"/>
      <c r="E477" s="32"/>
      <c r="F477" s="30"/>
      <c r="G477" s="32"/>
      <c r="H477" s="34" t="n">
        <f aca="false">IF($G477="",0,IFERROR(INDEX(Einstellungen!$G$5:$G$11,MATCH($G477,Einstellungen!$E$5:$E$11,0)),0))</f>
        <v>0</v>
      </c>
      <c r="I477" s="35" t="str">
        <f aca="false">IF($G477="","-",IFERROR(INDEX(Einstellungen!$H$5:$H$11,MATCH($G477,Einstellungen!$E$5:$E$11,0)),"-"))</f>
        <v>-</v>
      </c>
      <c r="J477" s="35" t="str">
        <f aca="false">IF(AND(Einstellungen!$B$8="Ja",Einstellungen!$B$9="Effektiv"),$I477,"-")</f>
        <v>-</v>
      </c>
      <c r="K477" s="31" t="n">
        <f aca="false">IF(OR($F477="",$J477="-"),0,ROUND($F477-$F477/(1+$H477),2))</f>
        <v>0</v>
      </c>
      <c r="L477" s="31" t="n">
        <f aca="false">IF($F477="",0,$F477-$K477)</f>
        <v>0</v>
      </c>
      <c r="M477" s="31" t="n">
        <f aca="false">IF($F477="",0,IF($J477="V",$L477,$F477))</f>
        <v>0</v>
      </c>
      <c r="N477" s="31" t="n">
        <f aca="false">IF($F477="",0,IF($J477="U",$L477,$F477))</f>
        <v>0</v>
      </c>
      <c r="O477" s="35" t="str">
        <f aca="false">IF($A477="","",MONTH($A477))</f>
        <v/>
      </c>
      <c r="P477" s="35" t="str">
        <f aca="false">IF($A477="","",ROUNDUP(MONTH($A477)/3,0))</f>
        <v/>
      </c>
      <c r="Q477" s="35" t="str">
        <f aca="false">IF($A477="","",IF(MONTH($A477)&lt;=6,1,2))</f>
        <v/>
      </c>
      <c r="R477" s="35" t="str">
        <f aca="false">IF($E477="","",IFERROR(INDEX(Kontenplan!$F$5:$F$90,MATCH($E477,Kontenplan!$A$5:$A$90,0)),""))</f>
        <v/>
      </c>
      <c r="S477" s="35" t="str">
        <f aca="false">IF($D477="","",IFERROR(INDEX(Kontenplan!$F$5:$F$90,MATCH($D477,Kontenplan!$A$5:$A$90,0)),""))</f>
        <v/>
      </c>
      <c r="T477" s="35" t="str">
        <f aca="false">IF($D477="","",IFERROR(INDEX(Kontenplan!$C$5:$C$90,MATCH($D477,Kontenplan!$A$5:$A$90,0)),"?"))</f>
        <v/>
      </c>
      <c r="U477" s="35" t="str">
        <f aca="false">IF($E477="","",IFERROR(INDEX(Kontenplan!$C$5:$C$90,MATCH($E477,Kontenplan!$A$5:$A$90,0)),"?"))</f>
        <v/>
      </c>
      <c r="V477" s="35" t="str">
        <f aca="false">IF($F477="","",IF(OR($D477="",$E477="",$T477="?",$U477="?"),"Konto prüfen!",IF($A477="","Datum fehlt",IF(YEAR($A477)&lt;&gt;Einstellungen!$B$7,"anderes Jahr!",IF($G477="","MWST-Code fehlt","OK")))))</f>
        <v/>
      </c>
      <c r="W477" s="35" t="str">
        <f aca="false">IF($F477="","",IF(OR($D477=Kontoauszug!$C$4,$E477=Kontoauszug!$C$4),MAX(W$4:W476)+1,""))</f>
        <v/>
      </c>
    </row>
    <row r="478" customFormat="false" ht="15" hidden="false" customHeight="false" outlineLevel="0" collapsed="false">
      <c r="A478" s="33"/>
      <c r="B478" s="32"/>
      <c r="C478" s="32"/>
      <c r="D478" s="32"/>
      <c r="E478" s="32"/>
      <c r="F478" s="30"/>
      <c r="G478" s="32"/>
      <c r="H478" s="34" t="n">
        <f aca="false">IF($G478="",0,IFERROR(INDEX(Einstellungen!$G$5:$G$11,MATCH($G478,Einstellungen!$E$5:$E$11,0)),0))</f>
        <v>0</v>
      </c>
      <c r="I478" s="35" t="str">
        <f aca="false">IF($G478="","-",IFERROR(INDEX(Einstellungen!$H$5:$H$11,MATCH($G478,Einstellungen!$E$5:$E$11,0)),"-"))</f>
        <v>-</v>
      </c>
      <c r="J478" s="35" t="str">
        <f aca="false">IF(AND(Einstellungen!$B$8="Ja",Einstellungen!$B$9="Effektiv"),$I478,"-")</f>
        <v>-</v>
      </c>
      <c r="K478" s="31" t="n">
        <f aca="false">IF(OR($F478="",$J478="-"),0,ROUND($F478-$F478/(1+$H478),2))</f>
        <v>0</v>
      </c>
      <c r="L478" s="31" t="n">
        <f aca="false">IF($F478="",0,$F478-$K478)</f>
        <v>0</v>
      </c>
      <c r="M478" s="31" t="n">
        <f aca="false">IF($F478="",0,IF($J478="V",$L478,$F478))</f>
        <v>0</v>
      </c>
      <c r="N478" s="31" t="n">
        <f aca="false">IF($F478="",0,IF($J478="U",$L478,$F478))</f>
        <v>0</v>
      </c>
      <c r="O478" s="35" t="str">
        <f aca="false">IF($A478="","",MONTH($A478))</f>
        <v/>
      </c>
      <c r="P478" s="35" t="str">
        <f aca="false">IF($A478="","",ROUNDUP(MONTH($A478)/3,0))</f>
        <v/>
      </c>
      <c r="Q478" s="35" t="str">
        <f aca="false">IF($A478="","",IF(MONTH($A478)&lt;=6,1,2))</f>
        <v/>
      </c>
      <c r="R478" s="35" t="str">
        <f aca="false">IF($E478="","",IFERROR(INDEX(Kontenplan!$F$5:$F$90,MATCH($E478,Kontenplan!$A$5:$A$90,0)),""))</f>
        <v/>
      </c>
      <c r="S478" s="35" t="str">
        <f aca="false">IF($D478="","",IFERROR(INDEX(Kontenplan!$F$5:$F$90,MATCH($D478,Kontenplan!$A$5:$A$90,0)),""))</f>
        <v/>
      </c>
      <c r="T478" s="35" t="str">
        <f aca="false">IF($D478="","",IFERROR(INDEX(Kontenplan!$C$5:$C$90,MATCH($D478,Kontenplan!$A$5:$A$90,0)),"?"))</f>
        <v/>
      </c>
      <c r="U478" s="35" t="str">
        <f aca="false">IF($E478="","",IFERROR(INDEX(Kontenplan!$C$5:$C$90,MATCH($E478,Kontenplan!$A$5:$A$90,0)),"?"))</f>
        <v/>
      </c>
      <c r="V478" s="35" t="str">
        <f aca="false">IF($F478="","",IF(OR($D478="",$E478="",$T478="?",$U478="?"),"Konto prüfen!",IF($A478="","Datum fehlt",IF(YEAR($A478)&lt;&gt;Einstellungen!$B$7,"anderes Jahr!",IF($G478="","MWST-Code fehlt","OK")))))</f>
        <v/>
      </c>
      <c r="W478" s="35" t="str">
        <f aca="false">IF($F478="","",IF(OR($D478=Kontoauszug!$C$4,$E478=Kontoauszug!$C$4),MAX(W$4:W477)+1,""))</f>
        <v/>
      </c>
    </row>
    <row r="479" customFormat="false" ht="15" hidden="false" customHeight="false" outlineLevel="0" collapsed="false">
      <c r="A479" s="33"/>
      <c r="B479" s="32"/>
      <c r="C479" s="32"/>
      <c r="D479" s="32"/>
      <c r="E479" s="32"/>
      <c r="F479" s="30"/>
      <c r="G479" s="32"/>
      <c r="H479" s="34" t="n">
        <f aca="false">IF($G479="",0,IFERROR(INDEX(Einstellungen!$G$5:$G$11,MATCH($G479,Einstellungen!$E$5:$E$11,0)),0))</f>
        <v>0</v>
      </c>
      <c r="I479" s="35" t="str">
        <f aca="false">IF($G479="","-",IFERROR(INDEX(Einstellungen!$H$5:$H$11,MATCH($G479,Einstellungen!$E$5:$E$11,0)),"-"))</f>
        <v>-</v>
      </c>
      <c r="J479" s="35" t="str">
        <f aca="false">IF(AND(Einstellungen!$B$8="Ja",Einstellungen!$B$9="Effektiv"),$I479,"-")</f>
        <v>-</v>
      </c>
      <c r="K479" s="31" t="n">
        <f aca="false">IF(OR($F479="",$J479="-"),0,ROUND($F479-$F479/(1+$H479),2))</f>
        <v>0</v>
      </c>
      <c r="L479" s="31" t="n">
        <f aca="false">IF($F479="",0,$F479-$K479)</f>
        <v>0</v>
      </c>
      <c r="M479" s="31" t="n">
        <f aca="false">IF($F479="",0,IF($J479="V",$L479,$F479))</f>
        <v>0</v>
      </c>
      <c r="N479" s="31" t="n">
        <f aca="false">IF($F479="",0,IF($J479="U",$L479,$F479))</f>
        <v>0</v>
      </c>
      <c r="O479" s="35" t="str">
        <f aca="false">IF($A479="","",MONTH($A479))</f>
        <v/>
      </c>
      <c r="P479" s="35" t="str">
        <f aca="false">IF($A479="","",ROUNDUP(MONTH($A479)/3,0))</f>
        <v/>
      </c>
      <c r="Q479" s="35" t="str">
        <f aca="false">IF($A479="","",IF(MONTH($A479)&lt;=6,1,2))</f>
        <v/>
      </c>
      <c r="R479" s="35" t="str">
        <f aca="false">IF($E479="","",IFERROR(INDEX(Kontenplan!$F$5:$F$90,MATCH($E479,Kontenplan!$A$5:$A$90,0)),""))</f>
        <v/>
      </c>
      <c r="S479" s="35" t="str">
        <f aca="false">IF($D479="","",IFERROR(INDEX(Kontenplan!$F$5:$F$90,MATCH($D479,Kontenplan!$A$5:$A$90,0)),""))</f>
        <v/>
      </c>
      <c r="T479" s="35" t="str">
        <f aca="false">IF($D479="","",IFERROR(INDEX(Kontenplan!$C$5:$C$90,MATCH($D479,Kontenplan!$A$5:$A$90,0)),"?"))</f>
        <v/>
      </c>
      <c r="U479" s="35" t="str">
        <f aca="false">IF($E479="","",IFERROR(INDEX(Kontenplan!$C$5:$C$90,MATCH($E479,Kontenplan!$A$5:$A$90,0)),"?"))</f>
        <v/>
      </c>
      <c r="V479" s="35" t="str">
        <f aca="false">IF($F479="","",IF(OR($D479="",$E479="",$T479="?",$U479="?"),"Konto prüfen!",IF($A479="","Datum fehlt",IF(YEAR($A479)&lt;&gt;Einstellungen!$B$7,"anderes Jahr!",IF($G479="","MWST-Code fehlt","OK")))))</f>
        <v/>
      </c>
      <c r="W479" s="35" t="str">
        <f aca="false">IF($F479="","",IF(OR($D479=Kontoauszug!$C$4,$E479=Kontoauszug!$C$4),MAX(W$4:W478)+1,""))</f>
        <v/>
      </c>
    </row>
    <row r="480" customFormat="false" ht="15" hidden="false" customHeight="false" outlineLevel="0" collapsed="false">
      <c r="A480" s="33"/>
      <c r="B480" s="32"/>
      <c r="C480" s="32"/>
      <c r="D480" s="32"/>
      <c r="E480" s="32"/>
      <c r="F480" s="30"/>
      <c r="G480" s="32"/>
      <c r="H480" s="34" t="n">
        <f aca="false">IF($G480="",0,IFERROR(INDEX(Einstellungen!$G$5:$G$11,MATCH($G480,Einstellungen!$E$5:$E$11,0)),0))</f>
        <v>0</v>
      </c>
      <c r="I480" s="35" t="str">
        <f aca="false">IF($G480="","-",IFERROR(INDEX(Einstellungen!$H$5:$H$11,MATCH($G480,Einstellungen!$E$5:$E$11,0)),"-"))</f>
        <v>-</v>
      </c>
      <c r="J480" s="35" t="str">
        <f aca="false">IF(AND(Einstellungen!$B$8="Ja",Einstellungen!$B$9="Effektiv"),$I480,"-")</f>
        <v>-</v>
      </c>
      <c r="K480" s="31" t="n">
        <f aca="false">IF(OR($F480="",$J480="-"),0,ROUND($F480-$F480/(1+$H480),2))</f>
        <v>0</v>
      </c>
      <c r="L480" s="31" t="n">
        <f aca="false">IF($F480="",0,$F480-$K480)</f>
        <v>0</v>
      </c>
      <c r="M480" s="31" t="n">
        <f aca="false">IF($F480="",0,IF($J480="V",$L480,$F480))</f>
        <v>0</v>
      </c>
      <c r="N480" s="31" t="n">
        <f aca="false">IF($F480="",0,IF($J480="U",$L480,$F480))</f>
        <v>0</v>
      </c>
      <c r="O480" s="35" t="str">
        <f aca="false">IF($A480="","",MONTH($A480))</f>
        <v/>
      </c>
      <c r="P480" s="35" t="str">
        <f aca="false">IF($A480="","",ROUNDUP(MONTH($A480)/3,0))</f>
        <v/>
      </c>
      <c r="Q480" s="35" t="str">
        <f aca="false">IF($A480="","",IF(MONTH($A480)&lt;=6,1,2))</f>
        <v/>
      </c>
      <c r="R480" s="35" t="str">
        <f aca="false">IF($E480="","",IFERROR(INDEX(Kontenplan!$F$5:$F$90,MATCH($E480,Kontenplan!$A$5:$A$90,0)),""))</f>
        <v/>
      </c>
      <c r="S480" s="35" t="str">
        <f aca="false">IF($D480="","",IFERROR(INDEX(Kontenplan!$F$5:$F$90,MATCH($D480,Kontenplan!$A$5:$A$90,0)),""))</f>
        <v/>
      </c>
      <c r="T480" s="35" t="str">
        <f aca="false">IF($D480="","",IFERROR(INDEX(Kontenplan!$C$5:$C$90,MATCH($D480,Kontenplan!$A$5:$A$90,0)),"?"))</f>
        <v/>
      </c>
      <c r="U480" s="35" t="str">
        <f aca="false">IF($E480="","",IFERROR(INDEX(Kontenplan!$C$5:$C$90,MATCH($E480,Kontenplan!$A$5:$A$90,0)),"?"))</f>
        <v/>
      </c>
      <c r="V480" s="35" t="str">
        <f aca="false">IF($F480="","",IF(OR($D480="",$E480="",$T480="?",$U480="?"),"Konto prüfen!",IF($A480="","Datum fehlt",IF(YEAR($A480)&lt;&gt;Einstellungen!$B$7,"anderes Jahr!",IF($G480="","MWST-Code fehlt","OK")))))</f>
        <v/>
      </c>
      <c r="W480" s="35" t="str">
        <f aca="false">IF($F480="","",IF(OR($D480=Kontoauszug!$C$4,$E480=Kontoauszug!$C$4),MAX(W$4:W479)+1,""))</f>
        <v/>
      </c>
    </row>
    <row r="481" customFormat="false" ht="15" hidden="false" customHeight="false" outlineLevel="0" collapsed="false">
      <c r="A481" s="33"/>
      <c r="B481" s="32"/>
      <c r="C481" s="32"/>
      <c r="D481" s="32"/>
      <c r="E481" s="32"/>
      <c r="F481" s="30"/>
      <c r="G481" s="32"/>
      <c r="H481" s="34" t="n">
        <f aca="false">IF($G481="",0,IFERROR(INDEX(Einstellungen!$G$5:$G$11,MATCH($G481,Einstellungen!$E$5:$E$11,0)),0))</f>
        <v>0</v>
      </c>
      <c r="I481" s="35" t="str">
        <f aca="false">IF($G481="","-",IFERROR(INDEX(Einstellungen!$H$5:$H$11,MATCH($G481,Einstellungen!$E$5:$E$11,0)),"-"))</f>
        <v>-</v>
      </c>
      <c r="J481" s="35" t="str">
        <f aca="false">IF(AND(Einstellungen!$B$8="Ja",Einstellungen!$B$9="Effektiv"),$I481,"-")</f>
        <v>-</v>
      </c>
      <c r="K481" s="31" t="n">
        <f aca="false">IF(OR($F481="",$J481="-"),0,ROUND($F481-$F481/(1+$H481),2))</f>
        <v>0</v>
      </c>
      <c r="L481" s="31" t="n">
        <f aca="false">IF($F481="",0,$F481-$K481)</f>
        <v>0</v>
      </c>
      <c r="M481" s="31" t="n">
        <f aca="false">IF($F481="",0,IF($J481="V",$L481,$F481))</f>
        <v>0</v>
      </c>
      <c r="N481" s="31" t="n">
        <f aca="false">IF($F481="",0,IF($J481="U",$L481,$F481))</f>
        <v>0</v>
      </c>
      <c r="O481" s="35" t="str">
        <f aca="false">IF($A481="","",MONTH($A481))</f>
        <v/>
      </c>
      <c r="P481" s="35" t="str">
        <f aca="false">IF($A481="","",ROUNDUP(MONTH($A481)/3,0))</f>
        <v/>
      </c>
      <c r="Q481" s="35" t="str">
        <f aca="false">IF($A481="","",IF(MONTH($A481)&lt;=6,1,2))</f>
        <v/>
      </c>
      <c r="R481" s="35" t="str">
        <f aca="false">IF($E481="","",IFERROR(INDEX(Kontenplan!$F$5:$F$90,MATCH($E481,Kontenplan!$A$5:$A$90,0)),""))</f>
        <v/>
      </c>
      <c r="S481" s="35" t="str">
        <f aca="false">IF($D481="","",IFERROR(INDEX(Kontenplan!$F$5:$F$90,MATCH($D481,Kontenplan!$A$5:$A$90,0)),""))</f>
        <v/>
      </c>
      <c r="T481" s="35" t="str">
        <f aca="false">IF($D481="","",IFERROR(INDEX(Kontenplan!$C$5:$C$90,MATCH($D481,Kontenplan!$A$5:$A$90,0)),"?"))</f>
        <v/>
      </c>
      <c r="U481" s="35" t="str">
        <f aca="false">IF($E481="","",IFERROR(INDEX(Kontenplan!$C$5:$C$90,MATCH($E481,Kontenplan!$A$5:$A$90,0)),"?"))</f>
        <v/>
      </c>
      <c r="V481" s="35" t="str">
        <f aca="false">IF($F481="","",IF(OR($D481="",$E481="",$T481="?",$U481="?"),"Konto prüfen!",IF($A481="","Datum fehlt",IF(YEAR($A481)&lt;&gt;Einstellungen!$B$7,"anderes Jahr!",IF($G481="","MWST-Code fehlt","OK")))))</f>
        <v/>
      </c>
      <c r="W481" s="35" t="str">
        <f aca="false">IF($F481="","",IF(OR($D481=Kontoauszug!$C$4,$E481=Kontoauszug!$C$4),MAX(W$4:W480)+1,""))</f>
        <v/>
      </c>
    </row>
    <row r="482" customFormat="false" ht="15" hidden="false" customHeight="false" outlineLevel="0" collapsed="false">
      <c r="A482" s="33"/>
      <c r="B482" s="32"/>
      <c r="C482" s="32"/>
      <c r="D482" s="32"/>
      <c r="E482" s="32"/>
      <c r="F482" s="30"/>
      <c r="G482" s="32"/>
      <c r="H482" s="34" t="n">
        <f aca="false">IF($G482="",0,IFERROR(INDEX(Einstellungen!$G$5:$G$11,MATCH($G482,Einstellungen!$E$5:$E$11,0)),0))</f>
        <v>0</v>
      </c>
      <c r="I482" s="35" t="str">
        <f aca="false">IF($G482="","-",IFERROR(INDEX(Einstellungen!$H$5:$H$11,MATCH($G482,Einstellungen!$E$5:$E$11,0)),"-"))</f>
        <v>-</v>
      </c>
      <c r="J482" s="35" t="str">
        <f aca="false">IF(AND(Einstellungen!$B$8="Ja",Einstellungen!$B$9="Effektiv"),$I482,"-")</f>
        <v>-</v>
      </c>
      <c r="K482" s="31" t="n">
        <f aca="false">IF(OR($F482="",$J482="-"),0,ROUND($F482-$F482/(1+$H482),2))</f>
        <v>0</v>
      </c>
      <c r="L482" s="31" t="n">
        <f aca="false">IF($F482="",0,$F482-$K482)</f>
        <v>0</v>
      </c>
      <c r="M482" s="31" t="n">
        <f aca="false">IF($F482="",0,IF($J482="V",$L482,$F482))</f>
        <v>0</v>
      </c>
      <c r="N482" s="31" t="n">
        <f aca="false">IF($F482="",0,IF($J482="U",$L482,$F482))</f>
        <v>0</v>
      </c>
      <c r="O482" s="35" t="str">
        <f aca="false">IF($A482="","",MONTH($A482))</f>
        <v/>
      </c>
      <c r="P482" s="35" t="str">
        <f aca="false">IF($A482="","",ROUNDUP(MONTH($A482)/3,0))</f>
        <v/>
      </c>
      <c r="Q482" s="35" t="str">
        <f aca="false">IF($A482="","",IF(MONTH($A482)&lt;=6,1,2))</f>
        <v/>
      </c>
      <c r="R482" s="35" t="str">
        <f aca="false">IF($E482="","",IFERROR(INDEX(Kontenplan!$F$5:$F$90,MATCH($E482,Kontenplan!$A$5:$A$90,0)),""))</f>
        <v/>
      </c>
      <c r="S482" s="35" t="str">
        <f aca="false">IF($D482="","",IFERROR(INDEX(Kontenplan!$F$5:$F$90,MATCH($D482,Kontenplan!$A$5:$A$90,0)),""))</f>
        <v/>
      </c>
      <c r="T482" s="35" t="str">
        <f aca="false">IF($D482="","",IFERROR(INDEX(Kontenplan!$C$5:$C$90,MATCH($D482,Kontenplan!$A$5:$A$90,0)),"?"))</f>
        <v/>
      </c>
      <c r="U482" s="35" t="str">
        <f aca="false">IF($E482="","",IFERROR(INDEX(Kontenplan!$C$5:$C$90,MATCH($E482,Kontenplan!$A$5:$A$90,0)),"?"))</f>
        <v/>
      </c>
      <c r="V482" s="35" t="str">
        <f aca="false">IF($F482="","",IF(OR($D482="",$E482="",$T482="?",$U482="?"),"Konto prüfen!",IF($A482="","Datum fehlt",IF(YEAR($A482)&lt;&gt;Einstellungen!$B$7,"anderes Jahr!",IF($G482="","MWST-Code fehlt","OK")))))</f>
        <v/>
      </c>
      <c r="W482" s="35" t="str">
        <f aca="false">IF($F482="","",IF(OR($D482=Kontoauszug!$C$4,$E482=Kontoauszug!$C$4),MAX(W$4:W481)+1,""))</f>
        <v/>
      </c>
    </row>
    <row r="483" customFormat="false" ht="15" hidden="false" customHeight="false" outlineLevel="0" collapsed="false">
      <c r="A483" s="33"/>
      <c r="B483" s="32"/>
      <c r="C483" s="32"/>
      <c r="D483" s="32"/>
      <c r="E483" s="32"/>
      <c r="F483" s="30"/>
      <c r="G483" s="32"/>
      <c r="H483" s="34" t="n">
        <f aca="false">IF($G483="",0,IFERROR(INDEX(Einstellungen!$G$5:$G$11,MATCH($G483,Einstellungen!$E$5:$E$11,0)),0))</f>
        <v>0</v>
      </c>
      <c r="I483" s="35" t="str">
        <f aca="false">IF($G483="","-",IFERROR(INDEX(Einstellungen!$H$5:$H$11,MATCH($G483,Einstellungen!$E$5:$E$11,0)),"-"))</f>
        <v>-</v>
      </c>
      <c r="J483" s="35" t="str">
        <f aca="false">IF(AND(Einstellungen!$B$8="Ja",Einstellungen!$B$9="Effektiv"),$I483,"-")</f>
        <v>-</v>
      </c>
      <c r="K483" s="31" t="n">
        <f aca="false">IF(OR($F483="",$J483="-"),0,ROUND($F483-$F483/(1+$H483),2))</f>
        <v>0</v>
      </c>
      <c r="L483" s="31" t="n">
        <f aca="false">IF($F483="",0,$F483-$K483)</f>
        <v>0</v>
      </c>
      <c r="M483" s="31" t="n">
        <f aca="false">IF($F483="",0,IF($J483="V",$L483,$F483))</f>
        <v>0</v>
      </c>
      <c r="N483" s="31" t="n">
        <f aca="false">IF($F483="",0,IF($J483="U",$L483,$F483))</f>
        <v>0</v>
      </c>
      <c r="O483" s="35" t="str">
        <f aca="false">IF($A483="","",MONTH($A483))</f>
        <v/>
      </c>
      <c r="P483" s="35" t="str">
        <f aca="false">IF($A483="","",ROUNDUP(MONTH($A483)/3,0))</f>
        <v/>
      </c>
      <c r="Q483" s="35" t="str">
        <f aca="false">IF($A483="","",IF(MONTH($A483)&lt;=6,1,2))</f>
        <v/>
      </c>
      <c r="R483" s="35" t="str">
        <f aca="false">IF($E483="","",IFERROR(INDEX(Kontenplan!$F$5:$F$90,MATCH($E483,Kontenplan!$A$5:$A$90,0)),""))</f>
        <v/>
      </c>
      <c r="S483" s="35" t="str">
        <f aca="false">IF($D483="","",IFERROR(INDEX(Kontenplan!$F$5:$F$90,MATCH($D483,Kontenplan!$A$5:$A$90,0)),""))</f>
        <v/>
      </c>
      <c r="T483" s="35" t="str">
        <f aca="false">IF($D483="","",IFERROR(INDEX(Kontenplan!$C$5:$C$90,MATCH($D483,Kontenplan!$A$5:$A$90,0)),"?"))</f>
        <v/>
      </c>
      <c r="U483" s="35" t="str">
        <f aca="false">IF($E483="","",IFERROR(INDEX(Kontenplan!$C$5:$C$90,MATCH($E483,Kontenplan!$A$5:$A$90,0)),"?"))</f>
        <v/>
      </c>
      <c r="V483" s="35" t="str">
        <f aca="false">IF($F483="","",IF(OR($D483="",$E483="",$T483="?",$U483="?"),"Konto prüfen!",IF($A483="","Datum fehlt",IF(YEAR($A483)&lt;&gt;Einstellungen!$B$7,"anderes Jahr!",IF($G483="","MWST-Code fehlt","OK")))))</f>
        <v/>
      </c>
      <c r="W483" s="35" t="str">
        <f aca="false">IF($F483="","",IF(OR($D483=Kontoauszug!$C$4,$E483=Kontoauszug!$C$4),MAX(W$4:W482)+1,""))</f>
        <v/>
      </c>
    </row>
    <row r="484" customFormat="false" ht="15" hidden="false" customHeight="false" outlineLevel="0" collapsed="false">
      <c r="A484" s="33"/>
      <c r="B484" s="32"/>
      <c r="C484" s="32"/>
      <c r="D484" s="32"/>
      <c r="E484" s="32"/>
      <c r="F484" s="30"/>
      <c r="G484" s="32"/>
      <c r="H484" s="34" t="n">
        <f aca="false">IF($G484="",0,IFERROR(INDEX(Einstellungen!$G$5:$G$11,MATCH($G484,Einstellungen!$E$5:$E$11,0)),0))</f>
        <v>0</v>
      </c>
      <c r="I484" s="35" t="str">
        <f aca="false">IF($G484="","-",IFERROR(INDEX(Einstellungen!$H$5:$H$11,MATCH($G484,Einstellungen!$E$5:$E$11,0)),"-"))</f>
        <v>-</v>
      </c>
      <c r="J484" s="35" t="str">
        <f aca="false">IF(AND(Einstellungen!$B$8="Ja",Einstellungen!$B$9="Effektiv"),$I484,"-")</f>
        <v>-</v>
      </c>
      <c r="K484" s="31" t="n">
        <f aca="false">IF(OR($F484="",$J484="-"),0,ROUND($F484-$F484/(1+$H484),2))</f>
        <v>0</v>
      </c>
      <c r="L484" s="31" t="n">
        <f aca="false">IF($F484="",0,$F484-$K484)</f>
        <v>0</v>
      </c>
      <c r="M484" s="31" t="n">
        <f aca="false">IF($F484="",0,IF($J484="V",$L484,$F484))</f>
        <v>0</v>
      </c>
      <c r="N484" s="31" t="n">
        <f aca="false">IF($F484="",0,IF($J484="U",$L484,$F484))</f>
        <v>0</v>
      </c>
      <c r="O484" s="35" t="str">
        <f aca="false">IF($A484="","",MONTH($A484))</f>
        <v/>
      </c>
      <c r="P484" s="35" t="str">
        <f aca="false">IF($A484="","",ROUNDUP(MONTH($A484)/3,0))</f>
        <v/>
      </c>
      <c r="Q484" s="35" t="str">
        <f aca="false">IF($A484="","",IF(MONTH($A484)&lt;=6,1,2))</f>
        <v/>
      </c>
      <c r="R484" s="35" t="str">
        <f aca="false">IF($E484="","",IFERROR(INDEX(Kontenplan!$F$5:$F$90,MATCH($E484,Kontenplan!$A$5:$A$90,0)),""))</f>
        <v/>
      </c>
      <c r="S484" s="35" t="str">
        <f aca="false">IF($D484="","",IFERROR(INDEX(Kontenplan!$F$5:$F$90,MATCH($D484,Kontenplan!$A$5:$A$90,0)),""))</f>
        <v/>
      </c>
      <c r="T484" s="35" t="str">
        <f aca="false">IF($D484="","",IFERROR(INDEX(Kontenplan!$C$5:$C$90,MATCH($D484,Kontenplan!$A$5:$A$90,0)),"?"))</f>
        <v/>
      </c>
      <c r="U484" s="35" t="str">
        <f aca="false">IF($E484="","",IFERROR(INDEX(Kontenplan!$C$5:$C$90,MATCH($E484,Kontenplan!$A$5:$A$90,0)),"?"))</f>
        <v/>
      </c>
      <c r="V484" s="35" t="str">
        <f aca="false">IF($F484="","",IF(OR($D484="",$E484="",$T484="?",$U484="?"),"Konto prüfen!",IF($A484="","Datum fehlt",IF(YEAR($A484)&lt;&gt;Einstellungen!$B$7,"anderes Jahr!",IF($G484="","MWST-Code fehlt","OK")))))</f>
        <v/>
      </c>
      <c r="W484" s="35" t="str">
        <f aca="false">IF($F484="","",IF(OR($D484=Kontoauszug!$C$4,$E484=Kontoauszug!$C$4),MAX(W$4:W483)+1,""))</f>
        <v/>
      </c>
    </row>
    <row r="485" customFormat="false" ht="15" hidden="false" customHeight="false" outlineLevel="0" collapsed="false">
      <c r="A485" s="33"/>
      <c r="B485" s="32"/>
      <c r="C485" s="32"/>
      <c r="D485" s="32"/>
      <c r="E485" s="32"/>
      <c r="F485" s="30"/>
      <c r="G485" s="32"/>
      <c r="H485" s="34" t="n">
        <f aca="false">IF($G485="",0,IFERROR(INDEX(Einstellungen!$G$5:$G$11,MATCH($G485,Einstellungen!$E$5:$E$11,0)),0))</f>
        <v>0</v>
      </c>
      <c r="I485" s="35" t="str">
        <f aca="false">IF($G485="","-",IFERROR(INDEX(Einstellungen!$H$5:$H$11,MATCH($G485,Einstellungen!$E$5:$E$11,0)),"-"))</f>
        <v>-</v>
      </c>
      <c r="J485" s="35" t="str">
        <f aca="false">IF(AND(Einstellungen!$B$8="Ja",Einstellungen!$B$9="Effektiv"),$I485,"-")</f>
        <v>-</v>
      </c>
      <c r="K485" s="31" t="n">
        <f aca="false">IF(OR($F485="",$J485="-"),0,ROUND($F485-$F485/(1+$H485),2))</f>
        <v>0</v>
      </c>
      <c r="L485" s="31" t="n">
        <f aca="false">IF($F485="",0,$F485-$K485)</f>
        <v>0</v>
      </c>
      <c r="M485" s="31" t="n">
        <f aca="false">IF($F485="",0,IF($J485="V",$L485,$F485))</f>
        <v>0</v>
      </c>
      <c r="N485" s="31" t="n">
        <f aca="false">IF($F485="",0,IF($J485="U",$L485,$F485))</f>
        <v>0</v>
      </c>
      <c r="O485" s="35" t="str">
        <f aca="false">IF($A485="","",MONTH($A485))</f>
        <v/>
      </c>
      <c r="P485" s="35" t="str">
        <f aca="false">IF($A485="","",ROUNDUP(MONTH($A485)/3,0))</f>
        <v/>
      </c>
      <c r="Q485" s="35" t="str">
        <f aca="false">IF($A485="","",IF(MONTH($A485)&lt;=6,1,2))</f>
        <v/>
      </c>
      <c r="R485" s="35" t="str">
        <f aca="false">IF($E485="","",IFERROR(INDEX(Kontenplan!$F$5:$F$90,MATCH($E485,Kontenplan!$A$5:$A$90,0)),""))</f>
        <v/>
      </c>
      <c r="S485" s="35" t="str">
        <f aca="false">IF($D485="","",IFERROR(INDEX(Kontenplan!$F$5:$F$90,MATCH($D485,Kontenplan!$A$5:$A$90,0)),""))</f>
        <v/>
      </c>
      <c r="T485" s="35" t="str">
        <f aca="false">IF($D485="","",IFERROR(INDEX(Kontenplan!$C$5:$C$90,MATCH($D485,Kontenplan!$A$5:$A$90,0)),"?"))</f>
        <v/>
      </c>
      <c r="U485" s="35" t="str">
        <f aca="false">IF($E485="","",IFERROR(INDEX(Kontenplan!$C$5:$C$90,MATCH($E485,Kontenplan!$A$5:$A$90,0)),"?"))</f>
        <v/>
      </c>
      <c r="V485" s="35" t="str">
        <f aca="false">IF($F485="","",IF(OR($D485="",$E485="",$T485="?",$U485="?"),"Konto prüfen!",IF($A485="","Datum fehlt",IF(YEAR($A485)&lt;&gt;Einstellungen!$B$7,"anderes Jahr!",IF($G485="","MWST-Code fehlt","OK")))))</f>
        <v/>
      </c>
      <c r="W485" s="35" t="str">
        <f aca="false">IF($F485="","",IF(OR($D485=Kontoauszug!$C$4,$E485=Kontoauszug!$C$4),MAX(W$4:W484)+1,""))</f>
        <v/>
      </c>
    </row>
    <row r="486" customFormat="false" ht="15" hidden="false" customHeight="false" outlineLevel="0" collapsed="false">
      <c r="A486" s="33"/>
      <c r="B486" s="32"/>
      <c r="C486" s="32"/>
      <c r="D486" s="32"/>
      <c r="E486" s="32"/>
      <c r="F486" s="30"/>
      <c r="G486" s="32"/>
      <c r="H486" s="34" t="n">
        <f aca="false">IF($G486="",0,IFERROR(INDEX(Einstellungen!$G$5:$G$11,MATCH($G486,Einstellungen!$E$5:$E$11,0)),0))</f>
        <v>0</v>
      </c>
      <c r="I486" s="35" t="str">
        <f aca="false">IF($G486="","-",IFERROR(INDEX(Einstellungen!$H$5:$H$11,MATCH($G486,Einstellungen!$E$5:$E$11,0)),"-"))</f>
        <v>-</v>
      </c>
      <c r="J486" s="35" t="str">
        <f aca="false">IF(AND(Einstellungen!$B$8="Ja",Einstellungen!$B$9="Effektiv"),$I486,"-")</f>
        <v>-</v>
      </c>
      <c r="K486" s="31" t="n">
        <f aca="false">IF(OR($F486="",$J486="-"),0,ROUND($F486-$F486/(1+$H486),2))</f>
        <v>0</v>
      </c>
      <c r="L486" s="31" t="n">
        <f aca="false">IF($F486="",0,$F486-$K486)</f>
        <v>0</v>
      </c>
      <c r="M486" s="31" t="n">
        <f aca="false">IF($F486="",0,IF($J486="V",$L486,$F486))</f>
        <v>0</v>
      </c>
      <c r="N486" s="31" t="n">
        <f aca="false">IF($F486="",0,IF($J486="U",$L486,$F486))</f>
        <v>0</v>
      </c>
      <c r="O486" s="35" t="str">
        <f aca="false">IF($A486="","",MONTH($A486))</f>
        <v/>
      </c>
      <c r="P486" s="35" t="str">
        <f aca="false">IF($A486="","",ROUNDUP(MONTH($A486)/3,0))</f>
        <v/>
      </c>
      <c r="Q486" s="35" t="str">
        <f aca="false">IF($A486="","",IF(MONTH($A486)&lt;=6,1,2))</f>
        <v/>
      </c>
      <c r="R486" s="35" t="str">
        <f aca="false">IF($E486="","",IFERROR(INDEX(Kontenplan!$F$5:$F$90,MATCH($E486,Kontenplan!$A$5:$A$90,0)),""))</f>
        <v/>
      </c>
      <c r="S486" s="35" t="str">
        <f aca="false">IF($D486="","",IFERROR(INDEX(Kontenplan!$F$5:$F$90,MATCH($D486,Kontenplan!$A$5:$A$90,0)),""))</f>
        <v/>
      </c>
      <c r="T486" s="35" t="str">
        <f aca="false">IF($D486="","",IFERROR(INDEX(Kontenplan!$C$5:$C$90,MATCH($D486,Kontenplan!$A$5:$A$90,0)),"?"))</f>
        <v/>
      </c>
      <c r="U486" s="35" t="str">
        <f aca="false">IF($E486="","",IFERROR(INDEX(Kontenplan!$C$5:$C$90,MATCH($E486,Kontenplan!$A$5:$A$90,0)),"?"))</f>
        <v/>
      </c>
      <c r="V486" s="35" t="str">
        <f aca="false">IF($F486="","",IF(OR($D486="",$E486="",$T486="?",$U486="?"),"Konto prüfen!",IF($A486="","Datum fehlt",IF(YEAR($A486)&lt;&gt;Einstellungen!$B$7,"anderes Jahr!",IF($G486="","MWST-Code fehlt","OK")))))</f>
        <v/>
      </c>
      <c r="W486" s="35" t="str">
        <f aca="false">IF($F486="","",IF(OR($D486=Kontoauszug!$C$4,$E486=Kontoauszug!$C$4),MAX(W$4:W485)+1,""))</f>
        <v/>
      </c>
    </row>
    <row r="487" customFormat="false" ht="15" hidden="false" customHeight="false" outlineLevel="0" collapsed="false">
      <c r="A487" s="33"/>
      <c r="B487" s="32"/>
      <c r="C487" s="32"/>
      <c r="D487" s="32"/>
      <c r="E487" s="32"/>
      <c r="F487" s="30"/>
      <c r="G487" s="32"/>
      <c r="H487" s="34" t="n">
        <f aca="false">IF($G487="",0,IFERROR(INDEX(Einstellungen!$G$5:$G$11,MATCH($G487,Einstellungen!$E$5:$E$11,0)),0))</f>
        <v>0</v>
      </c>
      <c r="I487" s="35" t="str">
        <f aca="false">IF($G487="","-",IFERROR(INDEX(Einstellungen!$H$5:$H$11,MATCH($G487,Einstellungen!$E$5:$E$11,0)),"-"))</f>
        <v>-</v>
      </c>
      <c r="J487" s="35" t="str">
        <f aca="false">IF(AND(Einstellungen!$B$8="Ja",Einstellungen!$B$9="Effektiv"),$I487,"-")</f>
        <v>-</v>
      </c>
      <c r="K487" s="31" t="n">
        <f aca="false">IF(OR($F487="",$J487="-"),0,ROUND($F487-$F487/(1+$H487),2))</f>
        <v>0</v>
      </c>
      <c r="L487" s="31" t="n">
        <f aca="false">IF($F487="",0,$F487-$K487)</f>
        <v>0</v>
      </c>
      <c r="M487" s="31" t="n">
        <f aca="false">IF($F487="",0,IF($J487="V",$L487,$F487))</f>
        <v>0</v>
      </c>
      <c r="N487" s="31" t="n">
        <f aca="false">IF($F487="",0,IF($J487="U",$L487,$F487))</f>
        <v>0</v>
      </c>
      <c r="O487" s="35" t="str">
        <f aca="false">IF($A487="","",MONTH($A487))</f>
        <v/>
      </c>
      <c r="P487" s="35" t="str">
        <f aca="false">IF($A487="","",ROUNDUP(MONTH($A487)/3,0))</f>
        <v/>
      </c>
      <c r="Q487" s="35" t="str">
        <f aca="false">IF($A487="","",IF(MONTH($A487)&lt;=6,1,2))</f>
        <v/>
      </c>
      <c r="R487" s="35" t="str">
        <f aca="false">IF($E487="","",IFERROR(INDEX(Kontenplan!$F$5:$F$90,MATCH($E487,Kontenplan!$A$5:$A$90,0)),""))</f>
        <v/>
      </c>
      <c r="S487" s="35" t="str">
        <f aca="false">IF($D487="","",IFERROR(INDEX(Kontenplan!$F$5:$F$90,MATCH($D487,Kontenplan!$A$5:$A$90,0)),""))</f>
        <v/>
      </c>
      <c r="T487" s="35" t="str">
        <f aca="false">IF($D487="","",IFERROR(INDEX(Kontenplan!$C$5:$C$90,MATCH($D487,Kontenplan!$A$5:$A$90,0)),"?"))</f>
        <v/>
      </c>
      <c r="U487" s="35" t="str">
        <f aca="false">IF($E487="","",IFERROR(INDEX(Kontenplan!$C$5:$C$90,MATCH($E487,Kontenplan!$A$5:$A$90,0)),"?"))</f>
        <v/>
      </c>
      <c r="V487" s="35" t="str">
        <f aca="false">IF($F487="","",IF(OR($D487="",$E487="",$T487="?",$U487="?"),"Konto prüfen!",IF($A487="","Datum fehlt",IF(YEAR($A487)&lt;&gt;Einstellungen!$B$7,"anderes Jahr!",IF($G487="","MWST-Code fehlt","OK")))))</f>
        <v/>
      </c>
      <c r="W487" s="35" t="str">
        <f aca="false">IF($F487="","",IF(OR($D487=Kontoauszug!$C$4,$E487=Kontoauszug!$C$4),MAX(W$4:W486)+1,""))</f>
        <v/>
      </c>
    </row>
    <row r="488" customFormat="false" ht="15" hidden="false" customHeight="false" outlineLevel="0" collapsed="false">
      <c r="A488" s="33"/>
      <c r="B488" s="32"/>
      <c r="C488" s="32"/>
      <c r="D488" s="32"/>
      <c r="E488" s="32"/>
      <c r="F488" s="30"/>
      <c r="G488" s="32"/>
      <c r="H488" s="34" t="n">
        <f aca="false">IF($G488="",0,IFERROR(INDEX(Einstellungen!$G$5:$G$11,MATCH($G488,Einstellungen!$E$5:$E$11,0)),0))</f>
        <v>0</v>
      </c>
      <c r="I488" s="35" t="str">
        <f aca="false">IF($G488="","-",IFERROR(INDEX(Einstellungen!$H$5:$H$11,MATCH($G488,Einstellungen!$E$5:$E$11,0)),"-"))</f>
        <v>-</v>
      </c>
      <c r="J488" s="35" t="str">
        <f aca="false">IF(AND(Einstellungen!$B$8="Ja",Einstellungen!$B$9="Effektiv"),$I488,"-")</f>
        <v>-</v>
      </c>
      <c r="K488" s="31" t="n">
        <f aca="false">IF(OR($F488="",$J488="-"),0,ROUND($F488-$F488/(1+$H488),2))</f>
        <v>0</v>
      </c>
      <c r="L488" s="31" t="n">
        <f aca="false">IF($F488="",0,$F488-$K488)</f>
        <v>0</v>
      </c>
      <c r="M488" s="31" t="n">
        <f aca="false">IF($F488="",0,IF($J488="V",$L488,$F488))</f>
        <v>0</v>
      </c>
      <c r="N488" s="31" t="n">
        <f aca="false">IF($F488="",0,IF($J488="U",$L488,$F488))</f>
        <v>0</v>
      </c>
      <c r="O488" s="35" t="str">
        <f aca="false">IF($A488="","",MONTH($A488))</f>
        <v/>
      </c>
      <c r="P488" s="35" t="str">
        <f aca="false">IF($A488="","",ROUNDUP(MONTH($A488)/3,0))</f>
        <v/>
      </c>
      <c r="Q488" s="35" t="str">
        <f aca="false">IF($A488="","",IF(MONTH($A488)&lt;=6,1,2))</f>
        <v/>
      </c>
      <c r="R488" s="35" t="str">
        <f aca="false">IF($E488="","",IFERROR(INDEX(Kontenplan!$F$5:$F$90,MATCH($E488,Kontenplan!$A$5:$A$90,0)),""))</f>
        <v/>
      </c>
      <c r="S488" s="35" t="str">
        <f aca="false">IF($D488="","",IFERROR(INDEX(Kontenplan!$F$5:$F$90,MATCH($D488,Kontenplan!$A$5:$A$90,0)),""))</f>
        <v/>
      </c>
      <c r="T488" s="35" t="str">
        <f aca="false">IF($D488="","",IFERROR(INDEX(Kontenplan!$C$5:$C$90,MATCH($D488,Kontenplan!$A$5:$A$90,0)),"?"))</f>
        <v/>
      </c>
      <c r="U488" s="35" t="str">
        <f aca="false">IF($E488="","",IFERROR(INDEX(Kontenplan!$C$5:$C$90,MATCH($E488,Kontenplan!$A$5:$A$90,0)),"?"))</f>
        <v/>
      </c>
      <c r="V488" s="35" t="str">
        <f aca="false">IF($F488="","",IF(OR($D488="",$E488="",$T488="?",$U488="?"),"Konto prüfen!",IF($A488="","Datum fehlt",IF(YEAR($A488)&lt;&gt;Einstellungen!$B$7,"anderes Jahr!",IF($G488="","MWST-Code fehlt","OK")))))</f>
        <v/>
      </c>
      <c r="W488" s="35" t="str">
        <f aca="false">IF($F488="","",IF(OR($D488=Kontoauszug!$C$4,$E488=Kontoauszug!$C$4),MAX(W$4:W487)+1,""))</f>
        <v/>
      </c>
    </row>
    <row r="489" customFormat="false" ht="15" hidden="false" customHeight="false" outlineLevel="0" collapsed="false">
      <c r="A489" s="33"/>
      <c r="B489" s="32"/>
      <c r="C489" s="32"/>
      <c r="D489" s="32"/>
      <c r="E489" s="32"/>
      <c r="F489" s="30"/>
      <c r="G489" s="32"/>
      <c r="H489" s="34" t="n">
        <f aca="false">IF($G489="",0,IFERROR(INDEX(Einstellungen!$G$5:$G$11,MATCH($G489,Einstellungen!$E$5:$E$11,0)),0))</f>
        <v>0</v>
      </c>
      <c r="I489" s="35" t="str">
        <f aca="false">IF($G489="","-",IFERROR(INDEX(Einstellungen!$H$5:$H$11,MATCH($G489,Einstellungen!$E$5:$E$11,0)),"-"))</f>
        <v>-</v>
      </c>
      <c r="J489" s="35" t="str">
        <f aca="false">IF(AND(Einstellungen!$B$8="Ja",Einstellungen!$B$9="Effektiv"),$I489,"-")</f>
        <v>-</v>
      </c>
      <c r="K489" s="31" t="n">
        <f aca="false">IF(OR($F489="",$J489="-"),0,ROUND($F489-$F489/(1+$H489),2))</f>
        <v>0</v>
      </c>
      <c r="L489" s="31" t="n">
        <f aca="false">IF($F489="",0,$F489-$K489)</f>
        <v>0</v>
      </c>
      <c r="M489" s="31" t="n">
        <f aca="false">IF($F489="",0,IF($J489="V",$L489,$F489))</f>
        <v>0</v>
      </c>
      <c r="N489" s="31" t="n">
        <f aca="false">IF($F489="",0,IF($J489="U",$L489,$F489))</f>
        <v>0</v>
      </c>
      <c r="O489" s="35" t="str">
        <f aca="false">IF($A489="","",MONTH($A489))</f>
        <v/>
      </c>
      <c r="P489" s="35" t="str">
        <f aca="false">IF($A489="","",ROUNDUP(MONTH($A489)/3,0))</f>
        <v/>
      </c>
      <c r="Q489" s="35" t="str">
        <f aca="false">IF($A489="","",IF(MONTH($A489)&lt;=6,1,2))</f>
        <v/>
      </c>
      <c r="R489" s="35" t="str">
        <f aca="false">IF($E489="","",IFERROR(INDEX(Kontenplan!$F$5:$F$90,MATCH($E489,Kontenplan!$A$5:$A$90,0)),""))</f>
        <v/>
      </c>
      <c r="S489" s="35" t="str">
        <f aca="false">IF($D489="","",IFERROR(INDEX(Kontenplan!$F$5:$F$90,MATCH($D489,Kontenplan!$A$5:$A$90,0)),""))</f>
        <v/>
      </c>
      <c r="T489" s="35" t="str">
        <f aca="false">IF($D489="","",IFERROR(INDEX(Kontenplan!$C$5:$C$90,MATCH($D489,Kontenplan!$A$5:$A$90,0)),"?"))</f>
        <v/>
      </c>
      <c r="U489" s="35" t="str">
        <f aca="false">IF($E489="","",IFERROR(INDEX(Kontenplan!$C$5:$C$90,MATCH($E489,Kontenplan!$A$5:$A$90,0)),"?"))</f>
        <v/>
      </c>
      <c r="V489" s="35" t="str">
        <f aca="false">IF($F489="","",IF(OR($D489="",$E489="",$T489="?",$U489="?"),"Konto prüfen!",IF($A489="","Datum fehlt",IF(YEAR($A489)&lt;&gt;Einstellungen!$B$7,"anderes Jahr!",IF($G489="","MWST-Code fehlt","OK")))))</f>
        <v/>
      </c>
      <c r="W489" s="35" t="str">
        <f aca="false">IF($F489="","",IF(OR($D489=Kontoauszug!$C$4,$E489=Kontoauszug!$C$4),MAX(W$4:W488)+1,""))</f>
        <v/>
      </c>
    </row>
    <row r="490" customFormat="false" ht="15" hidden="false" customHeight="false" outlineLevel="0" collapsed="false">
      <c r="A490" s="33"/>
      <c r="B490" s="32"/>
      <c r="C490" s="32"/>
      <c r="D490" s="32"/>
      <c r="E490" s="32"/>
      <c r="F490" s="30"/>
      <c r="G490" s="32"/>
      <c r="H490" s="34" t="n">
        <f aca="false">IF($G490="",0,IFERROR(INDEX(Einstellungen!$G$5:$G$11,MATCH($G490,Einstellungen!$E$5:$E$11,0)),0))</f>
        <v>0</v>
      </c>
      <c r="I490" s="35" t="str">
        <f aca="false">IF($G490="","-",IFERROR(INDEX(Einstellungen!$H$5:$H$11,MATCH($G490,Einstellungen!$E$5:$E$11,0)),"-"))</f>
        <v>-</v>
      </c>
      <c r="J490" s="35" t="str">
        <f aca="false">IF(AND(Einstellungen!$B$8="Ja",Einstellungen!$B$9="Effektiv"),$I490,"-")</f>
        <v>-</v>
      </c>
      <c r="K490" s="31" t="n">
        <f aca="false">IF(OR($F490="",$J490="-"),0,ROUND($F490-$F490/(1+$H490),2))</f>
        <v>0</v>
      </c>
      <c r="L490" s="31" t="n">
        <f aca="false">IF($F490="",0,$F490-$K490)</f>
        <v>0</v>
      </c>
      <c r="M490" s="31" t="n">
        <f aca="false">IF($F490="",0,IF($J490="V",$L490,$F490))</f>
        <v>0</v>
      </c>
      <c r="N490" s="31" t="n">
        <f aca="false">IF($F490="",0,IF($J490="U",$L490,$F490))</f>
        <v>0</v>
      </c>
      <c r="O490" s="35" t="str">
        <f aca="false">IF($A490="","",MONTH($A490))</f>
        <v/>
      </c>
      <c r="P490" s="35" t="str">
        <f aca="false">IF($A490="","",ROUNDUP(MONTH($A490)/3,0))</f>
        <v/>
      </c>
      <c r="Q490" s="35" t="str">
        <f aca="false">IF($A490="","",IF(MONTH($A490)&lt;=6,1,2))</f>
        <v/>
      </c>
      <c r="R490" s="35" t="str">
        <f aca="false">IF($E490="","",IFERROR(INDEX(Kontenplan!$F$5:$F$90,MATCH($E490,Kontenplan!$A$5:$A$90,0)),""))</f>
        <v/>
      </c>
      <c r="S490" s="35" t="str">
        <f aca="false">IF($D490="","",IFERROR(INDEX(Kontenplan!$F$5:$F$90,MATCH($D490,Kontenplan!$A$5:$A$90,0)),""))</f>
        <v/>
      </c>
      <c r="T490" s="35" t="str">
        <f aca="false">IF($D490="","",IFERROR(INDEX(Kontenplan!$C$5:$C$90,MATCH($D490,Kontenplan!$A$5:$A$90,0)),"?"))</f>
        <v/>
      </c>
      <c r="U490" s="35" t="str">
        <f aca="false">IF($E490="","",IFERROR(INDEX(Kontenplan!$C$5:$C$90,MATCH($E490,Kontenplan!$A$5:$A$90,0)),"?"))</f>
        <v/>
      </c>
      <c r="V490" s="35" t="str">
        <f aca="false">IF($F490="","",IF(OR($D490="",$E490="",$T490="?",$U490="?"),"Konto prüfen!",IF($A490="","Datum fehlt",IF(YEAR($A490)&lt;&gt;Einstellungen!$B$7,"anderes Jahr!",IF($G490="","MWST-Code fehlt","OK")))))</f>
        <v/>
      </c>
      <c r="W490" s="35" t="str">
        <f aca="false">IF($F490="","",IF(OR($D490=Kontoauszug!$C$4,$E490=Kontoauszug!$C$4),MAX(W$4:W489)+1,""))</f>
        <v/>
      </c>
    </row>
    <row r="491" customFormat="false" ht="15" hidden="false" customHeight="false" outlineLevel="0" collapsed="false">
      <c r="A491" s="33"/>
      <c r="B491" s="32"/>
      <c r="C491" s="32"/>
      <c r="D491" s="32"/>
      <c r="E491" s="32"/>
      <c r="F491" s="30"/>
      <c r="G491" s="32"/>
      <c r="H491" s="34" t="n">
        <f aca="false">IF($G491="",0,IFERROR(INDEX(Einstellungen!$G$5:$G$11,MATCH($G491,Einstellungen!$E$5:$E$11,0)),0))</f>
        <v>0</v>
      </c>
      <c r="I491" s="35" t="str">
        <f aca="false">IF($G491="","-",IFERROR(INDEX(Einstellungen!$H$5:$H$11,MATCH($G491,Einstellungen!$E$5:$E$11,0)),"-"))</f>
        <v>-</v>
      </c>
      <c r="J491" s="35" t="str">
        <f aca="false">IF(AND(Einstellungen!$B$8="Ja",Einstellungen!$B$9="Effektiv"),$I491,"-")</f>
        <v>-</v>
      </c>
      <c r="K491" s="31" t="n">
        <f aca="false">IF(OR($F491="",$J491="-"),0,ROUND($F491-$F491/(1+$H491),2))</f>
        <v>0</v>
      </c>
      <c r="L491" s="31" t="n">
        <f aca="false">IF($F491="",0,$F491-$K491)</f>
        <v>0</v>
      </c>
      <c r="M491" s="31" t="n">
        <f aca="false">IF($F491="",0,IF($J491="V",$L491,$F491))</f>
        <v>0</v>
      </c>
      <c r="N491" s="31" t="n">
        <f aca="false">IF($F491="",0,IF($J491="U",$L491,$F491))</f>
        <v>0</v>
      </c>
      <c r="O491" s="35" t="str">
        <f aca="false">IF($A491="","",MONTH($A491))</f>
        <v/>
      </c>
      <c r="P491" s="35" t="str">
        <f aca="false">IF($A491="","",ROUNDUP(MONTH($A491)/3,0))</f>
        <v/>
      </c>
      <c r="Q491" s="35" t="str">
        <f aca="false">IF($A491="","",IF(MONTH($A491)&lt;=6,1,2))</f>
        <v/>
      </c>
      <c r="R491" s="35" t="str">
        <f aca="false">IF($E491="","",IFERROR(INDEX(Kontenplan!$F$5:$F$90,MATCH($E491,Kontenplan!$A$5:$A$90,0)),""))</f>
        <v/>
      </c>
      <c r="S491" s="35" t="str">
        <f aca="false">IF($D491="","",IFERROR(INDEX(Kontenplan!$F$5:$F$90,MATCH($D491,Kontenplan!$A$5:$A$90,0)),""))</f>
        <v/>
      </c>
      <c r="T491" s="35" t="str">
        <f aca="false">IF($D491="","",IFERROR(INDEX(Kontenplan!$C$5:$C$90,MATCH($D491,Kontenplan!$A$5:$A$90,0)),"?"))</f>
        <v/>
      </c>
      <c r="U491" s="35" t="str">
        <f aca="false">IF($E491="","",IFERROR(INDEX(Kontenplan!$C$5:$C$90,MATCH($E491,Kontenplan!$A$5:$A$90,0)),"?"))</f>
        <v/>
      </c>
      <c r="V491" s="35" t="str">
        <f aca="false">IF($F491="","",IF(OR($D491="",$E491="",$T491="?",$U491="?"),"Konto prüfen!",IF($A491="","Datum fehlt",IF(YEAR($A491)&lt;&gt;Einstellungen!$B$7,"anderes Jahr!",IF($G491="","MWST-Code fehlt","OK")))))</f>
        <v/>
      </c>
      <c r="W491" s="35" t="str">
        <f aca="false">IF($F491="","",IF(OR($D491=Kontoauszug!$C$4,$E491=Kontoauszug!$C$4),MAX(W$4:W490)+1,""))</f>
        <v/>
      </c>
    </row>
    <row r="492" customFormat="false" ht="15" hidden="false" customHeight="false" outlineLevel="0" collapsed="false">
      <c r="A492" s="33"/>
      <c r="B492" s="32"/>
      <c r="C492" s="32"/>
      <c r="D492" s="32"/>
      <c r="E492" s="32"/>
      <c r="F492" s="30"/>
      <c r="G492" s="32"/>
      <c r="H492" s="34" t="n">
        <f aca="false">IF($G492="",0,IFERROR(INDEX(Einstellungen!$G$5:$G$11,MATCH($G492,Einstellungen!$E$5:$E$11,0)),0))</f>
        <v>0</v>
      </c>
      <c r="I492" s="35" t="str">
        <f aca="false">IF($G492="","-",IFERROR(INDEX(Einstellungen!$H$5:$H$11,MATCH($G492,Einstellungen!$E$5:$E$11,0)),"-"))</f>
        <v>-</v>
      </c>
      <c r="J492" s="35" t="str">
        <f aca="false">IF(AND(Einstellungen!$B$8="Ja",Einstellungen!$B$9="Effektiv"),$I492,"-")</f>
        <v>-</v>
      </c>
      <c r="K492" s="31" t="n">
        <f aca="false">IF(OR($F492="",$J492="-"),0,ROUND($F492-$F492/(1+$H492),2))</f>
        <v>0</v>
      </c>
      <c r="L492" s="31" t="n">
        <f aca="false">IF($F492="",0,$F492-$K492)</f>
        <v>0</v>
      </c>
      <c r="M492" s="31" t="n">
        <f aca="false">IF($F492="",0,IF($J492="V",$L492,$F492))</f>
        <v>0</v>
      </c>
      <c r="N492" s="31" t="n">
        <f aca="false">IF($F492="",0,IF($J492="U",$L492,$F492))</f>
        <v>0</v>
      </c>
      <c r="O492" s="35" t="str">
        <f aca="false">IF($A492="","",MONTH($A492))</f>
        <v/>
      </c>
      <c r="P492" s="35" t="str">
        <f aca="false">IF($A492="","",ROUNDUP(MONTH($A492)/3,0))</f>
        <v/>
      </c>
      <c r="Q492" s="35" t="str">
        <f aca="false">IF($A492="","",IF(MONTH($A492)&lt;=6,1,2))</f>
        <v/>
      </c>
      <c r="R492" s="35" t="str">
        <f aca="false">IF($E492="","",IFERROR(INDEX(Kontenplan!$F$5:$F$90,MATCH($E492,Kontenplan!$A$5:$A$90,0)),""))</f>
        <v/>
      </c>
      <c r="S492" s="35" t="str">
        <f aca="false">IF($D492="","",IFERROR(INDEX(Kontenplan!$F$5:$F$90,MATCH($D492,Kontenplan!$A$5:$A$90,0)),""))</f>
        <v/>
      </c>
      <c r="T492" s="35" t="str">
        <f aca="false">IF($D492="","",IFERROR(INDEX(Kontenplan!$C$5:$C$90,MATCH($D492,Kontenplan!$A$5:$A$90,0)),"?"))</f>
        <v/>
      </c>
      <c r="U492" s="35" t="str">
        <f aca="false">IF($E492="","",IFERROR(INDEX(Kontenplan!$C$5:$C$90,MATCH($E492,Kontenplan!$A$5:$A$90,0)),"?"))</f>
        <v/>
      </c>
      <c r="V492" s="35" t="str">
        <f aca="false">IF($F492="","",IF(OR($D492="",$E492="",$T492="?",$U492="?"),"Konto prüfen!",IF($A492="","Datum fehlt",IF(YEAR($A492)&lt;&gt;Einstellungen!$B$7,"anderes Jahr!",IF($G492="","MWST-Code fehlt","OK")))))</f>
        <v/>
      </c>
      <c r="W492" s="35" t="str">
        <f aca="false">IF($F492="","",IF(OR($D492=Kontoauszug!$C$4,$E492=Kontoauszug!$C$4),MAX(W$4:W491)+1,""))</f>
        <v/>
      </c>
    </row>
    <row r="493" customFormat="false" ht="15" hidden="false" customHeight="false" outlineLevel="0" collapsed="false">
      <c r="A493" s="33"/>
      <c r="B493" s="32"/>
      <c r="C493" s="32"/>
      <c r="D493" s="32"/>
      <c r="E493" s="32"/>
      <c r="F493" s="30"/>
      <c r="G493" s="32"/>
      <c r="H493" s="34" t="n">
        <f aca="false">IF($G493="",0,IFERROR(INDEX(Einstellungen!$G$5:$G$11,MATCH($G493,Einstellungen!$E$5:$E$11,0)),0))</f>
        <v>0</v>
      </c>
      <c r="I493" s="35" t="str">
        <f aca="false">IF($G493="","-",IFERROR(INDEX(Einstellungen!$H$5:$H$11,MATCH($G493,Einstellungen!$E$5:$E$11,0)),"-"))</f>
        <v>-</v>
      </c>
      <c r="J493" s="35" t="str">
        <f aca="false">IF(AND(Einstellungen!$B$8="Ja",Einstellungen!$B$9="Effektiv"),$I493,"-")</f>
        <v>-</v>
      </c>
      <c r="K493" s="31" t="n">
        <f aca="false">IF(OR($F493="",$J493="-"),0,ROUND($F493-$F493/(1+$H493),2))</f>
        <v>0</v>
      </c>
      <c r="L493" s="31" t="n">
        <f aca="false">IF($F493="",0,$F493-$K493)</f>
        <v>0</v>
      </c>
      <c r="M493" s="31" t="n">
        <f aca="false">IF($F493="",0,IF($J493="V",$L493,$F493))</f>
        <v>0</v>
      </c>
      <c r="N493" s="31" t="n">
        <f aca="false">IF($F493="",0,IF($J493="U",$L493,$F493))</f>
        <v>0</v>
      </c>
      <c r="O493" s="35" t="str">
        <f aca="false">IF($A493="","",MONTH($A493))</f>
        <v/>
      </c>
      <c r="P493" s="35" t="str">
        <f aca="false">IF($A493="","",ROUNDUP(MONTH($A493)/3,0))</f>
        <v/>
      </c>
      <c r="Q493" s="35" t="str">
        <f aca="false">IF($A493="","",IF(MONTH($A493)&lt;=6,1,2))</f>
        <v/>
      </c>
      <c r="R493" s="35" t="str">
        <f aca="false">IF($E493="","",IFERROR(INDEX(Kontenplan!$F$5:$F$90,MATCH($E493,Kontenplan!$A$5:$A$90,0)),""))</f>
        <v/>
      </c>
      <c r="S493" s="35" t="str">
        <f aca="false">IF($D493="","",IFERROR(INDEX(Kontenplan!$F$5:$F$90,MATCH($D493,Kontenplan!$A$5:$A$90,0)),""))</f>
        <v/>
      </c>
      <c r="T493" s="35" t="str">
        <f aca="false">IF($D493="","",IFERROR(INDEX(Kontenplan!$C$5:$C$90,MATCH($D493,Kontenplan!$A$5:$A$90,0)),"?"))</f>
        <v/>
      </c>
      <c r="U493" s="35" t="str">
        <f aca="false">IF($E493="","",IFERROR(INDEX(Kontenplan!$C$5:$C$90,MATCH($E493,Kontenplan!$A$5:$A$90,0)),"?"))</f>
        <v/>
      </c>
      <c r="V493" s="35" t="str">
        <f aca="false">IF($F493="","",IF(OR($D493="",$E493="",$T493="?",$U493="?"),"Konto prüfen!",IF($A493="","Datum fehlt",IF(YEAR($A493)&lt;&gt;Einstellungen!$B$7,"anderes Jahr!",IF($G493="","MWST-Code fehlt","OK")))))</f>
        <v/>
      </c>
      <c r="W493" s="35" t="str">
        <f aca="false">IF($F493="","",IF(OR($D493=Kontoauszug!$C$4,$E493=Kontoauszug!$C$4),MAX(W$4:W492)+1,""))</f>
        <v/>
      </c>
    </row>
    <row r="494" customFormat="false" ht="15" hidden="false" customHeight="false" outlineLevel="0" collapsed="false">
      <c r="A494" s="33"/>
      <c r="B494" s="32"/>
      <c r="C494" s="32"/>
      <c r="D494" s="32"/>
      <c r="E494" s="32"/>
      <c r="F494" s="30"/>
      <c r="G494" s="32"/>
      <c r="H494" s="34" t="n">
        <f aca="false">IF($G494="",0,IFERROR(INDEX(Einstellungen!$G$5:$G$11,MATCH($G494,Einstellungen!$E$5:$E$11,0)),0))</f>
        <v>0</v>
      </c>
      <c r="I494" s="35" t="str">
        <f aca="false">IF($G494="","-",IFERROR(INDEX(Einstellungen!$H$5:$H$11,MATCH($G494,Einstellungen!$E$5:$E$11,0)),"-"))</f>
        <v>-</v>
      </c>
      <c r="J494" s="35" t="str">
        <f aca="false">IF(AND(Einstellungen!$B$8="Ja",Einstellungen!$B$9="Effektiv"),$I494,"-")</f>
        <v>-</v>
      </c>
      <c r="K494" s="31" t="n">
        <f aca="false">IF(OR($F494="",$J494="-"),0,ROUND($F494-$F494/(1+$H494),2))</f>
        <v>0</v>
      </c>
      <c r="L494" s="31" t="n">
        <f aca="false">IF($F494="",0,$F494-$K494)</f>
        <v>0</v>
      </c>
      <c r="M494" s="31" t="n">
        <f aca="false">IF($F494="",0,IF($J494="V",$L494,$F494))</f>
        <v>0</v>
      </c>
      <c r="N494" s="31" t="n">
        <f aca="false">IF($F494="",0,IF($J494="U",$L494,$F494))</f>
        <v>0</v>
      </c>
      <c r="O494" s="35" t="str">
        <f aca="false">IF($A494="","",MONTH($A494))</f>
        <v/>
      </c>
      <c r="P494" s="35" t="str">
        <f aca="false">IF($A494="","",ROUNDUP(MONTH($A494)/3,0))</f>
        <v/>
      </c>
      <c r="Q494" s="35" t="str">
        <f aca="false">IF($A494="","",IF(MONTH($A494)&lt;=6,1,2))</f>
        <v/>
      </c>
      <c r="R494" s="35" t="str">
        <f aca="false">IF($E494="","",IFERROR(INDEX(Kontenplan!$F$5:$F$90,MATCH($E494,Kontenplan!$A$5:$A$90,0)),""))</f>
        <v/>
      </c>
      <c r="S494" s="35" t="str">
        <f aca="false">IF($D494="","",IFERROR(INDEX(Kontenplan!$F$5:$F$90,MATCH($D494,Kontenplan!$A$5:$A$90,0)),""))</f>
        <v/>
      </c>
      <c r="T494" s="35" t="str">
        <f aca="false">IF($D494="","",IFERROR(INDEX(Kontenplan!$C$5:$C$90,MATCH($D494,Kontenplan!$A$5:$A$90,0)),"?"))</f>
        <v/>
      </c>
      <c r="U494" s="35" t="str">
        <f aca="false">IF($E494="","",IFERROR(INDEX(Kontenplan!$C$5:$C$90,MATCH($E494,Kontenplan!$A$5:$A$90,0)),"?"))</f>
        <v/>
      </c>
      <c r="V494" s="35" t="str">
        <f aca="false">IF($F494="","",IF(OR($D494="",$E494="",$T494="?",$U494="?"),"Konto prüfen!",IF($A494="","Datum fehlt",IF(YEAR($A494)&lt;&gt;Einstellungen!$B$7,"anderes Jahr!",IF($G494="","MWST-Code fehlt","OK")))))</f>
        <v/>
      </c>
      <c r="W494" s="35" t="str">
        <f aca="false">IF($F494="","",IF(OR($D494=Kontoauszug!$C$4,$E494=Kontoauszug!$C$4),MAX(W$4:W493)+1,""))</f>
        <v/>
      </c>
    </row>
    <row r="495" customFormat="false" ht="15" hidden="false" customHeight="false" outlineLevel="0" collapsed="false">
      <c r="A495" s="33"/>
      <c r="B495" s="32"/>
      <c r="C495" s="32"/>
      <c r="D495" s="32"/>
      <c r="E495" s="32"/>
      <c r="F495" s="30"/>
      <c r="G495" s="32"/>
      <c r="H495" s="34" t="n">
        <f aca="false">IF($G495="",0,IFERROR(INDEX(Einstellungen!$G$5:$G$11,MATCH($G495,Einstellungen!$E$5:$E$11,0)),0))</f>
        <v>0</v>
      </c>
      <c r="I495" s="35" t="str">
        <f aca="false">IF($G495="","-",IFERROR(INDEX(Einstellungen!$H$5:$H$11,MATCH($G495,Einstellungen!$E$5:$E$11,0)),"-"))</f>
        <v>-</v>
      </c>
      <c r="J495" s="35" t="str">
        <f aca="false">IF(AND(Einstellungen!$B$8="Ja",Einstellungen!$B$9="Effektiv"),$I495,"-")</f>
        <v>-</v>
      </c>
      <c r="K495" s="31" t="n">
        <f aca="false">IF(OR($F495="",$J495="-"),0,ROUND($F495-$F495/(1+$H495),2))</f>
        <v>0</v>
      </c>
      <c r="L495" s="31" t="n">
        <f aca="false">IF($F495="",0,$F495-$K495)</f>
        <v>0</v>
      </c>
      <c r="M495" s="31" t="n">
        <f aca="false">IF($F495="",0,IF($J495="V",$L495,$F495))</f>
        <v>0</v>
      </c>
      <c r="N495" s="31" t="n">
        <f aca="false">IF($F495="",0,IF($J495="U",$L495,$F495))</f>
        <v>0</v>
      </c>
      <c r="O495" s="35" t="str">
        <f aca="false">IF($A495="","",MONTH($A495))</f>
        <v/>
      </c>
      <c r="P495" s="35" t="str">
        <f aca="false">IF($A495="","",ROUNDUP(MONTH($A495)/3,0))</f>
        <v/>
      </c>
      <c r="Q495" s="35" t="str">
        <f aca="false">IF($A495="","",IF(MONTH($A495)&lt;=6,1,2))</f>
        <v/>
      </c>
      <c r="R495" s="35" t="str">
        <f aca="false">IF($E495="","",IFERROR(INDEX(Kontenplan!$F$5:$F$90,MATCH($E495,Kontenplan!$A$5:$A$90,0)),""))</f>
        <v/>
      </c>
      <c r="S495" s="35" t="str">
        <f aca="false">IF($D495="","",IFERROR(INDEX(Kontenplan!$F$5:$F$90,MATCH($D495,Kontenplan!$A$5:$A$90,0)),""))</f>
        <v/>
      </c>
      <c r="T495" s="35" t="str">
        <f aca="false">IF($D495="","",IFERROR(INDEX(Kontenplan!$C$5:$C$90,MATCH($D495,Kontenplan!$A$5:$A$90,0)),"?"))</f>
        <v/>
      </c>
      <c r="U495" s="35" t="str">
        <f aca="false">IF($E495="","",IFERROR(INDEX(Kontenplan!$C$5:$C$90,MATCH($E495,Kontenplan!$A$5:$A$90,0)),"?"))</f>
        <v/>
      </c>
      <c r="V495" s="35" t="str">
        <f aca="false">IF($F495="","",IF(OR($D495="",$E495="",$T495="?",$U495="?"),"Konto prüfen!",IF($A495="","Datum fehlt",IF(YEAR($A495)&lt;&gt;Einstellungen!$B$7,"anderes Jahr!",IF($G495="","MWST-Code fehlt","OK")))))</f>
        <v/>
      </c>
      <c r="W495" s="35" t="str">
        <f aca="false">IF($F495="","",IF(OR($D495=Kontoauszug!$C$4,$E495=Kontoauszug!$C$4),MAX(W$4:W494)+1,""))</f>
        <v/>
      </c>
    </row>
    <row r="496" customFormat="false" ht="15" hidden="false" customHeight="false" outlineLevel="0" collapsed="false">
      <c r="A496" s="33"/>
      <c r="B496" s="32"/>
      <c r="C496" s="32"/>
      <c r="D496" s="32"/>
      <c r="E496" s="32"/>
      <c r="F496" s="30"/>
      <c r="G496" s="32"/>
      <c r="H496" s="34" t="n">
        <f aca="false">IF($G496="",0,IFERROR(INDEX(Einstellungen!$G$5:$G$11,MATCH($G496,Einstellungen!$E$5:$E$11,0)),0))</f>
        <v>0</v>
      </c>
      <c r="I496" s="35" t="str">
        <f aca="false">IF($G496="","-",IFERROR(INDEX(Einstellungen!$H$5:$H$11,MATCH($G496,Einstellungen!$E$5:$E$11,0)),"-"))</f>
        <v>-</v>
      </c>
      <c r="J496" s="35" t="str">
        <f aca="false">IF(AND(Einstellungen!$B$8="Ja",Einstellungen!$B$9="Effektiv"),$I496,"-")</f>
        <v>-</v>
      </c>
      <c r="K496" s="31" t="n">
        <f aca="false">IF(OR($F496="",$J496="-"),0,ROUND($F496-$F496/(1+$H496),2))</f>
        <v>0</v>
      </c>
      <c r="L496" s="31" t="n">
        <f aca="false">IF($F496="",0,$F496-$K496)</f>
        <v>0</v>
      </c>
      <c r="M496" s="31" t="n">
        <f aca="false">IF($F496="",0,IF($J496="V",$L496,$F496))</f>
        <v>0</v>
      </c>
      <c r="N496" s="31" t="n">
        <f aca="false">IF($F496="",0,IF($J496="U",$L496,$F496))</f>
        <v>0</v>
      </c>
      <c r="O496" s="35" t="str">
        <f aca="false">IF($A496="","",MONTH($A496))</f>
        <v/>
      </c>
      <c r="P496" s="35" t="str">
        <f aca="false">IF($A496="","",ROUNDUP(MONTH($A496)/3,0))</f>
        <v/>
      </c>
      <c r="Q496" s="35" t="str">
        <f aca="false">IF($A496="","",IF(MONTH($A496)&lt;=6,1,2))</f>
        <v/>
      </c>
      <c r="R496" s="35" t="str">
        <f aca="false">IF($E496="","",IFERROR(INDEX(Kontenplan!$F$5:$F$90,MATCH($E496,Kontenplan!$A$5:$A$90,0)),""))</f>
        <v/>
      </c>
      <c r="S496" s="35" t="str">
        <f aca="false">IF($D496="","",IFERROR(INDEX(Kontenplan!$F$5:$F$90,MATCH($D496,Kontenplan!$A$5:$A$90,0)),""))</f>
        <v/>
      </c>
      <c r="T496" s="35" t="str">
        <f aca="false">IF($D496="","",IFERROR(INDEX(Kontenplan!$C$5:$C$90,MATCH($D496,Kontenplan!$A$5:$A$90,0)),"?"))</f>
        <v/>
      </c>
      <c r="U496" s="35" t="str">
        <f aca="false">IF($E496="","",IFERROR(INDEX(Kontenplan!$C$5:$C$90,MATCH($E496,Kontenplan!$A$5:$A$90,0)),"?"))</f>
        <v/>
      </c>
      <c r="V496" s="35" t="str">
        <f aca="false">IF($F496="","",IF(OR($D496="",$E496="",$T496="?",$U496="?"),"Konto prüfen!",IF($A496="","Datum fehlt",IF(YEAR($A496)&lt;&gt;Einstellungen!$B$7,"anderes Jahr!",IF($G496="","MWST-Code fehlt","OK")))))</f>
        <v/>
      </c>
      <c r="W496" s="35" t="str">
        <f aca="false">IF($F496="","",IF(OR($D496=Kontoauszug!$C$4,$E496=Kontoauszug!$C$4),MAX(W$4:W495)+1,""))</f>
        <v/>
      </c>
    </row>
    <row r="497" customFormat="false" ht="15" hidden="false" customHeight="false" outlineLevel="0" collapsed="false">
      <c r="A497" s="33"/>
      <c r="B497" s="32"/>
      <c r="C497" s="32"/>
      <c r="D497" s="32"/>
      <c r="E497" s="32"/>
      <c r="F497" s="30"/>
      <c r="G497" s="32"/>
      <c r="H497" s="34" t="n">
        <f aca="false">IF($G497="",0,IFERROR(INDEX(Einstellungen!$G$5:$G$11,MATCH($G497,Einstellungen!$E$5:$E$11,0)),0))</f>
        <v>0</v>
      </c>
      <c r="I497" s="35" t="str">
        <f aca="false">IF($G497="","-",IFERROR(INDEX(Einstellungen!$H$5:$H$11,MATCH($G497,Einstellungen!$E$5:$E$11,0)),"-"))</f>
        <v>-</v>
      </c>
      <c r="J497" s="35" t="str">
        <f aca="false">IF(AND(Einstellungen!$B$8="Ja",Einstellungen!$B$9="Effektiv"),$I497,"-")</f>
        <v>-</v>
      </c>
      <c r="K497" s="31" t="n">
        <f aca="false">IF(OR($F497="",$J497="-"),0,ROUND($F497-$F497/(1+$H497),2))</f>
        <v>0</v>
      </c>
      <c r="L497" s="31" t="n">
        <f aca="false">IF($F497="",0,$F497-$K497)</f>
        <v>0</v>
      </c>
      <c r="M497" s="31" t="n">
        <f aca="false">IF($F497="",0,IF($J497="V",$L497,$F497))</f>
        <v>0</v>
      </c>
      <c r="N497" s="31" t="n">
        <f aca="false">IF($F497="",0,IF($J497="U",$L497,$F497))</f>
        <v>0</v>
      </c>
      <c r="O497" s="35" t="str">
        <f aca="false">IF($A497="","",MONTH($A497))</f>
        <v/>
      </c>
      <c r="P497" s="35" t="str">
        <f aca="false">IF($A497="","",ROUNDUP(MONTH($A497)/3,0))</f>
        <v/>
      </c>
      <c r="Q497" s="35" t="str">
        <f aca="false">IF($A497="","",IF(MONTH($A497)&lt;=6,1,2))</f>
        <v/>
      </c>
      <c r="R497" s="35" t="str">
        <f aca="false">IF($E497="","",IFERROR(INDEX(Kontenplan!$F$5:$F$90,MATCH($E497,Kontenplan!$A$5:$A$90,0)),""))</f>
        <v/>
      </c>
      <c r="S497" s="35" t="str">
        <f aca="false">IF($D497="","",IFERROR(INDEX(Kontenplan!$F$5:$F$90,MATCH($D497,Kontenplan!$A$5:$A$90,0)),""))</f>
        <v/>
      </c>
      <c r="T497" s="35" t="str">
        <f aca="false">IF($D497="","",IFERROR(INDEX(Kontenplan!$C$5:$C$90,MATCH($D497,Kontenplan!$A$5:$A$90,0)),"?"))</f>
        <v/>
      </c>
      <c r="U497" s="35" t="str">
        <f aca="false">IF($E497="","",IFERROR(INDEX(Kontenplan!$C$5:$C$90,MATCH($E497,Kontenplan!$A$5:$A$90,0)),"?"))</f>
        <v/>
      </c>
      <c r="V497" s="35" t="str">
        <f aca="false">IF($F497="","",IF(OR($D497="",$E497="",$T497="?",$U497="?"),"Konto prüfen!",IF($A497="","Datum fehlt",IF(YEAR($A497)&lt;&gt;Einstellungen!$B$7,"anderes Jahr!",IF($G497="","MWST-Code fehlt","OK")))))</f>
        <v/>
      </c>
      <c r="W497" s="35" t="str">
        <f aca="false">IF($F497="","",IF(OR($D497=Kontoauszug!$C$4,$E497=Kontoauszug!$C$4),MAX(W$4:W496)+1,""))</f>
        <v/>
      </c>
    </row>
    <row r="498" customFormat="false" ht="15" hidden="false" customHeight="false" outlineLevel="0" collapsed="false">
      <c r="A498" s="33"/>
      <c r="B498" s="32"/>
      <c r="C498" s="32"/>
      <c r="D498" s="32"/>
      <c r="E498" s="32"/>
      <c r="F498" s="30"/>
      <c r="G498" s="32"/>
      <c r="H498" s="34" t="n">
        <f aca="false">IF($G498="",0,IFERROR(INDEX(Einstellungen!$G$5:$G$11,MATCH($G498,Einstellungen!$E$5:$E$11,0)),0))</f>
        <v>0</v>
      </c>
      <c r="I498" s="35" t="str">
        <f aca="false">IF($G498="","-",IFERROR(INDEX(Einstellungen!$H$5:$H$11,MATCH($G498,Einstellungen!$E$5:$E$11,0)),"-"))</f>
        <v>-</v>
      </c>
      <c r="J498" s="35" t="str">
        <f aca="false">IF(AND(Einstellungen!$B$8="Ja",Einstellungen!$B$9="Effektiv"),$I498,"-")</f>
        <v>-</v>
      </c>
      <c r="K498" s="31" t="n">
        <f aca="false">IF(OR($F498="",$J498="-"),0,ROUND($F498-$F498/(1+$H498),2))</f>
        <v>0</v>
      </c>
      <c r="L498" s="31" t="n">
        <f aca="false">IF($F498="",0,$F498-$K498)</f>
        <v>0</v>
      </c>
      <c r="M498" s="31" t="n">
        <f aca="false">IF($F498="",0,IF($J498="V",$L498,$F498))</f>
        <v>0</v>
      </c>
      <c r="N498" s="31" t="n">
        <f aca="false">IF($F498="",0,IF($J498="U",$L498,$F498))</f>
        <v>0</v>
      </c>
      <c r="O498" s="35" t="str">
        <f aca="false">IF($A498="","",MONTH($A498))</f>
        <v/>
      </c>
      <c r="P498" s="35" t="str">
        <f aca="false">IF($A498="","",ROUNDUP(MONTH($A498)/3,0))</f>
        <v/>
      </c>
      <c r="Q498" s="35" t="str">
        <f aca="false">IF($A498="","",IF(MONTH($A498)&lt;=6,1,2))</f>
        <v/>
      </c>
      <c r="R498" s="35" t="str">
        <f aca="false">IF($E498="","",IFERROR(INDEX(Kontenplan!$F$5:$F$90,MATCH($E498,Kontenplan!$A$5:$A$90,0)),""))</f>
        <v/>
      </c>
      <c r="S498" s="35" t="str">
        <f aca="false">IF($D498="","",IFERROR(INDEX(Kontenplan!$F$5:$F$90,MATCH($D498,Kontenplan!$A$5:$A$90,0)),""))</f>
        <v/>
      </c>
      <c r="T498" s="35" t="str">
        <f aca="false">IF($D498="","",IFERROR(INDEX(Kontenplan!$C$5:$C$90,MATCH($D498,Kontenplan!$A$5:$A$90,0)),"?"))</f>
        <v/>
      </c>
      <c r="U498" s="35" t="str">
        <f aca="false">IF($E498="","",IFERROR(INDEX(Kontenplan!$C$5:$C$90,MATCH($E498,Kontenplan!$A$5:$A$90,0)),"?"))</f>
        <v/>
      </c>
      <c r="V498" s="35" t="str">
        <f aca="false">IF($F498="","",IF(OR($D498="",$E498="",$T498="?",$U498="?"),"Konto prüfen!",IF($A498="","Datum fehlt",IF(YEAR($A498)&lt;&gt;Einstellungen!$B$7,"anderes Jahr!",IF($G498="","MWST-Code fehlt","OK")))))</f>
        <v/>
      </c>
      <c r="W498" s="35" t="str">
        <f aca="false">IF($F498="","",IF(OR($D498=Kontoauszug!$C$4,$E498=Kontoauszug!$C$4),MAX(W$4:W497)+1,""))</f>
        <v/>
      </c>
    </row>
    <row r="499" customFormat="false" ht="15" hidden="false" customHeight="false" outlineLevel="0" collapsed="false">
      <c r="A499" s="33"/>
      <c r="B499" s="32"/>
      <c r="C499" s="32"/>
      <c r="D499" s="32"/>
      <c r="E499" s="32"/>
      <c r="F499" s="30"/>
      <c r="G499" s="32"/>
      <c r="H499" s="34" t="n">
        <f aca="false">IF($G499="",0,IFERROR(INDEX(Einstellungen!$G$5:$G$11,MATCH($G499,Einstellungen!$E$5:$E$11,0)),0))</f>
        <v>0</v>
      </c>
      <c r="I499" s="35" t="str">
        <f aca="false">IF($G499="","-",IFERROR(INDEX(Einstellungen!$H$5:$H$11,MATCH($G499,Einstellungen!$E$5:$E$11,0)),"-"))</f>
        <v>-</v>
      </c>
      <c r="J499" s="35" t="str">
        <f aca="false">IF(AND(Einstellungen!$B$8="Ja",Einstellungen!$B$9="Effektiv"),$I499,"-")</f>
        <v>-</v>
      </c>
      <c r="K499" s="31" t="n">
        <f aca="false">IF(OR($F499="",$J499="-"),0,ROUND($F499-$F499/(1+$H499),2))</f>
        <v>0</v>
      </c>
      <c r="L499" s="31" t="n">
        <f aca="false">IF($F499="",0,$F499-$K499)</f>
        <v>0</v>
      </c>
      <c r="M499" s="31" t="n">
        <f aca="false">IF($F499="",0,IF($J499="V",$L499,$F499))</f>
        <v>0</v>
      </c>
      <c r="N499" s="31" t="n">
        <f aca="false">IF($F499="",0,IF($J499="U",$L499,$F499))</f>
        <v>0</v>
      </c>
      <c r="O499" s="35" t="str">
        <f aca="false">IF($A499="","",MONTH($A499))</f>
        <v/>
      </c>
      <c r="P499" s="35" t="str">
        <f aca="false">IF($A499="","",ROUNDUP(MONTH($A499)/3,0))</f>
        <v/>
      </c>
      <c r="Q499" s="35" t="str">
        <f aca="false">IF($A499="","",IF(MONTH($A499)&lt;=6,1,2))</f>
        <v/>
      </c>
      <c r="R499" s="35" t="str">
        <f aca="false">IF($E499="","",IFERROR(INDEX(Kontenplan!$F$5:$F$90,MATCH($E499,Kontenplan!$A$5:$A$90,0)),""))</f>
        <v/>
      </c>
      <c r="S499" s="35" t="str">
        <f aca="false">IF($D499="","",IFERROR(INDEX(Kontenplan!$F$5:$F$90,MATCH($D499,Kontenplan!$A$5:$A$90,0)),""))</f>
        <v/>
      </c>
      <c r="T499" s="35" t="str">
        <f aca="false">IF($D499="","",IFERROR(INDEX(Kontenplan!$C$5:$C$90,MATCH($D499,Kontenplan!$A$5:$A$90,0)),"?"))</f>
        <v/>
      </c>
      <c r="U499" s="35" t="str">
        <f aca="false">IF($E499="","",IFERROR(INDEX(Kontenplan!$C$5:$C$90,MATCH($E499,Kontenplan!$A$5:$A$90,0)),"?"))</f>
        <v/>
      </c>
      <c r="V499" s="35" t="str">
        <f aca="false">IF($F499="","",IF(OR($D499="",$E499="",$T499="?",$U499="?"),"Konto prüfen!",IF($A499="","Datum fehlt",IF(YEAR($A499)&lt;&gt;Einstellungen!$B$7,"anderes Jahr!",IF($G499="","MWST-Code fehlt","OK")))))</f>
        <v/>
      </c>
      <c r="W499" s="35" t="str">
        <f aca="false">IF($F499="","",IF(OR($D499=Kontoauszug!$C$4,$E499=Kontoauszug!$C$4),MAX(W$4:W498)+1,""))</f>
        <v/>
      </c>
    </row>
    <row r="500" customFormat="false" ht="15" hidden="false" customHeight="false" outlineLevel="0" collapsed="false">
      <c r="A500" s="33"/>
      <c r="B500" s="32"/>
      <c r="C500" s="32"/>
      <c r="D500" s="32"/>
      <c r="E500" s="32"/>
      <c r="F500" s="30"/>
      <c r="G500" s="32"/>
      <c r="H500" s="34" t="n">
        <f aca="false">IF($G500="",0,IFERROR(INDEX(Einstellungen!$G$5:$G$11,MATCH($G500,Einstellungen!$E$5:$E$11,0)),0))</f>
        <v>0</v>
      </c>
      <c r="I500" s="35" t="str">
        <f aca="false">IF($G500="","-",IFERROR(INDEX(Einstellungen!$H$5:$H$11,MATCH($G500,Einstellungen!$E$5:$E$11,0)),"-"))</f>
        <v>-</v>
      </c>
      <c r="J500" s="35" t="str">
        <f aca="false">IF(AND(Einstellungen!$B$8="Ja",Einstellungen!$B$9="Effektiv"),$I500,"-")</f>
        <v>-</v>
      </c>
      <c r="K500" s="31" t="n">
        <f aca="false">IF(OR($F500="",$J500="-"),0,ROUND($F500-$F500/(1+$H500),2))</f>
        <v>0</v>
      </c>
      <c r="L500" s="31" t="n">
        <f aca="false">IF($F500="",0,$F500-$K500)</f>
        <v>0</v>
      </c>
      <c r="M500" s="31" t="n">
        <f aca="false">IF($F500="",0,IF($J500="V",$L500,$F500))</f>
        <v>0</v>
      </c>
      <c r="N500" s="31" t="n">
        <f aca="false">IF($F500="",0,IF($J500="U",$L500,$F500))</f>
        <v>0</v>
      </c>
      <c r="O500" s="35" t="str">
        <f aca="false">IF($A500="","",MONTH($A500))</f>
        <v/>
      </c>
      <c r="P500" s="35" t="str">
        <f aca="false">IF($A500="","",ROUNDUP(MONTH($A500)/3,0))</f>
        <v/>
      </c>
      <c r="Q500" s="35" t="str">
        <f aca="false">IF($A500="","",IF(MONTH($A500)&lt;=6,1,2))</f>
        <v/>
      </c>
      <c r="R500" s="35" t="str">
        <f aca="false">IF($E500="","",IFERROR(INDEX(Kontenplan!$F$5:$F$90,MATCH($E500,Kontenplan!$A$5:$A$90,0)),""))</f>
        <v/>
      </c>
      <c r="S500" s="35" t="str">
        <f aca="false">IF($D500="","",IFERROR(INDEX(Kontenplan!$F$5:$F$90,MATCH($D500,Kontenplan!$A$5:$A$90,0)),""))</f>
        <v/>
      </c>
      <c r="T500" s="35" t="str">
        <f aca="false">IF($D500="","",IFERROR(INDEX(Kontenplan!$C$5:$C$90,MATCH($D500,Kontenplan!$A$5:$A$90,0)),"?"))</f>
        <v/>
      </c>
      <c r="U500" s="35" t="str">
        <f aca="false">IF($E500="","",IFERROR(INDEX(Kontenplan!$C$5:$C$90,MATCH($E500,Kontenplan!$A$5:$A$90,0)),"?"))</f>
        <v/>
      </c>
      <c r="V500" s="35" t="str">
        <f aca="false">IF($F500="","",IF(OR($D500="",$E500="",$T500="?",$U500="?"),"Konto prüfen!",IF($A500="","Datum fehlt",IF(YEAR($A500)&lt;&gt;Einstellungen!$B$7,"anderes Jahr!",IF($G500="","MWST-Code fehlt","OK")))))</f>
        <v/>
      </c>
      <c r="W500" s="35" t="str">
        <f aca="false">IF($F500="","",IF(OR($D500=Kontoauszug!$C$4,$E500=Kontoauszug!$C$4),MAX(W$4:W499)+1,""))</f>
        <v/>
      </c>
    </row>
    <row r="501" customFormat="false" ht="15" hidden="false" customHeight="false" outlineLevel="0" collapsed="false">
      <c r="A501" s="33"/>
      <c r="B501" s="32"/>
      <c r="C501" s="32"/>
      <c r="D501" s="32"/>
      <c r="E501" s="32"/>
      <c r="F501" s="30"/>
      <c r="G501" s="32"/>
      <c r="H501" s="34" t="n">
        <f aca="false">IF($G501="",0,IFERROR(INDEX(Einstellungen!$G$5:$G$11,MATCH($G501,Einstellungen!$E$5:$E$11,0)),0))</f>
        <v>0</v>
      </c>
      <c r="I501" s="35" t="str">
        <f aca="false">IF($G501="","-",IFERROR(INDEX(Einstellungen!$H$5:$H$11,MATCH($G501,Einstellungen!$E$5:$E$11,0)),"-"))</f>
        <v>-</v>
      </c>
      <c r="J501" s="35" t="str">
        <f aca="false">IF(AND(Einstellungen!$B$8="Ja",Einstellungen!$B$9="Effektiv"),$I501,"-")</f>
        <v>-</v>
      </c>
      <c r="K501" s="31" t="n">
        <f aca="false">IF(OR($F501="",$J501="-"),0,ROUND($F501-$F501/(1+$H501),2))</f>
        <v>0</v>
      </c>
      <c r="L501" s="31" t="n">
        <f aca="false">IF($F501="",0,$F501-$K501)</f>
        <v>0</v>
      </c>
      <c r="M501" s="31" t="n">
        <f aca="false">IF($F501="",0,IF($J501="V",$L501,$F501))</f>
        <v>0</v>
      </c>
      <c r="N501" s="31" t="n">
        <f aca="false">IF($F501="",0,IF($J501="U",$L501,$F501))</f>
        <v>0</v>
      </c>
      <c r="O501" s="35" t="str">
        <f aca="false">IF($A501="","",MONTH($A501))</f>
        <v/>
      </c>
      <c r="P501" s="35" t="str">
        <f aca="false">IF($A501="","",ROUNDUP(MONTH($A501)/3,0))</f>
        <v/>
      </c>
      <c r="Q501" s="35" t="str">
        <f aca="false">IF($A501="","",IF(MONTH($A501)&lt;=6,1,2))</f>
        <v/>
      </c>
      <c r="R501" s="35" t="str">
        <f aca="false">IF($E501="","",IFERROR(INDEX(Kontenplan!$F$5:$F$90,MATCH($E501,Kontenplan!$A$5:$A$90,0)),""))</f>
        <v/>
      </c>
      <c r="S501" s="35" t="str">
        <f aca="false">IF($D501="","",IFERROR(INDEX(Kontenplan!$F$5:$F$90,MATCH($D501,Kontenplan!$A$5:$A$90,0)),""))</f>
        <v/>
      </c>
      <c r="T501" s="35" t="str">
        <f aca="false">IF($D501="","",IFERROR(INDEX(Kontenplan!$C$5:$C$90,MATCH($D501,Kontenplan!$A$5:$A$90,0)),"?"))</f>
        <v/>
      </c>
      <c r="U501" s="35" t="str">
        <f aca="false">IF($E501="","",IFERROR(INDEX(Kontenplan!$C$5:$C$90,MATCH($E501,Kontenplan!$A$5:$A$90,0)),"?"))</f>
        <v/>
      </c>
      <c r="V501" s="35" t="str">
        <f aca="false">IF($F501="","",IF(OR($D501="",$E501="",$T501="?",$U501="?"),"Konto prüfen!",IF($A501="","Datum fehlt",IF(YEAR($A501)&lt;&gt;Einstellungen!$B$7,"anderes Jahr!",IF($G501="","MWST-Code fehlt","OK")))))</f>
        <v/>
      </c>
      <c r="W501" s="35" t="str">
        <f aca="false">IF($F501="","",IF(OR($D501=Kontoauszug!$C$4,$E501=Kontoauszug!$C$4),MAX(W$4:W500)+1,""))</f>
        <v/>
      </c>
    </row>
    <row r="502" customFormat="false" ht="15" hidden="false" customHeight="false" outlineLevel="0" collapsed="false">
      <c r="A502" s="33"/>
      <c r="B502" s="32"/>
      <c r="C502" s="32"/>
      <c r="D502" s="32"/>
      <c r="E502" s="32"/>
      <c r="F502" s="30"/>
      <c r="G502" s="32"/>
      <c r="H502" s="34" t="n">
        <f aca="false">IF($G502="",0,IFERROR(INDEX(Einstellungen!$G$5:$G$11,MATCH($G502,Einstellungen!$E$5:$E$11,0)),0))</f>
        <v>0</v>
      </c>
      <c r="I502" s="35" t="str">
        <f aca="false">IF($G502="","-",IFERROR(INDEX(Einstellungen!$H$5:$H$11,MATCH($G502,Einstellungen!$E$5:$E$11,0)),"-"))</f>
        <v>-</v>
      </c>
      <c r="J502" s="35" t="str">
        <f aca="false">IF(AND(Einstellungen!$B$8="Ja",Einstellungen!$B$9="Effektiv"),$I502,"-")</f>
        <v>-</v>
      </c>
      <c r="K502" s="31" t="n">
        <f aca="false">IF(OR($F502="",$J502="-"),0,ROUND($F502-$F502/(1+$H502),2))</f>
        <v>0</v>
      </c>
      <c r="L502" s="31" t="n">
        <f aca="false">IF($F502="",0,$F502-$K502)</f>
        <v>0</v>
      </c>
      <c r="M502" s="31" t="n">
        <f aca="false">IF($F502="",0,IF($J502="V",$L502,$F502))</f>
        <v>0</v>
      </c>
      <c r="N502" s="31" t="n">
        <f aca="false">IF($F502="",0,IF($J502="U",$L502,$F502))</f>
        <v>0</v>
      </c>
      <c r="O502" s="35" t="str">
        <f aca="false">IF($A502="","",MONTH($A502))</f>
        <v/>
      </c>
      <c r="P502" s="35" t="str">
        <f aca="false">IF($A502="","",ROUNDUP(MONTH($A502)/3,0))</f>
        <v/>
      </c>
      <c r="Q502" s="35" t="str">
        <f aca="false">IF($A502="","",IF(MONTH($A502)&lt;=6,1,2))</f>
        <v/>
      </c>
      <c r="R502" s="35" t="str">
        <f aca="false">IF($E502="","",IFERROR(INDEX(Kontenplan!$F$5:$F$90,MATCH($E502,Kontenplan!$A$5:$A$90,0)),""))</f>
        <v/>
      </c>
      <c r="S502" s="35" t="str">
        <f aca="false">IF($D502="","",IFERROR(INDEX(Kontenplan!$F$5:$F$90,MATCH($D502,Kontenplan!$A$5:$A$90,0)),""))</f>
        <v/>
      </c>
      <c r="T502" s="35" t="str">
        <f aca="false">IF($D502="","",IFERROR(INDEX(Kontenplan!$C$5:$C$90,MATCH($D502,Kontenplan!$A$5:$A$90,0)),"?"))</f>
        <v/>
      </c>
      <c r="U502" s="35" t="str">
        <f aca="false">IF($E502="","",IFERROR(INDEX(Kontenplan!$C$5:$C$90,MATCH($E502,Kontenplan!$A$5:$A$90,0)),"?"))</f>
        <v/>
      </c>
      <c r="V502" s="35" t="str">
        <f aca="false">IF($F502="","",IF(OR($D502="",$E502="",$T502="?",$U502="?"),"Konto prüfen!",IF($A502="","Datum fehlt",IF(YEAR($A502)&lt;&gt;Einstellungen!$B$7,"anderes Jahr!",IF($G502="","MWST-Code fehlt","OK")))))</f>
        <v/>
      </c>
      <c r="W502" s="35" t="str">
        <f aca="false">IF($F502="","",IF(OR($D502=Kontoauszug!$C$4,$E502=Kontoauszug!$C$4),MAX(W$4:W501)+1,""))</f>
        <v/>
      </c>
    </row>
    <row r="503" customFormat="false" ht="15" hidden="false" customHeight="false" outlineLevel="0" collapsed="false">
      <c r="A503" s="33"/>
      <c r="B503" s="32"/>
      <c r="C503" s="32"/>
      <c r="D503" s="32"/>
      <c r="E503" s="32"/>
      <c r="F503" s="30"/>
      <c r="G503" s="32"/>
      <c r="H503" s="34" t="n">
        <f aca="false">IF($G503="",0,IFERROR(INDEX(Einstellungen!$G$5:$G$11,MATCH($G503,Einstellungen!$E$5:$E$11,0)),0))</f>
        <v>0</v>
      </c>
      <c r="I503" s="35" t="str">
        <f aca="false">IF($G503="","-",IFERROR(INDEX(Einstellungen!$H$5:$H$11,MATCH($G503,Einstellungen!$E$5:$E$11,0)),"-"))</f>
        <v>-</v>
      </c>
      <c r="J503" s="35" t="str">
        <f aca="false">IF(AND(Einstellungen!$B$8="Ja",Einstellungen!$B$9="Effektiv"),$I503,"-")</f>
        <v>-</v>
      </c>
      <c r="K503" s="31" t="n">
        <f aca="false">IF(OR($F503="",$J503="-"),0,ROUND($F503-$F503/(1+$H503),2))</f>
        <v>0</v>
      </c>
      <c r="L503" s="31" t="n">
        <f aca="false">IF($F503="",0,$F503-$K503)</f>
        <v>0</v>
      </c>
      <c r="M503" s="31" t="n">
        <f aca="false">IF($F503="",0,IF($J503="V",$L503,$F503))</f>
        <v>0</v>
      </c>
      <c r="N503" s="31" t="n">
        <f aca="false">IF($F503="",0,IF($J503="U",$L503,$F503))</f>
        <v>0</v>
      </c>
      <c r="O503" s="35" t="str">
        <f aca="false">IF($A503="","",MONTH($A503))</f>
        <v/>
      </c>
      <c r="P503" s="35" t="str">
        <f aca="false">IF($A503="","",ROUNDUP(MONTH($A503)/3,0))</f>
        <v/>
      </c>
      <c r="Q503" s="35" t="str">
        <f aca="false">IF($A503="","",IF(MONTH($A503)&lt;=6,1,2))</f>
        <v/>
      </c>
      <c r="R503" s="35" t="str">
        <f aca="false">IF($E503="","",IFERROR(INDEX(Kontenplan!$F$5:$F$90,MATCH($E503,Kontenplan!$A$5:$A$90,0)),""))</f>
        <v/>
      </c>
      <c r="S503" s="35" t="str">
        <f aca="false">IF($D503="","",IFERROR(INDEX(Kontenplan!$F$5:$F$90,MATCH($D503,Kontenplan!$A$5:$A$90,0)),""))</f>
        <v/>
      </c>
      <c r="T503" s="35" t="str">
        <f aca="false">IF($D503="","",IFERROR(INDEX(Kontenplan!$C$5:$C$90,MATCH($D503,Kontenplan!$A$5:$A$90,0)),"?"))</f>
        <v/>
      </c>
      <c r="U503" s="35" t="str">
        <f aca="false">IF($E503="","",IFERROR(INDEX(Kontenplan!$C$5:$C$90,MATCH($E503,Kontenplan!$A$5:$A$90,0)),"?"))</f>
        <v/>
      </c>
      <c r="V503" s="35" t="str">
        <f aca="false">IF($F503="","",IF(OR($D503="",$E503="",$T503="?",$U503="?"),"Konto prüfen!",IF($A503="","Datum fehlt",IF(YEAR($A503)&lt;&gt;Einstellungen!$B$7,"anderes Jahr!",IF($G503="","MWST-Code fehlt","OK")))))</f>
        <v/>
      </c>
      <c r="W503" s="35" t="str">
        <f aca="false">IF($F503="","",IF(OR($D503=Kontoauszug!$C$4,$E503=Kontoauszug!$C$4),MAX(W$4:W502)+1,""))</f>
        <v/>
      </c>
    </row>
    <row r="504" customFormat="false" ht="15" hidden="false" customHeight="false" outlineLevel="0" collapsed="false">
      <c r="A504" s="33"/>
      <c r="B504" s="32"/>
      <c r="C504" s="32"/>
      <c r="D504" s="32"/>
      <c r="E504" s="32"/>
      <c r="F504" s="30"/>
      <c r="G504" s="32"/>
      <c r="H504" s="34" t="n">
        <f aca="false">IF($G504="",0,IFERROR(INDEX(Einstellungen!$G$5:$G$11,MATCH($G504,Einstellungen!$E$5:$E$11,0)),0))</f>
        <v>0</v>
      </c>
      <c r="I504" s="35" t="str">
        <f aca="false">IF($G504="","-",IFERROR(INDEX(Einstellungen!$H$5:$H$11,MATCH($G504,Einstellungen!$E$5:$E$11,0)),"-"))</f>
        <v>-</v>
      </c>
      <c r="J504" s="35" t="str">
        <f aca="false">IF(AND(Einstellungen!$B$8="Ja",Einstellungen!$B$9="Effektiv"),$I504,"-")</f>
        <v>-</v>
      </c>
      <c r="K504" s="31" t="n">
        <f aca="false">IF(OR($F504="",$J504="-"),0,ROUND($F504-$F504/(1+$H504),2))</f>
        <v>0</v>
      </c>
      <c r="L504" s="31" t="n">
        <f aca="false">IF($F504="",0,$F504-$K504)</f>
        <v>0</v>
      </c>
      <c r="M504" s="31" t="n">
        <f aca="false">IF($F504="",0,IF($J504="V",$L504,$F504))</f>
        <v>0</v>
      </c>
      <c r="N504" s="31" t="n">
        <f aca="false">IF($F504="",0,IF($J504="U",$L504,$F504))</f>
        <v>0</v>
      </c>
      <c r="O504" s="35" t="str">
        <f aca="false">IF($A504="","",MONTH($A504))</f>
        <v/>
      </c>
      <c r="P504" s="35" t="str">
        <f aca="false">IF($A504="","",ROUNDUP(MONTH($A504)/3,0))</f>
        <v/>
      </c>
      <c r="Q504" s="35" t="str">
        <f aca="false">IF($A504="","",IF(MONTH($A504)&lt;=6,1,2))</f>
        <v/>
      </c>
      <c r="R504" s="35" t="str">
        <f aca="false">IF($E504="","",IFERROR(INDEX(Kontenplan!$F$5:$F$90,MATCH($E504,Kontenplan!$A$5:$A$90,0)),""))</f>
        <v/>
      </c>
      <c r="S504" s="35" t="str">
        <f aca="false">IF($D504="","",IFERROR(INDEX(Kontenplan!$F$5:$F$90,MATCH($D504,Kontenplan!$A$5:$A$90,0)),""))</f>
        <v/>
      </c>
      <c r="T504" s="35" t="str">
        <f aca="false">IF($D504="","",IFERROR(INDEX(Kontenplan!$C$5:$C$90,MATCH($D504,Kontenplan!$A$5:$A$90,0)),"?"))</f>
        <v/>
      </c>
      <c r="U504" s="35" t="str">
        <f aca="false">IF($E504="","",IFERROR(INDEX(Kontenplan!$C$5:$C$90,MATCH($E504,Kontenplan!$A$5:$A$90,0)),"?"))</f>
        <v/>
      </c>
      <c r="V504" s="35" t="str">
        <f aca="false">IF($F504="","",IF(OR($D504="",$E504="",$T504="?",$U504="?"),"Konto prüfen!",IF($A504="","Datum fehlt",IF(YEAR($A504)&lt;&gt;Einstellungen!$B$7,"anderes Jahr!",IF($G504="","MWST-Code fehlt","OK")))))</f>
        <v/>
      </c>
      <c r="W504" s="35" t="str">
        <f aca="false">IF($F504="","",IF(OR($D504=Kontoauszug!$C$4,$E504=Kontoauszug!$C$4),MAX(W$4:W503)+1,""))</f>
        <v/>
      </c>
    </row>
    <row r="505" customFormat="false" ht="15" hidden="false" customHeight="false" outlineLevel="0" collapsed="false">
      <c r="A505" s="33"/>
      <c r="B505" s="32"/>
      <c r="C505" s="32"/>
      <c r="D505" s="32"/>
      <c r="E505" s="32"/>
      <c r="F505" s="30"/>
      <c r="G505" s="32"/>
      <c r="H505" s="34" t="n">
        <f aca="false">IF($G505="",0,IFERROR(INDEX(Einstellungen!$G$5:$G$11,MATCH($G505,Einstellungen!$E$5:$E$11,0)),0))</f>
        <v>0</v>
      </c>
      <c r="I505" s="35" t="str">
        <f aca="false">IF($G505="","-",IFERROR(INDEX(Einstellungen!$H$5:$H$11,MATCH($G505,Einstellungen!$E$5:$E$11,0)),"-"))</f>
        <v>-</v>
      </c>
      <c r="J505" s="35" t="str">
        <f aca="false">IF(AND(Einstellungen!$B$8="Ja",Einstellungen!$B$9="Effektiv"),$I505,"-")</f>
        <v>-</v>
      </c>
      <c r="K505" s="31" t="n">
        <f aca="false">IF(OR($F505="",$J505="-"),0,ROUND($F505-$F505/(1+$H505),2))</f>
        <v>0</v>
      </c>
      <c r="L505" s="31" t="n">
        <f aca="false">IF($F505="",0,$F505-$K505)</f>
        <v>0</v>
      </c>
      <c r="M505" s="31" t="n">
        <f aca="false">IF($F505="",0,IF($J505="V",$L505,$F505))</f>
        <v>0</v>
      </c>
      <c r="N505" s="31" t="n">
        <f aca="false">IF($F505="",0,IF($J505="U",$L505,$F505))</f>
        <v>0</v>
      </c>
      <c r="O505" s="35" t="str">
        <f aca="false">IF($A505="","",MONTH($A505))</f>
        <v/>
      </c>
      <c r="P505" s="35" t="str">
        <f aca="false">IF($A505="","",ROUNDUP(MONTH($A505)/3,0))</f>
        <v/>
      </c>
      <c r="Q505" s="35" t="str">
        <f aca="false">IF($A505="","",IF(MONTH($A505)&lt;=6,1,2))</f>
        <v/>
      </c>
      <c r="R505" s="35" t="str">
        <f aca="false">IF($E505="","",IFERROR(INDEX(Kontenplan!$F$5:$F$90,MATCH($E505,Kontenplan!$A$5:$A$90,0)),""))</f>
        <v/>
      </c>
      <c r="S505" s="35" t="str">
        <f aca="false">IF($D505="","",IFERROR(INDEX(Kontenplan!$F$5:$F$90,MATCH($D505,Kontenplan!$A$5:$A$90,0)),""))</f>
        <v/>
      </c>
      <c r="T505" s="35" t="str">
        <f aca="false">IF($D505="","",IFERROR(INDEX(Kontenplan!$C$5:$C$90,MATCH($D505,Kontenplan!$A$5:$A$90,0)),"?"))</f>
        <v/>
      </c>
      <c r="U505" s="35" t="str">
        <f aca="false">IF($E505="","",IFERROR(INDEX(Kontenplan!$C$5:$C$90,MATCH($E505,Kontenplan!$A$5:$A$90,0)),"?"))</f>
        <v/>
      </c>
      <c r="V505" s="35" t="str">
        <f aca="false">IF($F505="","",IF(OR($D505="",$E505="",$T505="?",$U505="?"),"Konto prüfen!",IF($A505="","Datum fehlt",IF(YEAR($A505)&lt;&gt;Einstellungen!$B$7,"anderes Jahr!",IF($G505="","MWST-Code fehlt","OK")))))</f>
        <v/>
      </c>
      <c r="W505" s="35" t="str">
        <f aca="false">IF($F505="","",IF(OR($D505=Kontoauszug!$C$4,$E505=Kontoauszug!$C$4),MAX(W$4:W504)+1,""))</f>
        <v/>
      </c>
    </row>
    <row r="506" customFormat="false" ht="15" hidden="false" customHeight="false" outlineLevel="0" collapsed="false">
      <c r="A506" s="33"/>
      <c r="B506" s="32"/>
      <c r="C506" s="32"/>
      <c r="D506" s="32"/>
      <c r="E506" s="32"/>
      <c r="F506" s="30"/>
      <c r="G506" s="32"/>
      <c r="H506" s="34" t="n">
        <f aca="false">IF($G506="",0,IFERROR(INDEX(Einstellungen!$G$5:$G$11,MATCH($G506,Einstellungen!$E$5:$E$11,0)),0))</f>
        <v>0</v>
      </c>
      <c r="I506" s="35" t="str">
        <f aca="false">IF($G506="","-",IFERROR(INDEX(Einstellungen!$H$5:$H$11,MATCH($G506,Einstellungen!$E$5:$E$11,0)),"-"))</f>
        <v>-</v>
      </c>
      <c r="J506" s="35" t="str">
        <f aca="false">IF(AND(Einstellungen!$B$8="Ja",Einstellungen!$B$9="Effektiv"),$I506,"-")</f>
        <v>-</v>
      </c>
      <c r="K506" s="31" t="n">
        <f aca="false">IF(OR($F506="",$J506="-"),0,ROUND($F506-$F506/(1+$H506),2))</f>
        <v>0</v>
      </c>
      <c r="L506" s="31" t="n">
        <f aca="false">IF($F506="",0,$F506-$K506)</f>
        <v>0</v>
      </c>
      <c r="M506" s="31" t="n">
        <f aca="false">IF($F506="",0,IF($J506="V",$L506,$F506))</f>
        <v>0</v>
      </c>
      <c r="N506" s="31" t="n">
        <f aca="false">IF($F506="",0,IF($J506="U",$L506,$F506))</f>
        <v>0</v>
      </c>
      <c r="O506" s="35" t="str">
        <f aca="false">IF($A506="","",MONTH($A506))</f>
        <v/>
      </c>
      <c r="P506" s="35" t="str">
        <f aca="false">IF($A506="","",ROUNDUP(MONTH($A506)/3,0))</f>
        <v/>
      </c>
      <c r="Q506" s="35" t="str">
        <f aca="false">IF($A506="","",IF(MONTH($A506)&lt;=6,1,2))</f>
        <v/>
      </c>
      <c r="R506" s="35" t="str">
        <f aca="false">IF($E506="","",IFERROR(INDEX(Kontenplan!$F$5:$F$90,MATCH($E506,Kontenplan!$A$5:$A$90,0)),""))</f>
        <v/>
      </c>
      <c r="S506" s="35" t="str">
        <f aca="false">IF($D506="","",IFERROR(INDEX(Kontenplan!$F$5:$F$90,MATCH($D506,Kontenplan!$A$5:$A$90,0)),""))</f>
        <v/>
      </c>
      <c r="T506" s="35" t="str">
        <f aca="false">IF($D506="","",IFERROR(INDEX(Kontenplan!$C$5:$C$90,MATCH($D506,Kontenplan!$A$5:$A$90,0)),"?"))</f>
        <v/>
      </c>
      <c r="U506" s="35" t="str">
        <f aca="false">IF($E506="","",IFERROR(INDEX(Kontenplan!$C$5:$C$90,MATCH($E506,Kontenplan!$A$5:$A$90,0)),"?"))</f>
        <v/>
      </c>
      <c r="V506" s="35" t="str">
        <f aca="false">IF($F506="","",IF(OR($D506="",$E506="",$T506="?",$U506="?"),"Konto prüfen!",IF($A506="","Datum fehlt",IF(YEAR($A506)&lt;&gt;Einstellungen!$B$7,"anderes Jahr!",IF($G506="","MWST-Code fehlt","OK")))))</f>
        <v/>
      </c>
      <c r="W506" s="35" t="str">
        <f aca="false">IF($F506="","",IF(OR($D506=Kontoauszug!$C$4,$E506=Kontoauszug!$C$4),MAX(W$4:W505)+1,""))</f>
        <v/>
      </c>
    </row>
    <row r="507" customFormat="false" ht="15" hidden="false" customHeight="false" outlineLevel="0" collapsed="false">
      <c r="A507" s="33"/>
      <c r="B507" s="32"/>
      <c r="C507" s="32"/>
      <c r="D507" s="32"/>
      <c r="E507" s="32"/>
      <c r="F507" s="30"/>
      <c r="G507" s="32"/>
      <c r="H507" s="34" t="n">
        <f aca="false">IF($G507="",0,IFERROR(INDEX(Einstellungen!$G$5:$G$11,MATCH($G507,Einstellungen!$E$5:$E$11,0)),0))</f>
        <v>0</v>
      </c>
      <c r="I507" s="35" t="str">
        <f aca="false">IF($G507="","-",IFERROR(INDEX(Einstellungen!$H$5:$H$11,MATCH($G507,Einstellungen!$E$5:$E$11,0)),"-"))</f>
        <v>-</v>
      </c>
      <c r="J507" s="35" t="str">
        <f aca="false">IF(AND(Einstellungen!$B$8="Ja",Einstellungen!$B$9="Effektiv"),$I507,"-")</f>
        <v>-</v>
      </c>
      <c r="K507" s="31" t="n">
        <f aca="false">IF(OR($F507="",$J507="-"),0,ROUND($F507-$F507/(1+$H507),2))</f>
        <v>0</v>
      </c>
      <c r="L507" s="31" t="n">
        <f aca="false">IF($F507="",0,$F507-$K507)</f>
        <v>0</v>
      </c>
      <c r="M507" s="31" t="n">
        <f aca="false">IF($F507="",0,IF($J507="V",$L507,$F507))</f>
        <v>0</v>
      </c>
      <c r="N507" s="31" t="n">
        <f aca="false">IF($F507="",0,IF($J507="U",$L507,$F507))</f>
        <v>0</v>
      </c>
      <c r="O507" s="35" t="str">
        <f aca="false">IF($A507="","",MONTH($A507))</f>
        <v/>
      </c>
      <c r="P507" s="35" t="str">
        <f aca="false">IF($A507="","",ROUNDUP(MONTH($A507)/3,0))</f>
        <v/>
      </c>
      <c r="Q507" s="35" t="str">
        <f aca="false">IF($A507="","",IF(MONTH($A507)&lt;=6,1,2))</f>
        <v/>
      </c>
      <c r="R507" s="35" t="str">
        <f aca="false">IF($E507="","",IFERROR(INDEX(Kontenplan!$F$5:$F$90,MATCH($E507,Kontenplan!$A$5:$A$90,0)),""))</f>
        <v/>
      </c>
      <c r="S507" s="35" t="str">
        <f aca="false">IF($D507="","",IFERROR(INDEX(Kontenplan!$F$5:$F$90,MATCH($D507,Kontenplan!$A$5:$A$90,0)),""))</f>
        <v/>
      </c>
      <c r="T507" s="35" t="str">
        <f aca="false">IF($D507="","",IFERROR(INDEX(Kontenplan!$C$5:$C$90,MATCH($D507,Kontenplan!$A$5:$A$90,0)),"?"))</f>
        <v/>
      </c>
      <c r="U507" s="35" t="str">
        <f aca="false">IF($E507="","",IFERROR(INDEX(Kontenplan!$C$5:$C$90,MATCH($E507,Kontenplan!$A$5:$A$90,0)),"?"))</f>
        <v/>
      </c>
      <c r="V507" s="35" t="str">
        <f aca="false">IF($F507="","",IF(OR($D507="",$E507="",$T507="?",$U507="?"),"Konto prüfen!",IF($A507="","Datum fehlt",IF(YEAR($A507)&lt;&gt;Einstellungen!$B$7,"anderes Jahr!",IF($G507="","MWST-Code fehlt","OK")))))</f>
        <v/>
      </c>
      <c r="W507" s="35" t="str">
        <f aca="false">IF($F507="","",IF(OR($D507=Kontoauszug!$C$4,$E507=Kontoauszug!$C$4),MAX(W$4:W506)+1,""))</f>
        <v/>
      </c>
    </row>
    <row r="508" customFormat="false" ht="15" hidden="false" customHeight="false" outlineLevel="0" collapsed="false">
      <c r="A508" s="33"/>
      <c r="B508" s="32"/>
      <c r="C508" s="32"/>
      <c r="D508" s="32"/>
      <c r="E508" s="32"/>
      <c r="F508" s="30"/>
      <c r="G508" s="32"/>
      <c r="H508" s="34" t="n">
        <f aca="false">IF($G508="",0,IFERROR(INDEX(Einstellungen!$G$5:$G$11,MATCH($G508,Einstellungen!$E$5:$E$11,0)),0))</f>
        <v>0</v>
      </c>
      <c r="I508" s="35" t="str">
        <f aca="false">IF($G508="","-",IFERROR(INDEX(Einstellungen!$H$5:$H$11,MATCH($G508,Einstellungen!$E$5:$E$11,0)),"-"))</f>
        <v>-</v>
      </c>
      <c r="J508" s="35" t="str">
        <f aca="false">IF(AND(Einstellungen!$B$8="Ja",Einstellungen!$B$9="Effektiv"),$I508,"-")</f>
        <v>-</v>
      </c>
      <c r="K508" s="31" t="n">
        <f aca="false">IF(OR($F508="",$J508="-"),0,ROUND($F508-$F508/(1+$H508),2))</f>
        <v>0</v>
      </c>
      <c r="L508" s="31" t="n">
        <f aca="false">IF($F508="",0,$F508-$K508)</f>
        <v>0</v>
      </c>
      <c r="M508" s="31" t="n">
        <f aca="false">IF($F508="",0,IF($J508="V",$L508,$F508))</f>
        <v>0</v>
      </c>
      <c r="N508" s="31" t="n">
        <f aca="false">IF($F508="",0,IF($J508="U",$L508,$F508))</f>
        <v>0</v>
      </c>
      <c r="O508" s="35" t="str">
        <f aca="false">IF($A508="","",MONTH($A508))</f>
        <v/>
      </c>
      <c r="P508" s="35" t="str">
        <f aca="false">IF($A508="","",ROUNDUP(MONTH($A508)/3,0))</f>
        <v/>
      </c>
      <c r="Q508" s="35" t="str">
        <f aca="false">IF($A508="","",IF(MONTH($A508)&lt;=6,1,2))</f>
        <v/>
      </c>
      <c r="R508" s="35" t="str">
        <f aca="false">IF($E508="","",IFERROR(INDEX(Kontenplan!$F$5:$F$90,MATCH($E508,Kontenplan!$A$5:$A$90,0)),""))</f>
        <v/>
      </c>
      <c r="S508" s="35" t="str">
        <f aca="false">IF($D508="","",IFERROR(INDEX(Kontenplan!$F$5:$F$90,MATCH($D508,Kontenplan!$A$5:$A$90,0)),""))</f>
        <v/>
      </c>
      <c r="T508" s="35" t="str">
        <f aca="false">IF($D508="","",IFERROR(INDEX(Kontenplan!$C$5:$C$90,MATCH($D508,Kontenplan!$A$5:$A$90,0)),"?"))</f>
        <v/>
      </c>
      <c r="U508" s="35" t="str">
        <f aca="false">IF($E508="","",IFERROR(INDEX(Kontenplan!$C$5:$C$90,MATCH($E508,Kontenplan!$A$5:$A$90,0)),"?"))</f>
        <v/>
      </c>
      <c r="V508" s="35" t="str">
        <f aca="false">IF($F508="","",IF(OR($D508="",$E508="",$T508="?",$U508="?"),"Konto prüfen!",IF($A508="","Datum fehlt",IF(YEAR($A508)&lt;&gt;Einstellungen!$B$7,"anderes Jahr!",IF($G508="","MWST-Code fehlt","OK")))))</f>
        <v/>
      </c>
      <c r="W508" s="35" t="str">
        <f aca="false">IF($F508="","",IF(OR($D508=Kontoauszug!$C$4,$E508=Kontoauszug!$C$4),MAX(W$4:W507)+1,""))</f>
        <v/>
      </c>
    </row>
    <row r="509" customFormat="false" ht="15" hidden="false" customHeight="false" outlineLevel="0" collapsed="false">
      <c r="A509" s="33"/>
      <c r="B509" s="32"/>
      <c r="C509" s="32"/>
      <c r="D509" s="32"/>
      <c r="E509" s="32"/>
      <c r="F509" s="30"/>
      <c r="G509" s="32"/>
      <c r="H509" s="34" t="n">
        <f aca="false">IF($G509="",0,IFERROR(INDEX(Einstellungen!$G$5:$G$11,MATCH($G509,Einstellungen!$E$5:$E$11,0)),0))</f>
        <v>0</v>
      </c>
      <c r="I509" s="35" t="str">
        <f aca="false">IF($G509="","-",IFERROR(INDEX(Einstellungen!$H$5:$H$11,MATCH($G509,Einstellungen!$E$5:$E$11,0)),"-"))</f>
        <v>-</v>
      </c>
      <c r="J509" s="35" t="str">
        <f aca="false">IF(AND(Einstellungen!$B$8="Ja",Einstellungen!$B$9="Effektiv"),$I509,"-")</f>
        <v>-</v>
      </c>
      <c r="K509" s="31" t="n">
        <f aca="false">IF(OR($F509="",$J509="-"),0,ROUND($F509-$F509/(1+$H509),2))</f>
        <v>0</v>
      </c>
      <c r="L509" s="31" t="n">
        <f aca="false">IF($F509="",0,$F509-$K509)</f>
        <v>0</v>
      </c>
      <c r="M509" s="31" t="n">
        <f aca="false">IF($F509="",0,IF($J509="V",$L509,$F509))</f>
        <v>0</v>
      </c>
      <c r="N509" s="31" t="n">
        <f aca="false">IF($F509="",0,IF($J509="U",$L509,$F509))</f>
        <v>0</v>
      </c>
      <c r="O509" s="35" t="str">
        <f aca="false">IF($A509="","",MONTH($A509))</f>
        <v/>
      </c>
      <c r="P509" s="35" t="str">
        <f aca="false">IF($A509="","",ROUNDUP(MONTH($A509)/3,0))</f>
        <v/>
      </c>
      <c r="Q509" s="35" t="str">
        <f aca="false">IF($A509="","",IF(MONTH($A509)&lt;=6,1,2))</f>
        <v/>
      </c>
      <c r="R509" s="35" t="str">
        <f aca="false">IF($E509="","",IFERROR(INDEX(Kontenplan!$F$5:$F$90,MATCH($E509,Kontenplan!$A$5:$A$90,0)),""))</f>
        <v/>
      </c>
      <c r="S509" s="35" t="str">
        <f aca="false">IF($D509="","",IFERROR(INDEX(Kontenplan!$F$5:$F$90,MATCH($D509,Kontenplan!$A$5:$A$90,0)),""))</f>
        <v/>
      </c>
      <c r="T509" s="35" t="str">
        <f aca="false">IF($D509="","",IFERROR(INDEX(Kontenplan!$C$5:$C$90,MATCH($D509,Kontenplan!$A$5:$A$90,0)),"?"))</f>
        <v/>
      </c>
      <c r="U509" s="35" t="str">
        <f aca="false">IF($E509="","",IFERROR(INDEX(Kontenplan!$C$5:$C$90,MATCH($E509,Kontenplan!$A$5:$A$90,0)),"?"))</f>
        <v/>
      </c>
      <c r="V509" s="35" t="str">
        <f aca="false">IF($F509="","",IF(OR($D509="",$E509="",$T509="?",$U509="?"),"Konto prüfen!",IF($A509="","Datum fehlt",IF(YEAR($A509)&lt;&gt;Einstellungen!$B$7,"anderes Jahr!",IF($G509="","MWST-Code fehlt","OK")))))</f>
        <v/>
      </c>
      <c r="W509" s="35" t="str">
        <f aca="false">IF($F509="","",IF(OR($D509=Kontoauszug!$C$4,$E509=Kontoauszug!$C$4),MAX(W$4:W508)+1,""))</f>
        <v/>
      </c>
    </row>
    <row r="510" customFormat="false" ht="15" hidden="false" customHeight="false" outlineLevel="0" collapsed="false">
      <c r="A510" s="33"/>
      <c r="B510" s="32"/>
      <c r="C510" s="32"/>
      <c r="D510" s="32"/>
      <c r="E510" s="32"/>
      <c r="F510" s="30"/>
      <c r="G510" s="32"/>
      <c r="H510" s="34" t="n">
        <f aca="false">IF($G510="",0,IFERROR(INDEX(Einstellungen!$G$5:$G$11,MATCH($G510,Einstellungen!$E$5:$E$11,0)),0))</f>
        <v>0</v>
      </c>
      <c r="I510" s="35" t="str">
        <f aca="false">IF($G510="","-",IFERROR(INDEX(Einstellungen!$H$5:$H$11,MATCH($G510,Einstellungen!$E$5:$E$11,0)),"-"))</f>
        <v>-</v>
      </c>
      <c r="J510" s="35" t="str">
        <f aca="false">IF(AND(Einstellungen!$B$8="Ja",Einstellungen!$B$9="Effektiv"),$I510,"-")</f>
        <v>-</v>
      </c>
      <c r="K510" s="31" t="n">
        <f aca="false">IF(OR($F510="",$J510="-"),0,ROUND($F510-$F510/(1+$H510),2))</f>
        <v>0</v>
      </c>
      <c r="L510" s="31" t="n">
        <f aca="false">IF($F510="",0,$F510-$K510)</f>
        <v>0</v>
      </c>
      <c r="M510" s="31" t="n">
        <f aca="false">IF($F510="",0,IF($J510="V",$L510,$F510))</f>
        <v>0</v>
      </c>
      <c r="N510" s="31" t="n">
        <f aca="false">IF($F510="",0,IF($J510="U",$L510,$F510))</f>
        <v>0</v>
      </c>
      <c r="O510" s="35" t="str">
        <f aca="false">IF($A510="","",MONTH($A510))</f>
        <v/>
      </c>
      <c r="P510" s="35" t="str">
        <f aca="false">IF($A510="","",ROUNDUP(MONTH($A510)/3,0))</f>
        <v/>
      </c>
      <c r="Q510" s="35" t="str">
        <f aca="false">IF($A510="","",IF(MONTH($A510)&lt;=6,1,2))</f>
        <v/>
      </c>
      <c r="R510" s="35" t="str">
        <f aca="false">IF($E510="","",IFERROR(INDEX(Kontenplan!$F$5:$F$90,MATCH($E510,Kontenplan!$A$5:$A$90,0)),""))</f>
        <v/>
      </c>
      <c r="S510" s="35" t="str">
        <f aca="false">IF($D510="","",IFERROR(INDEX(Kontenplan!$F$5:$F$90,MATCH($D510,Kontenplan!$A$5:$A$90,0)),""))</f>
        <v/>
      </c>
      <c r="T510" s="35" t="str">
        <f aca="false">IF($D510="","",IFERROR(INDEX(Kontenplan!$C$5:$C$90,MATCH($D510,Kontenplan!$A$5:$A$90,0)),"?"))</f>
        <v/>
      </c>
      <c r="U510" s="35" t="str">
        <f aca="false">IF($E510="","",IFERROR(INDEX(Kontenplan!$C$5:$C$90,MATCH($E510,Kontenplan!$A$5:$A$90,0)),"?"))</f>
        <v/>
      </c>
      <c r="V510" s="35" t="str">
        <f aca="false">IF($F510="","",IF(OR($D510="",$E510="",$T510="?",$U510="?"),"Konto prüfen!",IF($A510="","Datum fehlt",IF(YEAR($A510)&lt;&gt;Einstellungen!$B$7,"anderes Jahr!",IF($G510="","MWST-Code fehlt","OK")))))</f>
        <v/>
      </c>
      <c r="W510" s="35" t="str">
        <f aca="false">IF($F510="","",IF(OR($D510=Kontoauszug!$C$4,$E510=Kontoauszug!$C$4),MAX(W$4:W509)+1,""))</f>
        <v/>
      </c>
    </row>
    <row r="511" customFormat="false" ht="15" hidden="false" customHeight="false" outlineLevel="0" collapsed="false">
      <c r="A511" s="33"/>
      <c r="B511" s="32"/>
      <c r="C511" s="32"/>
      <c r="D511" s="32"/>
      <c r="E511" s="32"/>
      <c r="F511" s="30"/>
      <c r="G511" s="32"/>
      <c r="H511" s="34" t="n">
        <f aca="false">IF($G511="",0,IFERROR(INDEX(Einstellungen!$G$5:$G$11,MATCH($G511,Einstellungen!$E$5:$E$11,0)),0))</f>
        <v>0</v>
      </c>
      <c r="I511" s="35" t="str">
        <f aca="false">IF($G511="","-",IFERROR(INDEX(Einstellungen!$H$5:$H$11,MATCH($G511,Einstellungen!$E$5:$E$11,0)),"-"))</f>
        <v>-</v>
      </c>
      <c r="J511" s="35" t="str">
        <f aca="false">IF(AND(Einstellungen!$B$8="Ja",Einstellungen!$B$9="Effektiv"),$I511,"-")</f>
        <v>-</v>
      </c>
      <c r="K511" s="31" t="n">
        <f aca="false">IF(OR($F511="",$J511="-"),0,ROUND($F511-$F511/(1+$H511),2))</f>
        <v>0</v>
      </c>
      <c r="L511" s="31" t="n">
        <f aca="false">IF($F511="",0,$F511-$K511)</f>
        <v>0</v>
      </c>
      <c r="M511" s="31" t="n">
        <f aca="false">IF($F511="",0,IF($J511="V",$L511,$F511))</f>
        <v>0</v>
      </c>
      <c r="N511" s="31" t="n">
        <f aca="false">IF($F511="",0,IF($J511="U",$L511,$F511))</f>
        <v>0</v>
      </c>
      <c r="O511" s="35" t="str">
        <f aca="false">IF($A511="","",MONTH($A511))</f>
        <v/>
      </c>
      <c r="P511" s="35" t="str">
        <f aca="false">IF($A511="","",ROUNDUP(MONTH($A511)/3,0))</f>
        <v/>
      </c>
      <c r="Q511" s="35" t="str">
        <f aca="false">IF($A511="","",IF(MONTH($A511)&lt;=6,1,2))</f>
        <v/>
      </c>
      <c r="R511" s="35" t="str">
        <f aca="false">IF($E511="","",IFERROR(INDEX(Kontenplan!$F$5:$F$90,MATCH($E511,Kontenplan!$A$5:$A$90,0)),""))</f>
        <v/>
      </c>
      <c r="S511" s="35" t="str">
        <f aca="false">IF($D511="","",IFERROR(INDEX(Kontenplan!$F$5:$F$90,MATCH($D511,Kontenplan!$A$5:$A$90,0)),""))</f>
        <v/>
      </c>
      <c r="T511" s="35" t="str">
        <f aca="false">IF($D511="","",IFERROR(INDEX(Kontenplan!$C$5:$C$90,MATCH($D511,Kontenplan!$A$5:$A$90,0)),"?"))</f>
        <v/>
      </c>
      <c r="U511" s="35" t="str">
        <f aca="false">IF($E511="","",IFERROR(INDEX(Kontenplan!$C$5:$C$90,MATCH($E511,Kontenplan!$A$5:$A$90,0)),"?"))</f>
        <v/>
      </c>
      <c r="V511" s="35" t="str">
        <f aca="false">IF($F511="","",IF(OR($D511="",$E511="",$T511="?",$U511="?"),"Konto prüfen!",IF($A511="","Datum fehlt",IF(YEAR($A511)&lt;&gt;Einstellungen!$B$7,"anderes Jahr!",IF($G511="","MWST-Code fehlt","OK")))))</f>
        <v/>
      </c>
      <c r="W511" s="35" t="str">
        <f aca="false">IF($F511="","",IF(OR($D511=Kontoauszug!$C$4,$E511=Kontoauszug!$C$4),MAX(W$4:W510)+1,""))</f>
        <v/>
      </c>
    </row>
    <row r="512" customFormat="false" ht="15" hidden="false" customHeight="false" outlineLevel="0" collapsed="false">
      <c r="A512" s="33"/>
      <c r="B512" s="32"/>
      <c r="C512" s="32"/>
      <c r="D512" s="32"/>
      <c r="E512" s="32"/>
      <c r="F512" s="30"/>
      <c r="G512" s="32"/>
      <c r="H512" s="34" t="n">
        <f aca="false">IF($G512="",0,IFERROR(INDEX(Einstellungen!$G$5:$G$11,MATCH($G512,Einstellungen!$E$5:$E$11,0)),0))</f>
        <v>0</v>
      </c>
      <c r="I512" s="35" t="str">
        <f aca="false">IF($G512="","-",IFERROR(INDEX(Einstellungen!$H$5:$H$11,MATCH($G512,Einstellungen!$E$5:$E$11,0)),"-"))</f>
        <v>-</v>
      </c>
      <c r="J512" s="35" t="str">
        <f aca="false">IF(AND(Einstellungen!$B$8="Ja",Einstellungen!$B$9="Effektiv"),$I512,"-")</f>
        <v>-</v>
      </c>
      <c r="K512" s="31" t="n">
        <f aca="false">IF(OR($F512="",$J512="-"),0,ROUND($F512-$F512/(1+$H512),2))</f>
        <v>0</v>
      </c>
      <c r="L512" s="31" t="n">
        <f aca="false">IF($F512="",0,$F512-$K512)</f>
        <v>0</v>
      </c>
      <c r="M512" s="31" t="n">
        <f aca="false">IF($F512="",0,IF($J512="V",$L512,$F512))</f>
        <v>0</v>
      </c>
      <c r="N512" s="31" t="n">
        <f aca="false">IF($F512="",0,IF($J512="U",$L512,$F512))</f>
        <v>0</v>
      </c>
      <c r="O512" s="35" t="str">
        <f aca="false">IF($A512="","",MONTH($A512))</f>
        <v/>
      </c>
      <c r="P512" s="35" t="str">
        <f aca="false">IF($A512="","",ROUNDUP(MONTH($A512)/3,0))</f>
        <v/>
      </c>
      <c r="Q512" s="35" t="str">
        <f aca="false">IF($A512="","",IF(MONTH($A512)&lt;=6,1,2))</f>
        <v/>
      </c>
      <c r="R512" s="35" t="str">
        <f aca="false">IF($E512="","",IFERROR(INDEX(Kontenplan!$F$5:$F$90,MATCH($E512,Kontenplan!$A$5:$A$90,0)),""))</f>
        <v/>
      </c>
      <c r="S512" s="35" t="str">
        <f aca="false">IF($D512="","",IFERROR(INDEX(Kontenplan!$F$5:$F$90,MATCH($D512,Kontenplan!$A$5:$A$90,0)),""))</f>
        <v/>
      </c>
      <c r="T512" s="35" t="str">
        <f aca="false">IF($D512="","",IFERROR(INDEX(Kontenplan!$C$5:$C$90,MATCH($D512,Kontenplan!$A$5:$A$90,0)),"?"))</f>
        <v/>
      </c>
      <c r="U512" s="35" t="str">
        <f aca="false">IF($E512="","",IFERROR(INDEX(Kontenplan!$C$5:$C$90,MATCH($E512,Kontenplan!$A$5:$A$90,0)),"?"))</f>
        <v/>
      </c>
      <c r="V512" s="35" t="str">
        <f aca="false">IF($F512="","",IF(OR($D512="",$E512="",$T512="?",$U512="?"),"Konto prüfen!",IF($A512="","Datum fehlt",IF(YEAR($A512)&lt;&gt;Einstellungen!$B$7,"anderes Jahr!",IF($G512="","MWST-Code fehlt","OK")))))</f>
        <v/>
      </c>
      <c r="W512" s="35" t="str">
        <f aca="false">IF($F512="","",IF(OR($D512=Kontoauszug!$C$4,$E512=Kontoauszug!$C$4),MAX(W$4:W511)+1,""))</f>
        <v/>
      </c>
    </row>
    <row r="513" customFormat="false" ht="15" hidden="false" customHeight="false" outlineLevel="0" collapsed="false">
      <c r="A513" s="33"/>
      <c r="B513" s="32"/>
      <c r="C513" s="32"/>
      <c r="D513" s="32"/>
      <c r="E513" s="32"/>
      <c r="F513" s="30"/>
      <c r="G513" s="32"/>
      <c r="H513" s="34" t="n">
        <f aca="false">IF($G513="",0,IFERROR(INDEX(Einstellungen!$G$5:$G$11,MATCH($G513,Einstellungen!$E$5:$E$11,0)),0))</f>
        <v>0</v>
      </c>
      <c r="I513" s="35" t="str">
        <f aca="false">IF($G513="","-",IFERROR(INDEX(Einstellungen!$H$5:$H$11,MATCH($G513,Einstellungen!$E$5:$E$11,0)),"-"))</f>
        <v>-</v>
      </c>
      <c r="J513" s="35" t="str">
        <f aca="false">IF(AND(Einstellungen!$B$8="Ja",Einstellungen!$B$9="Effektiv"),$I513,"-")</f>
        <v>-</v>
      </c>
      <c r="K513" s="31" t="n">
        <f aca="false">IF(OR($F513="",$J513="-"),0,ROUND($F513-$F513/(1+$H513),2))</f>
        <v>0</v>
      </c>
      <c r="L513" s="31" t="n">
        <f aca="false">IF($F513="",0,$F513-$K513)</f>
        <v>0</v>
      </c>
      <c r="M513" s="31" t="n">
        <f aca="false">IF($F513="",0,IF($J513="V",$L513,$F513))</f>
        <v>0</v>
      </c>
      <c r="N513" s="31" t="n">
        <f aca="false">IF($F513="",0,IF($J513="U",$L513,$F513))</f>
        <v>0</v>
      </c>
      <c r="O513" s="35" t="str">
        <f aca="false">IF($A513="","",MONTH($A513))</f>
        <v/>
      </c>
      <c r="P513" s="35" t="str">
        <f aca="false">IF($A513="","",ROUNDUP(MONTH($A513)/3,0))</f>
        <v/>
      </c>
      <c r="Q513" s="35" t="str">
        <f aca="false">IF($A513="","",IF(MONTH($A513)&lt;=6,1,2))</f>
        <v/>
      </c>
      <c r="R513" s="35" t="str">
        <f aca="false">IF($E513="","",IFERROR(INDEX(Kontenplan!$F$5:$F$90,MATCH($E513,Kontenplan!$A$5:$A$90,0)),""))</f>
        <v/>
      </c>
      <c r="S513" s="35" t="str">
        <f aca="false">IF($D513="","",IFERROR(INDEX(Kontenplan!$F$5:$F$90,MATCH($D513,Kontenplan!$A$5:$A$90,0)),""))</f>
        <v/>
      </c>
      <c r="T513" s="35" t="str">
        <f aca="false">IF($D513="","",IFERROR(INDEX(Kontenplan!$C$5:$C$90,MATCH($D513,Kontenplan!$A$5:$A$90,0)),"?"))</f>
        <v/>
      </c>
      <c r="U513" s="35" t="str">
        <f aca="false">IF($E513="","",IFERROR(INDEX(Kontenplan!$C$5:$C$90,MATCH($E513,Kontenplan!$A$5:$A$90,0)),"?"))</f>
        <v/>
      </c>
      <c r="V513" s="35" t="str">
        <f aca="false">IF($F513="","",IF(OR($D513="",$E513="",$T513="?",$U513="?"),"Konto prüfen!",IF($A513="","Datum fehlt",IF(YEAR($A513)&lt;&gt;Einstellungen!$B$7,"anderes Jahr!",IF($G513="","MWST-Code fehlt","OK")))))</f>
        <v/>
      </c>
      <c r="W513" s="35" t="str">
        <f aca="false">IF($F513="","",IF(OR($D513=Kontoauszug!$C$4,$E513=Kontoauszug!$C$4),MAX(W$4:W512)+1,""))</f>
        <v/>
      </c>
    </row>
    <row r="514" customFormat="false" ht="15" hidden="false" customHeight="false" outlineLevel="0" collapsed="false">
      <c r="A514" s="33"/>
      <c r="B514" s="32"/>
      <c r="C514" s="32"/>
      <c r="D514" s="32"/>
      <c r="E514" s="32"/>
      <c r="F514" s="30"/>
      <c r="G514" s="32"/>
      <c r="H514" s="34" t="n">
        <f aca="false">IF($G514="",0,IFERROR(INDEX(Einstellungen!$G$5:$G$11,MATCH($G514,Einstellungen!$E$5:$E$11,0)),0))</f>
        <v>0</v>
      </c>
      <c r="I514" s="35" t="str">
        <f aca="false">IF($G514="","-",IFERROR(INDEX(Einstellungen!$H$5:$H$11,MATCH($G514,Einstellungen!$E$5:$E$11,0)),"-"))</f>
        <v>-</v>
      </c>
      <c r="J514" s="35" t="str">
        <f aca="false">IF(AND(Einstellungen!$B$8="Ja",Einstellungen!$B$9="Effektiv"),$I514,"-")</f>
        <v>-</v>
      </c>
      <c r="K514" s="31" t="n">
        <f aca="false">IF(OR($F514="",$J514="-"),0,ROUND($F514-$F514/(1+$H514),2))</f>
        <v>0</v>
      </c>
      <c r="L514" s="31" t="n">
        <f aca="false">IF($F514="",0,$F514-$K514)</f>
        <v>0</v>
      </c>
      <c r="M514" s="31" t="n">
        <f aca="false">IF($F514="",0,IF($J514="V",$L514,$F514))</f>
        <v>0</v>
      </c>
      <c r="N514" s="31" t="n">
        <f aca="false">IF($F514="",0,IF($J514="U",$L514,$F514))</f>
        <v>0</v>
      </c>
      <c r="O514" s="35" t="str">
        <f aca="false">IF($A514="","",MONTH($A514))</f>
        <v/>
      </c>
      <c r="P514" s="35" t="str">
        <f aca="false">IF($A514="","",ROUNDUP(MONTH($A514)/3,0))</f>
        <v/>
      </c>
      <c r="Q514" s="35" t="str">
        <f aca="false">IF($A514="","",IF(MONTH($A514)&lt;=6,1,2))</f>
        <v/>
      </c>
      <c r="R514" s="35" t="str">
        <f aca="false">IF($E514="","",IFERROR(INDEX(Kontenplan!$F$5:$F$90,MATCH($E514,Kontenplan!$A$5:$A$90,0)),""))</f>
        <v/>
      </c>
      <c r="S514" s="35" t="str">
        <f aca="false">IF($D514="","",IFERROR(INDEX(Kontenplan!$F$5:$F$90,MATCH($D514,Kontenplan!$A$5:$A$90,0)),""))</f>
        <v/>
      </c>
      <c r="T514" s="35" t="str">
        <f aca="false">IF($D514="","",IFERROR(INDEX(Kontenplan!$C$5:$C$90,MATCH($D514,Kontenplan!$A$5:$A$90,0)),"?"))</f>
        <v/>
      </c>
      <c r="U514" s="35" t="str">
        <f aca="false">IF($E514="","",IFERROR(INDEX(Kontenplan!$C$5:$C$90,MATCH($E514,Kontenplan!$A$5:$A$90,0)),"?"))</f>
        <v/>
      </c>
      <c r="V514" s="35" t="str">
        <f aca="false">IF($F514="","",IF(OR($D514="",$E514="",$T514="?",$U514="?"),"Konto prüfen!",IF($A514="","Datum fehlt",IF(YEAR($A514)&lt;&gt;Einstellungen!$B$7,"anderes Jahr!",IF($G514="","MWST-Code fehlt","OK")))))</f>
        <v/>
      </c>
      <c r="W514" s="35" t="str">
        <f aca="false">IF($F514="","",IF(OR($D514=Kontoauszug!$C$4,$E514=Kontoauszug!$C$4),MAX(W$4:W513)+1,""))</f>
        <v/>
      </c>
    </row>
    <row r="515" customFormat="false" ht="15" hidden="false" customHeight="false" outlineLevel="0" collapsed="false">
      <c r="A515" s="33"/>
      <c r="B515" s="32"/>
      <c r="C515" s="32"/>
      <c r="D515" s="32"/>
      <c r="E515" s="32"/>
      <c r="F515" s="30"/>
      <c r="G515" s="32"/>
      <c r="H515" s="34" t="n">
        <f aca="false">IF($G515="",0,IFERROR(INDEX(Einstellungen!$G$5:$G$11,MATCH($G515,Einstellungen!$E$5:$E$11,0)),0))</f>
        <v>0</v>
      </c>
      <c r="I515" s="35" t="str">
        <f aca="false">IF($G515="","-",IFERROR(INDEX(Einstellungen!$H$5:$H$11,MATCH($G515,Einstellungen!$E$5:$E$11,0)),"-"))</f>
        <v>-</v>
      </c>
      <c r="J515" s="35" t="str">
        <f aca="false">IF(AND(Einstellungen!$B$8="Ja",Einstellungen!$B$9="Effektiv"),$I515,"-")</f>
        <v>-</v>
      </c>
      <c r="K515" s="31" t="n">
        <f aca="false">IF(OR($F515="",$J515="-"),0,ROUND($F515-$F515/(1+$H515),2))</f>
        <v>0</v>
      </c>
      <c r="L515" s="31" t="n">
        <f aca="false">IF($F515="",0,$F515-$K515)</f>
        <v>0</v>
      </c>
      <c r="M515" s="31" t="n">
        <f aca="false">IF($F515="",0,IF($J515="V",$L515,$F515))</f>
        <v>0</v>
      </c>
      <c r="N515" s="31" t="n">
        <f aca="false">IF($F515="",0,IF($J515="U",$L515,$F515))</f>
        <v>0</v>
      </c>
      <c r="O515" s="35" t="str">
        <f aca="false">IF($A515="","",MONTH($A515))</f>
        <v/>
      </c>
      <c r="P515" s="35" t="str">
        <f aca="false">IF($A515="","",ROUNDUP(MONTH($A515)/3,0))</f>
        <v/>
      </c>
      <c r="Q515" s="35" t="str">
        <f aca="false">IF($A515="","",IF(MONTH($A515)&lt;=6,1,2))</f>
        <v/>
      </c>
      <c r="R515" s="35" t="str">
        <f aca="false">IF($E515="","",IFERROR(INDEX(Kontenplan!$F$5:$F$90,MATCH($E515,Kontenplan!$A$5:$A$90,0)),""))</f>
        <v/>
      </c>
      <c r="S515" s="35" t="str">
        <f aca="false">IF($D515="","",IFERROR(INDEX(Kontenplan!$F$5:$F$90,MATCH($D515,Kontenplan!$A$5:$A$90,0)),""))</f>
        <v/>
      </c>
      <c r="T515" s="35" t="str">
        <f aca="false">IF($D515="","",IFERROR(INDEX(Kontenplan!$C$5:$C$90,MATCH($D515,Kontenplan!$A$5:$A$90,0)),"?"))</f>
        <v/>
      </c>
      <c r="U515" s="35" t="str">
        <f aca="false">IF($E515="","",IFERROR(INDEX(Kontenplan!$C$5:$C$90,MATCH($E515,Kontenplan!$A$5:$A$90,0)),"?"))</f>
        <v/>
      </c>
      <c r="V515" s="35" t="str">
        <f aca="false">IF($F515="","",IF(OR($D515="",$E515="",$T515="?",$U515="?"),"Konto prüfen!",IF($A515="","Datum fehlt",IF(YEAR($A515)&lt;&gt;Einstellungen!$B$7,"anderes Jahr!",IF($G515="","MWST-Code fehlt","OK")))))</f>
        <v/>
      </c>
      <c r="W515" s="35" t="str">
        <f aca="false">IF($F515="","",IF(OR($D515=Kontoauszug!$C$4,$E515=Kontoauszug!$C$4),MAX(W$4:W514)+1,""))</f>
        <v/>
      </c>
    </row>
    <row r="516" customFormat="false" ht="15" hidden="false" customHeight="false" outlineLevel="0" collapsed="false">
      <c r="A516" s="33"/>
      <c r="B516" s="32"/>
      <c r="C516" s="32"/>
      <c r="D516" s="32"/>
      <c r="E516" s="32"/>
      <c r="F516" s="30"/>
      <c r="G516" s="32"/>
      <c r="H516" s="34" t="n">
        <f aca="false">IF($G516="",0,IFERROR(INDEX(Einstellungen!$G$5:$G$11,MATCH($G516,Einstellungen!$E$5:$E$11,0)),0))</f>
        <v>0</v>
      </c>
      <c r="I516" s="35" t="str">
        <f aca="false">IF($G516="","-",IFERROR(INDEX(Einstellungen!$H$5:$H$11,MATCH($G516,Einstellungen!$E$5:$E$11,0)),"-"))</f>
        <v>-</v>
      </c>
      <c r="J516" s="35" t="str">
        <f aca="false">IF(AND(Einstellungen!$B$8="Ja",Einstellungen!$B$9="Effektiv"),$I516,"-")</f>
        <v>-</v>
      </c>
      <c r="K516" s="31" t="n">
        <f aca="false">IF(OR($F516="",$J516="-"),0,ROUND($F516-$F516/(1+$H516),2))</f>
        <v>0</v>
      </c>
      <c r="L516" s="31" t="n">
        <f aca="false">IF($F516="",0,$F516-$K516)</f>
        <v>0</v>
      </c>
      <c r="M516" s="31" t="n">
        <f aca="false">IF($F516="",0,IF($J516="V",$L516,$F516))</f>
        <v>0</v>
      </c>
      <c r="N516" s="31" t="n">
        <f aca="false">IF($F516="",0,IF($J516="U",$L516,$F516))</f>
        <v>0</v>
      </c>
      <c r="O516" s="35" t="str">
        <f aca="false">IF($A516="","",MONTH($A516))</f>
        <v/>
      </c>
      <c r="P516" s="35" t="str">
        <f aca="false">IF($A516="","",ROUNDUP(MONTH($A516)/3,0))</f>
        <v/>
      </c>
      <c r="Q516" s="35" t="str">
        <f aca="false">IF($A516="","",IF(MONTH($A516)&lt;=6,1,2))</f>
        <v/>
      </c>
      <c r="R516" s="35" t="str">
        <f aca="false">IF($E516="","",IFERROR(INDEX(Kontenplan!$F$5:$F$90,MATCH($E516,Kontenplan!$A$5:$A$90,0)),""))</f>
        <v/>
      </c>
      <c r="S516" s="35" t="str">
        <f aca="false">IF($D516="","",IFERROR(INDEX(Kontenplan!$F$5:$F$90,MATCH($D516,Kontenplan!$A$5:$A$90,0)),""))</f>
        <v/>
      </c>
      <c r="T516" s="35" t="str">
        <f aca="false">IF($D516="","",IFERROR(INDEX(Kontenplan!$C$5:$C$90,MATCH($D516,Kontenplan!$A$5:$A$90,0)),"?"))</f>
        <v/>
      </c>
      <c r="U516" s="35" t="str">
        <f aca="false">IF($E516="","",IFERROR(INDEX(Kontenplan!$C$5:$C$90,MATCH($E516,Kontenplan!$A$5:$A$90,0)),"?"))</f>
        <v/>
      </c>
      <c r="V516" s="35" t="str">
        <f aca="false">IF($F516="","",IF(OR($D516="",$E516="",$T516="?",$U516="?"),"Konto prüfen!",IF($A516="","Datum fehlt",IF(YEAR($A516)&lt;&gt;Einstellungen!$B$7,"anderes Jahr!",IF($G516="","MWST-Code fehlt","OK")))))</f>
        <v/>
      </c>
      <c r="W516" s="35" t="str">
        <f aca="false">IF($F516="","",IF(OR($D516=Kontoauszug!$C$4,$E516=Kontoauszug!$C$4),MAX(W$4:W515)+1,""))</f>
        <v/>
      </c>
    </row>
    <row r="517" customFormat="false" ht="15" hidden="false" customHeight="false" outlineLevel="0" collapsed="false">
      <c r="A517" s="33"/>
      <c r="B517" s="32"/>
      <c r="C517" s="32"/>
      <c r="D517" s="32"/>
      <c r="E517" s="32"/>
      <c r="F517" s="30"/>
      <c r="G517" s="32"/>
      <c r="H517" s="34" t="n">
        <f aca="false">IF($G517="",0,IFERROR(INDEX(Einstellungen!$G$5:$G$11,MATCH($G517,Einstellungen!$E$5:$E$11,0)),0))</f>
        <v>0</v>
      </c>
      <c r="I517" s="35" t="str">
        <f aca="false">IF($G517="","-",IFERROR(INDEX(Einstellungen!$H$5:$H$11,MATCH($G517,Einstellungen!$E$5:$E$11,0)),"-"))</f>
        <v>-</v>
      </c>
      <c r="J517" s="35" t="str">
        <f aca="false">IF(AND(Einstellungen!$B$8="Ja",Einstellungen!$B$9="Effektiv"),$I517,"-")</f>
        <v>-</v>
      </c>
      <c r="K517" s="31" t="n">
        <f aca="false">IF(OR($F517="",$J517="-"),0,ROUND($F517-$F517/(1+$H517),2))</f>
        <v>0</v>
      </c>
      <c r="L517" s="31" t="n">
        <f aca="false">IF($F517="",0,$F517-$K517)</f>
        <v>0</v>
      </c>
      <c r="M517" s="31" t="n">
        <f aca="false">IF($F517="",0,IF($J517="V",$L517,$F517))</f>
        <v>0</v>
      </c>
      <c r="N517" s="31" t="n">
        <f aca="false">IF($F517="",0,IF($J517="U",$L517,$F517))</f>
        <v>0</v>
      </c>
      <c r="O517" s="35" t="str">
        <f aca="false">IF($A517="","",MONTH($A517))</f>
        <v/>
      </c>
      <c r="P517" s="35" t="str">
        <f aca="false">IF($A517="","",ROUNDUP(MONTH($A517)/3,0))</f>
        <v/>
      </c>
      <c r="Q517" s="35" t="str">
        <f aca="false">IF($A517="","",IF(MONTH($A517)&lt;=6,1,2))</f>
        <v/>
      </c>
      <c r="R517" s="35" t="str">
        <f aca="false">IF($E517="","",IFERROR(INDEX(Kontenplan!$F$5:$F$90,MATCH($E517,Kontenplan!$A$5:$A$90,0)),""))</f>
        <v/>
      </c>
      <c r="S517" s="35" t="str">
        <f aca="false">IF($D517="","",IFERROR(INDEX(Kontenplan!$F$5:$F$90,MATCH($D517,Kontenplan!$A$5:$A$90,0)),""))</f>
        <v/>
      </c>
      <c r="T517" s="35" t="str">
        <f aca="false">IF($D517="","",IFERROR(INDEX(Kontenplan!$C$5:$C$90,MATCH($D517,Kontenplan!$A$5:$A$90,0)),"?"))</f>
        <v/>
      </c>
      <c r="U517" s="35" t="str">
        <f aca="false">IF($E517="","",IFERROR(INDEX(Kontenplan!$C$5:$C$90,MATCH($E517,Kontenplan!$A$5:$A$90,0)),"?"))</f>
        <v/>
      </c>
      <c r="V517" s="35" t="str">
        <f aca="false">IF($F517="","",IF(OR($D517="",$E517="",$T517="?",$U517="?"),"Konto prüfen!",IF($A517="","Datum fehlt",IF(YEAR($A517)&lt;&gt;Einstellungen!$B$7,"anderes Jahr!",IF($G517="","MWST-Code fehlt","OK")))))</f>
        <v/>
      </c>
      <c r="W517" s="35" t="str">
        <f aca="false">IF($F517="","",IF(OR($D517=Kontoauszug!$C$4,$E517=Kontoauszug!$C$4),MAX(W$4:W516)+1,""))</f>
        <v/>
      </c>
    </row>
    <row r="518" customFormat="false" ht="15" hidden="false" customHeight="false" outlineLevel="0" collapsed="false">
      <c r="A518" s="33"/>
      <c r="B518" s="32"/>
      <c r="C518" s="32"/>
      <c r="D518" s="32"/>
      <c r="E518" s="32"/>
      <c r="F518" s="30"/>
      <c r="G518" s="32"/>
      <c r="H518" s="34" t="n">
        <f aca="false">IF($G518="",0,IFERROR(INDEX(Einstellungen!$G$5:$G$11,MATCH($G518,Einstellungen!$E$5:$E$11,0)),0))</f>
        <v>0</v>
      </c>
      <c r="I518" s="35" t="str">
        <f aca="false">IF($G518="","-",IFERROR(INDEX(Einstellungen!$H$5:$H$11,MATCH($G518,Einstellungen!$E$5:$E$11,0)),"-"))</f>
        <v>-</v>
      </c>
      <c r="J518" s="35" t="str">
        <f aca="false">IF(AND(Einstellungen!$B$8="Ja",Einstellungen!$B$9="Effektiv"),$I518,"-")</f>
        <v>-</v>
      </c>
      <c r="K518" s="31" t="n">
        <f aca="false">IF(OR($F518="",$J518="-"),0,ROUND($F518-$F518/(1+$H518),2))</f>
        <v>0</v>
      </c>
      <c r="L518" s="31" t="n">
        <f aca="false">IF($F518="",0,$F518-$K518)</f>
        <v>0</v>
      </c>
      <c r="M518" s="31" t="n">
        <f aca="false">IF($F518="",0,IF($J518="V",$L518,$F518))</f>
        <v>0</v>
      </c>
      <c r="N518" s="31" t="n">
        <f aca="false">IF($F518="",0,IF($J518="U",$L518,$F518))</f>
        <v>0</v>
      </c>
      <c r="O518" s="35" t="str">
        <f aca="false">IF($A518="","",MONTH($A518))</f>
        <v/>
      </c>
      <c r="P518" s="35" t="str">
        <f aca="false">IF($A518="","",ROUNDUP(MONTH($A518)/3,0))</f>
        <v/>
      </c>
      <c r="Q518" s="35" t="str">
        <f aca="false">IF($A518="","",IF(MONTH($A518)&lt;=6,1,2))</f>
        <v/>
      </c>
      <c r="R518" s="35" t="str">
        <f aca="false">IF($E518="","",IFERROR(INDEX(Kontenplan!$F$5:$F$90,MATCH($E518,Kontenplan!$A$5:$A$90,0)),""))</f>
        <v/>
      </c>
      <c r="S518" s="35" t="str">
        <f aca="false">IF($D518="","",IFERROR(INDEX(Kontenplan!$F$5:$F$90,MATCH($D518,Kontenplan!$A$5:$A$90,0)),""))</f>
        <v/>
      </c>
      <c r="T518" s="35" t="str">
        <f aca="false">IF($D518="","",IFERROR(INDEX(Kontenplan!$C$5:$C$90,MATCH($D518,Kontenplan!$A$5:$A$90,0)),"?"))</f>
        <v/>
      </c>
      <c r="U518" s="35" t="str">
        <f aca="false">IF($E518="","",IFERROR(INDEX(Kontenplan!$C$5:$C$90,MATCH($E518,Kontenplan!$A$5:$A$90,0)),"?"))</f>
        <v/>
      </c>
      <c r="V518" s="35" t="str">
        <f aca="false">IF($F518="","",IF(OR($D518="",$E518="",$T518="?",$U518="?"),"Konto prüfen!",IF($A518="","Datum fehlt",IF(YEAR($A518)&lt;&gt;Einstellungen!$B$7,"anderes Jahr!",IF($G518="","MWST-Code fehlt","OK")))))</f>
        <v/>
      </c>
      <c r="W518" s="35" t="str">
        <f aca="false">IF($F518="","",IF(OR($D518=Kontoauszug!$C$4,$E518=Kontoauszug!$C$4),MAX(W$4:W517)+1,""))</f>
        <v/>
      </c>
    </row>
    <row r="519" customFormat="false" ht="15" hidden="false" customHeight="false" outlineLevel="0" collapsed="false">
      <c r="A519" s="33"/>
      <c r="B519" s="32"/>
      <c r="C519" s="32"/>
      <c r="D519" s="32"/>
      <c r="E519" s="32"/>
      <c r="F519" s="30"/>
      <c r="G519" s="32"/>
      <c r="H519" s="34" t="n">
        <f aca="false">IF($G519="",0,IFERROR(INDEX(Einstellungen!$G$5:$G$11,MATCH($G519,Einstellungen!$E$5:$E$11,0)),0))</f>
        <v>0</v>
      </c>
      <c r="I519" s="35" t="str">
        <f aca="false">IF($G519="","-",IFERROR(INDEX(Einstellungen!$H$5:$H$11,MATCH($G519,Einstellungen!$E$5:$E$11,0)),"-"))</f>
        <v>-</v>
      </c>
      <c r="J519" s="35" t="str">
        <f aca="false">IF(AND(Einstellungen!$B$8="Ja",Einstellungen!$B$9="Effektiv"),$I519,"-")</f>
        <v>-</v>
      </c>
      <c r="K519" s="31" t="n">
        <f aca="false">IF(OR($F519="",$J519="-"),0,ROUND($F519-$F519/(1+$H519),2))</f>
        <v>0</v>
      </c>
      <c r="L519" s="31" t="n">
        <f aca="false">IF($F519="",0,$F519-$K519)</f>
        <v>0</v>
      </c>
      <c r="M519" s="31" t="n">
        <f aca="false">IF($F519="",0,IF($J519="V",$L519,$F519))</f>
        <v>0</v>
      </c>
      <c r="N519" s="31" t="n">
        <f aca="false">IF($F519="",0,IF($J519="U",$L519,$F519))</f>
        <v>0</v>
      </c>
      <c r="O519" s="35" t="str">
        <f aca="false">IF($A519="","",MONTH($A519))</f>
        <v/>
      </c>
      <c r="P519" s="35" t="str">
        <f aca="false">IF($A519="","",ROUNDUP(MONTH($A519)/3,0))</f>
        <v/>
      </c>
      <c r="Q519" s="35" t="str">
        <f aca="false">IF($A519="","",IF(MONTH($A519)&lt;=6,1,2))</f>
        <v/>
      </c>
      <c r="R519" s="35" t="str">
        <f aca="false">IF($E519="","",IFERROR(INDEX(Kontenplan!$F$5:$F$90,MATCH($E519,Kontenplan!$A$5:$A$90,0)),""))</f>
        <v/>
      </c>
      <c r="S519" s="35" t="str">
        <f aca="false">IF($D519="","",IFERROR(INDEX(Kontenplan!$F$5:$F$90,MATCH($D519,Kontenplan!$A$5:$A$90,0)),""))</f>
        <v/>
      </c>
      <c r="T519" s="35" t="str">
        <f aca="false">IF($D519="","",IFERROR(INDEX(Kontenplan!$C$5:$C$90,MATCH($D519,Kontenplan!$A$5:$A$90,0)),"?"))</f>
        <v/>
      </c>
      <c r="U519" s="35" t="str">
        <f aca="false">IF($E519="","",IFERROR(INDEX(Kontenplan!$C$5:$C$90,MATCH($E519,Kontenplan!$A$5:$A$90,0)),"?"))</f>
        <v/>
      </c>
      <c r="V519" s="35" t="str">
        <f aca="false">IF($F519="","",IF(OR($D519="",$E519="",$T519="?",$U519="?"),"Konto prüfen!",IF($A519="","Datum fehlt",IF(YEAR($A519)&lt;&gt;Einstellungen!$B$7,"anderes Jahr!",IF($G519="","MWST-Code fehlt","OK")))))</f>
        <v/>
      </c>
      <c r="W519" s="35" t="str">
        <f aca="false">IF($F519="","",IF(OR($D519=Kontoauszug!$C$4,$E519=Kontoauszug!$C$4),MAX(W$4:W518)+1,""))</f>
        <v/>
      </c>
    </row>
    <row r="520" customFormat="false" ht="15" hidden="false" customHeight="false" outlineLevel="0" collapsed="false">
      <c r="A520" s="33"/>
      <c r="B520" s="32"/>
      <c r="C520" s="32"/>
      <c r="D520" s="32"/>
      <c r="E520" s="32"/>
      <c r="F520" s="30"/>
      <c r="G520" s="32"/>
      <c r="H520" s="34" t="n">
        <f aca="false">IF($G520="",0,IFERROR(INDEX(Einstellungen!$G$5:$G$11,MATCH($G520,Einstellungen!$E$5:$E$11,0)),0))</f>
        <v>0</v>
      </c>
      <c r="I520" s="35" t="str">
        <f aca="false">IF($G520="","-",IFERROR(INDEX(Einstellungen!$H$5:$H$11,MATCH($G520,Einstellungen!$E$5:$E$11,0)),"-"))</f>
        <v>-</v>
      </c>
      <c r="J520" s="35" t="str">
        <f aca="false">IF(AND(Einstellungen!$B$8="Ja",Einstellungen!$B$9="Effektiv"),$I520,"-")</f>
        <v>-</v>
      </c>
      <c r="K520" s="31" t="n">
        <f aca="false">IF(OR($F520="",$J520="-"),0,ROUND($F520-$F520/(1+$H520),2))</f>
        <v>0</v>
      </c>
      <c r="L520" s="31" t="n">
        <f aca="false">IF($F520="",0,$F520-$K520)</f>
        <v>0</v>
      </c>
      <c r="M520" s="31" t="n">
        <f aca="false">IF($F520="",0,IF($J520="V",$L520,$F520))</f>
        <v>0</v>
      </c>
      <c r="N520" s="31" t="n">
        <f aca="false">IF($F520="",0,IF($J520="U",$L520,$F520))</f>
        <v>0</v>
      </c>
      <c r="O520" s="35" t="str">
        <f aca="false">IF($A520="","",MONTH($A520))</f>
        <v/>
      </c>
      <c r="P520" s="35" t="str">
        <f aca="false">IF($A520="","",ROUNDUP(MONTH($A520)/3,0))</f>
        <v/>
      </c>
      <c r="Q520" s="35" t="str">
        <f aca="false">IF($A520="","",IF(MONTH($A520)&lt;=6,1,2))</f>
        <v/>
      </c>
      <c r="R520" s="35" t="str">
        <f aca="false">IF($E520="","",IFERROR(INDEX(Kontenplan!$F$5:$F$90,MATCH($E520,Kontenplan!$A$5:$A$90,0)),""))</f>
        <v/>
      </c>
      <c r="S520" s="35" t="str">
        <f aca="false">IF($D520="","",IFERROR(INDEX(Kontenplan!$F$5:$F$90,MATCH($D520,Kontenplan!$A$5:$A$90,0)),""))</f>
        <v/>
      </c>
      <c r="T520" s="35" t="str">
        <f aca="false">IF($D520="","",IFERROR(INDEX(Kontenplan!$C$5:$C$90,MATCH($D520,Kontenplan!$A$5:$A$90,0)),"?"))</f>
        <v/>
      </c>
      <c r="U520" s="35" t="str">
        <f aca="false">IF($E520="","",IFERROR(INDEX(Kontenplan!$C$5:$C$90,MATCH($E520,Kontenplan!$A$5:$A$90,0)),"?"))</f>
        <v/>
      </c>
      <c r="V520" s="35" t="str">
        <f aca="false">IF($F520="","",IF(OR($D520="",$E520="",$T520="?",$U520="?"),"Konto prüfen!",IF($A520="","Datum fehlt",IF(YEAR($A520)&lt;&gt;Einstellungen!$B$7,"anderes Jahr!",IF($G520="","MWST-Code fehlt","OK")))))</f>
        <v/>
      </c>
      <c r="W520" s="35" t="str">
        <f aca="false">IF($F520="","",IF(OR($D520=Kontoauszug!$C$4,$E520=Kontoauszug!$C$4),MAX(W$4:W519)+1,""))</f>
        <v/>
      </c>
    </row>
    <row r="521" customFormat="false" ht="15" hidden="false" customHeight="false" outlineLevel="0" collapsed="false">
      <c r="A521" s="33"/>
      <c r="B521" s="32"/>
      <c r="C521" s="32"/>
      <c r="D521" s="32"/>
      <c r="E521" s="32"/>
      <c r="F521" s="30"/>
      <c r="G521" s="32"/>
      <c r="H521" s="34" t="n">
        <f aca="false">IF($G521="",0,IFERROR(INDEX(Einstellungen!$G$5:$G$11,MATCH($G521,Einstellungen!$E$5:$E$11,0)),0))</f>
        <v>0</v>
      </c>
      <c r="I521" s="35" t="str">
        <f aca="false">IF($G521="","-",IFERROR(INDEX(Einstellungen!$H$5:$H$11,MATCH($G521,Einstellungen!$E$5:$E$11,0)),"-"))</f>
        <v>-</v>
      </c>
      <c r="J521" s="35" t="str">
        <f aca="false">IF(AND(Einstellungen!$B$8="Ja",Einstellungen!$B$9="Effektiv"),$I521,"-")</f>
        <v>-</v>
      </c>
      <c r="K521" s="31" t="n">
        <f aca="false">IF(OR($F521="",$J521="-"),0,ROUND($F521-$F521/(1+$H521),2))</f>
        <v>0</v>
      </c>
      <c r="L521" s="31" t="n">
        <f aca="false">IF($F521="",0,$F521-$K521)</f>
        <v>0</v>
      </c>
      <c r="M521" s="31" t="n">
        <f aca="false">IF($F521="",0,IF($J521="V",$L521,$F521))</f>
        <v>0</v>
      </c>
      <c r="N521" s="31" t="n">
        <f aca="false">IF($F521="",0,IF($J521="U",$L521,$F521))</f>
        <v>0</v>
      </c>
      <c r="O521" s="35" t="str">
        <f aca="false">IF($A521="","",MONTH($A521))</f>
        <v/>
      </c>
      <c r="P521" s="35" t="str">
        <f aca="false">IF($A521="","",ROUNDUP(MONTH($A521)/3,0))</f>
        <v/>
      </c>
      <c r="Q521" s="35" t="str">
        <f aca="false">IF($A521="","",IF(MONTH($A521)&lt;=6,1,2))</f>
        <v/>
      </c>
      <c r="R521" s="35" t="str">
        <f aca="false">IF($E521="","",IFERROR(INDEX(Kontenplan!$F$5:$F$90,MATCH($E521,Kontenplan!$A$5:$A$90,0)),""))</f>
        <v/>
      </c>
      <c r="S521" s="35" t="str">
        <f aca="false">IF($D521="","",IFERROR(INDEX(Kontenplan!$F$5:$F$90,MATCH($D521,Kontenplan!$A$5:$A$90,0)),""))</f>
        <v/>
      </c>
      <c r="T521" s="35" t="str">
        <f aca="false">IF($D521="","",IFERROR(INDEX(Kontenplan!$C$5:$C$90,MATCH($D521,Kontenplan!$A$5:$A$90,0)),"?"))</f>
        <v/>
      </c>
      <c r="U521" s="35" t="str">
        <f aca="false">IF($E521="","",IFERROR(INDEX(Kontenplan!$C$5:$C$90,MATCH($E521,Kontenplan!$A$5:$A$90,0)),"?"))</f>
        <v/>
      </c>
      <c r="V521" s="35" t="str">
        <f aca="false">IF($F521="","",IF(OR($D521="",$E521="",$T521="?",$U521="?"),"Konto prüfen!",IF($A521="","Datum fehlt",IF(YEAR($A521)&lt;&gt;Einstellungen!$B$7,"anderes Jahr!",IF($G521="","MWST-Code fehlt","OK")))))</f>
        <v/>
      </c>
      <c r="W521" s="35" t="str">
        <f aca="false">IF($F521="","",IF(OR($D521=Kontoauszug!$C$4,$E521=Kontoauszug!$C$4),MAX(W$4:W520)+1,""))</f>
        <v/>
      </c>
    </row>
    <row r="522" customFormat="false" ht="15" hidden="false" customHeight="false" outlineLevel="0" collapsed="false">
      <c r="A522" s="33"/>
      <c r="B522" s="32"/>
      <c r="C522" s="32"/>
      <c r="D522" s="32"/>
      <c r="E522" s="32"/>
      <c r="F522" s="30"/>
      <c r="G522" s="32"/>
      <c r="H522" s="34" t="n">
        <f aca="false">IF($G522="",0,IFERROR(INDEX(Einstellungen!$G$5:$G$11,MATCH($G522,Einstellungen!$E$5:$E$11,0)),0))</f>
        <v>0</v>
      </c>
      <c r="I522" s="35" t="str">
        <f aca="false">IF($G522="","-",IFERROR(INDEX(Einstellungen!$H$5:$H$11,MATCH($G522,Einstellungen!$E$5:$E$11,0)),"-"))</f>
        <v>-</v>
      </c>
      <c r="J522" s="35" t="str">
        <f aca="false">IF(AND(Einstellungen!$B$8="Ja",Einstellungen!$B$9="Effektiv"),$I522,"-")</f>
        <v>-</v>
      </c>
      <c r="K522" s="31" t="n">
        <f aca="false">IF(OR($F522="",$J522="-"),0,ROUND($F522-$F522/(1+$H522),2))</f>
        <v>0</v>
      </c>
      <c r="L522" s="31" t="n">
        <f aca="false">IF($F522="",0,$F522-$K522)</f>
        <v>0</v>
      </c>
      <c r="M522" s="31" t="n">
        <f aca="false">IF($F522="",0,IF($J522="V",$L522,$F522))</f>
        <v>0</v>
      </c>
      <c r="N522" s="31" t="n">
        <f aca="false">IF($F522="",0,IF($J522="U",$L522,$F522))</f>
        <v>0</v>
      </c>
      <c r="O522" s="35" t="str">
        <f aca="false">IF($A522="","",MONTH($A522))</f>
        <v/>
      </c>
      <c r="P522" s="35" t="str">
        <f aca="false">IF($A522="","",ROUNDUP(MONTH($A522)/3,0))</f>
        <v/>
      </c>
      <c r="Q522" s="35" t="str">
        <f aca="false">IF($A522="","",IF(MONTH($A522)&lt;=6,1,2))</f>
        <v/>
      </c>
      <c r="R522" s="35" t="str">
        <f aca="false">IF($E522="","",IFERROR(INDEX(Kontenplan!$F$5:$F$90,MATCH($E522,Kontenplan!$A$5:$A$90,0)),""))</f>
        <v/>
      </c>
      <c r="S522" s="35" t="str">
        <f aca="false">IF($D522="","",IFERROR(INDEX(Kontenplan!$F$5:$F$90,MATCH($D522,Kontenplan!$A$5:$A$90,0)),""))</f>
        <v/>
      </c>
      <c r="T522" s="35" t="str">
        <f aca="false">IF($D522="","",IFERROR(INDEX(Kontenplan!$C$5:$C$90,MATCH($D522,Kontenplan!$A$5:$A$90,0)),"?"))</f>
        <v/>
      </c>
      <c r="U522" s="35" t="str">
        <f aca="false">IF($E522="","",IFERROR(INDEX(Kontenplan!$C$5:$C$90,MATCH($E522,Kontenplan!$A$5:$A$90,0)),"?"))</f>
        <v/>
      </c>
      <c r="V522" s="35" t="str">
        <f aca="false">IF($F522="","",IF(OR($D522="",$E522="",$T522="?",$U522="?"),"Konto prüfen!",IF($A522="","Datum fehlt",IF(YEAR($A522)&lt;&gt;Einstellungen!$B$7,"anderes Jahr!",IF($G522="","MWST-Code fehlt","OK")))))</f>
        <v/>
      </c>
      <c r="W522" s="35" t="str">
        <f aca="false">IF($F522="","",IF(OR($D522=Kontoauszug!$C$4,$E522=Kontoauszug!$C$4),MAX(W$4:W521)+1,""))</f>
        <v/>
      </c>
    </row>
    <row r="523" customFormat="false" ht="15" hidden="false" customHeight="false" outlineLevel="0" collapsed="false">
      <c r="A523" s="33"/>
      <c r="B523" s="32"/>
      <c r="C523" s="32"/>
      <c r="D523" s="32"/>
      <c r="E523" s="32"/>
      <c r="F523" s="30"/>
      <c r="G523" s="32"/>
      <c r="H523" s="34" t="n">
        <f aca="false">IF($G523="",0,IFERROR(INDEX(Einstellungen!$G$5:$G$11,MATCH($G523,Einstellungen!$E$5:$E$11,0)),0))</f>
        <v>0</v>
      </c>
      <c r="I523" s="35" t="str">
        <f aca="false">IF($G523="","-",IFERROR(INDEX(Einstellungen!$H$5:$H$11,MATCH($G523,Einstellungen!$E$5:$E$11,0)),"-"))</f>
        <v>-</v>
      </c>
      <c r="J523" s="35" t="str">
        <f aca="false">IF(AND(Einstellungen!$B$8="Ja",Einstellungen!$B$9="Effektiv"),$I523,"-")</f>
        <v>-</v>
      </c>
      <c r="K523" s="31" t="n">
        <f aca="false">IF(OR($F523="",$J523="-"),0,ROUND($F523-$F523/(1+$H523),2))</f>
        <v>0</v>
      </c>
      <c r="L523" s="31" t="n">
        <f aca="false">IF($F523="",0,$F523-$K523)</f>
        <v>0</v>
      </c>
      <c r="M523" s="31" t="n">
        <f aca="false">IF($F523="",0,IF($J523="V",$L523,$F523))</f>
        <v>0</v>
      </c>
      <c r="N523" s="31" t="n">
        <f aca="false">IF($F523="",0,IF($J523="U",$L523,$F523))</f>
        <v>0</v>
      </c>
      <c r="O523" s="35" t="str">
        <f aca="false">IF($A523="","",MONTH($A523))</f>
        <v/>
      </c>
      <c r="P523" s="35" t="str">
        <f aca="false">IF($A523="","",ROUNDUP(MONTH($A523)/3,0))</f>
        <v/>
      </c>
      <c r="Q523" s="35" t="str">
        <f aca="false">IF($A523="","",IF(MONTH($A523)&lt;=6,1,2))</f>
        <v/>
      </c>
      <c r="R523" s="35" t="str">
        <f aca="false">IF($E523="","",IFERROR(INDEX(Kontenplan!$F$5:$F$90,MATCH($E523,Kontenplan!$A$5:$A$90,0)),""))</f>
        <v/>
      </c>
      <c r="S523" s="35" t="str">
        <f aca="false">IF($D523="","",IFERROR(INDEX(Kontenplan!$F$5:$F$90,MATCH($D523,Kontenplan!$A$5:$A$90,0)),""))</f>
        <v/>
      </c>
      <c r="T523" s="35" t="str">
        <f aca="false">IF($D523="","",IFERROR(INDEX(Kontenplan!$C$5:$C$90,MATCH($D523,Kontenplan!$A$5:$A$90,0)),"?"))</f>
        <v/>
      </c>
      <c r="U523" s="35" t="str">
        <f aca="false">IF($E523="","",IFERROR(INDEX(Kontenplan!$C$5:$C$90,MATCH($E523,Kontenplan!$A$5:$A$90,0)),"?"))</f>
        <v/>
      </c>
      <c r="V523" s="35" t="str">
        <f aca="false">IF($F523="","",IF(OR($D523="",$E523="",$T523="?",$U523="?"),"Konto prüfen!",IF($A523="","Datum fehlt",IF(YEAR($A523)&lt;&gt;Einstellungen!$B$7,"anderes Jahr!",IF($G523="","MWST-Code fehlt","OK")))))</f>
        <v/>
      </c>
      <c r="W523" s="35" t="str">
        <f aca="false">IF($F523="","",IF(OR($D523=Kontoauszug!$C$4,$E523=Kontoauszug!$C$4),MAX(W$4:W522)+1,""))</f>
        <v/>
      </c>
    </row>
    <row r="524" customFormat="false" ht="15" hidden="false" customHeight="false" outlineLevel="0" collapsed="false">
      <c r="A524" s="33"/>
      <c r="B524" s="32"/>
      <c r="C524" s="32"/>
      <c r="D524" s="32"/>
      <c r="E524" s="32"/>
      <c r="F524" s="30"/>
      <c r="G524" s="32"/>
      <c r="H524" s="34" t="n">
        <f aca="false">IF($G524="",0,IFERROR(INDEX(Einstellungen!$G$5:$G$11,MATCH($G524,Einstellungen!$E$5:$E$11,0)),0))</f>
        <v>0</v>
      </c>
      <c r="I524" s="35" t="str">
        <f aca="false">IF($G524="","-",IFERROR(INDEX(Einstellungen!$H$5:$H$11,MATCH($G524,Einstellungen!$E$5:$E$11,0)),"-"))</f>
        <v>-</v>
      </c>
      <c r="J524" s="35" t="str">
        <f aca="false">IF(AND(Einstellungen!$B$8="Ja",Einstellungen!$B$9="Effektiv"),$I524,"-")</f>
        <v>-</v>
      </c>
      <c r="K524" s="31" t="n">
        <f aca="false">IF(OR($F524="",$J524="-"),0,ROUND($F524-$F524/(1+$H524),2))</f>
        <v>0</v>
      </c>
      <c r="L524" s="31" t="n">
        <f aca="false">IF($F524="",0,$F524-$K524)</f>
        <v>0</v>
      </c>
      <c r="M524" s="31" t="n">
        <f aca="false">IF($F524="",0,IF($J524="V",$L524,$F524))</f>
        <v>0</v>
      </c>
      <c r="N524" s="31" t="n">
        <f aca="false">IF($F524="",0,IF($J524="U",$L524,$F524))</f>
        <v>0</v>
      </c>
      <c r="O524" s="35" t="str">
        <f aca="false">IF($A524="","",MONTH($A524))</f>
        <v/>
      </c>
      <c r="P524" s="35" t="str">
        <f aca="false">IF($A524="","",ROUNDUP(MONTH($A524)/3,0))</f>
        <v/>
      </c>
      <c r="Q524" s="35" t="str">
        <f aca="false">IF($A524="","",IF(MONTH($A524)&lt;=6,1,2))</f>
        <v/>
      </c>
      <c r="R524" s="35" t="str">
        <f aca="false">IF($E524="","",IFERROR(INDEX(Kontenplan!$F$5:$F$90,MATCH($E524,Kontenplan!$A$5:$A$90,0)),""))</f>
        <v/>
      </c>
      <c r="S524" s="35" t="str">
        <f aca="false">IF($D524="","",IFERROR(INDEX(Kontenplan!$F$5:$F$90,MATCH($D524,Kontenplan!$A$5:$A$90,0)),""))</f>
        <v/>
      </c>
      <c r="T524" s="35" t="str">
        <f aca="false">IF($D524="","",IFERROR(INDEX(Kontenplan!$C$5:$C$90,MATCH($D524,Kontenplan!$A$5:$A$90,0)),"?"))</f>
        <v/>
      </c>
      <c r="U524" s="35" t="str">
        <f aca="false">IF($E524="","",IFERROR(INDEX(Kontenplan!$C$5:$C$90,MATCH($E524,Kontenplan!$A$5:$A$90,0)),"?"))</f>
        <v/>
      </c>
      <c r="V524" s="35" t="str">
        <f aca="false">IF($F524="","",IF(OR($D524="",$E524="",$T524="?",$U524="?"),"Konto prüfen!",IF($A524="","Datum fehlt",IF(YEAR($A524)&lt;&gt;Einstellungen!$B$7,"anderes Jahr!",IF($G524="","MWST-Code fehlt","OK")))))</f>
        <v/>
      </c>
      <c r="W524" s="35" t="str">
        <f aca="false">IF($F524="","",IF(OR($D524=Kontoauszug!$C$4,$E524=Kontoauszug!$C$4),MAX(W$4:W523)+1,""))</f>
        <v/>
      </c>
    </row>
    <row r="525" customFormat="false" ht="15" hidden="false" customHeight="false" outlineLevel="0" collapsed="false">
      <c r="A525" s="33"/>
      <c r="B525" s="32"/>
      <c r="C525" s="32"/>
      <c r="D525" s="32"/>
      <c r="E525" s="32"/>
      <c r="F525" s="30"/>
      <c r="G525" s="32"/>
      <c r="H525" s="34" t="n">
        <f aca="false">IF($G525="",0,IFERROR(INDEX(Einstellungen!$G$5:$G$11,MATCH($G525,Einstellungen!$E$5:$E$11,0)),0))</f>
        <v>0</v>
      </c>
      <c r="I525" s="35" t="str">
        <f aca="false">IF($G525="","-",IFERROR(INDEX(Einstellungen!$H$5:$H$11,MATCH($G525,Einstellungen!$E$5:$E$11,0)),"-"))</f>
        <v>-</v>
      </c>
      <c r="J525" s="35" t="str">
        <f aca="false">IF(AND(Einstellungen!$B$8="Ja",Einstellungen!$B$9="Effektiv"),$I525,"-")</f>
        <v>-</v>
      </c>
      <c r="K525" s="31" t="n">
        <f aca="false">IF(OR($F525="",$J525="-"),0,ROUND($F525-$F525/(1+$H525),2))</f>
        <v>0</v>
      </c>
      <c r="L525" s="31" t="n">
        <f aca="false">IF($F525="",0,$F525-$K525)</f>
        <v>0</v>
      </c>
      <c r="M525" s="31" t="n">
        <f aca="false">IF($F525="",0,IF($J525="V",$L525,$F525))</f>
        <v>0</v>
      </c>
      <c r="N525" s="31" t="n">
        <f aca="false">IF($F525="",0,IF($J525="U",$L525,$F525))</f>
        <v>0</v>
      </c>
      <c r="O525" s="35" t="str">
        <f aca="false">IF($A525="","",MONTH($A525))</f>
        <v/>
      </c>
      <c r="P525" s="35" t="str">
        <f aca="false">IF($A525="","",ROUNDUP(MONTH($A525)/3,0))</f>
        <v/>
      </c>
      <c r="Q525" s="35" t="str">
        <f aca="false">IF($A525="","",IF(MONTH($A525)&lt;=6,1,2))</f>
        <v/>
      </c>
      <c r="R525" s="35" t="str">
        <f aca="false">IF($E525="","",IFERROR(INDEX(Kontenplan!$F$5:$F$90,MATCH($E525,Kontenplan!$A$5:$A$90,0)),""))</f>
        <v/>
      </c>
      <c r="S525" s="35" t="str">
        <f aca="false">IF($D525="","",IFERROR(INDEX(Kontenplan!$F$5:$F$90,MATCH($D525,Kontenplan!$A$5:$A$90,0)),""))</f>
        <v/>
      </c>
      <c r="T525" s="35" t="str">
        <f aca="false">IF($D525="","",IFERROR(INDEX(Kontenplan!$C$5:$C$90,MATCH($D525,Kontenplan!$A$5:$A$90,0)),"?"))</f>
        <v/>
      </c>
      <c r="U525" s="35" t="str">
        <f aca="false">IF($E525="","",IFERROR(INDEX(Kontenplan!$C$5:$C$90,MATCH($E525,Kontenplan!$A$5:$A$90,0)),"?"))</f>
        <v/>
      </c>
      <c r="V525" s="35" t="str">
        <f aca="false">IF($F525="","",IF(OR($D525="",$E525="",$T525="?",$U525="?"),"Konto prüfen!",IF($A525="","Datum fehlt",IF(YEAR($A525)&lt;&gt;Einstellungen!$B$7,"anderes Jahr!",IF($G525="","MWST-Code fehlt","OK")))))</f>
        <v/>
      </c>
      <c r="W525" s="35" t="str">
        <f aca="false">IF($F525="","",IF(OR($D525=Kontoauszug!$C$4,$E525=Kontoauszug!$C$4),MAX(W$4:W524)+1,""))</f>
        <v/>
      </c>
    </row>
    <row r="526" customFormat="false" ht="15" hidden="false" customHeight="false" outlineLevel="0" collapsed="false">
      <c r="A526" s="33"/>
      <c r="B526" s="32"/>
      <c r="C526" s="32"/>
      <c r="D526" s="32"/>
      <c r="E526" s="32"/>
      <c r="F526" s="30"/>
      <c r="G526" s="32"/>
      <c r="H526" s="34" t="n">
        <f aca="false">IF($G526="",0,IFERROR(INDEX(Einstellungen!$G$5:$G$11,MATCH($G526,Einstellungen!$E$5:$E$11,0)),0))</f>
        <v>0</v>
      </c>
      <c r="I526" s="35" t="str">
        <f aca="false">IF($G526="","-",IFERROR(INDEX(Einstellungen!$H$5:$H$11,MATCH($G526,Einstellungen!$E$5:$E$11,0)),"-"))</f>
        <v>-</v>
      </c>
      <c r="J526" s="35" t="str">
        <f aca="false">IF(AND(Einstellungen!$B$8="Ja",Einstellungen!$B$9="Effektiv"),$I526,"-")</f>
        <v>-</v>
      </c>
      <c r="K526" s="31" t="n">
        <f aca="false">IF(OR($F526="",$J526="-"),0,ROUND($F526-$F526/(1+$H526),2))</f>
        <v>0</v>
      </c>
      <c r="L526" s="31" t="n">
        <f aca="false">IF($F526="",0,$F526-$K526)</f>
        <v>0</v>
      </c>
      <c r="M526" s="31" t="n">
        <f aca="false">IF($F526="",0,IF($J526="V",$L526,$F526))</f>
        <v>0</v>
      </c>
      <c r="N526" s="31" t="n">
        <f aca="false">IF($F526="",0,IF($J526="U",$L526,$F526))</f>
        <v>0</v>
      </c>
      <c r="O526" s="35" t="str">
        <f aca="false">IF($A526="","",MONTH($A526))</f>
        <v/>
      </c>
      <c r="P526" s="35" t="str">
        <f aca="false">IF($A526="","",ROUNDUP(MONTH($A526)/3,0))</f>
        <v/>
      </c>
      <c r="Q526" s="35" t="str">
        <f aca="false">IF($A526="","",IF(MONTH($A526)&lt;=6,1,2))</f>
        <v/>
      </c>
      <c r="R526" s="35" t="str">
        <f aca="false">IF($E526="","",IFERROR(INDEX(Kontenplan!$F$5:$F$90,MATCH($E526,Kontenplan!$A$5:$A$90,0)),""))</f>
        <v/>
      </c>
      <c r="S526" s="35" t="str">
        <f aca="false">IF($D526="","",IFERROR(INDEX(Kontenplan!$F$5:$F$90,MATCH($D526,Kontenplan!$A$5:$A$90,0)),""))</f>
        <v/>
      </c>
      <c r="T526" s="35" t="str">
        <f aca="false">IF($D526="","",IFERROR(INDEX(Kontenplan!$C$5:$C$90,MATCH($D526,Kontenplan!$A$5:$A$90,0)),"?"))</f>
        <v/>
      </c>
      <c r="U526" s="35" t="str">
        <f aca="false">IF($E526="","",IFERROR(INDEX(Kontenplan!$C$5:$C$90,MATCH($E526,Kontenplan!$A$5:$A$90,0)),"?"))</f>
        <v/>
      </c>
      <c r="V526" s="35" t="str">
        <f aca="false">IF($F526="","",IF(OR($D526="",$E526="",$T526="?",$U526="?"),"Konto prüfen!",IF($A526="","Datum fehlt",IF(YEAR($A526)&lt;&gt;Einstellungen!$B$7,"anderes Jahr!",IF($G526="","MWST-Code fehlt","OK")))))</f>
        <v/>
      </c>
      <c r="W526" s="35" t="str">
        <f aca="false">IF($F526="","",IF(OR($D526=Kontoauszug!$C$4,$E526=Kontoauszug!$C$4),MAX(W$4:W525)+1,""))</f>
        <v/>
      </c>
    </row>
    <row r="527" customFormat="false" ht="15" hidden="false" customHeight="false" outlineLevel="0" collapsed="false">
      <c r="A527" s="33"/>
      <c r="B527" s="32"/>
      <c r="C527" s="32"/>
      <c r="D527" s="32"/>
      <c r="E527" s="32"/>
      <c r="F527" s="30"/>
      <c r="G527" s="32"/>
      <c r="H527" s="34" t="n">
        <f aca="false">IF($G527="",0,IFERROR(INDEX(Einstellungen!$G$5:$G$11,MATCH($G527,Einstellungen!$E$5:$E$11,0)),0))</f>
        <v>0</v>
      </c>
      <c r="I527" s="35" t="str">
        <f aca="false">IF($G527="","-",IFERROR(INDEX(Einstellungen!$H$5:$H$11,MATCH($G527,Einstellungen!$E$5:$E$11,0)),"-"))</f>
        <v>-</v>
      </c>
      <c r="J527" s="35" t="str">
        <f aca="false">IF(AND(Einstellungen!$B$8="Ja",Einstellungen!$B$9="Effektiv"),$I527,"-")</f>
        <v>-</v>
      </c>
      <c r="K527" s="31" t="n">
        <f aca="false">IF(OR($F527="",$J527="-"),0,ROUND($F527-$F527/(1+$H527),2))</f>
        <v>0</v>
      </c>
      <c r="L527" s="31" t="n">
        <f aca="false">IF($F527="",0,$F527-$K527)</f>
        <v>0</v>
      </c>
      <c r="M527" s="31" t="n">
        <f aca="false">IF($F527="",0,IF($J527="V",$L527,$F527))</f>
        <v>0</v>
      </c>
      <c r="N527" s="31" t="n">
        <f aca="false">IF($F527="",0,IF($J527="U",$L527,$F527))</f>
        <v>0</v>
      </c>
      <c r="O527" s="35" t="str">
        <f aca="false">IF($A527="","",MONTH($A527))</f>
        <v/>
      </c>
      <c r="P527" s="35" t="str">
        <f aca="false">IF($A527="","",ROUNDUP(MONTH($A527)/3,0))</f>
        <v/>
      </c>
      <c r="Q527" s="35" t="str">
        <f aca="false">IF($A527="","",IF(MONTH($A527)&lt;=6,1,2))</f>
        <v/>
      </c>
      <c r="R527" s="35" t="str">
        <f aca="false">IF($E527="","",IFERROR(INDEX(Kontenplan!$F$5:$F$90,MATCH($E527,Kontenplan!$A$5:$A$90,0)),""))</f>
        <v/>
      </c>
      <c r="S527" s="35" t="str">
        <f aca="false">IF($D527="","",IFERROR(INDEX(Kontenplan!$F$5:$F$90,MATCH($D527,Kontenplan!$A$5:$A$90,0)),""))</f>
        <v/>
      </c>
      <c r="T527" s="35" t="str">
        <f aca="false">IF($D527="","",IFERROR(INDEX(Kontenplan!$C$5:$C$90,MATCH($D527,Kontenplan!$A$5:$A$90,0)),"?"))</f>
        <v/>
      </c>
      <c r="U527" s="35" t="str">
        <f aca="false">IF($E527="","",IFERROR(INDEX(Kontenplan!$C$5:$C$90,MATCH($E527,Kontenplan!$A$5:$A$90,0)),"?"))</f>
        <v/>
      </c>
      <c r="V527" s="35" t="str">
        <f aca="false">IF($F527="","",IF(OR($D527="",$E527="",$T527="?",$U527="?"),"Konto prüfen!",IF($A527="","Datum fehlt",IF(YEAR($A527)&lt;&gt;Einstellungen!$B$7,"anderes Jahr!",IF($G527="","MWST-Code fehlt","OK")))))</f>
        <v/>
      </c>
      <c r="W527" s="35" t="str">
        <f aca="false">IF($F527="","",IF(OR($D527=Kontoauszug!$C$4,$E527=Kontoauszug!$C$4),MAX(W$4:W526)+1,""))</f>
        <v/>
      </c>
    </row>
    <row r="528" customFormat="false" ht="15" hidden="false" customHeight="false" outlineLevel="0" collapsed="false">
      <c r="A528" s="33"/>
      <c r="B528" s="32"/>
      <c r="C528" s="32"/>
      <c r="D528" s="32"/>
      <c r="E528" s="32"/>
      <c r="F528" s="30"/>
      <c r="G528" s="32"/>
      <c r="H528" s="34" t="n">
        <f aca="false">IF($G528="",0,IFERROR(INDEX(Einstellungen!$G$5:$G$11,MATCH($G528,Einstellungen!$E$5:$E$11,0)),0))</f>
        <v>0</v>
      </c>
      <c r="I528" s="35" t="str">
        <f aca="false">IF($G528="","-",IFERROR(INDEX(Einstellungen!$H$5:$H$11,MATCH($G528,Einstellungen!$E$5:$E$11,0)),"-"))</f>
        <v>-</v>
      </c>
      <c r="J528" s="35" t="str">
        <f aca="false">IF(AND(Einstellungen!$B$8="Ja",Einstellungen!$B$9="Effektiv"),$I528,"-")</f>
        <v>-</v>
      </c>
      <c r="K528" s="31" t="n">
        <f aca="false">IF(OR($F528="",$J528="-"),0,ROUND($F528-$F528/(1+$H528),2))</f>
        <v>0</v>
      </c>
      <c r="L528" s="31" t="n">
        <f aca="false">IF($F528="",0,$F528-$K528)</f>
        <v>0</v>
      </c>
      <c r="M528" s="31" t="n">
        <f aca="false">IF($F528="",0,IF($J528="V",$L528,$F528))</f>
        <v>0</v>
      </c>
      <c r="N528" s="31" t="n">
        <f aca="false">IF($F528="",0,IF($J528="U",$L528,$F528))</f>
        <v>0</v>
      </c>
      <c r="O528" s="35" t="str">
        <f aca="false">IF($A528="","",MONTH($A528))</f>
        <v/>
      </c>
      <c r="P528" s="35" t="str">
        <f aca="false">IF($A528="","",ROUNDUP(MONTH($A528)/3,0))</f>
        <v/>
      </c>
      <c r="Q528" s="35" t="str">
        <f aca="false">IF($A528="","",IF(MONTH($A528)&lt;=6,1,2))</f>
        <v/>
      </c>
      <c r="R528" s="35" t="str">
        <f aca="false">IF($E528="","",IFERROR(INDEX(Kontenplan!$F$5:$F$90,MATCH($E528,Kontenplan!$A$5:$A$90,0)),""))</f>
        <v/>
      </c>
      <c r="S528" s="35" t="str">
        <f aca="false">IF($D528="","",IFERROR(INDEX(Kontenplan!$F$5:$F$90,MATCH($D528,Kontenplan!$A$5:$A$90,0)),""))</f>
        <v/>
      </c>
      <c r="T528" s="35" t="str">
        <f aca="false">IF($D528="","",IFERROR(INDEX(Kontenplan!$C$5:$C$90,MATCH($D528,Kontenplan!$A$5:$A$90,0)),"?"))</f>
        <v/>
      </c>
      <c r="U528" s="35" t="str">
        <f aca="false">IF($E528="","",IFERROR(INDEX(Kontenplan!$C$5:$C$90,MATCH($E528,Kontenplan!$A$5:$A$90,0)),"?"))</f>
        <v/>
      </c>
      <c r="V528" s="35" t="str">
        <f aca="false">IF($F528="","",IF(OR($D528="",$E528="",$T528="?",$U528="?"),"Konto prüfen!",IF($A528="","Datum fehlt",IF(YEAR($A528)&lt;&gt;Einstellungen!$B$7,"anderes Jahr!",IF($G528="","MWST-Code fehlt","OK")))))</f>
        <v/>
      </c>
      <c r="W528" s="35" t="str">
        <f aca="false">IF($F528="","",IF(OR($D528=Kontoauszug!$C$4,$E528=Kontoauszug!$C$4),MAX(W$4:W527)+1,""))</f>
        <v/>
      </c>
    </row>
    <row r="529" customFormat="false" ht="15" hidden="false" customHeight="false" outlineLevel="0" collapsed="false">
      <c r="A529" s="33"/>
      <c r="B529" s="32"/>
      <c r="C529" s="32"/>
      <c r="D529" s="32"/>
      <c r="E529" s="32"/>
      <c r="F529" s="30"/>
      <c r="G529" s="32"/>
      <c r="H529" s="34" t="n">
        <f aca="false">IF($G529="",0,IFERROR(INDEX(Einstellungen!$G$5:$G$11,MATCH($G529,Einstellungen!$E$5:$E$11,0)),0))</f>
        <v>0</v>
      </c>
      <c r="I529" s="35" t="str">
        <f aca="false">IF($G529="","-",IFERROR(INDEX(Einstellungen!$H$5:$H$11,MATCH($G529,Einstellungen!$E$5:$E$11,0)),"-"))</f>
        <v>-</v>
      </c>
      <c r="J529" s="35" t="str">
        <f aca="false">IF(AND(Einstellungen!$B$8="Ja",Einstellungen!$B$9="Effektiv"),$I529,"-")</f>
        <v>-</v>
      </c>
      <c r="K529" s="31" t="n">
        <f aca="false">IF(OR($F529="",$J529="-"),0,ROUND($F529-$F529/(1+$H529),2))</f>
        <v>0</v>
      </c>
      <c r="L529" s="31" t="n">
        <f aca="false">IF($F529="",0,$F529-$K529)</f>
        <v>0</v>
      </c>
      <c r="M529" s="31" t="n">
        <f aca="false">IF($F529="",0,IF($J529="V",$L529,$F529))</f>
        <v>0</v>
      </c>
      <c r="N529" s="31" t="n">
        <f aca="false">IF($F529="",0,IF($J529="U",$L529,$F529))</f>
        <v>0</v>
      </c>
      <c r="O529" s="35" t="str">
        <f aca="false">IF($A529="","",MONTH($A529))</f>
        <v/>
      </c>
      <c r="P529" s="35" t="str">
        <f aca="false">IF($A529="","",ROUNDUP(MONTH($A529)/3,0))</f>
        <v/>
      </c>
      <c r="Q529" s="35" t="str">
        <f aca="false">IF($A529="","",IF(MONTH($A529)&lt;=6,1,2))</f>
        <v/>
      </c>
      <c r="R529" s="35" t="str">
        <f aca="false">IF($E529="","",IFERROR(INDEX(Kontenplan!$F$5:$F$90,MATCH($E529,Kontenplan!$A$5:$A$90,0)),""))</f>
        <v/>
      </c>
      <c r="S529" s="35" t="str">
        <f aca="false">IF($D529="","",IFERROR(INDEX(Kontenplan!$F$5:$F$90,MATCH($D529,Kontenplan!$A$5:$A$90,0)),""))</f>
        <v/>
      </c>
      <c r="T529" s="35" t="str">
        <f aca="false">IF($D529="","",IFERROR(INDEX(Kontenplan!$C$5:$C$90,MATCH($D529,Kontenplan!$A$5:$A$90,0)),"?"))</f>
        <v/>
      </c>
      <c r="U529" s="35" t="str">
        <f aca="false">IF($E529="","",IFERROR(INDEX(Kontenplan!$C$5:$C$90,MATCH($E529,Kontenplan!$A$5:$A$90,0)),"?"))</f>
        <v/>
      </c>
      <c r="V529" s="35" t="str">
        <f aca="false">IF($F529="","",IF(OR($D529="",$E529="",$T529="?",$U529="?"),"Konto prüfen!",IF($A529="","Datum fehlt",IF(YEAR($A529)&lt;&gt;Einstellungen!$B$7,"anderes Jahr!",IF($G529="","MWST-Code fehlt","OK")))))</f>
        <v/>
      </c>
      <c r="W529" s="35" t="str">
        <f aca="false">IF($F529="","",IF(OR($D529=Kontoauszug!$C$4,$E529=Kontoauszug!$C$4),MAX(W$4:W528)+1,""))</f>
        <v/>
      </c>
    </row>
    <row r="530" customFormat="false" ht="15" hidden="false" customHeight="false" outlineLevel="0" collapsed="false">
      <c r="A530" s="33"/>
      <c r="B530" s="32"/>
      <c r="C530" s="32"/>
      <c r="D530" s="32"/>
      <c r="E530" s="32"/>
      <c r="F530" s="30"/>
      <c r="G530" s="32"/>
      <c r="H530" s="34" t="n">
        <f aca="false">IF($G530="",0,IFERROR(INDEX(Einstellungen!$G$5:$G$11,MATCH($G530,Einstellungen!$E$5:$E$11,0)),0))</f>
        <v>0</v>
      </c>
      <c r="I530" s="35" t="str">
        <f aca="false">IF($G530="","-",IFERROR(INDEX(Einstellungen!$H$5:$H$11,MATCH($G530,Einstellungen!$E$5:$E$11,0)),"-"))</f>
        <v>-</v>
      </c>
      <c r="J530" s="35" t="str">
        <f aca="false">IF(AND(Einstellungen!$B$8="Ja",Einstellungen!$B$9="Effektiv"),$I530,"-")</f>
        <v>-</v>
      </c>
      <c r="K530" s="31" t="n">
        <f aca="false">IF(OR($F530="",$J530="-"),0,ROUND($F530-$F530/(1+$H530),2))</f>
        <v>0</v>
      </c>
      <c r="L530" s="31" t="n">
        <f aca="false">IF($F530="",0,$F530-$K530)</f>
        <v>0</v>
      </c>
      <c r="M530" s="31" t="n">
        <f aca="false">IF($F530="",0,IF($J530="V",$L530,$F530))</f>
        <v>0</v>
      </c>
      <c r="N530" s="31" t="n">
        <f aca="false">IF($F530="",0,IF($J530="U",$L530,$F530))</f>
        <v>0</v>
      </c>
      <c r="O530" s="35" t="str">
        <f aca="false">IF($A530="","",MONTH($A530))</f>
        <v/>
      </c>
      <c r="P530" s="35" t="str">
        <f aca="false">IF($A530="","",ROUNDUP(MONTH($A530)/3,0))</f>
        <v/>
      </c>
      <c r="Q530" s="35" t="str">
        <f aca="false">IF($A530="","",IF(MONTH($A530)&lt;=6,1,2))</f>
        <v/>
      </c>
      <c r="R530" s="35" t="str">
        <f aca="false">IF($E530="","",IFERROR(INDEX(Kontenplan!$F$5:$F$90,MATCH($E530,Kontenplan!$A$5:$A$90,0)),""))</f>
        <v/>
      </c>
      <c r="S530" s="35" t="str">
        <f aca="false">IF($D530="","",IFERROR(INDEX(Kontenplan!$F$5:$F$90,MATCH($D530,Kontenplan!$A$5:$A$90,0)),""))</f>
        <v/>
      </c>
      <c r="T530" s="35" t="str">
        <f aca="false">IF($D530="","",IFERROR(INDEX(Kontenplan!$C$5:$C$90,MATCH($D530,Kontenplan!$A$5:$A$90,0)),"?"))</f>
        <v/>
      </c>
      <c r="U530" s="35" t="str">
        <f aca="false">IF($E530="","",IFERROR(INDEX(Kontenplan!$C$5:$C$90,MATCH($E530,Kontenplan!$A$5:$A$90,0)),"?"))</f>
        <v/>
      </c>
      <c r="V530" s="35" t="str">
        <f aca="false">IF($F530="","",IF(OR($D530="",$E530="",$T530="?",$U530="?"),"Konto prüfen!",IF($A530="","Datum fehlt",IF(YEAR($A530)&lt;&gt;Einstellungen!$B$7,"anderes Jahr!",IF($G530="","MWST-Code fehlt","OK")))))</f>
        <v/>
      </c>
      <c r="W530" s="35" t="str">
        <f aca="false">IF($F530="","",IF(OR($D530=Kontoauszug!$C$4,$E530=Kontoauszug!$C$4),MAX(W$4:W529)+1,""))</f>
        <v/>
      </c>
    </row>
    <row r="531" customFormat="false" ht="15" hidden="false" customHeight="false" outlineLevel="0" collapsed="false">
      <c r="A531" s="33"/>
      <c r="B531" s="32"/>
      <c r="C531" s="32"/>
      <c r="D531" s="32"/>
      <c r="E531" s="32"/>
      <c r="F531" s="30"/>
      <c r="G531" s="32"/>
      <c r="H531" s="34" t="n">
        <f aca="false">IF($G531="",0,IFERROR(INDEX(Einstellungen!$G$5:$G$11,MATCH($G531,Einstellungen!$E$5:$E$11,0)),0))</f>
        <v>0</v>
      </c>
      <c r="I531" s="35" t="str">
        <f aca="false">IF($G531="","-",IFERROR(INDEX(Einstellungen!$H$5:$H$11,MATCH($G531,Einstellungen!$E$5:$E$11,0)),"-"))</f>
        <v>-</v>
      </c>
      <c r="J531" s="35" t="str">
        <f aca="false">IF(AND(Einstellungen!$B$8="Ja",Einstellungen!$B$9="Effektiv"),$I531,"-")</f>
        <v>-</v>
      </c>
      <c r="K531" s="31" t="n">
        <f aca="false">IF(OR($F531="",$J531="-"),0,ROUND($F531-$F531/(1+$H531),2))</f>
        <v>0</v>
      </c>
      <c r="L531" s="31" t="n">
        <f aca="false">IF($F531="",0,$F531-$K531)</f>
        <v>0</v>
      </c>
      <c r="M531" s="31" t="n">
        <f aca="false">IF($F531="",0,IF($J531="V",$L531,$F531))</f>
        <v>0</v>
      </c>
      <c r="N531" s="31" t="n">
        <f aca="false">IF($F531="",0,IF($J531="U",$L531,$F531))</f>
        <v>0</v>
      </c>
      <c r="O531" s="35" t="str">
        <f aca="false">IF($A531="","",MONTH($A531))</f>
        <v/>
      </c>
      <c r="P531" s="35" t="str">
        <f aca="false">IF($A531="","",ROUNDUP(MONTH($A531)/3,0))</f>
        <v/>
      </c>
      <c r="Q531" s="35" t="str">
        <f aca="false">IF($A531="","",IF(MONTH($A531)&lt;=6,1,2))</f>
        <v/>
      </c>
      <c r="R531" s="35" t="str">
        <f aca="false">IF($E531="","",IFERROR(INDEX(Kontenplan!$F$5:$F$90,MATCH($E531,Kontenplan!$A$5:$A$90,0)),""))</f>
        <v/>
      </c>
      <c r="S531" s="35" t="str">
        <f aca="false">IF($D531="","",IFERROR(INDEX(Kontenplan!$F$5:$F$90,MATCH($D531,Kontenplan!$A$5:$A$90,0)),""))</f>
        <v/>
      </c>
      <c r="T531" s="35" t="str">
        <f aca="false">IF($D531="","",IFERROR(INDEX(Kontenplan!$C$5:$C$90,MATCH($D531,Kontenplan!$A$5:$A$90,0)),"?"))</f>
        <v/>
      </c>
      <c r="U531" s="35" t="str">
        <f aca="false">IF($E531="","",IFERROR(INDEX(Kontenplan!$C$5:$C$90,MATCH($E531,Kontenplan!$A$5:$A$90,0)),"?"))</f>
        <v/>
      </c>
      <c r="V531" s="35" t="str">
        <f aca="false">IF($F531="","",IF(OR($D531="",$E531="",$T531="?",$U531="?"),"Konto prüfen!",IF($A531="","Datum fehlt",IF(YEAR($A531)&lt;&gt;Einstellungen!$B$7,"anderes Jahr!",IF($G531="","MWST-Code fehlt","OK")))))</f>
        <v/>
      </c>
      <c r="W531" s="35" t="str">
        <f aca="false">IF($F531="","",IF(OR($D531=Kontoauszug!$C$4,$E531=Kontoauszug!$C$4),MAX(W$4:W530)+1,""))</f>
        <v/>
      </c>
    </row>
    <row r="532" customFormat="false" ht="15" hidden="false" customHeight="false" outlineLevel="0" collapsed="false">
      <c r="A532" s="33"/>
      <c r="B532" s="32"/>
      <c r="C532" s="32"/>
      <c r="D532" s="32"/>
      <c r="E532" s="32"/>
      <c r="F532" s="30"/>
      <c r="G532" s="32"/>
      <c r="H532" s="34" t="n">
        <f aca="false">IF($G532="",0,IFERROR(INDEX(Einstellungen!$G$5:$G$11,MATCH($G532,Einstellungen!$E$5:$E$11,0)),0))</f>
        <v>0</v>
      </c>
      <c r="I532" s="35" t="str">
        <f aca="false">IF($G532="","-",IFERROR(INDEX(Einstellungen!$H$5:$H$11,MATCH($G532,Einstellungen!$E$5:$E$11,0)),"-"))</f>
        <v>-</v>
      </c>
      <c r="J532" s="35" t="str">
        <f aca="false">IF(AND(Einstellungen!$B$8="Ja",Einstellungen!$B$9="Effektiv"),$I532,"-")</f>
        <v>-</v>
      </c>
      <c r="K532" s="31" t="n">
        <f aca="false">IF(OR($F532="",$J532="-"),0,ROUND($F532-$F532/(1+$H532),2))</f>
        <v>0</v>
      </c>
      <c r="L532" s="31" t="n">
        <f aca="false">IF($F532="",0,$F532-$K532)</f>
        <v>0</v>
      </c>
      <c r="M532" s="31" t="n">
        <f aca="false">IF($F532="",0,IF($J532="V",$L532,$F532))</f>
        <v>0</v>
      </c>
      <c r="N532" s="31" t="n">
        <f aca="false">IF($F532="",0,IF($J532="U",$L532,$F532))</f>
        <v>0</v>
      </c>
      <c r="O532" s="35" t="str">
        <f aca="false">IF($A532="","",MONTH($A532))</f>
        <v/>
      </c>
      <c r="P532" s="35" t="str">
        <f aca="false">IF($A532="","",ROUNDUP(MONTH($A532)/3,0))</f>
        <v/>
      </c>
      <c r="Q532" s="35" t="str">
        <f aca="false">IF($A532="","",IF(MONTH($A532)&lt;=6,1,2))</f>
        <v/>
      </c>
      <c r="R532" s="35" t="str">
        <f aca="false">IF($E532="","",IFERROR(INDEX(Kontenplan!$F$5:$F$90,MATCH($E532,Kontenplan!$A$5:$A$90,0)),""))</f>
        <v/>
      </c>
      <c r="S532" s="35" t="str">
        <f aca="false">IF($D532="","",IFERROR(INDEX(Kontenplan!$F$5:$F$90,MATCH($D532,Kontenplan!$A$5:$A$90,0)),""))</f>
        <v/>
      </c>
      <c r="T532" s="35" t="str">
        <f aca="false">IF($D532="","",IFERROR(INDEX(Kontenplan!$C$5:$C$90,MATCH($D532,Kontenplan!$A$5:$A$90,0)),"?"))</f>
        <v/>
      </c>
      <c r="U532" s="35" t="str">
        <f aca="false">IF($E532="","",IFERROR(INDEX(Kontenplan!$C$5:$C$90,MATCH($E532,Kontenplan!$A$5:$A$90,0)),"?"))</f>
        <v/>
      </c>
      <c r="V532" s="35" t="str">
        <f aca="false">IF($F532="","",IF(OR($D532="",$E532="",$T532="?",$U532="?"),"Konto prüfen!",IF($A532="","Datum fehlt",IF(YEAR($A532)&lt;&gt;Einstellungen!$B$7,"anderes Jahr!",IF($G532="","MWST-Code fehlt","OK")))))</f>
        <v/>
      </c>
      <c r="W532" s="35" t="str">
        <f aca="false">IF($F532="","",IF(OR($D532=Kontoauszug!$C$4,$E532=Kontoauszug!$C$4),MAX(W$4:W531)+1,""))</f>
        <v/>
      </c>
    </row>
    <row r="533" customFormat="false" ht="15" hidden="false" customHeight="false" outlineLevel="0" collapsed="false">
      <c r="A533" s="33"/>
      <c r="B533" s="32"/>
      <c r="C533" s="32"/>
      <c r="D533" s="32"/>
      <c r="E533" s="32"/>
      <c r="F533" s="30"/>
      <c r="G533" s="32"/>
      <c r="H533" s="34" t="n">
        <f aca="false">IF($G533="",0,IFERROR(INDEX(Einstellungen!$G$5:$G$11,MATCH($G533,Einstellungen!$E$5:$E$11,0)),0))</f>
        <v>0</v>
      </c>
      <c r="I533" s="35" t="str">
        <f aca="false">IF($G533="","-",IFERROR(INDEX(Einstellungen!$H$5:$H$11,MATCH($G533,Einstellungen!$E$5:$E$11,0)),"-"))</f>
        <v>-</v>
      </c>
      <c r="J533" s="35" t="str">
        <f aca="false">IF(AND(Einstellungen!$B$8="Ja",Einstellungen!$B$9="Effektiv"),$I533,"-")</f>
        <v>-</v>
      </c>
      <c r="K533" s="31" t="n">
        <f aca="false">IF(OR($F533="",$J533="-"),0,ROUND($F533-$F533/(1+$H533),2))</f>
        <v>0</v>
      </c>
      <c r="L533" s="31" t="n">
        <f aca="false">IF($F533="",0,$F533-$K533)</f>
        <v>0</v>
      </c>
      <c r="M533" s="31" t="n">
        <f aca="false">IF($F533="",0,IF($J533="V",$L533,$F533))</f>
        <v>0</v>
      </c>
      <c r="N533" s="31" t="n">
        <f aca="false">IF($F533="",0,IF($J533="U",$L533,$F533))</f>
        <v>0</v>
      </c>
      <c r="O533" s="35" t="str">
        <f aca="false">IF($A533="","",MONTH($A533))</f>
        <v/>
      </c>
      <c r="P533" s="35" t="str">
        <f aca="false">IF($A533="","",ROUNDUP(MONTH($A533)/3,0))</f>
        <v/>
      </c>
      <c r="Q533" s="35" t="str">
        <f aca="false">IF($A533="","",IF(MONTH($A533)&lt;=6,1,2))</f>
        <v/>
      </c>
      <c r="R533" s="35" t="str">
        <f aca="false">IF($E533="","",IFERROR(INDEX(Kontenplan!$F$5:$F$90,MATCH($E533,Kontenplan!$A$5:$A$90,0)),""))</f>
        <v/>
      </c>
      <c r="S533" s="35" t="str">
        <f aca="false">IF($D533="","",IFERROR(INDEX(Kontenplan!$F$5:$F$90,MATCH($D533,Kontenplan!$A$5:$A$90,0)),""))</f>
        <v/>
      </c>
      <c r="T533" s="35" t="str">
        <f aca="false">IF($D533="","",IFERROR(INDEX(Kontenplan!$C$5:$C$90,MATCH($D533,Kontenplan!$A$5:$A$90,0)),"?"))</f>
        <v/>
      </c>
      <c r="U533" s="35" t="str">
        <f aca="false">IF($E533="","",IFERROR(INDEX(Kontenplan!$C$5:$C$90,MATCH($E533,Kontenplan!$A$5:$A$90,0)),"?"))</f>
        <v/>
      </c>
      <c r="V533" s="35" t="str">
        <f aca="false">IF($F533="","",IF(OR($D533="",$E533="",$T533="?",$U533="?"),"Konto prüfen!",IF($A533="","Datum fehlt",IF(YEAR($A533)&lt;&gt;Einstellungen!$B$7,"anderes Jahr!",IF($G533="","MWST-Code fehlt","OK")))))</f>
        <v/>
      </c>
      <c r="W533" s="35" t="str">
        <f aca="false">IF($F533="","",IF(OR($D533=Kontoauszug!$C$4,$E533=Kontoauszug!$C$4),MAX(W$4:W532)+1,""))</f>
        <v/>
      </c>
    </row>
    <row r="534" customFormat="false" ht="15" hidden="false" customHeight="false" outlineLevel="0" collapsed="false">
      <c r="A534" s="33"/>
      <c r="B534" s="32"/>
      <c r="C534" s="32"/>
      <c r="D534" s="32"/>
      <c r="E534" s="32"/>
      <c r="F534" s="30"/>
      <c r="G534" s="32"/>
      <c r="H534" s="34" t="n">
        <f aca="false">IF($G534="",0,IFERROR(INDEX(Einstellungen!$G$5:$G$11,MATCH($G534,Einstellungen!$E$5:$E$11,0)),0))</f>
        <v>0</v>
      </c>
      <c r="I534" s="35" t="str">
        <f aca="false">IF($G534="","-",IFERROR(INDEX(Einstellungen!$H$5:$H$11,MATCH($G534,Einstellungen!$E$5:$E$11,0)),"-"))</f>
        <v>-</v>
      </c>
      <c r="J534" s="35" t="str">
        <f aca="false">IF(AND(Einstellungen!$B$8="Ja",Einstellungen!$B$9="Effektiv"),$I534,"-")</f>
        <v>-</v>
      </c>
      <c r="K534" s="31" t="n">
        <f aca="false">IF(OR($F534="",$J534="-"),0,ROUND($F534-$F534/(1+$H534),2))</f>
        <v>0</v>
      </c>
      <c r="L534" s="31" t="n">
        <f aca="false">IF($F534="",0,$F534-$K534)</f>
        <v>0</v>
      </c>
      <c r="M534" s="31" t="n">
        <f aca="false">IF($F534="",0,IF($J534="V",$L534,$F534))</f>
        <v>0</v>
      </c>
      <c r="N534" s="31" t="n">
        <f aca="false">IF($F534="",0,IF($J534="U",$L534,$F534))</f>
        <v>0</v>
      </c>
      <c r="O534" s="35" t="str">
        <f aca="false">IF($A534="","",MONTH($A534))</f>
        <v/>
      </c>
      <c r="P534" s="35" t="str">
        <f aca="false">IF($A534="","",ROUNDUP(MONTH($A534)/3,0))</f>
        <v/>
      </c>
      <c r="Q534" s="35" t="str">
        <f aca="false">IF($A534="","",IF(MONTH($A534)&lt;=6,1,2))</f>
        <v/>
      </c>
      <c r="R534" s="35" t="str">
        <f aca="false">IF($E534="","",IFERROR(INDEX(Kontenplan!$F$5:$F$90,MATCH($E534,Kontenplan!$A$5:$A$90,0)),""))</f>
        <v/>
      </c>
      <c r="S534" s="35" t="str">
        <f aca="false">IF($D534="","",IFERROR(INDEX(Kontenplan!$F$5:$F$90,MATCH($D534,Kontenplan!$A$5:$A$90,0)),""))</f>
        <v/>
      </c>
      <c r="T534" s="35" t="str">
        <f aca="false">IF($D534="","",IFERROR(INDEX(Kontenplan!$C$5:$C$90,MATCH($D534,Kontenplan!$A$5:$A$90,0)),"?"))</f>
        <v/>
      </c>
      <c r="U534" s="35" t="str">
        <f aca="false">IF($E534="","",IFERROR(INDEX(Kontenplan!$C$5:$C$90,MATCH($E534,Kontenplan!$A$5:$A$90,0)),"?"))</f>
        <v/>
      </c>
      <c r="V534" s="35" t="str">
        <f aca="false">IF($F534="","",IF(OR($D534="",$E534="",$T534="?",$U534="?"),"Konto prüfen!",IF($A534="","Datum fehlt",IF(YEAR($A534)&lt;&gt;Einstellungen!$B$7,"anderes Jahr!",IF($G534="","MWST-Code fehlt","OK")))))</f>
        <v/>
      </c>
      <c r="W534" s="35" t="str">
        <f aca="false">IF($F534="","",IF(OR($D534=Kontoauszug!$C$4,$E534=Kontoauszug!$C$4),MAX(W$4:W533)+1,""))</f>
        <v/>
      </c>
    </row>
    <row r="535" customFormat="false" ht="15" hidden="false" customHeight="false" outlineLevel="0" collapsed="false">
      <c r="A535" s="33"/>
      <c r="B535" s="32"/>
      <c r="C535" s="32"/>
      <c r="D535" s="32"/>
      <c r="E535" s="32"/>
      <c r="F535" s="30"/>
      <c r="G535" s="32"/>
      <c r="H535" s="34" t="n">
        <f aca="false">IF($G535="",0,IFERROR(INDEX(Einstellungen!$G$5:$G$11,MATCH($G535,Einstellungen!$E$5:$E$11,0)),0))</f>
        <v>0</v>
      </c>
      <c r="I535" s="35" t="str">
        <f aca="false">IF($G535="","-",IFERROR(INDEX(Einstellungen!$H$5:$H$11,MATCH($G535,Einstellungen!$E$5:$E$11,0)),"-"))</f>
        <v>-</v>
      </c>
      <c r="J535" s="35" t="str">
        <f aca="false">IF(AND(Einstellungen!$B$8="Ja",Einstellungen!$B$9="Effektiv"),$I535,"-")</f>
        <v>-</v>
      </c>
      <c r="K535" s="31" t="n">
        <f aca="false">IF(OR($F535="",$J535="-"),0,ROUND($F535-$F535/(1+$H535),2))</f>
        <v>0</v>
      </c>
      <c r="L535" s="31" t="n">
        <f aca="false">IF($F535="",0,$F535-$K535)</f>
        <v>0</v>
      </c>
      <c r="M535" s="31" t="n">
        <f aca="false">IF($F535="",0,IF($J535="V",$L535,$F535))</f>
        <v>0</v>
      </c>
      <c r="N535" s="31" t="n">
        <f aca="false">IF($F535="",0,IF($J535="U",$L535,$F535))</f>
        <v>0</v>
      </c>
      <c r="O535" s="35" t="str">
        <f aca="false">IF($A535="","",MONTH($A535))</f>
        <v/>
      </c>
      <c r="P535" s="35" t="str">
        <f aca="false">IF($A535="","",ROUNDUP(MONTH($A535)/3,0))</f>
        <v/>
      </c>
      <c r="Q535" s="35" t="str">
        <f aca="false">IF($A535="","",IF(MONTH($A535)&lt;=6,1,2))</f>
        <v/>
      </c>
      <c r="R535" s="35" t="str">
        <f aca="false">IF($E535="","",IFERROR(INDEX(Kontenplan!$F$5:$F$90,MATCH($E535,Kontenplan!$A$5:$A$90,0)),""))</f>
        <v/>
      </c>
      <c r="S535" s="35" t="str">
        <f aca="false">IF($D535="","",IFERROR(INDEX(Kontenplan!$F$5:$F$90,MATCH($D535,Kontenplan!$A$5:$A$90,0)),""))</f>
        <v/>
      </c>
      <c r="T535" s="35" t="str">
        <f aca="false">IF($D535="","",IFERROR(INDEX(Kontenplan!$C$5:$C$90,MATCH($D535,Kontenplan!$A$5:$A$90,0)),"?"))</f>
        <v/>
      </c>
      <c r="U535" s="35" t="str">
        <f aca="false">IF($E535="","",IFERROR(INDEX(Kontenplan!$C$5:$C$90,MATCH($E535,Kontenplan!$A$5:$A$90,0)),"?"))</f>
        <v/>
      </c>
      <c r="V535" s="35" t="str">
        <f aca="false">IF($F535="","",IF(OR($D535="",$E535="",$T535="?",$U535="?"),"Konto prüfen!",IF($A535="","Datum fehlt",IF(YEAR($A535)&lt;&gt;Einstellungen!$B$7,"anderes Jahr!",IF($G535="","MWST-Code fehlt","OK")))))</f>
        <v/>
      </c>
      <c r="W535" s="35" t="str">
        <f aca="false">IF($F535="","",IF(OR($D535=Kontoauszug!$C$4,$E535=Kontoauszug!$C$4),MAX(W$4:W534)+1,""))</f>
        <v/>
      </c>
    </row>
    <row r="536" customFormat="false" ht="15" hidden="false" customHeight="false" outlineLevel="0" collapsed="false">
      <c r="A536" s="33"/>
      <c r="B536" s="32"/>
      <c r="C536" s="32"/>
      <c r="D536" s="32"/>
      <c r="E536" s="32"/>
      <c r="F536" s="30"/>
      <c r="G536" s="32"/>
      <c r="H536" s="34" t="n">
        <f aca="false">IF($G536="",0,IFERROR(INDEX(Einstellungen!$G$5:$G$11,MATCH($G536,Einstellungen!$E$5:$E$11,0)),0))</f>
        <v>0</v>
      </c>
      <c r="I536" s="35" t="str">
        <f aca="false">IF($G536="","-",IFERROR(INDEX(Einstellungen!$H$5:$H$11,MATCH($G536,Einstellungen!$E$5:$E$11,0)),"-"))</f>
        <v>-</v>
      </c>
      <c r="J536" s="35" t="str">
        <f aca="false">IF(AND(Einstellungen!$B$8="Ja",Einstellungen!$B$9="Effektiv"),$I536,"-")</f>
        <v>-</v>
      </c>
      <c r="K536" s="31" t="n">
        <f aca="false">IF(OR($F536="",$J536="-"),0,ROUND($F536-$F536/(1+$H536),2))</f>
        <v>0</v>
      </c>
      <c r="L536" s="31" t="n">
        <f aca="false">IF($F536="",0,$F536-$K536)</f>
        <v>0</v>
      </c>
      <c r="M536" s="31" t="n">
        <f aca="false">IF($F536="",0,IF($J536="V",$L536,$F536))</f>
        <v>0</v>
      </c>
      <c r="N536" s="31" t="n">
        <f aca="false">IF($F536="",0,IF($J536="U",$L536,$F536))</f>
        <v>0</v>
      </c>
      <c r="O536" s="35" t="str">
        <f aca="false">IF($A536="","",MONTH($A536))</f>
        <v/>
      </c>
      <c r="P536" s="35" t="str">
        <f aca="false">IF($A536="","",ROUNDUP(MONTH($A536)/3,0))</f>
        <v/>
      </c>
      <c r="Q536" s="35" t="str">
        <f aca="false">IF($A536="","",IF(MONTH($A536)&lt;=6,1,2))</f>
        <v/>
      </c>
      <c r="R536" s="35" t="str">
        <f aca="false">IF($E536="","",IFERROR(INDEX(Kontenplan!$F$5:$F$90,MATCH($E536,Kontenplan!$A$5:$A$90,0)),""))</f>
        <v/>
      </c>
      <c r="S536" s="35" t="str">
        <f aca="false">IF($D536="","",IFERROR(INDEX(Kontenplan!$F$5:$F$90,MATCH($D536,Kontenplan!$A$5:$A$90,0)),""))</f>
        <v/>
      </c>
      <c r="T536" s="35" t="str">
        <f aca="false">IF($D536="","",IFERROR(INDEX(Kontenplan!$C$5:$C$90,MATCH($D536,Kontenplan!$A$5:$A$90,0)),"?"))</f>
        <v/>
      </c>
      <c r="U536" s="35" t="str">
        <f aca="false">IF($E536="","",IFERROR(INDEX(Kontenplan!$C$5:$C$90,MATCH($E536,Kontenplan!$A$5:$A$90,0)),"?"))</f>
        <v/>
      </c>
      <c r="V536" s="35" t="str">
        <f aca="false">IF($F536="","",IF(OR($D536="",$E536="",$T536="?",$U536="?"),"Konto prüfen!",IF($A536="","Datum fehlt",IF(YEAR($A536)&lt;&gt;Einstellungen!$B$7,"anderes Jahr!",IF($G536="","MWST-Code fehlt","OK")))))</f>
        <v/>
      </c>
      <c r="W536" s="35" t="str">
        <f aca="false">IF($F536="","",IF(OR($D536=Kontoauszug!$C$4,$E536=Kontoauszug!$C$4),MAX(W$4:W535)+1,""))</f>
        <v/>
      </c>
    </row>
    <row r="537" customFormat="false" ht="15" hidden="false" customHeight="false" outlineLevel="0" collapsed="false">
      <c r="A537" s="33"/>
      <c r="B537" s="32"/>
      <c r="C537" s="32"/>
      <c r="D537" s="32"/>
      <c r="E537" s="32"/>
      <c r="F537" s="30"/>
      <c r="G537" s="32"/>
      <c r="H537" s="34" t="n">
        <f aca="false">IF($G537="",0,IFERROR(INDEX(Einstellungen!$G$5:$G$11,MATCH($G537,Einstellungen!$E$5:$E$11,0)),0))</f>
        <v>0</v>
      </c>
      <c r="I537" s="35" t="str">
        <f aca="false">IF($G537="","-",IFERROR(INDEX(Einstellungen!$H$5:$H$11,MATCH($G537,Einstellungen!$E$5:$E$11,0)),"-"))</f>
        <v>-</v>
      </c>
      <c r="J537" s="35" t="str">
        <f aca="false">IF(AND(Einstellungen!$B$8="Ja",Einstellungen!$B$9="Effektiv"),$I537,"-")</f>
        <v>-</v>
      </c>
      <c r="K537" s="31" t="n">
        <f aca="false">IF(OR($F537="",$J537="-"),0,ROUND($F537-$F537/(1+$H537),2))</f>
        <v>0</v>
      </c>
      <c r="L537" s="31" t="n">
        <f aca="false">IF($F537="",0,$F537-$K537)</f>
        <v>0</v>
      </c>
      <c r="M537" s="31" t="n">
        <f aca="false">IF($F537="",0,IF($J537="V",$L537,$F537))</f>
        <v>0</v>
      </c>
      <c r="N537" s="31" t="n">
        <f aca="false">IF($F537="",0,IF($J537="U",$L537,$F537))</f>
        <v>0</v>
      </c>
      <c r="O537" s="35" t="str">
        <f aca="false">IF($A537="","",MONTH($A537))</f>
        <v/>
      </c>
      <c r="P537" s="35" t="str">
        <f aca="false">IF($A537="","",ROUNDUP(MONTH($A537)/3,0))</f>
        <v/>
      </c>
      <c r="Q537" s="35" t="str">
        <f aca="false">IF($A537="","",IF(MONTH($A537)&lt;=6,1,2))</f>
        <v/>
      </c>
      <c r="R537" s="35" t="str">
        <f aca="false">IF($E537="","",IFERROR(INDEX(Kontenplan!$F$5:$F$90,MATCH($E537,Kontenplan!$A$5:$A$90,0)),""))</f>
        <v/>
      </c>
      <c r="S537" s="35" t="str">
        <f aca="false">IF($D537="","",IFERROR(INDEX(Kontenplan!$F$5:$F$90,MATCH($D537,Kontenplan!$A$5:$A$90,0)),""))</f>
        <v/>
      </c>
      <c r="T537" s="35" t="str">
        <f aca="false">IF($D537="","",IFERROR(INDEX(Kontenplan!$C$5:$C$90,MATCH($D537,Kontenplan!$A$5:$A$90,0)),"?"))</f>
        <v/>
      </c>
      <c r="U537" s="35" t="str">
        <f aca="false">IF($E537="","",IFERROR(INDEX(Kontenplan!$C$5:$C$90,MATCH($E537,Kontenplan!$A$5:$A$90,0)),"?"))</f>
        <v/>
      </c>
      <c r="V537" s="35" t="str">
        <f aca="false">IF($F537="","",IF(OR($D537="",$E537="",$T537="?",$U537="?"),"Konto prüfen!",IF($A537="","Datum fehlt",IF(YEAR($A537)&lt;&gt;Einstellungen!$B$7,"anderes Jahr!",IF($G537="","MWST-Code fehlt","OK")))))</f>
        <v/>
      </c>
      <c r="W537" s="35" t="str">
        <f aca="false">IF($F537="","",IF(OR($D537=Kontoauszug!$C$4,$E537=Kontoauszug!$C$4),MAX(W$4:W536)+1,""))</f>
        <v/>
      </c>
    </row>
    <row r="538" customFormat="false" ht="15" hidden="false" customHeight="false" outlineLevel="0" collapsed="false">
      <c r="A538" s="33"/>
      <c r="B538" s="32"/>
      <c r="C538" s="32"/>
      <c r="D538" s="32"/>
      <c r="E538" s="32"/>
      <c r="F538" s="30"/>
      <c r="G538" s="32"/>
      <c r="H538" s="34" t="n">
        <f aca="false">IF($G538="",0,IFERROR(INDEX(Einstellungen!$G$5:$G$11,MATCH($G538,Einstellungen!$E$5:$E$11,0)),0))</f>
        <v>0</v>
      </c>
      <c r="I538" s="35" t="str">
        <f aca="false">IF($G538="","-",IFERROR(INDEX(Einstellungen!$H$5:$H$11,MATCH($G538,Einstellungen!$E$5:$E$11,0)),"-"))</f>
        <v>-</v>
      </c>
      <c r="J538" s="35" t="str">
        <f aca="false">IF(AND(Einstellungen!$B$8="Ja",Einstellungen!$B$9="Effektiv"),$I538,"-")</f>
        <v>-</v>
      </c>
      <c r="K538" s="31" t="n">
        <f aca="false">IF(OR($F538="",$J538="-"),0,ROUND($F538-$F538/(1+$H538),2))</f>
        <v>0</v>
      </c>
      <c r="L538" s="31" t="n">
        <f aca="false">IF($F538="",0,$F538-$K538)</f>
        <v>0</v>
      </c>
      <c r="M538" s="31" t="n">
        <f aca="false">IF($F538="",0,IF($J538="V",$L538,$F538))</f>
        <v>0</v>
      </c>
      <c r="N538" s="31" t="n">
        <f aca="false">IF($F538="",0,IF($J538="U",$L538,$F538))</f>
        <v>0</v>
      </c>
      <c r="O538" s="35" t="str">
        <f aca="false">IF($A538="","",MONTH($A538))</f>
        <v/>
      </c>
      <c r="P538" s="35" t="str">
        <f aca="false">IF($A538="","",ROUNDUP(MONTH($A538)/3,0))</f>
        <v/>
      </c>
      <c r="Q538" s="35" t="str">
        <f aca="false">IF($A538="","",IF(MONTH($A538)&lt;=6,1,2))</f>
        <v/>
      </c>
      <c r="R538" s="35" t="str">
        <f aca="false">IF($E538="","",IFERROR(INDEX(Kontenplan!$F$5:$F$90,MATCH($E538,Kontenplan!$A$5:$A$90,0)),""))</f>
        <v/>
      </c>
      <c r="S538" s="35" t="str">
        <f aca="false">IF($D538="","",IFERROR(INDEX(Kontenplan!$F$5:$F$90,MATCH($D538,Kontenplan!$A$5:$A$90,0)),""))</f>
        <v/>
      </c>
      <c r="T538" s="35" t="str">
        <f aca="false">IF($D538="","",IFERROR(INDEX(Kontenplan!$C$5:$C$90,MATCH($D538,Kontenplan!$A$5:$A$90,0)),"?"))</f>
        <v/>
      </c>
      <c r="U538" s="35" t="str">
        <f aca="false">IF($E538="","",IFERROR(INDEX(Kontenplan!$C$5:$C$90,MATCH($E538,Kontenplan!$A$5:$A$90,0)),"?"))</f>
        <v/>
      </c>
      <c r="V538" s="35" t="str">
        <f aca="false">IF($F538="","",IF(OR($D538="",$E538="",$T538="?",$U538="?"),"Konto prüfen!",IF($A538="","Datum fehlt",IF(YEAR($A538)&lt;&gt;Einstellungen!$B$7,"anderes Jahr!",IF($G538="","MWST-Code fehlt","OK")))))</f>
        <v/>
      </c>
      <c r="W538" s="35" t="str">
        <f aca="false">IF($F538="","",IF(OR($D538=Kontoauszug!$C$4,$E538=Kontoauszug!$C$4),MAX(W$4:W537)+1,""))</f>
        <v/>
      </c>
    </row>
    <row r="539" customFormat="false" ht="15" hidden="false" customHeight="false" outlineLevel="0" collapsed="false">
      <c r="A539" s="33"/>
      <c r="B539" s="32"/>
      <c r="C539" s="32"/>
      <c r="D539" s="32"/>
      <c r="E539" s="32"/>
      <c r="F539" s="30"/>
      <c r="G539" s="32"/>
      <c r="H539" s="34" t="n">
        <f aca="false">IF($G539="",0,IFERROR(INDEX(Einstellungen!$G$5:$G$11,MATCH($G539,Einstellungen!$E$5:$E$11,0)),0))</f>
        <v>0</v>
      </c>
      <c r="I539" s="35" t="str">
        <f aca="false">IF($G539="","-",IFERROR(INDEX(Einstellungen!$H$5:$H$11,MATCH($G539,Einstellungen!$E$5:$E$11,0)),"-"))</f>
        <v>-</v>
      </c>
      <c r="J539" s="35" t="str">
        <f aca="false">IF(AND(Einstellungen!$B$8="Ja",Einstellungen!$B$9="Effektiv"),$I539,"-")</f>
        <v>-</v>
      </c>
      <c r="K539" s="31" t="n">
        <f aca="false">IF(OR($F539="",$J539="-"),0,ROUND($F539-$F539/(1+$H539),2))</f>
        <v>0</v>
      </c>
      <c r="L539" s="31" t="n">
        <f aca="false">IF($F539="",0,$F539-$K539)</f>
        <v>0</v>
      </c>
      <c r="M539" s="31" t="n">
        <f aca="false">IF($F539="",0,IF($J539="V",$L539,$F539))</f>
        <v>0</v>
      </c>
      <c r="N539" s="31" t="n">
        <f aca="false">IF($F539="",0,IF($J539="U",$L539,$F539))</f>
        <v>0</v>
      </c>
      <c r="O539" s="35" t="str">
        <f aca="false">IF($A539="","",MONTH($A539))</f>
        <v/>
      </c>
      <c r="P539" s="35" t="str">
        <f aca="false">IF($A539="","",ROUNDUP(MONTH($A539)/3,0))</f>
        <v/>
      </c>
      <c r="Q539" s="35" t="str">
        <f aca="false">IF($A539="","",IF(MONTH($A539)&lt;=6,1,2))</f>
        <v/>
      </c>
      <c r="R539" s="35" t="str">
        <f aca="false">IF($E539="","",IFERROR(INDEX(Kontenplan!$F$5:$F$90,MATCH($E539,Kontenplan!$A$5:$A$90,0)),""))</f>
        <v/>
      </c>
      <c r="S539" s="35" t="str">
        <f aca="false">IF($D539="","",IFERROR(INDEX(Kontenplan!$F$5:$F$90,MATCH($D539,Kontenplan!$A$5:$A$90,0)),""))</f>
        <v/>
      </c>
      <c r="T539" s="35" t="str">
        <f aca="false">IF($D539="","",IFERROR(INDEX(Kontenplan!$C$5:$C$90,MATCH($D539,Kontenplan!$A$5:$A$90,0)),"?"))</f>
        <v/>
      </c>
      <c r="U539" s="35" t="str">
        <f aca="false">IF($E539="","",IFERROR(INDEX(Kontenplan!$C$5:$C$90,MATCH($E539,Kontenplan!$A$5:$A$90,0)),"?"))</f>
        <v/>
      </c>
      <c r="V539" s="35" t="str">
        <f aca="false">IF($F539="","",IF(OR($D539="",$E539="",$T539="?",$U539="?"),"Konto prüfen!",IF($A539="","Datum fehlt",IF(YEAR($A539)&lt;&gt;Einstellungen!$B$7,"anderes Jahr!",IF($G539="","MWST-Code fehlt","OK")))))</f>
        <v/>
      </c>
      <c r="W539" s="35" t="str">
        <f aca="false">IF($F539="","",IF(OR($D539=Kontoauszug!$C$4,$E539=Kontoauszug!$C$4),MAX(W$4:W538)+1,""))</f>
        <v/>
      </c>
    </row>
    <row r="540" customFormat="false" ht="15" hidden="false" customHeight="false" outlineLevel="0" collapsed="false">
      <c r="A540" s="33"/>
      <c r="B540" s="32"/>
      <c r="C540" s="32"/>
      <c r="D540" s="32"/>
      <c r="E540" s="32"/>
      <c r="F540" s="30"/>
      <c r="G540" s="32"/>
      <c r="H540" s="34" t="n">
        <f aca="false">IF($G540="",0,IFERROR(INDEX(Einstellungen!$G$5:$G$11,MATCH($G540,Einstellungen!$E$5:$E$11,0)),0))</f>
        <v>0</v>
      </c>
      <c r="I540" s="35" t="str">
        <f aca="false">IF($G540="","-",IFERROR(INDEX(Einstellungen!$H$5:$H$11,MATCH($G540,Einstellungen!$E$5:$E$11,0)),"-"))</f>
        <v>-</v>
      </c>
      <c r="J540" s="35" t="str">
        <f aca="false">IF(AND(Einstellungen!$B$8="Ja",Einstellungen!$B$9="Effektiv"),$I540,"-")</f>
        <v>-</v>
      </c>
      <c r="K540" s="31" t="n">
        <f aca="false">IF(OR($F540="",$J540="-"),0,ROUND($F540-$F540/(1+$H540),2))</f>
        <v>0</v>
      </c>
      <c r="L540" s="31" t="n">
        <f aca="false">IF($F540="",0,$F540-$K540)</f>
        <v>0</v>
      </c>
      <c r="M540" s="31" t="n">
        <f aca="false">IF($F540="",0,IF($J540="V",$L540,$F540))</f>
        <v>0</v>
      </c>
      <c r="N540" s="31" t="n">
        <f aca="false">IF($F540="",0,IF($J540="U",$L540,$F540))</f>
        <v>0</v>
      </c>
      <c r="O540" s="35" t="str">
        <f aca="false">IF($A540="","",MONTH($A540))</f>
        <v/>
      </c>
      <c r="P540" s="35" t="str">
        <f aca="false">IF($A540="","",ROUNDUP(MONTH($A540)/3,0))</f>
        <v/>
      </c>
      <c r="Q540" s="35" t="str">
        <f aca="false">IF($A540="","",IF(MONTH($A540)&lt;=6,1,2))</f>
        <v/>
      </c>
      <c r="R540" s="35" t="str">
        <f aca="false">IF($E540="","",IFERROR(INDEX(Kontenplan!$F$5:$F$90,MATCH($E540,Kontenplan!$A$5:$A$90,0)),""))</f>
        <v/>
      </c>
      <c r="S540" s="35" t="str">
        <f aca="false">IF($D540="","",IFERROR(INDEX(Kontenplan!$F$5:$F$90,MATCH($D540,Kontenplan!$A$5:$A$90,0)),""))</f>
        <v/>
      </c>
      <c r="T540" s="35" t="str">
        <f aca="false">IF($D540="","",IFERROR(INDEX(Kontenplan!$C$5:$C$90,MATCH($D540,Kontenplan!$A$5:$A$90,0)),"?"))</f>
        <v/>
      </c>
      <c r="U540" s="35" t="str">
        <f aca="false">IF($E540="","",IFERROR(INDEX(Kontenplan!$C$5:$C$90,MATCH($E540,Kontenplan!$A$5:$A$90,0)),"?"))</f>
        <v/>
      </c>
      <c r="V540" s="35" t="str">
        <f aca="false">IF($F540="","",IF(OR($D540="",$E540="",$T540="?",$U540="?"),"Konto prüfen!",IF($A540="","Datum fehlt",IF(YEAR($A540)&lt;&gt;Einstellungen!$B$7,"anderes Jahr!",IF($G540="","MWST-Code fehlt","OK")))))</f>
        <v/>
      </c>
      <c r="W540" s="35" t="str">
        <f aca="false">IF($F540="","",IF(OR($D540=Kontoauszug!$C$4,$E540=Kontoauszug!$C$4),MAX(W$4:W539)+1,""))</f>
        <v/>
      </c>
    </row>
    <row r="541" customFormat="false" ht="15" hidden="false" customHeight="false" outlineLevel="0" collapsed="false">
      <c r="A541" s="33"/>
      <c r="B541" s="32"/>
      <c r="C541" s="32"/>
      <c r="D541" s="32"/>
      <c r="E541" s="32"/>
      <c r="F541" s="30"/>
      <c r="G541" s="32"/>
      <c r="H541" s="34" t="n">
        <f aca="false">IF($G541="",0,IFERROR(INDEX(Einstellungen!$G$5:$G$11,MATCH($G541,Einstellungen!$E$5:$E$11,0)),0))</f>
        <v>0</v>
      </c>
      <c r="I541" s="35" t="str">
        <f aca="false">IF($G541="","-",IFERROR(INDEX(Einstellungen!$H$5:$H$11,MATCH($G541,Einstellungen!$E$5:$E$11,0)),"-"))</f>
        <v>-</v>
      </c>
      <c r="J541" s="35" t="str">
        <f aca="false">IF(AND(Einstellungen!$B$8="Ja",Einstellungen!$B$9="Effektiv"),$I541,"-")</f>
        <v>-</v>
      </c>
      <c r="K541" s="31" t="n">
        <f aca="false">IF(OR($F541="",$J541="-"),0,ROUND($F541-$F541/(1+$H541),2))</f>
        <v>0</v>
      </c>
      <c r="L541" s="31" t="n">
        <f aca="false">IF($F541="",0,$F541-$K541)</f>
        <v>0</v>
      </c>
      <c r="M541" s="31" t="n">
        <f aca="false">IF($F541="",0,IF($J541="V",$L541,$F541))</f>
        <v>0</v>
      </c>
      <c r="N541" s="31" t="n">
        <f aca="false">IF($F541="",0,IF($J541="U",$L541,$F541))</f>
        <v>0</v>
      </c>
      <c r="O541" s="35" t="str">
        <f aca="false">IF($A541="","",MONTH($A541))</f>
        <v/>
      </c>
      <c r="P541" s="35" t="str">
        <f aca="false">IF($A541="","",ROUNDUP(MONTH($A541)/3,0))</f>
        <v/>
      </c>
      <c r="Q541" s="35" t="str">
        <f aca="false">IF($A541="","",IF(MONTH($A541)&lt;=6,1,2))</f>
        <v/>
      </c>
      <c r="R541" s="35" t="str">
        <f aca="false">IF($E541="","",IFERROR(INDEX(Kontenplan!$F$5:$F$90,MATCH($E541,Kontenplan!$A$5:$A$90,0)),""))</f>
        <v/>
      </c>
      <c r="S541" s="35" t="str">
        <f aca="false">IF($D541="","",IFERROR(INDEX(Kontenplan!$F$5:$F$90,MATCH($D541,Kontenplan!$A$5:$A$90,0)),""))</f>
        <v/>
      </c>
      <c r="T541" s="35" t="str">
        <f aca="false">IF($D541="","",IFERROR(INDEX(Kontenplan!$C$5:$C$90,MATCH($D541,Kontenplan!$A$5:$A$90,0)),"?"))</f>
        <v/>
      </c>
      <c r="U541" s="35" t="str">
        <f aca="false">IF($E541="","",IFERROR(INDEX(Kontenplan!$C$5:$C$90,MATCH($E541,Kontenplan!$A$5:$A$90,0)),"?"))</f>
        <v/>
      </c>
      <c r="V541" s="35" t="str">
        <f aca="false">IF($F541="","",IF(OR($D541="",$E541="",$T541="?",$U541="?"),"Konto prüfen!",IF($A541="","Datum fehlt",IF(YEAR($A541)&lt;&gt;Einstellungen!$B$7,"anderes Jahr!",IF($G541="","MWST-Code fehlt","OK")))))</f>
        <v/>
      </c>
      <c r="W541" s="35" t="str">
        <f aca="false">IF($F541="","",IF(OR($D541=Kontoauszug!$C$4,$E541=Kontoauszug!$C$4),MAX(W$4:W540)+1,""))</f>
        <v/>
      </c>
    </row>
    <row r="542" customFormat="false" ht="15" hidden="false" customHeight="false" outlineLevel="0" collapsed="false">
      <c r="A542" s="33"/>
      <c r="B542" s="32"/>
      <c r="C542" s="32"/>
      <c r="D542" s="32"/>
      <c r="E542" s="32"/>
      <c r="F542" s="30"/>
      <c r="G542" s="32"/>
      <c r="H542" s="34" t="n">
        <f aca="false">IF($G542="",0,IFERROR(INDEX(Einstellungen!$G$5:$G$11,MATCH($G542,Einstellungen!$E$5:$E$11,0)),0))</f>
        <v>0</v>
      </c>
      <c r="I542" s="35" t="str">
        <f aca="false">IF($G542="","-",IFERROR(INDEX(Einstellungen!$H$5:$H$11,MATCH($G542,Einstellungen!$E$5:$E$11,0)),"-"))</f>
        <v>-</v>
      </c>
      <c r="J542" s="35" t="str">
        <f aca="false">IF(AND(Einstellungen!$B$8="Ja",Einstellungen!$B$9="Effektiv"),$I542,"-")</f>
        <v>-</v>
      </c>
      <c r="K542" s="31" t="n">
        <f aca="false">IF(OR($F542="",$J542="-"),0,ROUND($F542-$F542/(1+$H542),2))</f>
        <v>0</v>
      </c>
      <c r="L542" s="31" t="n">
        <f aca="false">IF($F542="",0,$F542-$K542)</f>
        <v>0</v>
      </c>
      <c r="M542" s="31" t="n">
        <f aca="false">IF($F542="",0,IF($J542="V",$L542,$F542))</f>
        <v>0</v>
      </c>
      <c r="N542" s="31" t="n">
        <f aca="false">IF($F542="",0,IF($J542="U",$L542,$F542))</f>
        <v>0</v>
      </c>
      <c r="O542" s="35" t="str">
        <f aca="false">IF($A542="","",MONTH($A542))</f>
        <v/>
      </c>
      <c r="P542" s="35" t="str">
        <f aca="false">IF($A542="","",ROUNDUP(MONTH($A542)/3,0))</f>
        <v/>
      </c>
      <c r="Q542" s="35" t="str">
        <f aca="false">IF($A542="","",IF(MONTH($A542)&lt;=6,1,2))</f>
        <v/>
      </c>
      <c r="R542" s="35" t="str">
        <f aca="false">IF($E542="","",IFERROR(INDEX(Kontenplan!$F$5:$F$90,MATCH($E542,Kontenplan!$A$5:$A$90,0)),""))</f>
        <v/>
      </c>
      <c r="S542" s="35" t="str">
        <f aca="false">IF($D542="","",IFERROR(INDEX(Kontenplan!$F$5:$F$90,MATCH($D542,Kontenplan!$A$5:$A$90,0)),""))</f>
        <v/>
      </c>
      <c r="T542" s="35" t="str">
        <f aca="false">IF($D542="","",IFERROR(INDEX(Kontenplan!$C$5:$C$90,MATCH($D542,Kontenplan!$A$5:$A$90,0)),"?"))</f>
        <v/>
      </c>
      <c r="U542" s="35" t="str">
        <f aca="false">IF($E542="","",IFERROR(INDEX(Kontenplan!$C$5:$C$90,MATCH($E542,Kontenplan!$A$5:$A$90,0)),"?"))</f>
        <v/>
      </c>
      <c r="V542" s="35" t="str">
        <f aca="false">IF($F542="","",IF(OR($D542="",$E542="",$T542="?",$U542="?"),"Konto prüfen!",IF($A542="","Datum fehlt",IF(YEAR($A542)&lt;&gt;Einstellungen!$B$7,"anderes Jahr!",IF($G542="","MWST-Code fehlt","OK")))))</f>
        <v/>
      </c>
      <c r="W542" s="35" t="str">
        <f aca="false">IF($F542="","",IF(OR($D542=Kontoauszug!$C$4,$E542=Kontoauszug!$C$4),MAX(W$4:W541)+1,""))</f>
        <v/>
      </c>
    </row>
    <row r="543" customFormat="false" ht="15" hidden="false" customHeight="false" outlineLevel="0" collapsed="false">
      <c r="A543" s="33"/>
      <c r="B543" s="32"/>
      <c r="C543" s="32"/>
      <c r="D543" s="32"/>
      <c r="E543" s="32"/>
      <c r="F543" s="30"/>
      <c r="G543" s="32"/>
      <c r="H543" s="34" t="n">
        <f aca="false">IF($G543="",0,IFERROR(INDEX(Einstellungen!$G$5:$G$11,MATCH($G543,Einstellungen!$E$5:$E$11,0)),0))</f>
        <v>0</v>
      </c>
      <c r="I543" s="35" t="str">
        <f aca="false">IF($G543="","-",IFERROR(INDEX(Einstellungen!$H$5:$H$11,MATCH($G543,Einstellungen!$E$5:$E$11,0)),"-"))</f>
        <v>-</v>
      </c>
      <c r="J543" s="35" t="str">
        <f aca="false">IF(AND(Einstellungen!$B$8="Ja",Einstellungen!$B$9="Effektiv"),$I543,"-")</f>
        <v>-</v>
      </c>
      <c r="K543" s="31" t="n">
        <f aca="false">IF(OR($F543="",$J543="-"),0,ROUND($F543-$F543/(1+$H543),2))</f>
        <v>0</v>
      </c>
      <c r="L543" s="31" t="n">
        <f aca="false">IF($F543="",0,$F543-$K543)</f>
        <v>0</v>
      </c>
      <c r="M543" s="31" t="n">
        <f aca="false">IF($F543="",0,IF($J543="V",$L543,$F543))</f>
        <v>0</v>
      </c>
      <c r="N543" s="31" t="n">
        <f aca="false">IF($F543="",0,IF($J543="U",$L543,$F543))</f>
        <v>0</v>
      </c>
      <c r="O543" s="35" t="str">
        <f aca="false">IF($A543="","",MONTH($A543))</f>
        <v/>
      </c>
      <c r="P543" s="35" t="str">
        <f aca="false">IF($A543="","",ROUNDUP(MONTH($A543)/3,0))</f>
        <v/>
      </c>
      <c r="Q543" s="35" t="str">
        <f aca="false">IF($A543="","",IF(MONTH($A543)&lt;=6,1,2))</f>
        <v/>
      </c>
      <c r="R543" s="35" t="str">
        <f aca="false">IF($E543="","",IFERROR(INDEX(Kontenplan!$F$5:$F$90,MATCH($E543,Kontenplan!$A$5:$A$90,0)),""))</f>
        <v/>
      </c>
      <c r="S543" s="35" t="str">
        <f aca="false">IF($D543="","",IFERROR(INDEX(Kontenplan!$F$5:$F$90,MATCH($D543,Kontenplan!$A$5:$A$90,0)),""))</f>
        <v/>
      </c>
      <c r="T543" s="35" t="str">
        <f aca="false">IF($D543="","",IFERROR(INDEX(Kontenplan!$C$5:$C$90,MATCH($D543,Kontenplan!$A$5:$A$90,0)),"?"))</f>
        <v/>
      </c>
      <c r="U543" s="35" t="str">
        <f aca="false">IF($E543="","",IFERROR(INDEX(Kontenplan!$C$5:$C$90,MATCH($E543,Kontenplan!$A$5:$A$90,0)),"?"))</f>
        <v/>
      </c>
      <c r="V543" s="35" t="str">
        <f aca="false">IF($F543="","",IF(OR($D543="",$E543="",$T543="?",$U543="?"),"Konto prüfen!",IF($A543="","Datum fehlt",IF(YEAR($A543)&lt;&gt;Einstellungen!$B$7,"anderes Jahr!",IF($G543="","MWST-Code fehlt","OK")))))</f>
        <v/>
      </c>
      <c r="W543" s="35" t="str">
        <f aca="false">IF($F543="","",IF(OR($D543=Kontoauszug!$C$4,$E543=Kontoauszug!$C$4),MAX(W$4:W542)+1,""))</f>
        <v/>
      </c>
    </row>
    <row r="544" customFormat="false" ht="15" hidden="false" customHeight="false" outlineLevel="0" collapsed="false">
      <c r="A544" s="33"/>
      <c r="B544" s="32"/>
      <c r="C544" s="32"/>
      <c r="D544" s="32"/>
      <c r="E544" s="32"/>
      <c r="F544" s="30"/>
      <c r="G544" s="32"/>
      <c r="H544" s="34" t="n">
        <f aca="false">IF($G544="",0,IFERROR(INDEX(Einstellungen!$G$5:$G$11,MATCH($G544,Einstellungen!$E$5:$E$11,0)),0))</f>
        <v>0</v>
      </c>
      <c r="I544" s="35" t="str">
        <f aca="false">IF($G544="","-",IFERROR(INDEX(Einstellungen!$H$5:$H$11,MATCH($G544,Einstellungen!$E$5:$E$11,0)),"-"))</f>
        <v>-</v>
      </c>
      <c r="J544" s="35" t="str">
        <f aca="false">IF(AND(Einstellungen!$B$8="Ja",Einstellungen!$B$9="Effektiv"),$I544,"-")</f>
        <v>-</v>
      </c>
      <c r="K544" s="31" t="n">
        <f aca="false">IF(OR($F544="",$J544="-"),0,ROUND($F544-$F544/(1+$H544),2))</f>
        <v>0</v>
      </c>
      <c r="L544" s="31" t="n">
        <f aca="false">IF($F544="",0,$F544-$K544)</f>
        <v>0</v>
      </c>
      <c r="M544" s="31" t="n">
        <f aca="false">IF($F544="",0,IF($J544="V",$L544,$F544))</f>
        <v>0</v>
      </c>
      <c r="N544" s="31" t="n">
        <f aca="false">IF($F544="",0,IF($J544="U",$L544,$F544))</f>
        <v>0</v>
      </c>
      <c r="O544" s="35" t="str">
        <f aca="false">IF($A544="","",MONTH($A544))</f>
        <v/>
      </c>
      <c r="P544" s="35" t="str">
        <f aca="false">IF($A544="","",ROUNDUP(MONTH($A544)/3,0))</f>
        <v/>
      </c>
      <c r="Q544" s="35" t="str">
        <f aca="false">IF($A544="","",IF(MONTH($A544)&lt;=6,1,2))</f>
        <v/>
      </c>
      <c r="R544" s="35" t="str">
        <f aca="false">IF($E544="","",IFERROR(INDEX(Kontenplan!$F$5:$F$90,MATCH($E544,Kontenplan!$A$5:$A$90,0)),""))</f>
        <v/>
      </c>
      <c r="S544" s="35" t="str">
        <f aca="false">IF($D544="","",IFERROR(INDEX(Kontenplan!$F$5:$F$90,MATCH($D544,Kontenplan!$A$5:$A$90,0)),""))</f>
        <v/>
      </c>
      <c r="T544" s="35" t="str">
        <f aca="false">IF($D544="","",IFERROR(INDEX(Kontenplan!$C$5:$C$90,MATCH($D544,Kontenplan!$A$5:$A$90,0)),"?"))</f>
        <v/>
      </c>
      <c r="U544" s="35" t="str">
        <f aca="false">IF($E544="","",IFERROR(INDEX(Kontenplan!$C$5:$C$90,MATCH($E544,Kontenplan!$A$5:$A$90,0)),"?"))</f>
        <v/>
      </c>
      <c r="V544" s="35" t="str">
        <f aca="false">IF($F544="","",IF(OR($D544="",$E544="",$T544="?",$U544="?"),"Konto prüfen!",IF($A544="","Datum fehlt",IF(YEAR($A544)&lt;&gt;Einstellungen!$B$7,"anderes Jahr!",IF($G544="","MWST-Code fehlt","OK")))))</f>
        <v/>
      </c>
      <c r="W544" s="35" t="str">
        <f aca="false">IF($F544="","",IF(OR($D544=Kontoauszug!$C$4,$E544=Kontoauszug!$C$4),MAX(W$4:W543)+1,""))</f>
        <v/>
      </c>
    </row>
    <row r="545" customFormat="false" ht="15" hidden="false" customHeight="false" outlineLevel="0" collapsed="false">
      <c r="A545" s="33"/>
      <c r="B545" s="32"/>
      <c r="C545" s="32"/>
      <c r="D545" s="32"/>
      <c r="E545" s="32"/>
      <c r="F545" s="30"/>
      <c r="G545" s="32"/>
      <c r="H545" s="34" t="n">
        <f aca="false">IF($G545="",0,IFERROR(INDEX(Einstellungen!$G$5:$G$11,MATCH($G545,Einstellungen!$E$5:$E$11,0)),0))</f>
        <v>0</v>
      </c>
      <c r="I545" s="35" t="str">
        <f aca="false">IF($G545="","-",IFERROR(INDEX(Einstellungen!$H$5:$H$11,MATCH($G545,Einstellungen!$E$5:$E$11,0)),"-"))</f>
        <v>-</v>
      </c>
      <c r="J545" s="35" t="str">
        <f aca="false">IF(AND(Einstellungen!$B$8="Ja",Einstellungen!$B$9="Effektiv"),$I545,"-")</f>
        <v>-</v>
      </c>
      <c r="K545" s="31" t="n">
        <f aca="false">IF(OR($F545="",$J545="-"),0,ROUND($F545-$F545/(1+$H545),2))</f>
        <v>0</v>
      </c>
      <c r="L545" s="31" t="n">
        <f aca="false">IF($F545="",0,$F545-$K545)</f>
        <v>0</v>
      </c>
      <c r="M545" s="31" t="n">
        <f aca="false">IF($F545="",0,IF($J545="V",$L545,$F545))</f>
        <v>0</v>
      </c>
      <c r="N545" s="31" t="n">
        <f aca="false">IF($F545="",0,IF($J545="U",$L545,$F545))</f>
        <v>0</v>
      </c>
      <c r="O545" s="35" t="str">
        <f aca="false">IF($A545="","",MONTH($A545))</f>
        <v/>
      </c>
      <c r="P545" s="35" t="str">
        <f aca="false">IF($A545="","",ROUNDUP(MONTH($A545)/3,0))</f>
        <v/>
      </c>
      <c r="Q545" s="35" t="str">
        <f aca="false">IF($A545="","",IF(MONTH($A545)&lt;=6,1,2))</f>
        <v/>
      </c>
      <c r="R545" s="35" t="str">
        <f aca="false">IF($E545="","",IFERROR(INDEX(Kontenplan!$F$5:$F$90,MATCH($E545,Kontenplan!$A$5:$A$90,0)),""))</f>
        <v/>
      </c>
      <c r="S545" s="35" t="str">
        <f aca="false">IF($D545="","",IFERROR(INDEX(Kontenplan!$F$5:$F$90,MATCH($D545,Kontenplan!$A$5:$A$90,0)),""))</f>
        <v/>
      </c>
      <c r="T545" s="35" t="str">
        <f aca="false">IF($D545="","",IFERROR(INDEX(Kontenplan!$C$5:$C$90,MATCH($D545,Kontenplan!$A$5:$A$90,0)),"?"))</f>
        <v/>
      </c>
      <c r="U545" s="35" t="str">
        <f aca="false">IF($E545="","",IFERROR(INDEX(Kontenplan!$C$5:$C$90,MATCH($E545,Kontenplan!$A$5:$A$90,0)),"?"))</f>
        <v/>
      </c>
      <c r="V545" s="35" t="str">
        <f aca="false">IF($F545="","",IF(OR($D545="",$E545="",$T545="?",$U545="?"),"Konto prüfen!",IF($A545="","Datum fehlt",IF(YEAR($A545)&lt;&gt;Einstellungen!$B$7,"anderes Jahr!",IF($G545="","MWST-Code fehlt","OK")))))</f>
        <v/>
      </c>
      <c r="W545" s="35" t="str">
        <f aca="false">IF($F545="","",IF(OR($D545=Kontoauszug!$C$4,$E545=Kontoauszug!$C$4),MAX(W$4:W544)+1,""))</f>
        <v/>
      </c>
    </row>
    <row r="546" customFormat="false" ht="15" hidden="false" customHeight="false" outlineLevel="0" collapsed="false">
      <c r="A546" s="33"/>
      <c r="B546" s="32"/>
      <c r="C546" s="32"/>
      <c r="D546" s="32"/>
      <c r="E546" s="32"/>
      <c r="F546" s="30"/>
      <c r="G546" s="32"/>
      <c r="H546" s="34" t="n">
        <f aca="false">IF($G546="",0,IFERROR(INDEX(Einstellungen!$G$5:$G$11,MATCH($G546,Einstellungen!$E$5:$E$11,0)),0))</f>
        <v>0</v>
      </c>
      <c r="I546" s="35" t="str">
        <f aca="false">IF($G546="","-",IFERROR(INDEX(Einstellungen!$H$5:$H$11,MATCH($G546,Einstellungen!$E$5:$E$11,0)),"-"))</f>
        <v>-</v>
      </c>
      <c r="J546" s="35" t="str">
        <f aca="false">IF(AND(Einstellungen!$B$8="Ja",Einstellungen!$B$9="Effektiv"),$I546,"-")</f>
        <v>-</v>
      </c>
      <c r="K546" s="31" t="n">
        <f aca="false">IF(OR($F546="",$J546="-"),0,ROUND($F546-$F546/(1+$H546),2))</f>
        <v>0</v>
      </c>
      <c r="L546" s="31" t="n">
        <f aca="false">IF($F546="",0,$F546-$K546)</f>
        <v>0</v>
      </c>
      <c r="M546" s="31" t="n">
        <f aca="false">IF($F546="",0,IF($J546="V",$L546,$F546))</f>
        <v>0</v>
      </c>
      <c r="N546" s="31" t="n">
        <f aca="false">IF($F546="",0,IF($J546="U",$L546,$F546))</f>
        <v>0</v>
      </c>
      <c r="O546" s="35" t="str">
        <f aca="false">IF($A546="","",MONTH($A546))</f>
        <v/>
      </c>
      <c r="P546" s="35" t="str">
        <f aca="false">IF($A546="","",ROUNDUP(MONTH($A546)/3,0))</f>
        <v/>
      </c>
      <c r="Q546" s="35" t="str">
        <f aca="false">IF($A546="","",IF(MONTH($A546)&lt;=6,1,2))</f>
        <v/>
      </c>
      <c r="R546" s="35" t="str">
        <f aca="false">IF($E546="","",IFERROR(INDEX(Kontenplan!$F$5:$F$90,MATCH($E546,Kontenplan!$A$5:$A$90,0)),""))</f>
        <v/>
      </c>
      <c r="S546" s="35" t="str">
        <f aca="false">IF($D546="","",IFERROR(INDEX(Kontenplan!$F$5:$F$90,MATCH($D546,Kontenplan!$A$5:$A$90,0)),""))</f>
        <v/>
      </c>
      <c r="T546" s="35" t="str">
        <f aca="false">IF($D546="","",IFERROR(INDEX(Kontenplan!$C$5:$C$90,MATCH($D546,Kontenplan!$A$5:$A$90,0)),"?"))</f>
        <v/>
      </c>
      <c r="U546" s="35" t="str">
        <f aca="false">IF($E546="","",IFERROR(INDEX(Kontenplan!$C$5:$C$90,MATCH($E546,Kontenplan!$A$5:$A$90,0)),"?"))</f>
        <v/>
      </c>
      <c r="V546" s="35" t="str">
        <f aca="false">IF($F546="","",IF(OR($D546="",$E546="",$T546="?",$U546="?"),"Konto prüfen!",IF($A546="","Datum fehlt",IF(YEAR($A546)&lt;&gt;Einstellungen!$B$7,"anderes Jahr!",IF($G546="","MWST-Code fehlt","OK")))))</f>
        <v/>
      </c>
      <c r="W546" s="35" t="str">
        <f aca="false">IF($F546="","",IF(OR($D546=Kontoauszug!$C$4,$E546=Kontoauszug!$C$4),MAX(W$4:W545)+1,""))</f>
        <v/>
      </c>
    </row>
    <row r="547" customFormat="false" ht="15" hidden="false" customHeight="false" outlineLevel="0" collapsed="false">
      <c r="A547" s="33"/>
      <c r="B547" s="32"/>
      <c r="C547" s="32"/>
      <c r="D547" s="32"/>
      <c r="E547" s="32"/>
      <c r="F547" s="30"/>
      <c r="G547" s="32"/>
      <c r="H547" s="34" t="n">
        <f aca="false">IF($G547="",0,IFERROR(INDEX(Einstellungen!$G$5:$G$11,MATCH($G547,Einstellungen!$E$5:$E$11,0)),0))</f>
        <v>0</v>
      </c>
      <c r="I547" s="35" t="str">
        <f aca="false">IF($G547="","-",IFERROR(INDEX(Einstellungen!$H$5:$H$11,MATCH($G547,Einstellungen!$E$5:$E$11,0)),"-"))</f>
        <v>-</v>
      </c>
      <c r="J547" s="35" t="str">
        <f aca="false">IF(AND(Einstellungen!$B$8="Ja",Einstellungen!$B$9="Effektiv"),$I547,"-")</f>
        <v>-</v>
      </c>
      <c r="K547" s="31" t="n">
        <f aca="false">IF(OR($F547="",$J547="-"),0,ROUND($F547-$F547/(1+$H547),2))</f>
        <v>0</v>
      </c>
      <c r="L547" s="31" t="n">
        <f aca="false">IF($F547="",0,$F547-$K547)</f>
        <v>0</v>
      </c>
      <c r="M547" s="31" t="n">
        <f aca="false">IF($F547="",0,IF($J547="V",$L547,$F547))</f>
        <v>0</v>
      </c>
      <c r="N547" s="31" t="n">
        <f aca="false">IF($F547="",0,IF($J547="U",$L547,$F547))</f>
        <v>0</v>
      </c>
      <c r="O547" s="35" t="str">
        <f aca="false">IF($A547="","",MONTH($A547))</f>
        <v/>
      </c>
      <c r="P547" s="35" t="str">
        <f aca="false">IF($A547="","",ROUNDUP(MONTH($A547)/3,0))</f>
        <v/>
      </c>
      <c r="Q547" s="35" t="str">
        <f aca="false">IF($A547="","",IF(MONTH($A547)&lt;=6,1,2))</f>
        <v/>
      </c>
      <c r="R547" s="35" t="str">
        <f aca="false">IF($E547="","",IFERROR(INDEX(Kontenplan!$F$5:$F$90,MATCH($E547,Kontenplan!$A$5:$A$90,0)),""))</f>
        <v/>
      </c>
      <c r="S547" s="35" t="str">
        <f aca="false">IF($D547="","",IFERROR(INDEX(Kontenplan!$F$5:$F$90,MATCH($D547,Kontenplan!$A$5:$A$90,0)),""))</f>
        <v/>
      </c>
      <c r="T547" s="35" t="str">
        <f aca="false">IF($D547="","",IFERROR(INDEX(Kontenplan!$C$5:$C$90,MATCH($D547,Kontenplan!$A$5:$A$90,0)),"?"))</f>
        <v/>
      </c>
      <c r="U547" s="35" t="str">
        <f aca="false">IF($E547="","",IFERROR(INDEX(Kontenplan!$C$5:$C$90,MATCH($E547,Kontenplan!$A$5:$A$90,0)),"?"))</f>
        <v/>
      </c>
      <c r="V547" s="35" t="str">
        <f aca="false">IF($F547="","",IF(OR($D547="",$E547="",$T547="?",$U547="?"),"Konto prüfen!",IF($A547="","Datum fehlt",IF(YEAR($A547)&lt;&gt;Einstellungen!$B$7,"anderes Jahr!",IF($G547="","MWST-Code fehlt","OK")))))</f>
        <v/>
      </c>
      <c r="W547" s="35" t="str">
        <f aca="false">IF($F547="","",IF(OR($D547=Kontoauszug!$C$4,$E547=Kontoauszug!$C$4),MAX(W$4:W546)+1,""))</f>
        <v/>
      </c>
    </row>
    <row r="548" customFormat="false" ht="15" hidden="false" customHeight="false" outlineLevel="0" collapsed="false">
      <c r="A548" s="33"/>
      <c r="B548" s="32"/>
      <c r="C548" s="32"/>
      <c r="D548" s="32"/>
      <c r="E548" s="32"/>
      <c r="F548" s="30"/>
      <c r="G548" s="32"/>
      <c r="H548" s="34" t="n">
        <f aca="false">IF($G548="",0,IFERROR(INDEX(Einstellungen!$G$5:$G$11,MATCH($G548,Einstellungen!$E$5:$E$11,0)),0))</f>
        <v>0</v>
      </c>
      <c r="I548" s="35" t="str">
        <f aca="false">IF($G548="","-",IFERROR(INDEX(Einstellungen!$H$5:$H$11,MATCH($G548,Einstellungen!$E$5:$E$11,0)),"-"))</f>
        <v>-</v>
      </c>
      <c r="J548" s="35" t="str">
        <f aca="false">IF(AND(Einstellungen!$B$8="Ja",Einstellungen!$B$9="Effektiv"),$I548,"-")</f>
        <v>-</v>
      </c>
      <c r="K548" s="31" t="n">
        <f aca="false">IF(OR($F548="",$J548="-"),0,ROUND($F548-$F548/(1+$H548),2))</f>
        <v>0</v>
      </c>
      <c r="L548" s="31" t="n">
        <f aca="false">IF($F548="",0,$F548-$K548)</f>
        <v>0</v>
      </c>
      <c r="M548" s="31" t="n">
        <f aca="false">IF($F548="",0,IF($J548="V",$L548,$F548))</f>
        <v>0</v>
      </c>
      <c r="N548" s="31" t="n">
        <f aca="false">IF($F548="",0,IF($J548="U",$L548,$F548))</f>
        <v>0</v>
      </c>
      <c r="O548" s="35" t="str">
        <f aca="false">IF($A548="","",MONTH($A548))</f>
        <v/>
      </c>
      <c r="P548" s="35" t="str">
        <f aca="false">IF($A548="","",ROUNDUP(MONTH($A548)/3,0))</f>
        <v/>
      </c>
      <c r="Q548" s="35" t="str">
        <f aca="false">IF($A548="","",IF(MONTH($A548)&lt;=6,1,2))</f>
        <v/>
      </c>
      <c r="R548" s="35" t="str">
        <f aca="false">IF($E548="","",IFERROR(INDEX(Kontenplan!$F$5:$F$90,MATCH($E548,Kontenplan!$A$5:$A$90,0)),""))</f>
        <v/>
      </c>
      <c r="S548" s="35" t="str">
        <f aca="false">IF($D548="","",IFERROR(INDEX(Kontenplan!$F$5:$F$90,MATCH($D548,Kontenplan!$A$5:$A$90,0)),""))</f>
        <v/>
      </c>
      <c r="T548" s="35" t="str">
        <f aca="false">IF($D548="","",IFERROR(INDEX(Kontenplan!$C$5:$C$90,MATCH($D548,Kontenplan!$A$5:$A$90,0)),"?"))</f>
        <v/>
      </c>
      <c r="U548" s="35" t="str">
        <f aca="false">IF($E548="","",IFERROR(INDEX(Kontenplan!$C$5:$C$90,MATCH($E548,Kontenplan!$A$5:$A$90,0)),"?"))</f>
        <v/>
      </c>
      <c r="V548" s="35" t="str">
        <f aca="false">IF($F548="","",IF(OR($D548="",$E548="",$T548="?",$U548="?"),"Konto prüfen!",IF($A548="","Datum fehlt",IF(YEAR($A548)&lt;&gt;Einstellungen!$B$7,"anderes Jahr!",IF($G548="","MWST-Code fehlt","OK")))))</f>
        <v/>
      </c>
      <c r="W548" s="35" t="str">
        <f aca="false">IF($F548="","",IF(OR($D548=Kontoauszug!$C$4,$E548=Kontoauszug!$C$4),MAX(W$4:W547)+1,""))</f>
        <v/>
      </c>
    </row>
    <row r="549" customFormat="false" ht="15" hidden="false" customHeight="false" outlineLevel="0" collapsed="false">
      <c r="A549" s="33"/>
      <c r="B549" s="32"/>
      <c r="C549" s="32"/>
      <c r="D549" s="32"/>
      <c r="E549" s="32"/>
      <c r="F549" s="30"/>
      <c r="G549" s="32"/>
      <c r="H549" s="34" t="n">
        <f aca="false">IF($G549="",0,IFERROR(INDEX(Einstellungen!$G$5:$G$11,MATCH($G549,Einstellungen!$E$5:$E$11,0)),0))</f>
        <v>0</v>
      </c>
      <c r="I549" s="35" t="str">
        <f aca="false">IF($G549="","-",IFERROR(INDEX(Einstellungen!$H$5:$H$11,MATCH($G549,Einstellungen!$E$5:$E$11,0)),"-"))</f>
        <v>-</v>
      </c>
      <c r="J549" s="35" t="str">
        <f aca="false">IF(AND(Einstellungen!$B$8="Ja",Einstellungen!$B$9="Effektiv"),$I549,"-")</f>
        <v>-</v>
      </c>
      <c r="K549" s="31" t="n">
        <f aca="false">IF(OR($F549="",$J549="-"),0,ROUND($F549-$F549/(1+$H549),2))</f>
        <v>0</v>
      </c>
      <c r="L549" s="31" t="n">
        <f aca="false">IF($F549="",0,$F549-$K549)</f>
        <v>0</v>
      </c>
      <c r="M549" s="31" t="n">
        <f aca="false">IF($F549="",0,IF($J549="V",$L549,$F549))</f>
        <v>0</v>
      </c>
      <c r="N549" s="31" t="n">
        <f aca="false">IF($F549="",0,IF($J549="U",$L549,$F549))</f>
        <v>0</v>
      </c>
      <c r="O549" s="35" t="str">
        <f aca="false">IF($A549="","",MONTH($A549))</f>
        <v/>
      </c>
      <c r="P549" s="35" t="str">
        <f aca="false">IF($A549="","",ROUNDUP(MONTH($A549)/3,0))</f>
        <v/>
      </c>
      <c r="Q549" s="35" t="str">
        <f aca="false">IF($A549="","",IF(MONTH($A549)&lt;=6,1,2))</f>
        <v/>
      </c>
      <c r="R549" s="35" t="str">
        <f aca="false">IF($E549="","",IFERROR(INDEX(Kontenplan!$F$5:$F$90,MATCH($E549,Kontenplan!$A$5:$A$90,0)),""))</f>
        <v/>
      </c>
      <c r="S549" s="35" t="str">
        <f aca="false">IF($D549="","",IFERROR(INDEX(Kontenplan!$F$5:$F$90,MATCH($D549,Kontenplan!$A$5:$A$90,0)),""))</f>
        <v/>
      </c>
      <c r="T549" s="35" t="str">
        <f aca="false">IF($D549="","",IFERROR(INDEX(Kontenplan!$C$5:$C$90,MATCH($D549,Kontenplan!$A$5:$A$90,0)),"?"))</f>
        <v/>
      </c>
      <c r="U549" s="35" t="str">
        <f aca="false">IF($E549="","",IFERROR(INDEX(Kontenplan!$C$5:$C$90,MATCH($E549,Kontenplan!$A$5:$A$90,0)),"?"))</f>
        <v/>
      </c>
      <c r="V549" s="35" t="str">
        <f aca="false">IF($F549="","",IF(OR($D549="",$E549="",$T549="?",$U549="?"),"Konto prüfen!",IF($A549="","Datum fehlt",IF(YEAR($A549)&lt;&gt;Einstellungen!$B$7,"anderes Jahr!",IF($G549="","MWST-Code fehlt","OK")))))</f>
        <v/>
      </c>
      <c r="W549" s="35" t="str">
        <f aca="false">IF($F549="","",IF(OR($D549=Kontoauszug!$C$4,$E549=Kontoauszug!$C$4),MAX(W$4:W548)+1,""))</f>
        <v/>
      </c>
    </row>
    <row r="550" customFormat="false" ht="15" hidden="false" customHeight="false" outlineLevel="0" collapsed="false">
      <c r="A550" s="33"/>
      <c r="B550" s="32"/>
      <c r="C550" s="32"/>
      <c r="D550" s="32"/>
      <c r="E550" s="32"/>
      <c r="F550" s="30"/>
      <c r="G550" s="32"/>
      <c r="H550" s="34" t="n">
        <f aca="false">IF($G550="",0,IFERROR(INDEX(Einstellungen!$G$5:$G$11,MATCH($G550,Einstellungen!$E$5:$E$11,0)),0))</f>
        <v>0</v>
      </c>
      <c r="I550" s="35" t="str">
        <f aca="false">IF($G550="","-",IFERROR(INDEX(Einstellungen!$H$5:$H$11,MATCH($G550,Einstellungen!$E$5:$E$11,0)),"-"))</f>
        <v>-</v>
      </c>
      <c r="J550" s="35" t="str">
        <f aca="false">IF(AND(Einstellungen!$B$8="Ja",Einstellungen!$B$9="Effektiv"),$I550,"-")</f>
        <v>-</v>
      </c>
      <c r="K550" s="31" t="n">
        <f aca="false">IF(OR($F550="",$J550="-"),0,ROUND($F550-$F550/(1+$H550),2))</f>
        <v>0</v>
      </c>
      <c r="L550" s="31" t="n">
        <f aca="false">IF($F550="",0,$F550-$K550)</f>
        <v>0</v>
      </c>
      <c r="M550" s="31" t="n">
        <f aca="false">IF($F550="",0,IF($J550="V",$L550,$F550))</f>
        <v>0</v>
      </c>
      <c r="N550" s="31" t="n">
        <f aca="false">IF($F550="",0,IF($J550="U",$L550,$F550))</f>
        <v>0</v>
      </c>
      <c r="O550" s="35" t="str">
        <f aca="false">IF($A550="","",MONTH($A550))</f>
        <v/>
      </c>
      <c r="P550" s="35" t="str">
        <f aca="false">IF($A550="","",ROUNDUP(MONTH($A550)/3,0))</f>
        <v/>
      </c>
      <c r="Q550" s="35" t="str">
        <f aca="false">IF($A550="","",IF(MONTH($A550)&lt;=6,1,2))</f>
        <v/>
      </c>
      <c r="R550" s="35" t="str">
        <f aca="false">IF($E550="","",IFERROR(INDEX(Kontenplan!$F$5:$F$90,MATCH($E550,Kontenplan!$A$5:$A$90,0)),""))</f>
        <v/>
      </c>
      <c r="S550" s="35" t="str">
        <f aca="false">IF($D550="","",IFERROR(INDEX(Kontenplan!$F$5:$F$90,MATCH($D550,Kontenplan!$A$5:$A$90,0)),""))</f>
        <v/>
      </c>
      <c r="T550" s="35" t="str">
        <f aca="false">IF($D550="","",IFERROR(INDEX(Kontenplan!$C$5:$C$90,MATCH($D550,Kontenplan!$A$5:$A$90,0)),"?"))</f>
        <v/>
      </c>
      <c r="U550" s="35" t="str">
        <f aca="false">IF($E550="","",IFERROR(INDEX(Kontenplan!$C$5:$C$90,MATCH($E550,Kontenplan!$A$5:$A$90,0)),"?"))</f>
        <v/>
      </c>
      <c r="V550" s="35" t="str">
        <f aca="false">IF($F550="","",IF(OR($D550="",$E550="",$T550="?",$U550="?"),"Konto prüfen!",IF($A550="","Datum fehlt",IF(YEAR($A550)&lt;&gt;Einstellungen!$B$7,"anderes Jahr!",IF($G550="","MWST-Code fehlt","OK")))))</f>
        <v/>
      </c>
      <c r="W550" s="35" t="str">
        <f aca="false">IF($F550="","",IF(OR($D550=Kontoauszug!$C$4,$E550=Kontoauszug!$C$4),MAX(W$4:W549)+1,""))</f>
        <v/>
      </c>
    </row>
    <row r="551" customFormat="false" ht="15" hidden="false" customHeight="false" outlineLevel="0" collapsed="false">
      <c r="A551" s="33"/>
      <c r="B551" s="32"/>
      <c r="C551" s="32"/>
      <c r="D551" s="32"/>
      <c r="E551" s="32"/>
      <c r="F551" s="30"/>
      <c r="G551" s="32"/>
      <c r="H551" s="34" t="n">
        <f aca="false">IF($G551="",0,IFERROR(INDEX(Einstellungen!$G$5:$G$11,MATCH($G551,Einstellungen!$E$5:$E$11,0)),0))</f>
        <v>0</v>
      </c>
      <c r="I551" s="35" t="str">
        <f aca="false">IF($G551="","-",IFERROR(INDEX(Einstellungen!$H$5:$H$11,MATCH($G551,Einstellungen!$E$5:$E$11,0)),"-"))</f>
        <v>-</v>
      </c>
      <c r="J551" s="35" t="str">
        <f aca="false">IF(AND(Einstellungen!$B$8="Ja",Einstellungen!$B$9="Effektiv"),$I551,"-")</f>
        <v>-</v>
      </c>
      <c r="K551" s="31" t="n">
        <f aca="false">IF(OR($F551="",$J551="-"),0,ROUND($F551-$F551/(1+$H551),2))</f>
        <v>0</v>
      </c>
      <c r="L551" s="31" t="n">
        <f aca="false">IF($F551="",0,$F551-$K551)</f>
        <v>0</v>
      </c>
      <c r="M551" s="31" t="n">
        <f aca="false">IF($F551="",0,IF($J551="V",$L551,$F551))</f>
        <v>0</v>
      </c>
      <c r="N551" s="31" t="n">
        <f aca="false">IF($F551="",0,IF($J551="U",$L551,$F551))</f>
        <v>0</v>
      </c>
      <c r="O551" s="35" t="str">
        <f aca="false">IF($A551="","",MONTH($A551))</f>
        <v/>
      </c>
      <c r="P551" s="35" t="str">
        <f aca="false">IF($A551="","",ROUNDUP(MONTH($A551)/3,0))</f>
        <v/>
      </c>
      <c r="Q551" s="35" t="str">
        <f aca="false">IF($A551="","",IF(MONTH($A551)&lt;=6,1,2))</f>
        <v/>
      </c>
      <c r="R551" s="35" t="str">
        <f aca="false">IF($E551="","",IFERROR(INDEX(Kontenplan!$F$5:$F$90,MATCH($E551,Kontenplan!$A$5:$A$90,0)),""))</f>
        <v/>
      </c>
      <c r="S551" s="35" t="str">
        <f aca="false">IF($D551="","",IFERROR(INDEX(Kontenplan!$F$5:$F$90,MATCH($D551,Kontenplan!$A$5:$A$90,0)),""))</f>
        <v/>
      </c>
      <c r="T551" s="35" t="str">
        <f aca="false">IF($D551="","",IFERROR(INDEX(Kontenplan!$C$5:$C$90,MATCH($D551,Kontenplan!$A$5:$A$90,0)),"?"))</f>
        <v/>
      </c>
      <c r="U551" s="35" t="str">
        <f aca="false">IF($E551="","",IFERROR(INDEX(Kontenplan!$C$5:$C$90,MATCH($E551,Kontenplan!$A$5:$A$90,0)),"?"))</f>
        <v/>
      </c>
      <c r="V551" s="35" t="str">
        <f aca="false">IF($F551="","",IF(OR($D551="",$E551="",$T551="?",$U551="?"),"Konto prüfen!",IF($A551="","Datum fehlt",IF(YEAR($A551)&lt;&gt;Einstellungen!$B$7,"anderes Jahr!",IF($G551="","MWST-Code fehlt","OK")))))</f>
        <v/>
      </c>
      <c r="W551" s="35" t="str">
        <f aca="false">IF($F551="","",IF(OR($D551=Kontoauszug!$C$4,$E551=Kontoauszug!$C$4),MAX(W$4:W550)+1,""))</f>
        <v/>
      </c>
    </row>
    <row r="552" customFormat="false" ht="15" hidden="false" customHeight="false" outlineLevel="0" collapsed="false">
      <c r="A552" s="33"/>
      <c r="B552" s="32"/>
      <c r="C552" s="32"/>
      <c r="D552" s="32"/>
      <c r="E552" s="32"/>
      <c r="F552" s="30"/>
      <c r="G552" s="32"/>
      <c r="H552" s="34" t="n">
        <f aca="false">IF($G552="",0,IFERROR(INDEX(Einstellungen!$G$5:$G$11,MATCH($G552,Einstellungen!$E$5:$E$11,0)),0))</f>
        <v>0</v>
      </c>
      <c r="I552" s="35" t="str">
        <f aca="false">IF($G552="","-",IFERROR(INDEX(Einstellungen!$H$5:$H$11,MATCH($G552,Einstellungen!$E$5:$E$11,0)),"-"))</f>
        <v>-</v>
      </c>
      <c r="J552" s="35" t="str">
        <f aca="false">IF(AND(Einstellungen!$B$8="Ja",Einstellungen!$B$9="Effektiv"),$I552,"-")</f>
        <v>-</v>
      </c>
      <c r="K552" s="31" t="n">
        <f aca="false">IF(OR($F552="",$J552="-"),0,ROUND($F552-$F552/(1+$H552),2))</f>
        <v>0</v>
      </c>
      <c r="L552" s="31" t="n">
        <f aca="false">IF($F552="",0,$F552-$K552)</f>
        <v>0</v>
      </c>
      <c r="M552" s="31" t="n">
        <f aca="false">IF($F552="",0,IF($J552="V",$L552,$F552))</f>
        <v>0</v>
      </c>
      <c r="N552" s="31" t="n">
        <f aca="false">IF($F552="",0,IF($J552="U",$L552,$F552))</f>
        <v>0</v>
      </c>
      <c r="O552" s="35" t="str">
        <f aca="false">IF($A552="","",MONTH($A552))</f>
        <v/>
      </c>
      <c r="P552" s="35" t="str">
        <f aca="false">IF($A552="","",ROUNDUP(MONTH($A552)/3,0))</f>
        <v/>
      </c>
      <c r="Q552" s="35" t="str">
        <f aca="false">IF($A552="","",IF(MONTH($A552)&lt;=6,1,2))</f>
        <v/>
      </c>
      <c r="R552" s="35" t="str">
        <f aca="false">IF($E552="","",IFERROR(INDEX(Kontenplan!$F$5:$F$90,MATCH($E552,Kontenplan!$A$5:$A$90,0)),""))</f>
        <v/>
      </c>
      <c r="S552" s="35" t="str">
        <f aca="false">IF($D552="","",IFERROR(INDEX(Kontenplan!$F$5:$F$90,MATCH($D552,Kontenplan!$A$5:$A$90,0)),""))</f>
        <v/>
      </c>
      <c r="T552" s="35" t="str">
        <f aca="false">IF($D552="","",IFERROR(INDEX(Kontenplan!$C$5:$C$90,MATCH($D552,Kontenplan!$A$5:$A$90,0)),"?"))</f>
        <v/>
      </c>
      <c r="U552" s="35" t="str">
        <f aca="false">IF($E552="","",IFERROR(INDEX(Kontenplan!$C$5:$C$90,MATCH($E552,Kontenplan!$A$5:$A$90,0)),"?"))</f>
        <v/>
      </c>
      <c r="V552" s="35" t="str">
        <f aca="false">IF($F552="","",IF(OR($D552="",$E552="",$T552="?",$U552="?"),"Konto prüfen!",IF($A552="","Datum fehlt",IF(YEAR($A552)&lt;&gt;Einstellungen!$B$7,"anderes Jahr!",IF($G552="","MWST-Code fehlt","OK")))))</f>
        <v/>
      </c>
      <c r="W552" s="35" t="str">
        <f aca="false">IF($F552="","",IF(OR($D552=Kontoauszug!$C$4,$E552=Kontoauszug!$C$4),MAX(W$4:W551)+1,""))</f>
        <v/>
      </c>
    </row>
    <row r="553" customFormat="false" ht="15" hidden="false" customHeight="false" outlineLevel="0" collapsed="false">
      <c r="A553" s="33"/>
      <c r="B553" s="32"/>
      <c r="C553" s="32"/>
      <c r="D553" s="32"/>
      <c r="E553" s="32"/>
      <c r="F553" s="30"/>
      <c r="G553" s="32"/>
      <c r="H553" s="34" t="n">
        <f aca="false">IF($G553="",0,IFERROR(INDEX(Einstellungen!$G$5:$G$11,MATCH($G553,Einstellungen!$E$5:$E$11,0)),0))</f>
        <v>0</v>
      </c>
      <c r="I553" s="35" t="str">
        <f aca="false">IF($G553="","-",IFERROR(INDEX(Einstellungen!$H$5:$H$11,MATCH($G553,Einstellungen!$E$5:$E$11,0)),"-"))</f>
        <v>-</v>
      </c>
      <c r="J553" s="35" t="str">
        <f aca="false">IF(AND(Einstellungen!$B$8="Ja",Einstellungen!$B$9="Effektiv"),$I553,"-")</f>
        <v>-</v>
      </c>
      <c r="K553" s="31" t="n">
        <f aca="false">IF(OR($F553="",$J553="-"),0,ROUND($F553-$F553/(1+$H553),2))</f>
        <v>0</v>
      </c>
      <c r="L553" s="31" t="n">
        <f aca="false">IF($F553="",0,$F553-$K553)</f>
        <v>0</v>
      </c>
      <c r="M553" s="31" t="n">
        <f aca="false">IF($F553="",0,IF($J553="V",$L553,$F553))</f>
        <v>0</v>
      </c>
      <c r="N553" s="31" t="n">
        <f aca="false">IF($F553="",0,IF($J553="U",$L553,$F553))</f>
        <v>0</v>
      </c>
      <c r="O553" s="35" t="str">
        <f aca="false">IF($A553="","",MONTH($A553))</f>
        <v/>
      </c>
      <c r="P553" s="35" t="str">
        <f aca="false">IF($A553="","",ROUNDUP(MONTH($A553)/3,0))</f>
        <v/>
      </c>
      <c r="Q553" s="35" t="str">
        <f aca="false">IF($A553="","",IF(MONTH($A553)&lt;=6,1,2))</f>
        <v/>
      </c>
      <c r="R553" s="35" t="str">
        <f aca="false">IF($E553="","",IFERROR(INDEX(Kontenplan!$F$5:$F$90,MATCH($E553,Kontenplan!$A$5:$A$90,0)),""))</f>
        <v/>
      </c>
      <c r="S553" s="35" t="str">
        <f aca="false">IF($D553="","",IFERROR(INDEX(Kontenplan!$F$5:$F$90,MATCH($D553,Kontenplan!$A$5:$A$90,0)),""))</f>
        <v/>
      </c>
      <c r="T553" s="35" t="str">
        <f aca="false">IF($D553="","",IFERROR(INDEX(Kontenplan!$C$5:$C$90,MATCH($D553,Kontenplan!$A$5:$A$90,0)),"?"))</f>
        <v/>
      </c>
      <c r="U553" s="35" t="str">
        <f aca="false">IF($E553="","",IFERROR(INDEX(Kontenplan!$C$5:$C$90,MATCH($E553,Kontenplan!$A$5:$A$90,0)),"?"))</f>
        <v/>
      </c>
      <c r="V553" s="35" t="str">
        <f aca="false">IF($F553="","",IF(OR($D553="",$E553="",$T553="?",$U553="?"),"Konto prüfen!",IF($A553="","Datum fehlt",IF(YEAR($A553)&lt;&gt;Einstellungen!$B$7,"anderes Jahr!",IF($G553="","MWST-Code fehlt","OK")))))</f>
        <v/>
      </c>
      <c r="W553" s="35" t="str">
        <f aca="false">IF($F553="","",IF(OR($D553=Kontoauszug!$C$4,$E553=Kontoauszug!$C$4),MAX(W$4:W552)+1,""))</f>
        <v/>
      </c>
    </row>
    <row r="554" customFormat="false" ht="15" hidden="false" customHeight="false" outlineLevel="0" collapsed="false">
      <c r="A554" s="33"/>
      <c r="B554" s="32"/>
      <c r="C554" s="32"/>
      <c r="D554" s="32"/>
      <c r="E554" s="32"/>
      <c r="F554" s="30"/>
      <c r="G554" s="32"/>
      <c r="H554" s="34" t="n">
        <f aca="false">IF($G554="",0,IFERROR(INDEX(Einstellungen!$G$5:$G$11,MATCH($G554,Einstellungen!$E$5:$E$11,0)),0))</f>
        <v>0</v>
      </c>
      <c r="I554" s="35" t="str">
        <f aca="false">IF($G554="","-",IFERROR(INDEX(Einstellungen!$H$5:$H$11,MATCH($G554,Einstellungen!$E$5:$E$11,0)),"-"))</f>
        <v>-</v>
      </c>
      <c r="J554" s="35" t="str">
        <f aca="false">IF(AND(Einstellungen!$B$8="Ja",Einstellungen!$B$9="Effektiv"),$I554,"-")</f>
        <v>-</v>
      </c>
      <c r="K554" s="31" t="n">
        <f aca="false">IF(OR($F554="",$J554="-"),0,ROUND($F554-$F554/(1+$H554),2))</f>
        <v>0</v>
      </c>
      <c r="L554" s="31" t="n">
        <f aca="false">IF($F554="",0,$F554-$K554)</f>
        <v>0</v>
      </c>
      <c r="M554" s="31" t="n">
        <f aca="false">IF($F554="",0,IF($J554="V",$L554,$F554))</f>
        <v>0</v>
      </c>
      <c r="N554" s="31" t="n">
        <f aca="false">IF($F554="",0,IF($J554="U",$L554,$F554))</f>
        <v>0</v>
      </c>
      <c r="O554" s="35" t="str">
        <f aca="false">IF($A554="","",MONTH($A554))</f>
        <v/>
      </c>
      <c r="P554" s="35" t="str">
        <f aca="false">IF($A554="","",ROUNDUP(MONTH($A554)/3,0))</f>
        <v/>
      </c>
      <c r="Q554" s="35" t="str">
        <f aca="false">IF($A554="","",IF(MONTH($A554)&lt;=6,1,2))</f>
        <v/>
      </c>
      <c r="R554" s="35" t="str">
        <f aca="false">IF($E554="","",IFERROR(INDEX(Kontenplan!$F$5:$F$90,MATCH($E554,Kontenplan!$A$5:$A$90,0)),""))</f>
        <v/>
      </c>
      <c r="S554" s="35" t="str">
        <f aca="false">IF($D554="","",IFERROR(INDEX(Kontenplan!$F$5:$F$90,MATCH($D554,Kontenplan!$A$5:$A$90,0)),""))</f>
        <v/>
      </c>
      <c r="T554" s="35" t="str">
        <f aca="false">IF($D554="","",IFERROR(INDEX(Kontenplan!$C$5:$C$90,MATCH($D554,Kontenplan!$A$5:$A$90,0)),"?"))</f>
        <v/>
      </c>
      <c r="U554" s="35" t="str">
        <f aca="false">IF($E554="","",IFERROR(INDEX(Kontenplan!$C$5:$C$90,MATCH($E554,Kontenplan!$A$5:$A$90,0)),"?"))</f>
        <v/>
      </c>
      <c r="V554" s="35" t="str">
        <f aca="false">IF($F554="","",IF(OR($D554="",$E554="",$T554="?",$U554="?"),"Konto prüfen!",IF($A554="","Datum fehlt",IF(YEAR($A554)&lt;&gt;Einstellungen!$B$7,"anderes Jahr!",IF($G554="","MWST-Code fehlt","OK")))))</f>
        <v/>
      </c>
      <c r="W554" s="35" t="str">
        <f aca="false">IF($F554="","",IF(OR($D554=Kontoauszug!$C$4,$E554=Kontoauszug!$C$4),MAX(W$4:W553)+1,""))</f>
        <v/>
      </c>
    </row>
    <row r="555" customFormat="false" ht="15" hidden="false" customHeight="false" outlineLevel="0" collapsed="false">
      <c r="A555" s="33"/>
      <c r="B555" s="32"/>
      <c r="C555" s="32"/>
      <c r="D555" s="32"/>
      <c r="E555" s="32"/>
      <c r="F555" s="30"/>
      <c r="G555" s="32"/>
      <c r="H555" s="34" t="n">
        <f aca="false">IF($G555="",0,IFERROR(INDEX(Einstellungen!$G$5:$G$11,MATCH($G555,Einstellungen!$E$5:$E$11,0)),0))</f>
        <v>0</v>
      </c>
      <c r="I555" s="35" t="str">
        <f aca="false">IF($G555="","-",IFERROR(INDEX(Einstellungen!$H$5:$H$11,MATCH($G555,Einstellungen!$E$5:$E$11,0)),"-"))</f>
        <v>-</v>
      </c>
      <c r="J555" s="35" t="str">
        <f aca="false">IF(AND(Einstellungen!$B$8="Ja",Einstellungen!$B$9="Effektiv"),$I555,"-")</f>
        <v>-</v>
      </c>
      <c r="K555" s="31" t="n">
        <f aca="false">IF(OR($F555="",$J555="-"),0,ROUND($F555-$F555/(1+$H555),2))</f>
        <v>0</v>
      </c>
      <c r="L555" s="31" t="n">
        <f aca="false">IF($F555="",0,$F555-$K555)</f>
        <v>0</v>
      </c>
      <c r="M555" s="31" t="n">
        <f aca="false">IF($F555="",0,IF($J555="V",$L555,$F555))</f>
        <v>0</v>
      </c>
      <c r="N555" s="31" t="n">
        <f aca="false">IF($F555="",0,IF($J555="U",$L555,$F555))</f>
        <v>0</v>
      </c>
      <c r="O555" s="35" t="str">
        <f aca="false">IF($A555="","",MONTH($A555))</f>
        <v/>
      </c>
      <c r="P555" s="35" t="str">
        <f aca="false">IF($A555="","",ROUNDUP(MONTH($A555)/3,0))</f>
        <v/>
      </c>
      <c r="Q555" s="35" t="str">
        <f aca="false">IF($A555="","",IF(MONTH($A555)&lt;=6,1,2))</f>
        <v/>
      </c>
      <c r="R555" s="35" t="str">
        <f aca="false">IF($E555="","",IFERROR(INDEX(Kontenplan!$F$5:$F$90,MATCH($E555,Kontenplan!$A$5:$A$90,0)),""))</f>
        <v/>
      </c>
      <c r="S555" s="35" t="str">
        <f aca="false">IF($D555="","",IFERROR(INDEX(Kontenplan!$F$5:$F$90,MATCH($D555,Kontenplan!$A$5:$A$90,0)),""))</f>
        <v/>
      </c>
      <c r="T555" s="35" t="str">
        <f aca="false">IF($D555="","",IFERROR(INDEX(Kontenplan!$C$5:$C$90,MATCH($D555,Kontenplan!$A$5:$A$90,0)),"?"))</f>
        <v/>
      </c>
      <c r="U555" s="35" t="str">
        <f aca="false">IF($E555="","",IFERROR(INDEX(Kontenplan!$C$5:$C$90,MATCH($E555,Kontenplan!$A$5:$A$90,0)),"?"))</f>
        <v/>
      </c>
      <c r="V555" s="35" t="str">
        <f aca="false">IF($F555="","",IF(OR($D555="",$E555="",$T555="?",$U555="?"),"Konto prüfen!",IF($A555="","Datum fehlt",IF(YEAR($A555)&lt;&gt;Einstellungen!$B$7,"anderes Jahr!",IF($G555="","MWST-Code fehlt","OK")))))</f>
        <v/>
      </c>
      <c r="W555" s="35" t="str">
        <f aca="false">IF($F555="","",IF(OR($D555=Kontoauszug!$C$4,$E555=Kontoauszug!$C$4),MAX(W$4:W554)+1,""))</f>
        <v/>
      </c>
    </row>
    <row r="556" customFormat="false" ht="15" hidden="false" customHeight="false" outlineLevel="0" collapsed="false">
      <c r="A556" s="33"/>
      <c r="B556" s="32"/>
      <c r="C556" s="32"/>
      <c r="D556" s="32"/>
      <c r="E556" s="32"/>
      <c r="F556" s="30"/>
      <c r="G556" s="32"/>
      <c r="H556" s="34" t="n">
        <f aca="false">IF($G556="",0,IFERROR(INDEX(Einstellungen!$G$5:$G$11,MATCH($G556,Einstellungen!$E$5:$E$11,0)),0))</f>
        <v>0</v>
      </c>
      <c r="I556" s="35" t="str">
        <f aca="false">IF($G556="","-",IFERROR(INDEX(Einstellungen!$H$5:$H$11,MATCH($G556,Einstellungen!$E$5:$E$11,0)),"-"))</f>
        <v>-</v>
      </c>
      <c r="J556" s="35" t="str">
        <f aca="false">IF(AND(Einstellungen!$B$8="Ja",Einstellungen!$B$9="Effektiv"),$I556,"-")</f>
        <v>-</v>
      </c>
      <c r="K556" s="31" t="n">
        <f aca="false">IF(OR($F556="",$J556="-"),0,ROUND($F556-$F556/(1+$H556),2))</f>
        <v>0</v>
      </c>
      <c r="L556" s="31" t="n">
        <f aca="false">IF($F556="",0,$F556-$K556)</f>
        <v>0</v>
      </c>
      <c r="M556" s="31" t="n">
        <f aca="false">IF($F556="",0,IF($J556="V",$L556,$F556))</f>
        <v>0</v>
      </c>
      <c r="N556" s="31" t="n">
        <f aca="false">IF($F556="",0,IF($J556="U",$L556,$F556))</f>
        <v>0</v>
      </c>
      <c r="O556" s="35" t="str">
        <f aca="false">IF($A556="","",MONTH($A556))</f>
        <v/>
      </c>
      <c r="P556" s="35" t="str">
        <f aca="false">IF($A556="","",ROUNDUP(MONTH($A556)/3,0))</f>
        <v/>
      </c>
      <c r="Q556" s="35" t="str">
        <f aca="false">IF($A556="","",IF(MONTH($A556)&lt;=6,1,2))</f>
        <v/>
      </c>
      <c r="R556" s="35" t="str">
        <f aca="false">IF($E556="","",IFERROR(INDEX(Kontenplan!$F$5:$F$90,MATCH($E556,Kontenplan!$A$5:$A$90,0)),""))</f>
        <v/>
      </c>
      <c r="S556" s="35" t="str">
        <f aca="false">IF($D556="","",IFERROR(INDEX(Kontenplan!$F$5:$F$90,MATCH($D556,Kontenplan!$A$5:$A$90,0)),""))</f>
        <v/>
      </c>
      <c r="T556" s="35" t="str">
        <f aca="false">IF($D556="","",IFERROR(INDEX(Kontenplan!$C$5:$C$90,MATCH($D556,Kontenplan!$A$5:$A$90,0)),"?"))</f>
        <v/>
      </c>
      <c r="U556" s="35" t="str">
        <f aca="false">IF($E556="","",IFERROR(INDEX(Kontenplan!$C$5:$C$90,MATCH($E556,Kontenplan!$A$5:$A$90,0)),"?"))</f>
        <v/>
      </c>
      <c r="V556" s="35" t="str">
        <f aca="false">IF($F556="","",IF(OR($D556="",$E556="",$T556="?",$U556="?"),"Konto prüfen!",IF($A556="","Datum fehlt",IF(YEAR($A556)&lt;&gt;Einstellungen!$B$7,"anderes Jahr!",IF($G556="","MWST-Code fehlt","OK")))))</f>
        <v/>
      </c>
      <c r="W556" s="35" t="str">
        <f aca="false">IF($F556="","",IF(OR($D556=Kontoauszug!$C$4,$E556=Kontoauszug!$C$4),MAX(W$4:W555)+1,""))</f>
        <v/>
      </c>
    </row>
    <row r="557" customFormat="false" ht="15" hidden="false" customHeight="false" outlineLevel="0" collapsed="false">
      <c r="A557" s="33"/>
      <c r="B557" s="32"/>
      <c r="C557" s="32"/>
      <c r="D557" s="32"/>
      <c r="E557" s="32"/>
      <c r="F557" s="30"/>
      <c r="G557" s="32"/>
      <c r="H557" s="34" t="n">
        <f aca="false">IF($G557="",0,IFERROR(INDEX(Einstellungen!$G$5:$G$11,MATCH($G557,Einstellungen!$E$5:$E$11,0)),0))</f>
        <v>0</v>
      </c>
      <c r="I557" s="35" t="str">
        <f aca="false">IF($G557="","-",IFERROR(INDEX(Einstellungen!$H$5:$H$11,MATCH($G557,Einstellungen!$E$5:$E$11,0)),"-"))</f>
        <v>-</v>
      </c>
      <c r="J557" s="35" t="str">
        <f aca="false">IF(AND(Einstellungen!$B$8="Ja",Einstellungen!$B$9="Effektiv"),$I557,"-")</f>
        <v>-</v>
      </c>
      <c r="K557" s="31" t="n">
        <f aca="false">IF(OR($F557="",$J557="-"),0,ROUND($F557-$F557/(1+$H557),2))</f>
        <v>0</v>
      </c>
      <c r="L557" s="31" t="n">
        <f aca="false">IF($F557="",0,$F557-$K557)</f>
        <v>0</v>
      </c>
      <c r="M557" s="31" t="n">
        <f aca="false">IF($F557="",0,IF($J557="V",$L557,$F557))</f>
        <v>0</v>
      </c>
      <c r="N557" s="31" t="n">
        <f aca="false">IF($F557="",0,IF($J557="U",$L557,$F557))</f>
        <v>0</v>
      </c>
      <c r="O557" s="35" t="str">
        <f aca="false">IF($A557="","",MONTH($A557))</f>
        <v/>
      </c>
      <c r="P557" s="35" t="str">
        <f aca="false">IF($A557="","",ROUNDUP(MONTH($A557)/3,0))</f>
        <v/>
      </c>
      <c r="Q557" s="35" t="str">
        <f aca="false">IF($A557="","",IF(MONTH($A557)&lt;=6,1,2))</f>
        <v/>
      </c>
      <c r="R557" s="35" t="str">
        <f aca="false">IF($E557="","",IFERROR(INDEX(Kontenplan!$F$5:$F$90,MATCH($E557,Kontenplan!$A$5:$A$90,0)),""))</f>
        <v/>
      </c>
      <c r="S557" s="35" t="str">
        <f aca="false">IF($D557="","",IFERROR(INDEX(Kontenplan!$F$5:$F$90,MATCH($D557,Kontenplan!$A$5:$A$90,0)),""))</f>
        <v/>
      </c>
      <c r="T557" s="35" t="str">
        <f aca="false">IF($D557="","",IFERROR(INDEX(Kontenplan!$C$5:$C$90,MATCH($D557,Kontenplan!$A$5:$A$90,0)),"?"))</f>
        <v/>
      </c>
      <c r="U557" s="35" t="str">
        <f aca="false">IF($E557="","",IFERROR(INDEX(Kontenplan!$C$5:$C$90,MATCH($E557,Kontenplan!$A$5:$A$90,0)),"?"))</f>
        <v/>
      </c>
      <c r="V557" s="35" t="str">
        <f aca="false">IF($F557="","",IF(OR($D557="",$E557="",$T557="?",$U557="?"),"Konto prüfen!",IF($A557="","Datum fehlt",IF(YEAR($A557)&lt;&gt;Einstellungen!$B$7,"anderes Jahr!",IF($G557="","MWST-Code fehlt","OK")))))</f>
        <v/>
      </c>
      <c r="W557" s="35" t="str">
        <f aca="false">IF($F557="","",IF(OR($D557=Kontoauszug!$C$4,$E557=Kontoauszug!$C$4),MAX(W$4:W556)+1,""))</f>
        <v/>
      </c>
    </row>
    <row r="558" customFormat="false" ht="15" hidden="false" customHeight="false" outlineLevel="0" collapsed="false">
      <c r="A558" s="33"/>
      <c r="B558" s="32"/>
      <c r="C558" s="32"/>
      <c r="D558" s="32"/>
      <c r="E558" s="32"/>
      <c r="F558" s="30"/>
      <c r="G558" s="32"/>
      <c r="H558" s="34" t="n">
        <f aca="false">IF($G558="",0,IFERROR(INDEX(Einstellungen!$G$5:$G$11,MATCH($G558,Einstellungen!$E$5:$E$11,0)),0))</f>
        <v>0</v>
      </c>
      <c r="I558" s="35" t="str">
        <f aca="false">IF($G558="","-",IFERROR(INDEX(Einstellungen!$H$5:$H$11,MATCH($G558,Einstellungen!$E$5:$E$11,0)),"-"))</f>
        <v>-</v>
      </c>
      <c r="J558" s="35" t="str">
        <f aca="false">IF(AND(Einstellungen!$B$8="Ja",Einstellungen!$B$9="Effektiv"),$I558,"-")</f>
        <v>-</v>
      </c>
      <c r="K558" s="31" t="n">
        <f aca="false">IF(OR($F558="",$J558="-"),0,ROUND($F558-$F558/(1+$H558),2))</f>
        <v>0</v>
      </c>
      <c r="L558" s="31" t="n">
        <f aca="false">IF($F558="",0,$F558-$K558)</f>
        <v>0</v>
      </c>
      <c r="M558" s="31" t="n">
        <f aca="false">IF($F558="",0,IF($J558="V",$L558,$F558))</f>
        <v>0</v>
      </c>
      <c r="N558" s="31" t="n">
        <f aca="false">IF($F558="",0,IF($J558="U",$L558,$F558))</f>
        <v>0</v>
      </c>
      <c r="O558" s="35" t="str">
        <f aca="false">IF($A558="","",MONTH($A558))</f>
        <v/>
      </c>
      <c r="P558" s="35" t="str">
        <f aca="false">IF($A558="","",ROUNDUP(MONTH($A558)/3,0))</f>
        <v/>
      </c>
      <c r="Q558" s="35" t="str">
        <f aca="false">IF($A558="","",IF(MONTH($A558)&lt;=6,1,2))</f>
        <v/>
      </c>
      <c r="R558" s="35" t="str">
        <f aca="false">IF($E558="","",IFERROR(INDEX(Kontenplan!$F$5:$F$90,MATCH($E558,Kontenplan!$A$5:$A$90,0)),""))</f>
        <v/>
      </c>
      <c r="S558" s="35" t="str">
        <f aca="false">IF($D558="","",IFERROR(INDEX(Kontenplan!$F$5:$F$90,MATCH($D558,Kontenplan!$A$5:$A$90,0)),""))</f>
        <v/>
      </c>
      <c r="T558" s="35" t="str">
        <f aca="false">IF($D558="","",IFERROR(INDEX(Kontenplan!$C$5:$C$90,MATCH($D558,Kontenplan!$A$5:$A$90,0)),"?"))</f>
        <v/>
      </c>
      <c r="U558" s="35" t="str">
        <f aca="false">IF($E558="","",IFERROR(INDEX(Kontenplan!$C$5:$C$90,MATCH($E558,Kontenplan!$A$5:$A$90,0)),"?"))</f>
        <v/>
      </c>
      <c r="V558" s="35" t="str">
        <f aca="false">IF($F558="","",IF(OR($D558="",$E558="",$T558="?",$U558="?"),"Konto prüfen!",IF($A558="","Datum fehlt",IF(YEAR($A558)&lt;&gt;Einstellungen!$B$7,"anderes Jahr!",IF($G558="","MWST-Code fehlt","OK")))))</f>
        <v/>
      </c>
      <c r="W558" s="35" t="str">
        <f aca="false">IF($F558="","",IF(OR($D558=Kontoauszug!$C$4,$E558=Kontoauszug!$C$4),MAX(W$4:W557)+1,""))</f>
        <v/>
      </c>
    </row>
    <row r="559" customFormat="false" ht="15" hidden="false" customHeight="false" outlineLevel="0" collapsed="false">
      <c r="A559" s="33"/>
      <c r="B559" s="32"/>
      <c r="C559" s="32"/>
      <c r="D559" s="32"/>
      <c r="E559" s="32"/>
      <c r="F559" s="30"/>
      <c r="G559" s="32"/>
      <c r="H559" s="34" t="n">
        <f aca="false">IF($G559="",0,IFERROR(INDEX(Einstellungen!$G$5:$G$11,MATCH($G559,Einstellungen!$E$5:$E$11,0)),0))</f>
        <v>0</v>
      </c>
      <c r="I559" s="35" t="str">
        <f aca="false">IF($G559="","-",IFERROR(INDEX(Einstellungen!$H$5:$H$11,MATCH($G559,Einstellungen!$E$5:$E$11,0)),"-"))</f>
        <v>-</v>
      </c>
      <c r="J559" s="35" t="str">
        <f aca="false">IF(AND(Einstellungen!$B$8="Ja",Einstellungen!$B$9="Effektiv"),$I559,"-")</f>
        <v>-</v>
      </c>
      <c r="K559" s="31" t="n">
        <f aca="false">IF(OR($F559="",$J559="-"),0,ROUND($F559-$F559/(1+$H559),2))</f>
        <v>0</v>
      </c>
      <c r="L559" s="31" t="n">
        <f aca="false">IF($F559="",0,$F559-$K559)</f>
        <v>0</v>
      </c>
      <c r="M559" s="31" t="n">
        <f aca="false">IF($F559="",0,IF($J559="V",$L559,$F559))</f>
        <v>0</v>
      </c>
      <c r="N559" s="31" t="n">
        <f aca="false">IF($F559="",0,IF($J559="U",$L559,$F559))</f>
        <v>0</v>
      </c>
      <c r="O559" s="35" t="str">
        <f aca="false">IF($A559="","",MONTH($A559))</f>
        <v/>
      </c>
      <c r="P559" s="35" t="str">
        <f aca="false">IF($A559="","",ROUNDUP(MONTH($A559)/3,0))</f>
        <v/>
      </c>
      <c r="Q559" s="35" t="str">
        <f aca="false">IF($A559="","",IF(MONTH($A559)&lt;=6,1,2))</f>
        <v/>
      </c>
      <c r="R559" s="35" t="str">
        <f aca="false">IF($E559="","",IFERROR(INDEX(Kontenplan!$F$5:$F$90,MATCH($E559,Kontenplan!$A$5:$A$90,0)),""))</f>
        <v/>
      </c>
      <c r="S559" s="35" t="str">
        <f aca="false">IF($D559="","",IFERROR(INDEX(Kontenplan!$F$5:$F$90,MATCH($D559,Kontenplan!$A$5:$A$90,0)),""))</f>
        <v/>
      </c>
      <c r="T559" s="35" t="str">
        <f aca="false">IF($D559="","",IFERROR(INDEX(Kontenplan!$C$5:$C$90,MATCH($D559,Kontenplan!$A$5:$A$90,0)),"?"))</f>
        <v/>
      </c>
      <c r="U559" s="35" t="str">
        <f aca="false">IF($E559="","",IFERROR(INDEX(Kontenplan!$C$5:$C$90,MATCH($E559,Kontenplan!$A$5:$A$90,0)),"?"))</f>
        <v/>
      </c>
      <c r="V559" s="35" t="str">
        <f aca="false">IF($F559="","",IF(OR($D559="",$E559="",$T559="?",$U559="?"),"Konto prüfen!",IF($A559="","Datum fehlt",IF(YEAR($A559)&lt;&gt;Einstellungen!$B$7,"anderes Jahr!",IF($G559="","MWST-Code fehlt","OK")))))</f>
        <v/>
      </c>
      <c r="W559" s="35" t="str">
        <f aca="false">IF($F559="","",IF(OR($D559=Kontoauszug!$C$4,$E559=Kontoauszug!$C$4),MAX(W$4:W558)+1,""))</f>
        <v/>
      </c>
    </row>
    <row r="560" customFormat="false" ht="15" hidden="false" customHeight="false" outlineLevel="0" collapsed="false">
      <c r="A560" s="33"/>
      <c r="B560" s="32"/>
      <c r="C560" s="32"/>
      <c r="D560" s="32"/>
      <c r="E560" s="32"/>
      <c r="F560" s="30"/>
      <c r="G560" s="32"/>
      <c r="H560" s="34" t="n">
        <f aca="false">IF($G560="",0,IFERROR(INDEX(Einstellungen!$G$5:$G$11,MATCH($G560,Einstellungen!$E$5:$E$11,0)),0))</f>
        <v>0</v>
      </c>
      <c r="I560" s="35" t="str">
        <f aca="false">IF($G560="","-",IFERROR(INDEX(Einstellungen!$H$5:$H$11,MATCH($G560,Einstellungen!$E$5:$E$11,0)),"-"))</f>
        <v>-</v>
      </c>
      <c r="J560" s="35" t="str">
        <f aca="false">IF(AND(Einstellungen!$B$8="Ja",Einstellungen!$B$9="Effektiv"),$I560,"-")</f>
        <v>-</v>
      </c>
      <c r="K560" s="31" t="n">
        <f aca="false">IF(OR($F560="",$J560="-"),0,ROUND($F560-$F560/(1+$H560),2))</f>
        <v>0</v>
      </c>
      <c r="L560" s="31" t="n">
        <f aca="false">IF($F560="",0,$F560-$K560)</f>
        <v>0</v>
      </c>
      <c r="M560" s="31" t="n">
        <f aca="false">IF($F560="",0,IF($J560="V",$L560,$F560))</f>
        <v>0</v>
      </c>
      <c r="N560" s="31" t="n">
        <f aca="false">IF($F560="",0,IF($J560="U",$L560,$F560))</f>
        <v>0</v>
      </c>
      <c r="O560" s="35" t="str">
        <f aca="false">IF($A560="","",MONTH($A560))</f>
        <v/>
      </c>
      <c r="P560" s="35" t="str">
        <f aca="false">IF($A560="","",ROUNDUP(MONTH($A560)/3,0))</f>
        <v/>
      </c>
      <c r="Q560" s="35" t="str">
        <f aca="false">IF($A560="","",IF(MONTH($A560)&lt;=6,1,2))</f>
        <v/>
      </c>
      <c r="R560" s="35" t="str">
        <f aca="false">IF($E560="","",IFERROR(INDEX(Kontenplan!$F$5:$F$90,MATCH($E560,Kontenplan!$A$5:$A$90,0)),""))</f>
        <v/>
      </c>
      <c r="S560" s="35" t="str">
        <f aca="false">IF($D560="","",IFERROR(INDEX(Kontenplan!$F$5:$F$90,MATCH($D560,Kontenplan!$A$5:$A$90,0)),""))</f>
        <v/>
      </c>
      <c r="T560" s="35" t="str">
        <f aca="false">IF($D560="","",IFERROR(INDEX(Kontenplan!$C$5:$C$90,MATCH($D560,Kontenplan!$A$5:$A$90,0)),"?"))</f>
        <v/>
      </c>
      <c r="U560" s="35" t="str">
        <f aca="false">IF($E560="","",IFERROR(INDEX(Kontenplan!$C$5:$C$90,MATCH($E560,Kontenplan!$A$5:$A$90,0)),"?"))</f>
        <v/>
      </c>
      <c r="V560" s="35" t="str">
        <f aca="false">IF($F560="","",IF(OR($D560="",$E560="",$T560="?",$U560="?"),"Konto prüfen!",IF($A560="","Datum fehlt",IF(YEAR($A560)&lt;&gt;Einstellungen!$B$7,"anderes Jahr!",IF($G560="","MWST-Code fehlt","OK")))))</f>
        <v/>
      </c>
      <c r="W560" s="35" t="str">
        <f aca="false">IF($F560="","",IF(OR($D560=Kontoauszug!$C$4,$E560=Kontoauszug!$C$4),MAX(W$4:W559)+1,""))</f>
        <v/>
      </c>
    </row>
    <row r="561" customFormat="false" ht="15" hidden="false" customHeight="false" outlineLevel="0" collapsed="false">
      <c r="A561" s="33"/>
      <c r="B561" s="32"/>
      <c r="C561" s="32"/>
      <c r="D561" s="32"/>
      <c r="E561" s="32"/>
      <c r="F561" s="30"/>
      <c r="G561" s="32"/>
      <c r="H561" s="34" t="n">
        <f aca="false">IF($G561="",0,IFERROR(INDEX(Einstellungen!$G$5:$G$11,MATCH($G561,Einstellungen!$E$5:$E$11,0)),0))</f>
        <v>0</v>
      </c>
      <c r="I561" s="35" t="str">
        <f aca="false">IF($G561="","-",IFERROR(INDEX(Einstellungen!$H$5:$H$11,MATCH($G561,Einstellungen!$E$5:$E$11,0)),"-"))</f>
        <v>-</v>
      </c>
      <c r="J561" s="35" t="str">
        <f aca="false">IF(AND(Einstellungen!$B$8="Ja",Einstellungen!$B$9="Effektiv"),$I561,"-")</f>
        <v>-</v>
      </c>
      <c r="K561" s="31" t="n">
        <f aca="false">IF(OR($F561="",$J561="-"),0,ROUND($F561-$F561/(1+$H561),2))</f>
        <v>0</v>
      </c>
      <c r="L561" s="31" t="n">
        <f aca="false">IF($F561="",0,$F561-$K561)</f>
        <v>0</v>
      </c>
      <c r="M561" s="31" t="n">
        <f aca="false">IF($F561="",0,IF($J561="V",$L561,$F561))</f>
        <v>0</v>
      </c>
      <c r="N561" s="31" t="n">
        <f aca="false">IF($F561="",0,IF($J561="U",$L561,$F561))</f>
        <v>0</v>
      </c>
      <c r="O561" s="35" t="str">
        <f aca="false">IF($A561="","",MONTH($A561))</f>
        <v/>
      </c>
      <c r="P561" s="35" t="str">
        <f aca="false">IF($A561="","",ROUNDUP(MONTH($A561)/3,0))</f>
        <v/>
      </c>
      <c r="Q561" s="35" t="str">
        <f aca="false">IF($A561="","",IF(MONTH($A561)&lt;=6,1,2))</f>
        <v/>
      </c>
      <c r="R561" s="35" t="str">
        <f aca="false">IF($E561="","",IFERROR(INDEX(Kontenplan!$F$5:$F$90,MATCH($E561,Kontenplan!$A$5:$A$90,0)),""))</f>
        <v/>
      </c>
      <c r="S561" s="35" t="str">
        <f aca="false">IF($D561="","",IFERROR(INDEX(Kontenplan!$F$5:$F$90,MATCH($D561,Kontenplan!$A$5:$A$90,0)),""))</f>
        <v/>
      </c>
      <c r="T561" s="35" t="str">
        <f aca="false">IF($D561="","",IFERROR(INDEX(Kontenplan!$C$5:$C$90,MATCH($D561,Kontenplan!$A$5:$A$90,0)),"?"))</f>
        <v/>
      </c>
      <c r="U561" s="35" t="str">
        <f aca="false">IF($E561="","",IFERROR(INDEX(Kontenplan!$C$5:$C$90,MATCH($E561,Kontenplan!$A$5:$A$90,0)),"?"))</f>
        <v/>
      </c>
      <c r="V561" s="35" t="str">
        <f aca="false">IF($F561="","",IF(OR($D561="",$E561="",$T561="?",$U561="?"),"Konto prüfen!",IF($A561="","Datum fehlt",IF(YEAR($A561)&lt;&gt;Einstellungen!$B$7,"anderes Jahr!",IF($G561="","MWST-Code fehlt","OK")))))</f>
        <v/>
      </c>
      <c r="W561" s="35" t="str">
        <f aca="false">IF($F561="","",IF(OR($D561=Kontoauszug!$C$4,$E561=Kontoauszug!$C$4),MAX(W$4:W560)+1,""))</f>
        <v/>
      </c>
    </row>
    <row r="562" customFormat="false" ht="15" hidden="false" customHeight="false" outlineLevel="0" collapsed="false">
      <c r="A562" s="33"/>
      <c r="B562" s="32"/>
      <c r="C562" s="32"/>
      <c r="D562" s="32"/>
      <c r="E562" s="32"/>
      <c r="F562" s="30"/>
      <c r="G562" s="32"/>
      <c r="H562" s="34" t="n">
        <f aca="false">IF($G562="",0,IFERROR(INDEX(Einstellungen!$G$5:$G$11,MATCH($G562,Einstellungen!$E$5:$E$11,0)),0))</f>
        <v>0</v>
      </c>
      <c r="I562" s="35" t="str">
        <f aca="false">IF($G562="","-",IFERROR(INDEX(Einstellungen!$H$5:$H$11,MATCH($G562,Einstellungen!$E$5:$E$11,0)),"-"))</f>
        <v>-</v>
      </c>
      <c r="J562" s="35" t="str">
        <f aca="false">IF(AND(Einstellungen!$B$8="Ja",Einstellungen!$B$9="Effektiv"),$I562,"-")</f>
        <v>-</v>
      </c>
      <c r="K562" s="31" t="n">
        <f aca="false">IF(OR($F562="",$J562="-"),0,ROUND($F562-$F562/(1+$H562),2))</f>
        <v>0</v>
      </c>
      <c r="L562" s="31" t="n">
        <f aca="false">IF($F562="",0,$F562-$K562)</f>
        <v>0</v>
      </c>
      <c r="M562" s="31" t="n">
        <f aca="false">IF($F562="",0,IF($J562="V",$L562,$F562))</f>
        <v>0</v>
      </c>
      <c r="N562" s="31" t="n">
        <f aca="false">IF($F562="",0,IF($J562="U",$L562,$F562))</f>
        <v>0</v>
      </c>
      <c r="O562" s="35" t="str">
        <f aca="false">IF($A562="","",MONTH($A562))</f>
        <v/>
      </c>
      <c r="P562" s="35" t="str">
        <f aca="false">IF($A562="","",ROUNDUP(MONTH($A562)/3,0))</f>
        <v/>
      </c>
      <c r="Q562" s="35" t="str">
        <f aca="false">IF($A562="","",IF(MONTH($A562)&lt;=6,1,2))</f>
        <v/>
      </c>
      <c r="R562" s="35" t="str">
        <f aca="false">IF($E562="","",IFERROR(INDEX(Kontenplan!$F$5:$F$90,MATCH($E562,Kontenplan!$A$5:$A$90,0)),""))</f>
        <v/>
      </c>
      <c r="S562" s="35" t="str">
        <f aca="false">IF($D562="","",IFERROR(INDEX(Kontenplan!$F$5:$F$90,MATCH($D562,Kontenplan!$A$5:$A$90,0)),""))</f>
        <v/>
      </c>
      <c r="T562" s="35" t="str">
        <f aca="false">IF($D562="","",IFERROR(INDEX(Kontenplan!$C$5:$C$90,MATCH($D562,Kontenplan!$A$5:$A$90,0)),"?"))</f>
        <v/>
      </c>
      <c r="U562" s="35" t="str">
        <f aca="false">IF($E562="","",IFERROR(INDEX(Kontenplan!$C$5:$C$90,MATCH($E562,Kontenplan!$A$5:$A$90,0)),"?"))</f>
        <v/>
      </c>
      <c r="V562" s="35" t="str">
        <f aca="false">IF($F562="","",IF(OR($D562="",$E562="",$T562="?",$U562="?"),"Konto prüfen!",IF($A562="","Datum fehlt",IF(YEAR($A562)&lt;&gt;Einstellungen!$B$7,"anderes Jahr!",IF($G562="","MWST-Code fehlt","OK")))))</f>
        <v/>
      </c>
      <c r="W562" s="35" t="str">
        <f aca="false">IF($F562="","",IF(OR($D562=Kontoauszug!$C$4,$E562=Kontoauszug!$C$4),MAX(W$4:W561)+1,""))</f>
        <v/>
      </c>
    </row>
    <row r="563" customFormat="false" ht="15" hidden="false" customHeight="false" outlineLevel="0" collapsed="false">
      <c r="A563" s="33"/>
      <c r="B563" s="32"/>
      <c r="C563" s="32"/>
      <c r="D563" s="32"/>
      <c r="E563" s="32"/>
      <c r="F563" s="30"/>
      <c r="G563" s="32"/>
      <c r="H563" s="34" t="n">
        <f aca="false">IF($G563="",0,IFERROR(INDEX(Einstellungen!$G$5:$G$11,MATCH($G563,Einstellungen!$E$5:$E$11,0)),0))</f>
        <v>0</v>
      </c>
      <c r="I563" s="35" t="str">
        <f aca="false">IF($G563="","-",IFERROR(INDEX(Einstellungen!$H$5:$H$11,MATCH($G563,Einstellungen!$E$5:$E$11,0)),"-"))</f>
        <v>-</v>
      </c>
      <c r="J563" s="35" t="str">
        <f aca="false">IF(AND(Einstellungen!$B$8="Ja",Einstellungen!$B$9="Effektiv"),$I563,"-")</f>
        <v>-</v>
      </c>
      <c r="K563" s="31" t="n">
        <f aca="false">IF(OR($F563="",$J563="-"),0,ROUND($F563-$F563/(1+$H563),2))</f>
        <v>0</v>
      </c>
      <c r="L563" s="31" t="n">
        <f aca="false">IF($F563="",0,$F563-$K563)</f>
        <v>0</v>
      </c>
      <c r="M563" s="31" t="n">
        <f aca="false">IF($F563="",0,IF($J563="V",$L563,$F563))</f>
        <v>0</v>
      </c>
      <c r="N563" s="31" t="n">
        <f aca="false">IF($F563="",0,IF($J563="U",$L563,$F563))</f>
        <v>0</v>
      </c>
      <c r="O563" s="35" t="str">
        <f aca="false">IF($A563="","",MONTH($A563))</f>
        <v/>
      </c>
      <c r="P563" s="35" t="str">
        <f aca="false">IF($A563="","",ROUNDUP(MONTH($A563)/3,0))</f>
        <v/>
      </c>
      <c r="Q563" s="35" t="str">
        <f aca="false">IF($A563="","",IF(MONTH($A563)&lt;=6,1,2))</f>
        <v/>
      </c>
      <c r="R563" s="35" t="str">
        <f aca="false">IF($E563="","",IFERROR(INDEX(Kontenplan!$F$5:$F$90,MATCH($E563,Kontenplan!$A$5:$A$90,0)),""))</f>
        <v/>
      </c>
      <c r="S563" s="35" t="str">
        <f aca="false">IF($D563="","",IFERROR(INDEX(Kontenplan!$F$5:$F$90,MATCH($D563,Kontenplan!$A$5:$A$90,0)),""))</f>
        <v/>
      </c>
      <c r="T563" s="35" t="str">
        <f aca="false">IF($D563="","",IFERROR(INDEX(Kontenplan!$C$5:$C$90,MATCH($D563,Kontenplan!$A$5:$A$90,0)),"?"))</f>
        <v/>
      </c>
      <c r="U563" s="35" t="str">
        <f aca="false">IF($E563="","",IFERROR(INDEX(Kontenplan!$C$5:$C$90,MATCH($E563,Kontenplan!$A$5:$A$90,0)),"?"))</f>
        <v/>
      </c>
      <c r="V563" s="35" t="str">
        <f aca="false">IF($F563="","",IF(OR($D563="",$E563="",$T563="?",$U563="?"),"Konto prüfen!",IF($A563="","Datum fehlt",IF(YEAR($A563)&lt;&gt;Einstellungen!$B$7,"anderes Jahr!",IF($G563="","MWST-Code fehlt","OK")))))</f>
        <v/>
      </c>
      <c r="W563" s="35" t="str">
        <f aca="false">IF($F563="","",IF(OR($D563=Kontoauszug!$C$4,$E563=Kontoauszug!$C$4),MAX(W$4:W562)+1,""))</f>
        <v/>
      </c>
    </row>
    <row r="564" customFormat="false" ht="15" hidden="false" customHeight="false" outlineLevel="0" collapsed="false">
      <c r="A564" s="33"/>
      <c r="B564" s="32"/>
      <c r="C564" s="32"/>
      <c r="D564" s="32"/>
      <c r="E564" s="32"/>
      <c r="F564" s="30"/>
      <c r="G564" s="32"/>
      <c r="H564" s="34" t="n">
        <f aca="false">IF($G564="",0,IFERROR(INDEX(Einstellungen!$G$5:$G$11,MATCH($G564,Einstellungen!$E$5:$E$11,0)),0))</f>
        <v>0</v>
      </c>
      <c r="I564" s="35" t="str">
        <f aca="false">IF($G564="","-",IFERROR(INDEX(Einstellungen!$H$5:$H$11,MATCH($G564,Einstellungen!$E$5:$E$11,0)),"-"))</f>
        <v>-</v>
      </c>
      <c r="J564" s="35" t="str">
        <f aca="false">IF(AND(Einstellungen!$B$8="Ja",Einstellungen!$B$9="Effektiv"),$I564,"-")</f>
        <v>-</v>
      </c>
      <c r="K564" s="31" t="n">
        <f aca="false">IF(OR($F564="",$J564="-"),0,ROUND($F564-$F564/(1+$H564),2))</f>
        <v>0</v>
      </c>
      <c r="L564" s="31" t="n">
        <f aca="false">IF($F564="",0,$F564-$K564)</f>
        <v>0</v>
      </c>
      <c r="M564" s="31" t="n">
        <f aca="false">IF($F564="",0,IF($J564="V",$L564,$F564))</f>
        <v>0</v>
      </c>
      <c r="N564" s="31" t="n">
        <f aca="false">IF($F564="",0,IF($J564="U",$L564,$F564))</f>
        <v>0</v>
      </c>
      <c r="O564" s="35" t="str">
        <f aca="false">IF($A564="","",MONTH($A564))</f>
        <v/>
      </c>
      <c r="P564" s="35" t="str">
        <f aca="false">IF($A564="","",ROUNDUP(MONTH($A564)/3,0))</f>
        <v/>
      </c>
      <c r="Q564" s="35" t="str">
        <f aca="false">IF($A564="","",IF(MONTH($A564)&lt;=6,1,2))</f>
        <v/>
      </c>
      <c r="R564" s="35" t="str">
        <f aca="false">IF($E564="","",IFERROR(INDEX(Kontenplan!$F$5:$F$90,MATCH($E564,Kontenplan!$A$5:$A$90,0)),""))</f>
        <v/>
      </c>
      <c r="S564" s="35" t="str">
        <f aca="false">IF($D564="","",IFERROR(INDEX(Kontenplan!$F$5:$F$90,MATCH($D564,Kontenplan!$A$5:$A$90,0)),""))</f>
        <v/>
      </c>
      <c r="T564" s="35" t="str">
        <f aca="false">IF($D564="","",IFERROR(INDEX(Kontenplan!$C$5:$C$90,MATCH($D564,Kontenplan!$A$5:$A$90,0)),"?"))</f>
        <v/>
      </c>
      <c r="U564" s="35" t="str">
        <f aca="false">IF($E564="","",IFERROR(INDEX(Kontenplan!$C$5:$C$90,MATCH($E564,Kontenplan!$A$5:$A$90,0)),"?"))</f>
        <v/>
      </c>
      <c r="V564" s="35" t="str">
        <f aca="false">IF($F564="","",IF(OR($D564="",$E564="",$T564="?",$U564="?"),"Konto prüfen!",IF($A564="","Datum fehlt",IF(YEAR($A564)&lt;&gt;Einstellungen!$B$7,"anderes Jahr!",IF($G564="","MWST-Code fehlt","OK")))))</f>
        <v/>
      </c>
      <c r="W564" s="35" t="str">
        <f aca="false">IF($F564="","",IF(OR($D564=Kontoauszug!$C$4,$E564=Kontoauszug!$C$4),MAX(W$4:W563)+1,""))</f>
        <v/>
      </c>
    </row>
    <row r="565" customFormat="false" ht="15" hidden="false" customHeight="false" outlineLevel="0" collapsed="false">
      <c r="A565" s="33"/>
      <c r="B565" s="32"/>
      <c r="C565" s="32"/>
      <c r="D565" s="32"/>
      <c r="E565" s="32"/>
      <c r="F565" s="30"/>
      <c r="G565" s="32"/>
      <c r="H565" s="34" t="n">
        <f aca="false">IF($G565="",0,IFERROR(INDEX(Einstellungen!$G$5:$G$11,MATCH($G565,Einstellungen!$E$5:$E$11,0)),0))</f>
        <v>0</v>
      </c>
      <c r="I565" s="35" t="str">
        <f aca="false">IF($G565="","-",IFERROR(INDEX(Einstellungen!$H$5:$H$11,MATCH($G565,Einstellungen!$E$5:$E$11,0)),"-"))</f>
        <v>-</v>
      </c>
      <c r="J565" s="35" t="str">
        <f aca="false">IF(AND(Einstellungen!$B$8="Ja",Einstellungen!$B$9="Effektiv"),$I565,"-")</f>
        <v>-</v>
      </c>
      <c r="K565" s="31" t="n">
        <f aca="false">IF(OR($F565="",$J565="-"),0,ROUND($F565-$F565/(1+$H565),2))</f>
        <v>0</v>
      </c>
      <c r="L565" s="31" t="n">
        <f aca="false">IF($F565="",0,$F565-$K565)</f>
        <v>0</v>
      </c>
      <c r="M565" s="31" t="n">
        <f aca="false">IF($F565="",0,IF($J565="V",$L565,$F565))</f>
        <v>0</v>
      </c>
      <c r="N565" s="31" t="n">
        <f aca="false">IF($F565="",0,IF($J565="U",$L565,$F565))</f>
        <v>0</v>
      </c>
      <c r="O565" s="35" t="str">
        <f aca="false">IF($A565="","",MONTH($A565))</f>
        <v/>
      </c>
      <c r="P565" s="35" t="str">
        <f aca="false">IF($A565="","",ROUNDUP(MONTH($A565)/3,0))</f>
        <v/>
      </c>
      <c r="Q565" s="35" t="str">
        <f aca="false">IF($A565="","",IF(MONTH($A565)&lt;=6,1,2))</f>
        <v/>
      </c>
      <c r="R565" s="35" t="str">
        <f aca="false">IF($E565="","",IFERROR(INDEX(Kontenplan!$F$5:$F$90,MATCH($E565,Kontenplan!$A$5:$A$90,0)),""))</f>
        <v/>
      </c>
      <c r="S565" s="35" t="str">
        <f aca="false">IF($D565="","",IFERROR(INDEX(Kontenplan!$F$5:$F$90,MATCH($D565,Kontenplan!$A$5:$A$90,0)),""))</f>
        <v/>
      </c>
      <c r="T565" s="35" t="str">
        <f aca="false">IF($D565="","",IFERROR(INDEX(Kontenplan!$C$5:$C$90,MATCH($D565,Kontenplan!$A$5:$A$90,0)),"?"))</f>
        <v/>
      </c>
      <c r="U565" s="35" t="str">
        <f aca="false">IF($E565="","",IFERROR(INDEX(Kontenplan!$C$5:$C$90,MATCH($E565,Kontenplan!$A$5:$A$90,0)),"?"))</f>
        <v/>
      </c>
      <c r="V565" s="35" t="str">
        <f aca="false">IF($F565="","",IF(OR($D565="",$E565="",$T565="?",$U565="?"),"Konto prüfen!",IF($A565="","Datum fehlt",IF(YEAR($A565)&lt;&gt;Einstellungen!$B$7,"anderes Jahr!",IF($G565="","MWST-Code fehlt","OK")))))</f>
        <v/>
      </c>
      <c r="W565" s="35" t="str">
        <f aca="false">IF($F565="","",IF(OR($D565=Kontoauszug!$C$4,$E565=Kontoauszug!$C$4),MAX(W$4:W564)+1,""))</f>
        <v/>
      </c>
    </row>
    <row r="566" customFormat="false" ht="15" hidden="false" customHeight="false" outlineLevel="0" collapsed="false">
      <c r="A566" s="33"/>
      <c r="B566" s="32"/>
      <c r="C566" s="32"/>
      <c r="D566" s="32"/>
      <c r="E566" s="32"/>
      <c r="F566" s="30"/>
      <c r="G566" s="32"/>
      <c r="H566" s="34" t="n">
        <f aca="false">IF($G566="",0,IFERROR(INDEX(Einstellungen!$G$5:$G$11,MATCH($G566,Einstellungen!$E$5:$E$11,0)),0))</f>
        <v>0</v>
      </c>
      <c r="I566" s="35" t="str">
        <f aca="false">IF($G566="","-",IFERROR(INDEX(Einstellungen!$H$5:$H$11,MATCH($G566,Einstellungen!$E$5:$E$11,0)),"-"))</f>
        <v>-</v>
      </c>
      <c r="J566" s="35" t="str">
        <f aca="false">IF(AND(Einstellungen!$B$8="Ja",Einstellungen!$B$9="Effektiv"),$I566,"-")</f>
        <v>-</v>
      </c>
      <c r="K566" s="31" t="n">
        <f aca="false">IF(OR($F566="",$J566="-"),0,ROUND($F566-$F566/(1+$H566),2))</f>
        <v>0</v>
      </c>
      <c r="L566" s="31" t="n">
        <f aca="false">IF($F566="",0,$F566-$K566)</f>
        <v>0</v>
      </c>
      <c r="M566" s="31" t="n">
        <f aca="false">IF($F566="",0,IF($J566="V",$L566,$F566))</f>
        <v>0</v>
      </c>
      <c r="N566" s="31" t="n">
        <f aca="false">IF($F566="",0,IF($J566="U",$L566,$F566))</f>
        <v>0</v>
      </c>
      <c r="O566" s="35" t="str">
        <f aca="false">IF($A566="","",MONTH($A566))</f>
        <v/>
      </c>
      <c r="P566" s="35" t="str">
        <f aca="false">IF($A566="","",ROUNDUP(MONTH($A566)/3,0))</f>
        <v/>
      </c>
      <c r="Q566" s="35" t="str">
        <f aca="false">IF($A566="","",IF(MONTH($A566)&lt;=6,1,2))</f>
        <v/>
      </c>
      <c r="R566" s="35" t="str">
        <f aca="false">IF($E566="","",IFERROR(INDEX(Kontenplan!$F$5:$F$90,MATCH($E566,Kontenplan!$A$5:$A$90,0)),""))</f>
        <v/>
      </c>
      <c r="S566" s="35" t="str">
        <f aca="false">IF($D566="","",IFERROR(INDEX(Kontenplan!$F$5:$F$90,MATCH($D566,Kontenplan!$A$5:$A$90,0)),""))</f>
        <v/>
      </c>
      <c r="T566" s="35" t="str">
        <f aca="false">IF($D566="","",IFERROR(INDEX(Kontenplan!$C$5:$C$90,MATCH($D566,Kontenplan!$A$5:$A$90,0)),"?"))</f>
        <v/>
      </c>
      <c r="U566" s="35" t="str">
        <f aca="false">IF($E566="","",IFERROR(INDEX(Kontenplan!$C$5:$C$90,MATCH($E566,Kontenplan!$A$5:$A$90,0)),"?"))</f>
        <v/>
      </c>
      <c r="V566" s="35" t="str">
        <f aca="false">IF($F566="","",IF(OR($D566="",$E566="",$T566="?",$U566="?"),"Konto prüfen!",IF($A566="","Datum fehlt",IF(YEAR($A566)&lt;&gt;Einstellungen!$B$7,"anderes Jahr!",IF($G566="","MWST-Code fehlt","OK")))))</f>
        <v/>
      </c>
      <c r="W566" s="35" t="str">
        <f aca="false">IF($F566="","",IF(OR($D566=Kontoauszug!$C$4,$E566=Kontoauszug!$C$4),MAX(W$4:W565)+1,""))</f>
        <v/>
      </c>
    </row>
    <row r="567" customFormat="false" ht="15" hidden="false" customHeight="false" outlineLevel="0" collapsed="false">
      <c r="A567" s="33"/>
      <c r="B567" s="32"/>
      <c r="C567" s="32"/>
      <c r="D567" s="32"/>
      <c r="E567" s="32"/>
      <c r="F567" s="30"/>
      <c r="G567" s="32"/>
      <c r="H567" s="34" t="n">
        <f aca="false">IF($G567="",0,IFERROR(INDEX(Einstellungen!$G$5:$G$11,MATCH($G567,Einstellungen!$E$5:$E$11,0)),0))</f>
        <v>0</v>
      </c>
      <c r="I567" s="35" t="str">
        <f aca="false">IF($G567="","-",IFERROR(INDEX(Einstellungen!$H$5:$H$11,MATCH($G567,Einstellungen!$E$5:$E$11,0)),"-"))</f>
        <v>-</v>
      </c>
      <c r="J567" s="35" t="str">
        <f aca="false">IF(AND(Einstellungen!$B$8="Ja",Einstellungen!$B$9="Effektiv"),$I567,"-")</f>
        <v>-</v>
      </c>
      <c r="K567" s="31" t="n">
        <f aca="false">IF(OR($F567="",$J567="-"),0,ROUND($F567-$F567/(1+$H567),2))</f>
        <v>0</v>
      </c>
      <c r="L567" s="31" t="n">
        <f aca="false">IF($F567="",0,$F567-$K567)</f>
        <v>0</v>
      </c>
      <c r="M567" s="31" t="n">
        <f aca="false">IF($F567="",0,IF($J567="V",$L567,$F567))</f>
        <v>0</v>
      </c>
      <c r="N567" s="31" t="n">
        <f aca="false">IF($F567="",0,IF($J567="U",$L567,$F567))</f>
        <v>0</v>
      </c>
      <c r="O567" s="35" t="str">
        <f aca="false">IF($A567="","",MONTH($A567))</f>
        <v/>
      </c>
      <c r="P567" s="35" t="str">
        <f aca="false">IF($A567="","",ROUNDUP(MONTH($A567)/3,0))</f>
        <v/>
      </c>
      <c r="Q567" s="35" t="str">
        <f aca="false">IF($A567="","",IF(MONTH($A567)&lt;=6,1,2))</f>
        <v/>
      </c>
      <c r="R567" s="35" t="str">
        <f aca="false">IF($E567="","",IFERROR(INDEX(Kontenplan!$F$5:$F$90,MATCH($E567,Kontenplan!$A$5:$A$90,0)),""))</f>
        <v/>
      </c>
      <c r="S567" s="35" t="str">
        <f aca="false">IF($D567="","",IFERROR(INDEX(Kontenplan!$F$5:$F$90,MATCH($D567,Kontenplan!$A$5:$A$90,0)),""))</f>
        <v/>
      </c>
      <c r="T567" s="35" t="str">
        <f aca="false">IF($D567="","",IFERROR(INDEX(Kontenplan!$C$5:$C$90,MATCH($D567,Kontenplan!$A$5:$A$90,0)),"?"))</f>
        <v/>
      </c>
      <c r="U567" s="35" t="str">
        <f aca="false">IF($E567="","",IFERROR(INDEX(Kontenplan!$C$5:$C$90,MATCH($E567,Kontenplan!$A$5:$A$90,0)),"?"))</f>
        <v/>
      </c>
      <c r="V567" s="35" t="str">
        <f aca="false">IF($F567="","",IF(OR($D567="",$E567="",$T567="?",$U567="?"),"Konto prüfen!",IF($A567="","Datum fehlt",IF(YEAR($A567)&lt;&gt;Einstellungen!$B$7,"anderes Jahr!",IF($G567="","MWST-Code fehlt","OK")))))</f>
        <v/>
      </c>
      <c r="W567" s="35" t="str">
        <f aca="false">IF($F567="","",IF(OR($D567=Kontoauszug!$C$4,$E567=Kontoauszug!$C$4),MAX(W$4:W566)+1,""))</f>
        <v/>
      </c>
    </row>
    <row r="568" customFormat="false" ht="15" hidden="false" customHeight="false" outlineLevel="0" collapsed="false">
      <c r="A568" s="33"/>
      <c r="B568" s="32"/>
      <c r="C568" s="32"/>
      <c r="D568" s="32"/>
      <c r="E568" s="32"/>
      <c r="F568" s="30"/>
      <c r="G568" s="32"/>
      <c r="H568" s="34" t="n">
        <f aca="false">IF($G568="",0,IFERROR(INDEX(Einstellungen!$G$5:$G$11,MATCH($G568,Einstellungen!$E$5:$E$11,0)),0))</f>
        <v>0</v>
      </c>
      <c r="I568" s="35" t="str">
        <f aca="false">IF($G568="","-",IFERROR(INDEX(Einstellungen!$H$5:$H$11,MATCH($G568,Einstellungen!$E$5:$E$11,0)),"-"))</f>
        <v>-</v>
      </c>
      <c r="J568" s="35" t="str">
        <f aca="false">IF(AND(Einstellungen!$B$8="Ja",Einstellungen!$B$9="Effektiv"),$I568,"-")</f>
        <v>-</v>
      </c>
      <c r="K568" s="31" t="n">
        <f aca="false">IF(OR($F568="",$J568="-"),0,ROUND($F568-$F568/(1+$H568),2))</f>
        <v>0</v>
      </c>
      <c r="L568" s="31" t="n">
        <f aca="false">IF($F568="",0,$F568-$K568)</f>
        <v>0</v>
      </c>
      <c r="M568" s="31" t="n">
        <f aca="false">IF($F568="",0,IF($J568="V",$L568,$F568))</f>
        <v>0</v>
      </c>
      <c r="N568" s="31" t="n">
        <f aca="false">IF($F568="",0,IF($J568="U",$L568,$F568))</f>
        <v>0</v>
      </c>
      <c r="O568" s="35" t="str">
        <f aca="false">IF($A568="","",MONTH($A568))</f>
        <v/>
      </c>
      <c r="P568" s="35" t="str">
        <f aca="false">IF($A568="","",ROUNDUP(MONTH($A568)/3,0))</f>
        <v/>
      </c>
      <c r="Q568" s="35" t="str">
        <f aca="false">IF($A568="","",IF(MONTH($A568)&lt;=6,1,2))</f>
        <v/>
      </c>
      <c r="R568" s="35" t="str">
        <f aca="false">IF($E568="","",IFERROR(INDEX(Kontenplan!$F$5:$F$90,MATCH($E568,Kontenplan!$A$5:$A$90,0)),""))</f>
        <v/>
      </c>
      <c r="S568" s="35" t="str">
        <f aca="false">IF($D568="","",IFERROR(INDEX(Kontenplan!$F$5:$F$90,MATCH($D568,Kontenplan!$A$5:$A$90,0)),""))</f>
        <v/>
      </c>
      <c r="T568" s="35" t="str">
        <f aca="false">IF($D568="","",IFERROR(INDEX(Kontenplan!$C$5:$C$90,MATCH($D568,Kontenplan!$A$5:$A$90,0)),"?"))</f>
        <v/>
      </c>
      <c r="U568" s="35" t="str">
        <f aca="false">IF($E568="","",IFERROR(INDEX(Kontenplan!$C$5:$C$90,MATCH($E568,Kontenplan!$A$5:$A$90,0)),"?"))</f>
        <v/>
      </c>
      <c r="V568" s="35" t="str">
        <f aca="false">IF($F568="","",IF(OR($D568="",$E568="",$T568="?",$U568="?"),"Konto prüfen!",IF($A568="","Datum fehlt",IF(YEAR($A568)&lt;&gt;Einstellungen!$B$7,"anderes Jahr!",IF($G568="","MWST-Code fehlt","OK")))))</f>
        <v/>
      </c>
      <c r="W568" s="35" t="str">
        <f aca="false">IF($F568="","",IF(OR($D568=Kontoauszug!$C$4,$E568=Kontoauszug!$C$4),MAX(W$4:W567)+1,""))</f>
        <v/>
      </c>
    </row>
    <row r="569" customFormat="false" ht="15" hidden="false" customHeight="false" outlineLevel="0" collapsed="false">
      <c r="A569" s="33"/>
      <c r="B569" s="32"/>
      <c r="C569" s="32"/>
      <c r="D569" s="32"/>
      <c r="E569" s="32"/>
      <c r="F569" s="30"/>
      <c r="G569" s="32"/>
      <c r="H569" s="34" t="n">
        <f aca="false">IF($G569="",0,IFERROR(INDEX(Einstellungen!$G$5:$G$11,MATCH($G569,Einstellungen!$E$5:$E$11,0)),0))</f>
        <v>0</v>
      </c>
      <c r="I569" s="35" t="str">
        <f aca="false">IF($G569="","-",IFERROR(INDEX(Einstellungen!$H$5:$H$11,MATCH($G569,Einstellungen!$E$5:$E$11,0)),"-"))</f>
        <v>-</v>
      </c>
      <c r="J569" s="35" t="str">
        <f aca="false">IF(AND(Einstellungen!$B$8="Ja",Einstellungen!$B$9="Effektiv"),$I569,"-")</f>
        <v>-</v>
      </c>
      <c r="K569" s="31" t="n">
        <f aca="false">IF(OR($F569="",$J569="-"),0,ROUND($F569-$F569/(1+$H569),2))</f>
        <v>0</v>
      </c>
      <c r="L569" s="31" t="n">
        <f aca="false">IF($F569="",0,$F569-$K569)</f>
        <v>0</v>
      </c>
      <c r="M569" s="31" t="n">
        <f aca="false">IF($F569="",0,IF($J569="V",$L569,$F569))</f>
        <v>0</v>
      </c>
      <c r="N569" s="31" t="n">
        <f aca="false">IF($F569="",0,IF($J569="U",$L569,$F569))</f>
        <v>0</v>
      </c>
      <c r="O569" s="35" t="str">
        <f aca="false">IF($A569="","",MONTH($A569))</f>
        <v/>
      </c>
      <c r="P569" s="35" t="str">
        <f aca="false">IF($A569="","",ROUNDUP(MONTH($A569)/3,0))</f>
        <v/>
      </c>
      <c r="Q569" s="35" t="str">
        <f aca="false">IF($A569="","",IF(MONTH($A569)&lt;=6,1,2))</f>
        <v/>
      </c>
      <c r="R569" s="35" t="str">
        <f aca="false">IF($E569="","",IFERROR(INDEX(Kontenplan!$F$5:$F$90,MATCH($E569,Kontenplan!$A$5:$A$90,0)),""))</f>
        <v/>
      </c>
      <c r="S569" s="35" t="str">
        <f aca="false">IF($D569="","",IFERROR(INDEX(Kontenplan!$F$5:$F$90,MATCH($D569,Kontenplan!$A$5:$A$90,0)),""))</f>
        <v/>
      </c>
      <c r="T569" s="35" t="str">
        <f aca="false">IF($D569="","",IFERROR(INDEX(Kontenplan!$C$5:$C$90,MATCH($D569,Kontenplan!$A$5:$A$90,0)),"?"))</f>
        <v/>
      </c>
      <c r="U569" s="35" t="str">
        <f aca="false">IF($E569="","",IFERROR(INDEX(Kontenplan!$C$5:$C$90,MATCH($E569,Kontenplan!$A$5:$A$90,0)),"?"))</f>
        <v/>
      </c>
      <c r="V569" s="35" t="str">
        <f aca="false">IF($F569="","",IF(OR($D569="",$E569="",$T569="?",$U569="?"),"Konto prüfen!",IF($A569="","Datum fehlt",IF(YEAR($A569)&lt;&gt;Einstellungen!$B$7,"anderes Jahr!",IF($G569="","MWST-Code fehlt","OK")))))</f>
        <v/>
      </c>
      <c r="W569" s="35" t="str">
        <f aca="false">IF($F569="","",IF(OR($D569=Kontoauszug!$C$4,$E569=Kontoauszug!$C$4),MAX(W$4:W568)+1,""))</f>
        <v/>
      </c>
    </row>
    <row r="570" customFormat="false" ht="15" hidden="false" customHeight="false" outlineLevel="0" collapsed="false">
      <c r="A570" s="33"/>
      <c r="B570" s="32"/>
      <c r="C570" s="32"/>
      <c r="D570" s="32"/>
      <c r="E570" s="32"/>
      <c r="F570" s="30"/>
      <c r="G570" s="32"/>
      <c r="H570" s="34" t="n">
        <f aca="false">IF($G570="",0,IFERROR(INDEX(Einstellungen!$G$5:$G$11,MATCH($G570,Einstellungen!$E$5:$E$11,0)),0))</f>
        <v>0</v>
      </c>
      <c r="I570" s="35" t="str">
        <f aca="false">IF($G570="","-",IFERROR(INDEX(Einstellungen!$H$5:$H$11,MATCH($G570,Einstellungen!$E$5:$E$11,0)),"-"))</f>
        <v>-</v>
      </c>
      <c r="J570" s="35" t="str">
        <f aca="false">IF(AND(Einstellungen!$B$8="Ja",Einstellungen!$B$9="Effektiv"),$I570,"-")</f>
        <v>-</v>
      </c>
      <c r="K570" s="31" t="n">
        <f aca="false">IF(OR($F570="",$J570="-"),0,ROUND($F570-$F570/(1+$H570),2))</f>
        <v>0</v>
      </c>
      <c r="L570" s="31" t="n">
        <f aca="false">IF($F570="",0,$F570-$K570)</f>
        <v>0</v>
      </c>
      <c r="M570" s="31" t="n">
        <f aca="false">IF($F570="",0,IF($J570="V",$L570,$F570))</f>
        <v>0</v>
      </c>
      <c r="N570" s="31" t="n">
        <f aca="false">IF($F570="",0,IF($J570="U",$L570,$F570))</f>
        <v>0</v>
      </c>
      <c r="O570" s="35" t="str">
        <f aca="false">IF($A570="","",MONTH($A570))</f>
        <v/>
      </c>
      <c r="P570" s="35" t="str">
        <f aca="false">IF($A570="","",ROUNDUP(MONTH($A570)/3,0))</f>
        <v/>
      </c>
      <c r="Q570" s="35" t="str">
        <f aca="false">IF($A570="","",IF(MONTH($A570)&lt;=6,1,2))</f>
        <v/>
      </c>
      <c r="R570" s="35" t="str">
        <f aca="false">IF($E570="","",IFERROR(INDEX(Kontenplan!$F$5:$F$90,MATCH($E570,Kontenplan!$A$5:$A$90,0)),""))</f>
        <v/>
      </c>
      <c r="S570" s="35" t="str">
        <f aca="false">IF($D570="","",IFERROR(INDEX(Kontenplan!$F$5:$F$90,MATCH($D570,Kontenplan!$A$5:$A$90,0)),""))</f>
        <v/>
      </c>
      <c r="T570" s="35" t="str">
        <f aca="false">IF($D570="","",IFERROR(INDEX(Kontenplan!$C$5:$C$90,MATCH($D570,Kontenplan!$A$5:$A$90,0)),"?"))</f>
        <v/>
      </c>
      <c r="U570" s="35" t="str">
        <f aca="false">IF($E570="","",IFERROR(INDEX(Kontenplan!$C$5:$C$90,MATCH($E570,Kontenplan!$A$5:$A$90,0)),"?"))</f>
        <v/>
      </c>
      <c r="V570" s="35" t="str">
        <f aca="false">IF($F570="","",IF(OR($D570="",$E570="",$T570="?",$U570="?"),"Konto prüfen!",IF($A570="","Datum fehlt",IF(YEAR($A570)&lt;&gt;Einstellungen!$B$7,"anderes Jahr!",IF($G570="","MWST-Code fehlt","OK")))))</f>
        <v/>
      </c>
      <c r="W570" s="35" t="str">
        <f aca="false">IF($F570="","",IF(OR($D570=Kontoauszug!$C$4,$E570=Kontoauszug!$C$4),MAX(W$4:W569)+1,""))</f>
        <v/>
      </c>
    </row>
    <row r="571" customFormat="false" ht="15" hidden="false" customHeight="false" outlineLevel="0" collapsed="false">
      <c r="A571" s="33"/>
      <c r="B571" s="32"/>
      <c r="C571" s="32"/>
      <c r="D571" s="32"/>
      <c r="E571" s="32"/>
      <c r="F571" s="30"/>
      <c r="G571" s="32"/>
      <c r="H571" s="34" t="n">
        <f aca="false">IF($G571="",0,IFERROR(INDEX(Einstellungen!$G$5:$G$11,MATCH($G571,Einstellungen!$E$5:$E$11,0)),0))</f>
        <v>0</v>
      </c>
      <c r="I571" s="35" t="str">
        <f aca="false">IF($G571="","-",IFERROR(INDEX(Einstellungen!$H$5:$H$11,MATCH($G571,Einstellungen!$E$5:$E$11,0)),"-"))</f>
        <v>-</v>
      </c>
      <c r="J571" s="35" t="str">
        <f aca="false">IF(AND(Einstellungen!$B$8="Ja",Einstellungen!$B$9="Effektiv"),$I571,"-")</f>
        <v>-</v>
      </c>
      <c r="K571" s="31" t="n">
        <f aca="false">IF(OR($F571="",$J571="-"),0,ROUND($F571-$F571/(1+$H571),2))</f>
        <v>0</v>
      </c>
      <c r="L571" s="31" t="n">
        <f aca="false">IF($F571="",0,$F571-$K571)</f>
        <v>0</v>
      </c>
      <c r="M571" s="31" t="n">
        <f aca="false">IF($F571="",0,IF($J571="V",$L571,$F571))</f>
        <v>0</v>
      </c>
      <c r="N571" s="31" t="n">
        <f aca="false">IF($F571="",0,IF($J571="U",$L571,$F571))</f>
        <v>0</v>
      </c>
      <c r="O571" s="35" t="str">
        <f aca="false">IF($A571="","",MONTH($A571))</f>
        <v/>
      </c>
      <c r="P571" s="35" t="str">
        <f aca="false">IF($A571="","",ROUNDUP(MONTH($A571)/3,0))</f>
        <v/>
      </c>
      <c r="Q571" s="35" t="str">
        <f aca="false">IF($A571="","",IF(MONTH($A571)&lt;=6,1,2))</f>
        <v/>
      </c>
      <c r="R571" s="35" t="str">
        <f aca="false">IF($E571="","",IFERROR(INDEX(Kontenplan!$F$5:$F$90,MATCH($E571,Kontenplan!$A$5:$A$90,0)),""))</f>
        <v/>
      </c>
      <c r="S571" s="35" t="str">
        <f aca="false">IF($D571="","",IFERROR(INDEX(Kontenplan!$F$5:$F$90,MATCH($D571,Kontenplan!$A$5:$A$90,0)),""))</f>
        <v/>
      </c>
      <c r="T571" s="35" t="str">
        <f aca="false">IF($D571="","",IFERROR(INDEX(Kontenplan!$C$5:$C$90,MATCH($D571,Kontenplan!$A$5:$A$90,0)),"?"))</f>
        <v/>
      </c>
      <c r="U571" s="35" t="str">
        <f aca="false">IF($E571="","",IFERROR(INDEX(Kontenplan!$C$5:$C$90,MATCH($E571,Kontenplan!$A$5:$A$90,0)),"?"))</f>
        <v/>
      </c>
      <c r="V571" s="35" t="str">
        <f aca="false">IF($F571="","",IF(OR($D571="",$E571="",$T571="?",$U571="?"),"Konto prüfen!",IF($A571="","Datum fehlt",IF(YEAR($A571)&lt;&gt;Einstellungen!$B$7,"anderes Jahr!",IF($G571="","MWST-Code fehlt","OK")))))</f>
        <v/>
      </c>
      <c r="W571" s="35" t="str">
        <f aca="false">IF($F571="","",IF(OR($D571=Kontoauszug!$C$4,$E571=Kontoauszug!$C$4),MAX(W$4:W570)+1,""))</f>
        <v/>
      </c>
    </row>
    <row r="572" customFormat="false" ht="15" hidden="false" customHeight="false" outlineLevel="0" collapsed="false">
      <c r="A572" s="33"/>
      <c r="B572" s="32"/>
      <c r="C572" s="32"/>
      <c r="D572" s="32"/>
      <c r="E572" s="32"/>
      <c r="F572" s="30"/>
      <c r="G572" s="32"/>
      <c r="H572" s="34" t="n">
        <f aca="false">IF($G572="",0,IFERROR(INDEX(Einstellungen!$G$5:$G$11,MATCH($G572,Einstellungen!$E$5:$E$11,0)),0))</f>
        <v>0</v>
      </c>
      <c r="I572" s="35" t="str">
        <f aca="false">IF($G572="","-",IFERROR(INDEX(Einstellungen!$H$5:$H$11,MATCH($G572,Einstellungen!$E$5:$E$11,0)),"-"))</f>
        <v>-</v>
      </c>
      <c r="J572" s="35" t="str">
        <f aca="false">IF(AND(Einstellungen!$B$8="Ja",Einstellungen!$B$9="Effektiv"),$I572,"-")</f>
        <v>-</v>
      </c>
      <c r="K572" s="31" t="n">
        <f aca="false">IF(OR($F572="",$J572="-"),0,ROUND($F572-$F572/(1+$H572),2))</f>
        <v>0</v>
      </c>
      <c r="L572" s="31" t="n">
        <f aca="false">IF($F572="",0,$F572-$K572)</f>
        <v>0</v>
      </c>
      <c r="M572" s="31" t="n">
        <f aca="false">IF($F572="",0,IF($J572="V",$L572,$F572))</f>
        <v>0</v>
      </c>
      <c r="N572" s="31" t="n">
        <f aca="false">IF($F572="",0,IF($J572="U",$L572,$F572))</f>
        <v>0</v>
      </c>
      <c r="O572" s="35" t="str">
        <f aca="false">IF($A572="","",MONTH($A572))</f>
        <v/>
      </c>
      <c r="P572" s="35" t="str">
        <f aca="false">IF($A572="","",ROUNDUP(MONTH($A572)/3,0))</f>
        <v/>
      </c>
      <c r="Q572" s="35" t="str">
        <f aca="false">IF($A572="","",IF(MONTH($A572)&lt;=6,1,2))</f>
        <v/>
      </c>
      <c r="R572" s="35" t="str">
        <f aca="false">IF($E572="","",IFERROR(INDEX(Kontenplan!$F$5:$F$90,MATCH($E572,Kontenplan!$A$5:$A$90,0)),""))</f>
        <v/>
      </c>
      <c r="S572" s="35" t="str">
        <f aca="false">IF($D572="","",IFERROR(INDEX(Kontenplan!$F$5:$F$90,MATCH($D572,Kontenplan!$A$5:$A$90,0)),""))</f>
        <v/>
      </c>
      <c r="T572" s="35" t="str">
        <f aca="false">IF($D572="","",IFERROR(INDEX(Kontenplan!$C$5:$C$90,MATCH($D572,Kontenplan!$A$5:$A$90,0)),"?"))</f>
        <v/>
      </c>
      <c r="U572" s="35" t="str">
        <f aca="false">IF($E572="","",IFERROR(INDEX(Kontenplan!$C$5:$C$90,MATCH($E572,Kontenplan!$A$5:$A$90,0)),"?"))</f>
        <v/>
      </c>
      <c r="V572" s="35" t="str">
        <f aca="false">IF($F572="","",IF(OR($D572="",$E572="",$T572="?",$U572="?"),"Konto prüfen!",IF($A572="","Datum fehlt",IF(YEAR($A572)&lt;&gt;Einstellungen!$B$7,"anderes Jahr!",IF($G572="","MWST-Code fehlt","OK")))))</f>
        <v/>
      </c>
      <c r="W572" s="35" t="str">
        <f aca="false">IF($F572="","",IF(OR($D572=Kontoauszug!$C$4,$E572=Kontoauszug!$C$4),MAX(W$4:W571)+1,""))</f>
        <v/>
      </c>
    </row>
    <row r="573" customFormat="false" ht="15" hidden="false" customHeight="false" outlineLevel="0" collapsed="false">
      <c r="A573" s="33"/>
      <c r="B573" s="32"/>
      <c r="C573" s="32"/>
      <c r="D573" s="32"/>
      <c r="E573" s="32"/>
      <c r="F573" s="30"/>
      <c r="G573" s="32"/>
      <c r="H573" s="34" t="n">
        <f aca="false">IF($G573="",0,IFERROR(INDEX(Einstellungen!$G$5:$G$11,MATCH($G573,Einstellungen!$E$5:$E$11,0)),0))</f>
        <v>0</v>
      </c>
      <c r="I573" s="35" t="str">
        <f aca="false">IF($G573="","-",IFERROR(INDEX(Einstellungen!$H$5:$H$11,MATCH($G573,Einstellungen!$E$5:$E$11,0)),"-"))</f>
        <v>-</v>
      </c>
      <c r="J573" s="35" t="str">
        <f aca="false">IF(AND(Einstellungen!$B$8="Ja",Einstellungen!$B$9="Effektiv"),$I573,"-")</f>
        <v>-</v>
      </c>
      <c r="K573" s="31" t="n">
        <f aca="false">IF(OR($F573="",$J573="-"),0,ROUND($F573-$F573/(1+$H573),2))</f>
        <v>0</v>
      </c>
      <c r="L573" s="31" t="n">
        <f aca="false">IF($F573="",0,$F573-$K573)</f>
        <v>0</v>
      </c>
      <c r="M573" s="31" t="n">
        <f aca="false">IF($F573="",0,IF($J573="V",$L573,$F573))</f>
        <v>0</v>
      </c>
      <c r="N573" s="31" t="n">
        <f aca="false">IF($F573="",0,IF($J573="U",$L573,$F573))</f>
        <v>0</v>
      </c>
      <c r="O573" s="35" t="str">
        <f aca="false">IF($A573="","",MONTH($A573))</f>
        <v/>
      </c>
      <c r="P573" s="35" t="str">
        <f aca="false">IF($A573="","",ROUNDUP(MONTH($A573)/3,0))</f>
        <v/>
      </c>
      <c r="Q573" s="35" t="str">
        <f aca="false">IF($A573="","",IF(MONTH($A573)&lt;=6,1,2))</f>
        <v/>
      </c>
      <c r="R573" s="35" t="str">
        <f aca="false">IF($E573="","",IFERROR(INDEX(Kontenplan!$F$5:$F$90,MATCH($E573,Kontenplan!$A$5:$A$90,0)),""))</f>
        <v/>
      </c>
      <c r="S573" s="35" t="str">
        <f aca="false">IF($D573="","",IFERROR(INDEX(Kontenplan!$F$5:$F$90,MATCH($D573,Kontenplan!$A$5:$A$90,0)),""))</f>
        <v/>
      </c>
      <c r="T573" s="35" t="str">
        <f aca="false">IF($D573="","",IFERROR(INDEX(Kontenplan!$C$5:$C$90,MATCH($D573,Kontenplan!$A$5:$A$90,0)),"?"))</f>
        <v/>
      </c>
      <c r="U573" s="35" t="str">
        <f aca="false">IF($E573="","",IFERROR(INDEX(Kontenplan!$C$5:$C$90,MATCH($E573,Kontenplan!$A$5:$A$90,0)),"?"))</f>
        <v/>
      </c>
      <c r="V573" s="35" t="str">
        <f aca="false">IF($F573="","",IF(OR($D573="",$E573="",$T573="?",$U573="?"),"Konto prüfen!",IF($A573="","Datum fehlt",IF(YEAR($A573)&lt;&gt;Einstellungen!$B$7,"anderes Jahr!",IF($G573="","MWST-Code fehlt","OK")))))</f>
        <v/>
      </c>
      <c r="W573" s="35" t="str">
        <f aca="false">IF($F573="","",IF(OR($D573=Kontoauszug!$C$4,$E573=Kontoauszug!$C$4),MAX(W$4:W572)+1,""))</f>
        <v/>
      </c>
    </row>
    <row r="574" customFormat="false" ht="15" hidden="false" customHeight="false" outlineLevel="0" collapsed="false">
      <c r="A574" s="33"/>
      <c r="B574" s="32"/>
      <c r="C574" s="32"/>
      <c r="D574" s="32"/>
      <c r="E574" s="32"/>
      <c r="F574" s="30"/>
      <c r="G574" s="32"/>
      <c r="H574" s="34" t="n">
        <f aca="false">IF($G574="",0,IFERROR(INDEX(Einstellungen!$G$5:$G$11,MATCH($G574,Einstellungen!$E$5:$E$11,0)),0))</f>
        <v>0</v>
      </c>
      <c r="I574" s="35" t="str">
        <f aca="false">IF($G574="","-",IFERROR(INDEX(Einstellungen!$H$5:$H$11,MATCH($G574,Einstellungen!$E$5:$E$11,0)),"-"))</f>
        <v>-</v>
      </c>
      <c r="J574" s="35" t="str">
        <f aca="false">IF(AND(Einstellungen!$B$8="Ja",Einstellungen!$B$9="Effektiv"),$I574,"-")</f>
        <v>-</v>
      </c>
      <c r="K574" s="31" t="n">
        <f aca="false">IF(OR($F574="",$J574="-"),0,ROUND($F574-$F574/(1+$H574),2))</f>
        <v>0</v>
      </c>
      <c r="L574" s="31" t="n">
        <f aca="false">IF($F574="",0,$F574-$K574)</f>
        <v>0</v>
      </c>
      <c r="M574" s="31" t="n">
        <f aca="false">IF($F574="",0,IF($J574="V",$L574,$F574))</f>
        <v>0</v>
      </c>
      <c r="N574" s="31" t="n">
        <f aca="false">IF($F574="",0,IF($J574="U",$L574,$F574))</f>
        <v>0</v>
      </c>
      <c r="O574" s="35" t="str">
        <f aca="false">IF($A574="","",MONTH($A574))</f>
        <v/>
      </c>
      <c r="P574" s="35" t="str">
        <f aca="false">IF($A574="","",ROUNDUP(MONTH($A574)/3,0))</f>
        <v/>
      </c>
      <c r="Q574" s="35" t="str">
        <f aca="false">IF($A574="","",IF(MONTH($A574)&lt;=6,1,2))</f>
        <v/>
      </c>
      <c r="R574" s="35" t="str">
        <f aca="false">IF($E574="","",IFERROR(INDEX(Kontenplan!$F$5:$F$90,MATCH($E574,Kontenplan!$A$5:$A$90,0)),""))</f>
        <v/>
      </c>
      <c r="S574" s="35" t="str">
        <f aca="false">IF($D574="","",IFERROR(INDEX(Kontenplan!$F$5:$F$90,MATCH($D574,Kontenplan!$A$5:$A$90,0)),""))</f>
        <v/>
      </c>
      <c r="T574" s="35" t="str">
        <f aca="false">IF($D574="","",IFERROR(INDEX(Kontenplan!$C$5:$C$90,MATCH($D574,Kontenplan!$A$5:$A$90,0)),"?"))</f>
        <v/>
      </c>
      <c r="U574" s="35" t="str">
        <f aca="false">IF($E574="","",IFERROR(INDEX(Kontenplan!$C$5:$C$90,MATCH($E574,Kontenplan!$A$5:$A$90,0)),"?"))</f>
        <v/>
      </c>
      <c r="V574" s="35" t="str">
        <f aca="false">IF($F574="","",IF(OR($D574="",$E574="",$T574="?",$U574="?"),"Konto prüfen!",IF($A574="","Datum fehlt",IF(YEAR($A574)&lt;&gt;Einstellungen!$B$7,"anderes Jahr!",IF($G574="","MWST-Code fehlt","OK")))))</f>
        <v/>
      </c>
      <c r="W574" s="35" t="str">
        <f aca="false">IF($F574="","",IF(OR($D574=Kontoauszug!$C$4,$E574=Kontoauszug!$C$4),MAX(W$4:W573)+1,""))</f>
        <v/>
      </c>
    </row>
    <row r="575" customFormat="false" ht="15" hidden="false" customHeight="false" outlineLevel="0" collapsed="false">
      <c r="A575" s="33"/>
      <c r="B575" s="32"/>
      <c r="C575" s="32"/>
      <c r="D575" s="32"/>
      <c r="E575" s="32"/>
      <c r="F575" s="30"/>
      <c r="G575" s="32"/>
      <c r="H575" s="34" t="n">
        <f aca="false">IF($G575="",0,IFERROR(INDEX(Einstellungen!$G$5:$G$11,MATCH($G575,Einstellungen!$E$5:$E$11,0)),0))</f>
        <v>0</v>
      </c>
      <c r="I575" s="35" t="str">
        <f aca="false">IF($G575="","-",IFERROR(INDEX(Einstellungen!$H$5:$H$11,MATCH($G575,Einstellungen!$E$5:$E$11,0)),"-"))</f>
        <v>-</v>
      </c>
      <c r="J575" s="35" t="str">
        <f aca="false">IF(AND(Einstellungen!$B$8="Ja",Einstellungen!$B$9="Effektiv"),$I575,"-")</f>
        <v>-</v>
      </c>
      <c r="K575" s="31" t="n">
        <f aca="false">IF(OR($F575="",$J575="-"),0,ROUND($F575-$F575/(1+$H575),2))</f>
        <v>0</v>
      </c>
      <c r="L575" s="31" t="n">
        <f aca="false">IF($F575="",0,$F575-$K575)</f>
        <v>0</v>
      </c>
      <c r="M575" s="31" t="n">
        <f aca="false">IF($F575="",0,IF($J575="V",$L575,$F575))</f>
        <v>0</v>
      </c>
      <c r="N575" s="31" t="n">
        <f aca="false">IF($F575="",0,IF($J575="U",$L575,$F575))</f>
        <v>0</v>
      </c>
      <c r="O575" s="35" t="str">
        <f aca="false">IF($A575="","",MONTH($A575))</f>
        <v/>
      </c>
      <c r="P575" s="35" t="str">
        <f aca="false">IF($A575="","",ROUNDUP(MONTH($A575)/3,0))</f>
        <v/>
      </c>
      <c r="Q575" s="35" t="str">
        <f aca="false">IF($A575="","",IF(MONTH($A575)&lt;=6,1,2))</f>
        <v/>
      </c>
      <c r="R575" s="35" t="str">
        <f aca="false">IF($E575="","",IFERROR(INDEX(Kontenplan!$F$5:$F$90,MATCH($E575,Kontenplan!$A$5:$A$90,0)),""))</f>
        <v/>
      </c>
      <c r="S575" s="35" t="str">
        <f aca="false">IF($D575="","",IFERROR(INDEX(Kontenplan!$F$5:$F$90,MATCH($D575,Kontenplan!$A$5:$A$90,0)),""))</f>
        <v/>
      </c>
      <c r="T575" s="35" t="str">
        <f aca="false">IF($D575="","",IFERROR(INDEX(Kontenplan!$C$5:$C$90,MATCH($D575,Kontenplan!$A$5:$A$90,0)),"?"))</f>
        <v/>
      </c>
      <c r="U575" s="35" t="str">
        <f aca="false">IF($E575="","",IFERROR(INDEX(Kontenplan!$C$5:$C$90,MATCH($E575,Kontenplan!$A$5:$A$90,0)),"?"))</f>
        <v/>
      </c>
      <c r="V575" s="35" t="str">
        <f aca="false">IF($F575="","",IF(OR($D575="",$E575="",$T575="?",$U575="?"),"Konto prüfen!",IF($A575="","Datum fehlt",IF(YEAR($A575)&lt;&gt;Einstellungen!$B$7,"anderes Jahr!",IF($G575="","MWST-Code fehlt","OK")))))</f>
        <v/>
      </c>
      <c r="W575" s="35" t="str">
        <f aca="false">IF($F575="","",IF(OR($D575=Kontoauszug!$C$4,$E575=Kontoauszug!$C$4),MAX(W$4:W574)+1,""))</f>
        <v/>
      </c>
    </row>
    <row r="576" customFormat="false" ht="15" hidden="false" customHeight="false" outlineLevel="0" collapsed="false">
      <c r="A576" s="33"/>
      <c r="B576" s="32"/>
      <c r="C576" s="32"/>
      <c r="D576" s="32"/>
      <c r="E576" s="32"/>
      <c r="F576" s="30"/>
      <c r="G576" s="32"/>
      <c r="H576" s="34" t="n">
        <f aca="false">IF($G576="",0,IFERROR(INDEX(Einstellungen!$G$5:$G$11,MATCH($G576,Einstellungen!$E$5:$E$11,0)),0))</f>
        <v>0</v>
      </c>
      <c r="I576" s="35" t="str">
        <f aca="false">IF($G576="","-",IFERROR(INDEX(Einstellungen!$H$5:$H$11,MATCH($G576,Einstellungen!$E$5:$E$11,0)),"-"))</f>
        <v>-</v>
      </c>
      <c r="J576" s="35" t="str">
        <f aca="false">IF(AND(Einstellungen!$B$8="Ja",Einstellungen!$B$9="Effektiv"),$I576,"-")</f>
        <v>-</v>
      </c>
      <c r="K576" s="31" t="n">
        <f aca="false">IF(OR($F576="",$J576="-"),0,ROUND($F576-$F576/(1+$H576),2))</f>
        <v>0</v>
      </c>
      <c r="L576" s="31" t="n">
        <f aca="false">IF($F576="",0,$F576-$K576)</f>
        <v>0</v>
      </c>
      <c r="M576" s="31" t="n">
        <f aca="false">IF($F576="",0,IF($J576="V",$L576,$F576))</f>
        <v>0</v>
      </c>
      <c r="N576" s="31" t="n">
        <f aca="false">IF($F576="",0,IF($J576="U",$L576,$F576))</f>
        <v>0</v>
      </c>
      <c r="O576" s="35" t="str">
        <f aca="false">IF($A576="","",MONTH($A576))</f>
        <v/>
      </c>
      <c r="P576" s="35" t="str">
        <f aca="false">IF($A576="","",ROUNDUP(MONTH($A576)/3,0))</f>
        <v/>
      </c>
      <c r="Q576" s="35" t="str">
        <f aca="false">IF($A576="","",IF(MONTH($A576)&lt;=6,1,2))</f>
        <v/>
      </c>
      <c r="R576" s="35" t="str">
        <f aca="false">IF($E576="","",IFERROR(INDEX(Kontenplan!$F$5:$F$90,MATCH($E576,Kontenplan!$A$5:$A$90,0)),""))</f>
        <v/>
      </c>
      <c r="S576" s="35" t="str">
        <f aca="false">IF($D576="","",IFERROR(INDEX(Kontenplan!$F$5:$F$90,MATCH($D576,Kontenplan!$A$5:$A$90,0)),""))</f>
        <v/>
      </c>
      <c r="T576" s="35" t="str">
        <f aca="false">IF($D576="","",IFERROR(INDEX(Kontenplan!$C$5:$C$90,MATCH($D576,Kontenplan!$A$5:$A$90,0)),"?"))</f>
        <v/>
      </c>
      <c r="U576" s="35" t="str">
        <f aca="false">IF($E576="","",IFERROR(INDEX(Kontenplan!$C$5:$C$90,MATCH($E576,Kontenplan!$A$5:$A$90,0)),"?"))</f>
        <v/>
      </c>
      <c r="V576" s="35" t="str">
        <f aca="false">IF($F576="","",IF(OR($D576="",$E576="",$T576="?",$U576="?"),"Konto prüfen!",IF($A576="","Datum fehlt",IF(YEAR($A576)&lt;&gt;Einstellungen!$B$7,"anderes Jahr!",IF($G576="","MWST-Code fehlt","OK")))))</f>
        <v/>
      </c>
      <c r="W576" s="35" t="str">
        <f aca="false">IF($F576="","",IF(OR($D576=Kontoauszug!$C$4,$E576=Kontoauszug!$C$4),MAX(W$4:W575)+1,""))</f>
        <v/>
      </c>
    </row>
    <row r="577" customFormat="false" ht="15" hidden="false" customHeight="false" outlineLevel="0" collapsed="false">
      <c r="A577" s="33"/>
      <c r="B577" s="32"/>
      <c r="C577" s="32"/>
      <c r="D577" s="32"/>
      <c r="E577" s="32"/>
      <c r="F577" s="30"/>
      <c r="G577" s="32"/>
      <c r="H577" s="34" t="n">
        <f aca="false">IF($G577="",0,IFERROR(INDEX(Einstellungen!$G$5:$G$11,MATCH($G577,Einstellungen!$E$5:$E$11,0)),0))</f>
        <v>0</v>
      </c>
      <c r="I577" s="35" t="str">
        <f aca="false">IF($G577="","-",IFERROR(INDEX(Einstellungen!$H$5:$H$11,MATCH($G577,Einstellungen!$E$5:$E$11,0)),"-"))</f>
        <v>-</v>
      </c>
      <c r="J577" s="35" t="str">
        <f aca="false">IF(AND(Einstellungen!$B$8="Ja",Einstellungen!$B$9="Effektiv"),$I577,"-")</f>
        <v>-</v>
      </c>
      <c r="K577" s="31" t="n">
        <f aca="false">IF(OR($F577="",$J577="-"),0,ROUND($F577-$F577/(1+$H577),2))</f>
        <v>0</v>
      </c>
      <c r="L577" s="31" t="n">
        <f aca="false">IF($F577="",0,$F577-$K577)</f>
        <v>0</v>
      </c>
      <c r="M577" s="31" t="n">
        <f aca="false">IF($F577="",0,IF($J577="V",$L577,$F577))</f>
        <v>0</v>
      </c>
      <c r="N577" s="31" t="n">
        <f aca="false">IF($F577="",0,IF($J577="U",$L577,$F577))</f>
        <v>0</v>
      </c>
      <c r="O577" s="35" t="str">
        <f aca="false">IF($A577="","",MONTH($A577))</f>
        <v/>
      </c>
      <c r="P577" s="35" t="str">
        <f aca="false">IF($A577="","",ROUNDUP(MONTH($A577)/3,0))</f>
        <v/>
      </c>
      <c r="Q577" s="35" t="str">
        <f aca="false">IF($A577="","",IF(MONTH($A577)&lt;=6,1,2))</f>
        <v/>
      </c>
      <c r="R577" s="35" t="str">
        <f aca="false">IF($E577="","",IFERROR(INDEX(Kontenplan!$F$5:$F$90,MATCH($E577,Kontenplan!$A$5:$A$90,0)),""))</f>
        <v/>
      </c>
      <c r="S577" s="35" t="str">
        <f aca="false">IF($D577="","",IFERROR(INDEX(Kontenplan!$F$5:$F$90,MATCH($D577,Kontenplan!$A$5:$A$90,0)),""))</f>
        <v/>
      </c>
      <c r="T577" s="35" t="str">
        <f aca="false">IF($D577="","",IFERROR(INDEX(Kontenplan!$C$5:$C$90,MATCH($D577,Kontenplan!$A$5:$A$90,0)),"?"))</f>
        <v/>
      </c>
      <c r="U577" s="35" t="str">
        <f aca="false">IF($E577="","",IFERROR(INDEX(Kontenplan!$C$5:$C$90,MATCH($E577,Kontenplan!$A$5:$A$90,0)),"?"))</f>
        <v/>
      </c>
      <c r="V577" s="35" t="str">
        <f aca="false">IF($F577="","",IF(OR($D577="",$E577="",$T577="?",$U577="?"),"Konto prüfen!",IF($A577="","Datum fehlt",IF(YEAR($A577)&lt;&gt;Einstellungen!$B$7,"anderes Jahr!",IF($G577="","MWST-Code fehlt","OK")))))</f>
        <v/>
      </c>
      <c r="W577" s="35" t="str">
        <f aca="false">IF($F577="","",IF(OR($D577=Kontoauszug!$C$4,$E577=Kontoauszug!$C$4),MAX(W$4:W576)+1,""))</f>
        <v/>
      </c>
    </row>
    <row r="578" customFormat="false" ht="15" hidden="false" customHeight="false" outlineLevel="0" collapsed="false">
      <c r="A578" s="33"/>
      <c r="B578" s="32"/>
      <c r="C578" s="32"/>
      <c r="D578" s="32"/>
      <c r="E578" s="32"/>
      <c r="F578" s="30"/>
      <c r="G578" s="32"/>
      <c r="H578" s="34" t="n">
        <f aca="false">IF($G578="",0,IFERROR(INDEX(Einstellungen!$G$5:$G$11,MATCH($G578,Einstellungen!$E$5:$E$11,0)),0))</f>
        <v>0</v>
      </c>
      <c r="I578" s="35" t="str">
        <f aca="false">IF($G578="","-",IFERROR(INDEX(Einstellungen!$H$5:$H$11,MATCH($G578,Einstellungen!$E$5:$E$11,0)),"-"))</f>
        <v>-</v>
      </c>
      <c r="J578" s="35" t="str">
        <f aca="false">IF(AND(Einstellungen!$B$8="Ja",Einstellungen!$B$9="Effektiv"),$I578,"-")</f>
        <v>-</v>
      </c>
      <c r="K578" s="31" t="n">
        <f aca="false">IF(OR($F578="",$J578="-"),0,ROUND($F578-$F578/(1+$H578),2))</f>
        <v>0</v>
      </c>
      <c r="L578" s="31" t="n">
        <f aca="false">IF($F578="",0,$F578-$K578)</f>
        <v>0</v>
      </c>
      <c r="M578" s="31" t="n">
        <f aca="false">IF($F578="",0,IF($J578="V",$L578,$F578))</f>
        <v>0</v>
      </c>
      <c r="N578" s="31" t="n">
        <f aca="false">IF($F578="",0,IF($J578="U",$L578,$F578))</f>
        <v>0</v>
      </c>
      <c r="O578" s="35" t="str">
        <f aca="false">IF($A578="","",MONTH($A578))</f>
        <v/>
      </c>
      <c r="P578" s="35" t="str">
        <f aca="false">IF($A578="","",ROUNDUP(MONTH($A578)/3,0))</f>
        <v/>
      </c>
      <c r="Q578" s="35" t="str">
        <f aca="false">IF($A578="","",IF(MONTH($A578)&lt;=6,1,2))</f>
        <v/>
      </c>
      <c r="R578" s="35" t="str">
        <f aca="false">IF($E578="","",IFERROR(INDEX(Kontenplan!$F$5:$F$90,MATCH($E578,Kontenplan!$A$5:$A$90,0)),""))</f>
        <v/>
      </c>
      <c r="S578" s="35" t="str">
        <f aca="false">IF($D578="","",IFERROR(INDEX(Kontenplan!$F$5:$F$90,MATCH($D578,Kontenplan!$A$5:$A$90,0)),""))</f>
        <v/>
      </c>
      <c r="T578" s="35" t="str">
        <f aca="false">IF($D578="","",IFERROR(INDEX(Kontenplan!$C$5:$C$90,MATCH($D578,Kontenplan!$A$5:$A$90,0)),"?"))</f>
        <v/>
      </c>
      <c r="U578" s="35" t="str">
        <f aca="false">IF($E578="","",IFERROR(INDEX(Kontenplan!$C$5:$C$90,MATCH($E578,Kontenplan!$A$5:$A$90,0)),"?"))</f>
        <v/>
      </c>
      <c r="V578" s="35" t="str">
        <f aca="false">IF($F578="","",IF(OR($D578="",$E578="",$T578="?",$U578="?"),"Konto prüfen!",IF($A578="","Datum fehlt",IF(YEAR($A578)&lt;&gt;Einstellungen!$B$7,"anderes Jahr!",IF($G578="","MWST-Code fehlt","OK")))))</f>
        <v/>
      </c>
      <c r="W578" s="35" t="str">
        <f aca="false">IF($F578="","",IF(OR($D578=Kontoauszug!$C$4,$E578=Kontoauszug!$C$4),MAX(W$4:W577)+1,""))</f>
        <v/>
      </c>
    </row>
    <row r="579" customFormat="false" ht="15" hidden="false" customHeight="false" outlineLevel="0" collapsed="false">
      <c r="A579" s="33"/>
      <c r="B579" s="32"/>
      <c r="C579" s="32"/>
      <c r="D579" s="32"/>
      <c r="E579" s="32"/>
      <c r="F579" s="30"/>
      <c r="G579" s="32"/>
      <c r="H579" s="34" t="n">
        <f aca="false">IF($G579="",0,IFERROR(INDEX(Einstellungen!$G$5:$G$11,MATCH($G579,Einstellungen!$E$5:$E$11,0)),0))</f>
        <v>0</v>
      </c>
      <c r="I579" s="35" t="str">
        <f aca="false">IF($G579="","-",IFERROR(INDEX(Einstellungen!$H$5:$H$11,MATCH($G579,Einstellungen!$E$5:$E$11,0)),"-"))</f>
        <v>-</v>
      </c>
      <c r="J579" s="35" t="str">
        <f aca="false">IF(AND(Einstellungen!$B$8="Ja",Einstellungen!$B$9="Effektiv"),$I579,"-")</f>
        <v>-</v>
      </c>
      <c r="K579" s="31" t="n">
        <f aca="false">IF(OR($F579="",$J579="-"),0,ROUND($F579-$F579/(1+$H579),2))</f>
        <v>0</v>
      </c>
      <c r="L579" s="31" t="n">
        <f aca="false">IF($F579="",0,$F579-$K579)</f>
        <v>0</v>
      </c>
      <c r="M579" s="31" t="n">
        <f aca="false">IF($F579="",0,IF($J579="V",$L579,$F579))</f>
        <v>0</v>
      </c>
      <c r="N579" s="31" t="n">
        <f aca="false">IF($F579="",0,IF($J579="U",$L579,$F579))</f>
        <v>0</v>
      </c>
      <c r="O579" s="35" t="str">
        <f aca="false">IF($A579="","",MONTH($A579))</f>
        <v/>
      </c>
      <c r="P579" s="35" t="str">
        <f aca="false">IF($A579="","",ROUNDUP(MONTH($A579)/3,0))</f>
        <v/>
      </c>
      <c r="Q579" s="35" t="str">
        <f aca="false">IF($A579="","",IF(MONTH($A579)&lt;=6,1,2))</f>
        <v/>
      </c>
      <c r="R579" s="35" t="str">
        <f aca="false">IF($E579="","",IFERROR(INDEX(Kontenplan!$F$5:$F$90,MATCH($E579,Kontenplan!$A$5:$A$90,0)),""))</f>
        <v/>
      </c>
      <c r="S579" s="35" t="str">
        <f aca="false">IF($D579="","",IFERROR(INDEX(Kontenplan!$F$5:$F$90,MATCH($D579,Kontenplan!$A$5:$A$90,0)),""))</f>
        <v/>
      </c>
      <c r="T579" s="35" t="str">
        <f aca="false">IF($D579="","",IFERROR(INDEX(Kontenplan!$C$5:$C$90,MATCH($D579,Kontenplan!$A$5:$A$90,0)),"?"))</f>
        <v/>
      </c>
      <c r="U579" s="35" t="str">
        <f aca="false">IF($E579="","",IFERROR(INDEX(Kontenplan!$C$5:$C$90,MATCH($E579,Kontenplan!$A$5:$A$90,0)),"?"))</f>
        <v/>
      </c>
      <c r="V579" s="35" t="str">
        <f aca="false">IF($F579="","",IF(OR($D579="",$E579="",$T579="?",$U579="?"),"Konto prüfen!",IF($A579="","Datum fehlt",IF(YEAR($A579)&lt;&gt;Einstellungen!$B$7,"anderes Jahr!",IF($G579="","MWST-Code fehlt","OK")))))</f>
        <v/>
      </c>
      <c r="W579" s="35" t="str">
        <f aca="false">IF($F579="","",IF(OR($D579=Kontoauszug!$C$4,$E579=Kontoauszug!$C$4),MAX(W$4:W578)+1,""))</f>
        <v/>
      </c>
    </row>
    <row r="580" customFormat="false" ht="15" hidden="false" customHeight="false" outlineLevel="0" collapsed="false">
      <c r="A580" s="33"/>
      <c r="B580" s="32"/>
      <c r="C580" s="32"/>
      <c r="D580" s="32"/>
      <c r="E580" s="32"/>
      <c r="F580" s="30"/>
      <c r="G580" s="32"/>
      <c r="H580" s="34" t="n">
        <f aca="false">IF($G580="",0,IFERROR(INDEX(Einstellungen!$G$5:$G$11,MATCH($G580,Einstellungen!$E$5:$E$11,0)),0))</f>
        <v>0</v>
      </c>
      <c r="I580" s="35" t="str">
        <f aca="false">IF($G580="","-",IFERROR(INDEX(Einstellungen!$H$5:$H$11,MATCH($G580,Einstellungen!$E$5:$E$11,0)),"-"))</f>
        <v>-</v>
      </c>
      <c r="J580" s="35" t="str">
        <f aca="false">IF(AND(Einstellungen!$B$8="Ja",Einstellungen!$B$9="Effektiv"),$I580,"-")</f>
        <v>-</v>
      </c>
      <c r="K580" s="31" t="n">
        <f aca="false">IF(OR($F580="",$J580="-"),0,ROUND($F580-$F580/(1+$H580),2))</f>
        <v>0</v>
      </c>
      <c r="L580" s="31" t="n">
        <f aca="false">IF($F580="",0,$F580-$K580)</f>
        <v>0</v>
      </c>
      <c r="M580" s="31" t="n">
        <f aca="false">IF($F580="",0,IF($J580="V",$L580,$F580))</f>
        <v>0</v>
      </c>
      <c r="N580" s="31" t="n">
        <f aca="false">IF($F580="",0,IF($J580="U",$L580,$F580))</f>
        <v>0</v>
      </c>
      <c r="O580" s="35" t="str">
        <f aca="false">IF($A580="","",MONTH($A580))</f>
        <v/>
      </c>
      <c r="P580" s="35" t="str">
        <f aca="false">IF($A580="","",ROUNDUP(MONTH($A580)/3,0))</f>
        <v/>
      </c>
      <c r="Q580" s="35" t="str">
        <f aca="false">IF($A580="","",IF(MONTH($A580)&lt;=6,1,2))</f>
        <v/>
      </c>
      <c r="R580" s="35" t="str">
        <f aca="false">IF($E580="","",IFERROR(INDEX(Kontenplan!$F$5:$F$90,MATCH($E580,Kontenplan!$A$5:$A$90,0)),""))</f>
        <v/>
      </c>
      <c r="S580" s="35" t="str">
        <f aca="false">IF($D580="","",IFERROR(INDEX(Kontenplan!$F$5:$F$90,MATCH($D580,Kontenplan!$A$5:$A$90,0)),""))</f>
        <v/>
      </c>
      <c r="T580" s="35" t="str">
        <f aca="false">IF($D580="","",IFERROR(INDEX(Kontenplan!$C$5:$C$90,MATCH($D580,Kontenplan!$A$5:$A$90,0)),"?"))</f>
        <v/>
      </c>
      <c r="U580" s="35" t="str">
        <f aca="false">IF($E580="","",IFERROR(INDEX(Kontenplan!$C$5:$C$90,MATCH($E580,Kontenplan!$A$5:$A$90,0)),"?"))</f>
        <v/>
      </c>
      <c r="V580" s="35" t="str">
        <f aca="false">IF($F580="","",IF(OR($D580="",$E580="",$T580="?",$U580="?"),"Konto prüfen!",IF($A580="","Datum fehlt",IF(YEAR($A580)&lt;&gt;Einstellungen!$B$7,"anderes Jahr!",IF($G580="","MWST-Code fehlt","OK")))))</f>
        <v/>
      </c>
      <c r="W580" s="35" t="str">
        <f aca="false">IF($F580="","",IF(OR($D580=Kontoauszug!$C$4,$E580=Kontoauszug!$C$4),MAX(W$4:W579)+1,""))</f>
        <v/>
      </c>
    </row>
    <row r="581" customFormat="false" ht="15" hidden="false" customHeight="false" outlineLevel="0" collapsed="false">
      <c r="A581" s="33"/>
      <c r="B581" s="32"/>
      <c r="C581" s="32"/>
      <c r="D581" s="32"/>
      <c r="E581" s="32"/>
      <c r="F581" s="30"/>
      <c r="G581" s="32"/>
      <c r="H581" s="34" t="n">
        <f aca="false">IF($G581="",0,IFERROR(INDEX(Einstellungen!$G$5:$G$11,MATCH($G581,Einstellungen!$E$5:$E$11,0)),0))</f>
        <v>0</v>
      </c>
      <c r="I581" s="35" t="str">
        <f aca="false">IF($G581="","-",IFERROR(INDEX(Einstellungen!$H$5:$H$11,MATCH($G581,Einstellungen!$E$5:$E$11,0)),"-"))</f>
        <v>-</v>
      </c>
      <c r="J581" s="35" t="str">
        <f aca="false">IF(AND(Einstellungen!$B$8="Ja",Einstellungen!$B$9="Effektiv"),$I581,"-")</f>
        <v>-</v>
      </c>
      <c r="K581" s="31" t="n">
        <f aca="false">IF(OR($F581="",$J581="-"),0,ROUND($F581-$F581/(1+$H581),2))</f>
        <v>0</v>
      </c>
      <c r="L581" s="31" t="n">
        <f aca="false">IF($F581="",0,$F581-$K581)</f>
        <v>0</v>
      </c>
      <c r="M581" s="31" t="n">
        <f aca="false">IF($F581="",0,IF($J581="V",$L581,$F581))</f>
        <v>0</v>
      </c>
      <c r="N581" s="31" t="n">
        <f aca="false">IF($F581="",0,IF($J581="U",$L581,$F581))</f>
        <v>0</v>
      </c>
      <c r="O581" s="35" t="str">
        <f aca="false">IF($A581="","",MONTH($A581))</f>
        <v/>
      </c>
      <c r="P581" s="35" t="str">
        <f aca="false">IF($A581="","",ROUNDUP(MONTH($A581)/3,0))</f>
        <v/>
      </c>
      <c r="Q581" s="35" t="str">
        <f aca="false">IF($A581="","",IF(MONTH($A581)&lt;=6,1,2))</f>
        <v/>
      </c>
      <c r="R581" s="35" t="str">
        <f aca="false">IF($E581="","",IFERROR(INDEX(Kontenplan!$F$5:$F$90,MATCH($E581,Kontenplan!$A$5:$A$90,0)),""))</f>
        <v/>
      </c>
      <c r="S581" s="35" t="str">
        <f aca="false">IF($D581="","",IFERROR(INDEX(Kontenplan!$F$5:$F$90,MATCH($D581,Kontenplan!$A$5:$A$90,0)),""))</f>
        <v/>
      </c>
      <c r="T581" s="35" t="str">
        <f aca="false">IF($D581="","",IFERROR(INDEX(Kontenplan!$C$5:$C$90,MATCH($D581,Kontenplan!$A$5:$A$90,0)),"?"))</f>
        <v/>
      </c>
      <c r="U581" s="35" t="str">
        <f aca="false">IF($E581="","",IFERROR(INDEX(Kontenplan!$C$5:$C$90,MATCH($E581,Kontenplan!$A$5:$A$90,0)),"?"))</f>
        <v/>
      </c>
      <c r="V581" s="35" t="str">
        <f aca="false">IF($F581="","",IF(OR($D581="",$E581="",$T581="?",$U581="?"),"Konto prüfen!",IF($A581="","Datum fehlt",IF(YEAR($A581)&lt;&gt;Einstellungen!$B$7,"anderes Jahr!",IF($G581="","MWST-Code fehlt","OK")))))</f>
        <v/>
      </c>
      <c r="W581" s="35" t="str">
        <f aca="false">IF($F581="","",IF(OR($D581=Kontoauszug!$C$4,$E581=Kontoauszug!$C$4),MAX(W$4:W580)+1,""))</f>
        <v/>
      </c>
    </row>
    <row r="582" customFormat="false" ht="15" hidden="false" customHeight="false" outlineLevel="0" collapsed="false">
      <c r="A582" s="33"/>
      <c r="B582" s="32"/>
      <c r="C582" s="32"/>
      <c r="D582" s="32"/>
      <c r="E582" s="32"/>
      <c r="F582" s="30"/>
      <c r="G582" s="32"/>
      <c r="H582" s="34" t="n">
        <f aca="false">IF($G582="",0,IFERROR(INDEX(Einstellungen!$G$5:$G$11,MATCH($G582,Einstellungen!$E$5:$E$11,0)),0))</f>
        <v>0</v>
      </c>
      <c r="I582" s="35" t="str">
        <f aca="false">IF($G582="","-",IFERROR(INDEX(Einstellungen!$H$5:$H$11,MATCH($G582,Einstellungen!$E$5:$E$11,0)),"-"))</f>
        <v>-</v>
      </c>
      <c r="J582" s="35" t="str">
        <f aca="false">IF(AND(Einstellungen!$B$8="Ja",Einstellungen!$B$9="Effektiv"),$I582,"-")</f>
        <v>-</v>
      </c>
      <c r="K582" s="31" t="n">
        <f aca="false">IF(OR($F582="",$J582="-"),0,ROUND($F582-$F582/(1+$H582),2))</f>
        <v>0</v>
      </c>
      <c r="L582" s="31" t="n">
        <f aca="false">IF($F582="",0,$F582-$K582)</f>
        <v>0</v>
      </c>
      <c r="M582" s="31" t="n">
        <f aca="false">IF($F582="",0,IF($J582="V",$L582,$F582))</f>
        <v>0</v>
      </c>
      <c r="N582" s="31" t="n">
        <f aca="false">IF($F582="",0,IF($J582="U",$L582,$F582))</f>
        <v>0</v>
      </c>
      <c r="O582" s="35" t="str">
        <f aca="false">IF($A582="","",MONTH($A582))</f>
        <v/>
      </c>
      <c r="P582" s="35" t="str">
        <f aca="false">IF($A582="","",ROUNDUP(MONTH($A582)/3,0))</f>
        <v/>
      </c>
      <c r="Q582" s="35" t="str">
        <f aca="false">IF($A582="","",IF(MONTH($A582)&lt;=6,1,2))</f>
        <v/>
      </c>
      <c r="R582" s="35" t="str">
        <f aca="false">IF($E582="","",IFERROR(INDEX(Kontenplan!$F$5:$F$90,MATCH($E582,Kontenplan!$A$5:$A$90,0)),""))</f>
        <v/>
      </c>
      <c r="S582" s="35" t="str">
        <f aca="false">IF($D582="","",IFERROR(INDEX(Kontenplan!$F$5:$F$90,MATCH($D582,Kontenplan!$A$5:$A$90,0)),""))</f>
        <v/>
      </c>
      <c r="T582" s="35" t="str">
        <f aca="false">IF($D582="","",IFERROR(INDEX(Kontenplan!$C$5:$C$90,MATCH($D582,Kontenplan!$A$5:$A$90,0)),"?"))</f>
        <v/>
      </c>
      <c r="U582" s="35" t="str">
        <f aca="false">IF($E582="","",IFERROR(INDEX(Kontenplan!$C$5:$C$90,MATCH($E582,Kontenplan!$A$5:$A$90,0)),"?"))</f>
        <v/>
      </c>
      <c r="V582" s="35" t="str">
        <f aca="false">IF($F582="","",IF(OR($D582="",$E582="",$T582="?",$U582="?"),"Konto prüfen!",IF($A582="","Datum fehlt",IF(YEAR($A582)&lt;&gt;Einstellungen!$B$7,"anderes Jahr!",IF($G582="","MWST-Code fehlt","OK")))))</f>
        <v/>
      </c>
      <c r="W582" s="35" t="str">
        <f aca="false">IF($F582="","",IF(OR($D582=Kontoauszug!$C$4,$E582=Kontoauszug!$C$4),MAX(W$4:W581)+1,""))</f>
        <v/>
      </c>
    </row>
    <row r="583" customFormat="false" ht="15" hidden="false" customHeight="false" outlineLevel="0" collapsed="false">
      <c r="A583" s="33"/>
      <c r="B583" s="32"/>
      <c r="C583" s="32"/>
      <c r="D583" s="32"/>
      <c r="E583" s="32"/>
      <c r="F583" s="30"/>
      <c r="G583" s="32"/>
      <c r="H583" s="34" t="n">
        <f aca="false">IF($G583="",0,IFERROR(INDEX(Einstellungen!$G$5:$G$11,MATCH($G583,Einstellungen!$E$5:$E$11,0)),0))</f>
        <v>0</v>
      </c>
      <c r="I583" s="35" t="str">
        <f aca="false">IF($G583="","-",IFERROR(INDEX(Einstellungen!$H$5:$H$11,MATCH($G583,Einstellungen!$E$5:$E$11,0)),"-"))</f>
        <v>-</v>
      </c>
      <c r="J583" s="35" t="str">
        <f aca="false">IF(AND(Einstellungen!$B$8="Ja",Einstellungen!$B$9="Effektiv"),$I583,"-")</f>
        <v>-</v>
      </c>
      <c r="K583" s="31" t="n">
        <f aca="false">IF(OR($F583="",$J583="-"),0,ROUND($F583-$F583/(1+$H583),2))</f>
        <v>0</v>
      </c>
      <c r="L583" s="31" t="n">
        <f aca="false">IF($F583="",0,$F583-$K583)</f>
        <v>0</v>
      </c>
      <c r="M583" s="31" t="n">
        <f aca="false">IF($F583="",0,IF($J583="V",$L583,$F583))</f>
        <v>0</v>
      </c>
      <c r="N583" s="31" t="n">
        <f aca="false">IF($F583="",0,IF($J583="U",$L583,$F583))</f>
        <v>0</v>
      </c>
      <c r="O583" s="35" t="str">
        <f aca="false">IF($A583="","",MONTH($A583))</f>
        <v/>
      </c>
      <c r="P583" s="35" t="str">
        <f aca="false">IF($A583="","",ROUNDUP(MONTH($A583)/3,0))</f>
        <v/>
      </c>
      <c r="Q583" s="35" t="str">
        <f aca="false">IF($A583="","",IF(MONTH($A583)&lt;=6,1,2))</f>
        <v/>
      </c>
      <c r="R583" s="35" t="str">
        <f aca="false">IF($E583="","",IFERROR(INDEX(Kontenplan!$F$5:$F$90,MATCH($E583,Kontenplan!$A$5:$A$90,0)),""))</f>
        <v/>
      </c>
      <c r="S583" s="35" t="str">
        <f aca="false">IF($D583="","",IFERROR(INDEX(Kontenplan!$F$5:$F$90,MATCH($D583,Kontenplan!$A$5:$A$90,0)),""))</f>
        <v/>
      </c>
      <c r="T583" s="35" t="str">
        <f aca="false">IF($D583="","",IFERROR(INDEX(Kontenplan!$C$5:$C$90,MATCH($D583,Kontenplan!$A$5:$A$90,0)),"?"))</f>
        <v/>
      </c>
      <c r="U583" s="35" t="str">
        <f aca="false">IF($E583="","",IFERROR(INDEX(Kontenplan!$C$5:$C$90,MATCH($E583,Kontenplan!$A$5:$A$90,0)),"?"))</f>
        <v/>
      </c>
      <c r="V583" s="35" t="str">
        <f aca="false">IF($F583="","",IF(OR($D583="",$E583="",$T583="?",$U583="?"),"Konto prüfen!",IF($A583="","Datum fehlt",IF(YEAR($A583)&lt;&gt;Einstellungen!$B$7,"anderes Jahr!",IF($G583="","MWST-Code fehlt","OK")))))</f>
        <v/>
      </c>
      <c r="W583" s="35" t="str">
        <f aca="false">IF($F583="","",IF(OR($D583=Kontoauszug!$C$4,$E583=Kontoauszug!$C$4),MAX(W$4:W582)+1,""))</f>
        <v/>
      </c>
    </row>
    <row r="584" customFormat="false" ht="15" hidden="false" customHeight="false" outlineLevel="0" collapsed="false">
      <c r="A584" s="33"/>
      <c r="B584" s="32"/>
      <c r="C584" s="32"/>
      <c r="D584" s="32"/>
      <c r="E584" s="32"/>
      <c r="F584" s="30"/>
      <c r="G584" s="32"/>
      <c r="H584" s="34" t="n">
        <f aca="false">IF($G584="",0,IFERROR(INDEX(Einstellungen!$G$5:$G$11,MATCH($G584,Einstellungen!$E$5:$E$11,0)),0))</f>
        <v>0</v>
      </c>
      <c r="I584" s="35" t="str">
        <f aca="false">IF($G584="","-",IFERROR(INDEX(Einstellungen!$H$5:$H$11,MATCH($G584,Einstellungen!$E$5:$E$11,0)),"-"))</f>
        <v>-</v>
      </c>
      <c r="J584" s="35" t="str">
        <f aca="false">IF(AND(Einstellungen!$B$8="Ja",Einstellungen!$B$9="Effektiv"),$I584,"-")</f>
        <v>-</v>
      </c>
      <c r="K584" s="31" t="n">
        <f aca="false">IF(OR($F584="",$J584="-"),0,ROUND($F584-$F584/(1+$H584),2))</f>
        <v>0</v>
      </c>
      <c r="L584" s="31" t="n">
        <f aca="false">IF($F584="",0,$F584-$K584)</f>
        <v>0</v>
      </c>
      <c r="M584" s="31" t="n">
        <f aca="false">IF($F584="",0,IF($J584="V",$L584,$F584))</f>
        <v>0</v>
      </c>
      <c r="N584" s="31" t="n">
        <f aca="false">IF($F584="",0,IF($J584="U",$L584,$F584))</f>
        <v>0</v>
      </c>
      <c r="O584" s="35" t="str">
        <f aca="false">IF($A584="","",MONTH($A584))</f>
        <v/>
      </c>
      <c r="P584" s="35" t="str">
        <f aca="false">IF($A584="","",ROUNDUP(MONTH($A584)/3,0))</f>
        <v/>
      </c>
      <c r="Q584" s="35" t="str">
        <f aca="false">IF($A584="","",IF(MONTH($A584)&lt;=6,1,2))</f>
        <v/>
      </c>
      <c r="R584" s="35" t="str">
        <f aca="false">IF($E584="","",IFERROR(INDEX(Kontenplan!$F$5:$F$90,MATCH($E584,Kontenplan!$A$5:$A$90,0)),""))</f>
        <v/>
      </c>
      <c r="S584" s="35" t="str">
        <f aca="false">IF($D584="","",IFERROR(INDEX(Kontenplan!$F$5:$F$90,MATCH($D584,Kontenplan!$A$5:$A$90,0)),""))</f>
        <v/>
      </c>
      <c r="T584" s="35" t="str">
        <f aca="false">IF($D584="","",IFERROR(INDEX(Kontenplan!$C$5:$C$90,MATCH($D584,Kontenplan!$A$5:$A$90,0)),"?"))</f>
        <v/>
      </c>
      <c r="U584" s="35" t="str">
        <f aca="false">IF($E584="","",IFERROR(INDEX(Kontenplan!$C$5:$C$90,MATCH($E584,Kontenplan!$A$5:$A$90,0)),"?"))</f>
        <v/>
      </c>
      <c r="V584" s="35" t="str">
        <f aca="false">IF($F584="","",IF(OR($D584="",$E584="",$T584="?",$U584="?"),"Konto prüfen!",IF($A584="","Datum fehlt",IF(YEAR($A584)&lt;&gt;Einstellungen!$B$7,"anderes Jahr!",IF($G584="","MWST-Code fehlt","OK")))))</f>
        <v/>
      </c>
      <c r="W584" s="35" t="str">
        <f aca="false">IF($F584="","",IF(OR($D584=Kontoauszug!$C$4,$E584=Kontoauszug!$C$4),MAX(W$4:W583)+1,""))</f>
        <v/>
      </c>
    </row>
    <row r="585" customFormat="false" ht="15" hidden="false" customHeight="false" outlineLevel="0" collapsed="false">
      <c r="A585" s="33"/>
      <c r="B585" s="32"/>
      <c r="C585" s="32"/>
      <c r="D585" s="32"/>
      <c r="E585" s="32"/>
      <c r="F585" s="30"/>
      <c r="G585" s="32"/>
      <c r="H585" s="34" t="n">
        <f aca="false">IF($G585="",0,IFERROR(INDEX(Einstellungen!$G$5:$G$11,MATCH($G585,Einstellungen!$E$5:$E$11,0)),0))</f>
        <v>0</v>
      </c>
      <c r="I585" s="35" t="str">
        <f aca="false">IF($G585="","-",IFERROR(INDEX(Einstellungen!$H$5:$H$11,MATCH($G585,Einstellungen!$E$5:$E$11,0)),"-"))</f>
        <v>-</v>
      </c>
      <c r="J585" s="35" t="str">
        <f aca="false">IF(AND(Einstellungen!$B$8="Ja",Einstellungen!$B$9="Effektiv"),$I585,"-")</f>
        <v>-</v>
      </c>
      <c r="K585" s="31" t="n">
        <f aca="false">IF(OR($F585="",$J585="-"),0,ROUND($F585-$F585/(1+$H585),2))</f>
        <v>0</v>
      </c>
      <c r="L585" s="31" t="n">
        <f aca="false">IF($F585="",0,$F585-$K585)</f>
        <v>0</v>
      </c>
      <c r="M585" s="31" t="n">
        <f aca="false">IF($F585="",0,IF($J585="V",$L585,$F585))</f>
        <v>0</v>
      </c>
      <c r="N585" s="31" t="n">
        <f aca="false">IF($F585="",0,IF($J585="U",$L585,$F585))</f>
        <v>0</v>
      </c>
      <c r="O585" s="35" t="str">
        <f aca="false">IF($A585="","",MONTH($A585))</f>
        <v/>
      </c>
      <c r="P585" s="35" t="str">
        <f aca="false">IF($A585="","",ROUNDUP(MONTH($A585)/3,0))</f>
        <v/>
      </c>
      <c r="Q585" s="35" t="str">
        <f aca="false">IF($A585="","",IF(MONTH($A585)&lt;=6,1,2))</f>
        <v/>
      </c>
      <c r="R585" s="35" t="str">
        <f aca="false">IF($E585="","",IFERROR(INDEX(Kontenplan!$F$5:$F$90,MATCH($E585,Kontenplan!$A$5:$A$90,0)),""))</f>
        <v/>
      </c>
      <c r="S585" s="35" t="str">
        <f aca="false">IF($D585="","",IFERROR(INDEX(Kontenplan!$F$5:$F$90,MATCH($D585,Kontenplan!$A$5:$A$90,0)),""))</f>
        <v/>
      </c>
      <c r="T585" s="35" t="str">
        <f aca="false">IF($D585="","",IFERROR(INDEX(Kontenplan!$C$5:$C$90,MATCH($D585,Kontenplan!$A$5:$A$90,0)),"?"))</f>
        <v/>
      </c>
      <c r="U585" s="35" t="str">
        <f aca="false">IF($E585="","",IFERROR(INDEX(Kontenplan!$C$5:$C$90,MATCH($E585,Kontenplan!$A$5:$A$90,0)),"?"))</f>
        <v/>
      </c>
      <c r="V585" s="35" t="str">
        <f aca="false">IF($F585="","",IF(OR($D585="",$E585="",$T585="?",$U585="?"),"Konto prüfen!",IF($A585="","Datum fehlt",IF(YEAR($A585)&lt;&gt;Einstellungen!$B$7,"anderes Jahr!",IF($G585="","MWST-Code fehlt","OK")))))</f>
        <v/>
      </c>
      <c r="W585" s="35" t="str">
        <f aca="false">IF($F585="","",IF(OR($D585=Kontoauszug!$C$4,$E585=Kontoauszug!$C$4),MAX(W$4:W584)+1,""))</f>
        <v/>
      </c>
    </row>
    <row r="586" customFormat="false" ht="15" hidden="false" customHeight="false" outlineLevel="0" collapsed="false">
      <c r="A586" s="33"/>
      <c r="B586" s="32"/>
      <c r="C586" s="32"/>
      <c r="D586" s="32"/>
      <c r="E586" s="32"/>
      <c r="F586" s="30"/>
      <c r="G586" s="32"/>
      <c r="H586" s="34" t="n">
        <f aca="false">IF($G586="",0,IFERROR(INDEX(Einstellungen!$G$5:$G$11,MATCH($G586,Einstellungen!$E$5:$E$11,0)),0))</f>
        <v>0</v>
      </c>
      <c r="I586" s="35" t="str">
        <f aca="false">IF($G586="","-",IFERROR(INDEX(Einstellungen!$H$5:$H$11,MATCH($G586,Einstellungen!$E$5:$E$11,0)),"-"))</f>
        <v>-</v>
      </c>
      <c r="J586" s="35" t="str">
        <f aca="false">IF(AND(Einstellungen!$B$8="Ja",Einstellungen!$B$9="Effektiv"),$I586,"-")</f>
        <v>-</v>
      </c>
      <c r="K586" s="31" t="n">
        <f aca="false">IF(OR($F586="",$J586="-"),0,ROUND($F586-$F586/(1+$H586),2))</f>
        <v>0</v>
      </c>
      <c r="L586" s="31" t="n">
        <f aca="false">IF($F586="",0,$F586-$K586)</f>
        <v>0</v>
      </c>
      <c r="M586" s="31" t="n">
        <f aca="false">IF($F586="",0,IF($J586="V",$L586,$F586))</f>
        <v>0</v>
      </c>
      <c r="N586" s="31" t="n">
        <f aca="false">IF($F586="",0,IF($J586="U",$L586,$F586))</f>
        <v>0</v>
      </c>
      <c r="O586" s="35" t="str">
        <f aca="false">IF($A586="","",MONTH($A586))</f>
        <v/>
      </c>
      <c r="P586" s="35" t="str">
        <f aca="false">IF($A586="","",ROUNDUP(MONTH($A586)/3,0))</f>
        <v/>
      </c>
      <c r="Q586" s="35" t="str">
        <f aca="false">IF($A586="","",IF(MONTH($A586)&lt;=6,1,2))</f>
        <v/>
      </c>
      <c r="R586" s="35" t="str">
        <f aca="false">IF($E586="","",IFERROR(INDEX(Kontenplan!$F$5:$F$90,MATCH($E586,Kontenplan!$A$5:$A$90,0)),""))</f>
        <v/>
      </c>
      <c r="S586" s="35" t="str">
        <f aca="false">IF($D586="","",IFERROR(INDEX(Kontenplan!$F$5:$F$90,MATCH($D586,Kontenplan!$A$5:$A$90,0)),""))</f>
        <v/>
      </c>
      <c r="T586" s="35" t="str">
        <f aca="false">IF($D586="","",IFERROR(INDEX(Kontenplan!$C$5:$C$90,MATCH($D586,Kontenplan!$A$5:$A$90,0)),"?"))</f>
        <v/>
      </c>
      <c r="U586" s="35" t="str">
        <f aca="false">IF($E586="","",IFERROR(INDEX(Kontenplan!$C$5:$C$90,MATCH($E586,Kontenplan!$A$5:$A$90,0)),"?"))</f>
        <v/>
      </c>
      <c r="V586" s="35" t="str">
        <f aca="false">IF($F586="","",IF(OR($D586="",$E586="",$T586="?",$U586="?"),"Konto prüfen!",IF($A586="","Datum fehlt",IF(YEAR($A586)&lt;&gt;Einstellungen!$B$7,"anderes Jahr!",IF($G586="","MWST-Code fehlt","OK")))))</f>
        <v/>
      </c>
      <c r="W586" s="35" t="str">
        <f aca="false">IF($F586="","",IF(OR($D586=Kontoauszug!$C$4,$E586=Kontoauszug!$C$4),MAX(W$4:W585)+1,""))</f>
        <v/>
      </c>
    </row>
    <row r="587" customFormat="false" ht="15" hidden="false" customHeight="false" outlineLevel="0" collapsed="false">
      <c r="A587" s="33"/>
      <c r="B587" s="32"/>
      <c r="C587" s="32"/>
      <c r="D587" s="32"/>
      <c r="E587" s="32"/>
      <c r="F587" s="30"/>
      <c r="G587" s="32"/>
      <c r="H587" s="34" t="n">
        <f aca="false">IF($G587="",0,IFERROR(INDEX(Einstellungen!$G$5:$G$11,MATCH($G587,Einstellungen!$E$5:$E$11,0)),0))</f>
        <v>0</v>
      </c>
      <c r="I587" s="35" t="str">
        <f aca="false">IF($G587="","-",IFERROR(INDEX(Einstellungen!$H$5:$H$11,MATCH($G587,Einstellungen!$E$5:$E$11,0)),"-"))</f>
        <v>-</v>
      </c>
      <c r="J587" s="35" t="str">
        <f aca="false">IF(AND(Einstellungen!$B$8="Ja",Einstellungen!$B$9="Effektiv"),$I587,"-")</f>
        <v>-</v>
      </c>
      <c r="K587" s="31" t="n">
        <f aca="false">IF(OR($F587="",$J587="-"),0,ROUND($F587-$F587/(1+$H587),2))</f>
        <v>0</v>
      </c>
      <c r="L587" s="31" t="n">
        <f aca="false">IF($F587="",0,$F587-$K587)</f>
        <v>0</v>
      </c>
      <c r="M587" s="31" t="n">
        <f aca="false">IF($F587="",0,IF($J587="V",$L587,$F587))</f>
        <v>0</v>
      </c>
      <c r="N587" s="31" t="n">
        <f aca="false">IF($F587="",0,IF($J587="U",$L587,$F587))</f>
        <v>0</v>
      </c>
      <c r="O587" s="35" t="str">
        <f aca="false">IF($A587="","",MONTH($A587))</f>
        <v/>
      </c>
      <c r="P587" s="35" t="str">
        <f aca="false">IF($A587="","",ROUNDUP(MONTH($A587)/3,0))</f>
        <v/>
      </c>
      <c r="Q587" s="35" t="str">
        <f aca="false">IF($A587="","",IF(MONTH($A587)&lt;=6,1,2))</f>
        <v/>
      </c>
      <c r="R587" s="35" t="str">
        <f aca="false">IF($E587="","",IFERROR(INDEX(Kontenplan!$F$5:$F$90,MATCH($E587,Kontenplan!$A$5:$A$90,0)),""))</f>
        <v/>
      </c>
      <c r="S587" s="35" t="str">
        <f aca="false">IF($D587="","",IFERROR(INDEX(Kontenplan!$F$5:$F$90,MATCH($D587,Kontenplan!$A$5:$A$90,0)),""))</f>
        <v/>
      </c>
      <c r="T587" s="35" t="str">
        <f aca="false">IF($D587="","",IFERROR(INDEX(Kontenplan!$C$5:$C$90,MATCH($D587,Kontenplan!$A$5:$A$90,0)),"?"))</f>
        <v/>
      </c>
      <c r="U587" s="35" t="str">
        <f aca="false">IF($E587="","",IFERROR(INDEX(Kontenplan!$C$5:$C$90,MATCH($E587,Kontenplan!$A$5:$A$90,0)),"?"))</f>
        <v/>
      </c>
      <c r="V587" s="35" t="str">
        <f aca="false">IF($F587="","",IF(OR($D587="",$E587="",$T587="?",$U587="?"),"Konto prüfen!",IF($A587="","Datum fehlt",IF(YEAR($A587)&lt;&gt;Einstellungen!$B$7,"anderes Jahr!",IF($G587="","MWST-Code fehlt","OK")))))</f>
        <v/>
      </c>
      <c r="W587" s="35" t="str">
        <f aca="false">IF($F587="","",IF(OR($D587=Kontoauszug!$C$4,$E587=Kontoauszug!$C$4),MAX(W$4:W586)+1,""))</f>
        <v/>
      </c>
    </row>
    <row r="588" customFormat="false" ht="15" hidden="false" customHeight="false" outlineLevel="0" collapsed="false">
      <c r="A588" s="33"/>
      <c r="B588" s="32"/>
      <c r="C588" s="32"/>
      <c r="D588" s="32"/>
      <c r="E588" s="32"/>
      <c r="F588" s="30"/>
      <c r="G588" s="32"/>
      <c r="H588" s="34" t="n">
        <f aca="false">IF($G588="",0,IFERROR(INDEX(Einstellungen!$G$5:$G$11,MATCH($G588,Einstellungen!$E$5:$E$11,0)),0))</f>
        <v>0</v>
      </c>
      <c r="I588" s="35" t="str">
        <f aca="false">IF($G588="","-",IFERROR(INDEX(Einstellungen!$H$5:$H$11,MATCH($G588,Einstellungen!$E$5:$E$11,0)),"-"))</f>
        <v>-</v>
      </c>
      <c r="J588" s="35" t="str">
        <f aca="false">IF(AND(Einstellungen!$B$8="Ja",Einstellungen!$B$9="Effektiv"),$I588,"-")</f>
        <v>-</v>
      </c>
      <c r="K588" s="31" t="n">
        <f aca="false">IF(OR($F588="",$J588="-"),0,ROUND($F588-$F588/(1+$H588),2))</f>
        <v>0</v>
      </c>
      <c r="L588" s="31" t="n">
        <f aca="false">IF($F588="",0,$F588-$K588)</f>
        <v>0</v>
      </c>
      <c r="M588" s="31" t="n">
        <f aca="false">IF($F588="",0,IF($J588="V",$L588,$F588))</f>
        <v>0</v>
      </c>
      <c r="N588" s="31" t="n">
        <f aca="false">IF($F588="",0,IF($J588="U",$L588,$F588))</f>
        <v>0</v>
      </c>
      <c r="O588" s="35" t="str">
        <f aca="false">IF($A588="","",MONTH($A588))</f>
        <v/>
      </c>
      <c r="P588" s="35" t="str">
        <f aca="false">IF($A588="","",ROUNDUP(MONTH($A588)/3,0))</f>
        <v/>
      </c>
      <c r="Q588" s="35" t="str">
        <f aca="false">IF($A588="","",IF(MONTH($A588)&lt;=6,1,2))</f>
        <v/>
      </c>
      <c r="R588" s="35" t="str">
        <f aca="false">IF($E588="","",IFERROR(INDEX(Kontenplan!$F$5:$F$90,MATCH($E588,Kontenplan!$A$5:$A$90,0)),""))</f>
        <v/>
      </c>
      <c r="S588" s="35" t="str">
        <f aca="false">IF($D588="","",IFERROR(INDEX(Kontenplan!$F$5:$F$90,MATCH($D588,Kontenplan!$A$5:$A$90,0)),""))</f>
        <v/>
      </c>
      <c r="T588" s="35" t="str">
        <f aca="false">IF($D588="","",IFERROR(INDEX(Kontenplan!$C$5:$C$90,MATCH($D588,Kontenplan!$A$5:$A$90,0)),"?"))</f>
        <v/>
      </c>
      <c r="U588" s="35" t="str">
        <f aca="false">IF($E588="","",IFERROR(INDEX(Kontenplan!$C$5:$C$90,MATCH($E588,Kontenplan!$A$5:$A$90,0)),"?"))</f>
        <v/>
      </c>
      <c r="V588" s="35" t="str">
        <f aca="false">IF($F588="","",IF(OR($D588="",$E588="",$T588="?",$U588="?"),"Konto prüfen!",IF($A588="","Datum fehlt",IF(YEAR($A588)&lt;&gt;Einstellungen!$B$7,"anderes Jahr!",IF($G588="","MWST-Code fehlt","OK")))))</f>
        <v/>
      </c>
      <c r="W588" s="35" t="str">
        <f aca="false">IF($F588="","",IF(OR($D588=Kontoauszug!$C$4,$E588=Kontoauszug!$C$4),MAX(W$4:W587)+1,""))</f>
        <v/>
      </c>
    </row>
    <row r="589" customFormat="false" ht="15" hidden="false" customHeight="false" outlineLevel="0" collapsed="false">
      <c r="A589" s="33"/>
      <c r="B589" s="32"/>
      <c r="C589" s="32"/>
      <c r="D589" s="32"/>
      <c r="E589" s="32"/>
      <c r="F589" s="30"/>
      <c r="G589" s="32"/>
      <c r="H589" s="34" t="n">
        <f aca="false">IF($G589="",0,IFERROR(INDEX(Einstellungen!$G$5:$G$11,MATCH($G589,Einstellungen!$E$5:$E$11,0)),0))</f>
        <v>0</v>
      </c>
      <c r="I589" s="35" t="str">
        <f aca="false">IF($G589="","-",IFERROR(INDEX(Einstellungen!$H$5:$H$11,MATCH($G589,Einstellungen!$E$5:$E$11,0)),"-"))</f>
        <v>-</v>
      </c>
      <c r="J589" s="35" t="str">
        <f aca="false">IF(AND(Einstellungen!$B$8="Ja",Einstellungen!$B$9="Effektiv"),$I589,"-")</f>
        <v>-</v>
      </c>
      <c r="K589" s="31" t="n">
        <f aca="false">IF(OR($F589="",$J589="-"),0,ROUND($F589-$F589/(1+$H589),2))</f>
        <v>0</v>
      </c>
      <c r="L589" s="31" t="n">
        <f aca="false">IF($F589="",0,$F589-$K589)</f>
        <v>0</v>
      </c>
      <c r="M589" s="31" t="n">
        <f aca="false">IF($F589="",0,IF($J589="V",$L589,$F589))</f>
        <v>0</v>
      </c>
      <c r="N589" s="31" t="n">
        <f aca="false">IF($F589="",0,IF($J589="U",$L589,$F589))</f>
        <v>0</v>
      </c>
      <c r="O589" s="35" t="str">
        <f aca="false">IF($A589="","",MONTH($A589))</f>
        <v/>
      </c>
      <c r="P589" s="35" t="str">
        <f aca="false">IF($A589="","",ROUNDUP(MONTH($A589)/3,0))</f>
        <v/>
      </c>
      <c r="Q589" s="35" t="str">
        <f aca="false">IF($A589="","",IF(MONTH($A589)&lt;=6,1,2))</f>
        <v/>
      </c>
      <c r="R589" s="35" t="str">
        <f aca="false">IF($E589="","",IFERROR(INDEX(Kontenplan!$F$5:$F$90,MATCH($E589,Kontenplan!$A$5:$A$90,0)),""))</f>
        <v/>
      </c>
      <c r="S589" s="35" t="str">
        <f aca="false">IF($D589="","",IFERROR(INDEX(Kontenplan!$F$5:$F$90,MATCH($D589,Kontenplan!$A$5:$A$90,0)),""))</f>
        <v/>
      </c>
      <c r="T589" s="35" t="str">
        <f aca="false">IF($D589="","",IFERROR(INDEX(Kontenplan!$C$5:$C$90,MATCH($D589,Kontenplan!$A$5:$A$90,0)),"?"))</f>
        <v/>
      </c>
      <c r="U589" s="35" t="str">
        <f aca="false">IF($E589="","",IFERROR(INDEX(Kontenplan!$C$5:$C$90,MATCH($E589,Kontenplan!$A$5:$A$90,0)),"?"))</f>
        <v/>
      </c>
      <c r="V589" s="35" t="str">
        <f aca="false">IF($F589="","",IF(OR($D589="",$E589="",$T589="?",$U589="?"),"Konto prüfen!",IF($A589="","Datum fehlt",IF(YEAR($A589)&lt;&gt;Einstellungen!$B$7,"anderes Jahr!",IF($G589="","MWST-Code fehlt","OK")))))</f>
        <v/>
      </c>
      <c r="W589" s="35" t="str">
        <f aca="false">IF($F589="","",IF(OR($D589=Kontoauszug!$C$4,$E589=Kontoauszug!$C$4),MAX(W$4:W588)+1,""))</f>
        <v/>
      </c>
    </row>
    <row r="590" customFormat="false" ht="15" hidden="false" customHeight="false" outlineLevel="0" collapsed="false">
      <c r="A590" s="33"/>
      <c r="B590" s="32"/>
      <c r="C590" s="32"/>
      <c r="D590" s="32"/>
      <c r="E590" s="32"/>
      <c r="F590" s="30"/>
      <c r="G590" s="32"/>
      <c r="H590" s="34" t="n">
        <f aca="false">IF($G590="",0,IFERROR(INDEX(Einstellungen!$G$5:$G$11,MATCH($G590,Einstellungen!$E$5:$E$11,0)),0))</f>
        <v>0</v>
      </c>
      <c r="I590" s="35" t="str">
        <f aca="false">IF($G590="","-",IFERROR(INDEX(Einstellungen!$H$5:$H$11,MATCH($G590,Einstellungen!$E$5:$E$11,0)),"-"))</f>
        <v>-</v>
      </c>
      <c r="J590" s="35" t="str">
        <f aca="false">IF(AND(Einstellungen!$B$8="Ja",Einstellungen!$B$9="Effektiv"),$I590,"-")</f>
        <v>-</v>
      </c>
      <c r="K590" s="31" t="n">
        <f aca="false">IF(OR($F590="",$J590="-"),0,ROUND($F590-$F590/(1+$H590),2))</f>
        <v>0</v>
      </c>
      <c r="L590" s="31" t="n">
        <f aca="false">IF($F590="",0,$F590-$K590)</f>
        <v>0</v>
      </c>
      <c r="M590" s="31" t="n">
        <f aca="false">IF($F590="",0,IF($J590="V",$L590,$F590))</f>
        <v>0</v>
      </c>
      <c r="N590" s="31" t="n">
        <f aca="false">IF($F590="",0,IF($J590="U",$L590,$F590))</f>
        <v>0</v>
      </c>
      <c r="O590" s="35" t="str">
        <f aca="false">IF($A590="","",MONTH($A590))</f>
        <v/>
      </c>
      <c r="P590" s="35" t="str">
        <f aca="false">IF($A590="","",ROUNDUP(MONTH($A590)/3,0))</f>
        <v/>
      </c>
      <c r="Q590" s="35" t="str">
        <f aca="false">IF($A590="","",IF(MONTH($A590)&lt;=6,1,2))</f>
        <v/>
      </c>
      <c r="R590" s="35" t="str">
        <f aca="false">IF($E590="","",IFERROR(INDEX(Kontenplan!$F$5:$F$90,MATCH($E590,Kontenplan!$A$5:$A$90,0)),""))</f>
        <v/>
      </c>
      <c r="S590" s="35" t="str">
        <f aca="false">IF($D590="","",IFERROR(INDEX(Kontenplan!$F$5:$F$90,MATCH($D590,Kontenplan!$A$5:$A$90,0)),""))</f>
        <v/>
      </c>
      <c r="T590" s="35" t="str">
        <f aca="false">IF($D590="","",IFERROR(INDEX(Kontenplan!$C$5:$C$90,MATCH($D590,Kontenplan!$A$5:$A$90,0)),"?"))</f>
        <v/>
      </c>
      <c r="U590" s="35" t="str">
        <f aca="false">IF($E590="","",IFERROR(INDEX(Kontenplan!$C$5:$C$90,MATCH($E590,Kontenplan!$A$5:$A$90,0)),"?"))</f>
        <v/>
      </c>
      <c r="V590" s="35" t="str">
        <f aca="false">IF($F590="","",IF(OR($D590="",$E590="",$T590="?",$U590="?"),"Konto prüfen!",IF($A590="","Datum fehlt",IF(YEAR($A590)&lt;&gt;Einstellungen!$B$7,"anderes Jahr!",IF($G590="","MWST-Code fehlt","OK")))))</f>
        <v/>
      </c>
      <c r="W590" s="35" t="str">
        <f aca="false">IF($F590="","",IF(OR($D590=Kontoauszug!$C$4,$E590=Kontoauszug!$C$4),MAX(W$4:W589)+1,""))</f>
        <v/>
      </c>
    </row>
    <row r="591" customFormat="false" ht="15" hidden="false" customHeight="false" outlineLevel="0" collapsed="false">
      <c r="A591" s="33"/>
      <c r="B591" s="32"/>
      <c r="C591" s="32"/>
      <c r="D591" s="32"/>
      <c r="E591" s="32"/>
      <c r="F591" s="30"/>
      <c r="G591" s="32"/>
      <c r="H591" s="34" t="n">
        <f aca="false">IF($G591="",0,IFERROR(INDEX(Einstellungen!$G$5:$G$11,MATCH($G591,Einstellungen!$E$5:$E$11,0)),0))</f>
        <v>0</v>
      </c>
      <c r="I591" s="35" t="str">
        <f aca="false">IF($G591="","-",IFERROR(INDEX(Einstellungen!$H$5:$H$11,MATCH($G591,Einstellungen!$E$5:$E$11,0)),"-"))</f>
        <v>-</v>
      </c>
      <c r="J591" s="35" t="str">
        <f aca="false">IF(AND(Einstellungen!$B$8="Ja",Einstellungen!$B$9="Effektiv"),$I591,"-")</f>
        <v>-</v>
      </c>
      <c r="K591" s="31" t="n">
        <f aca="false">IF(OR($F591="",$J591="-"),0,ROUND($F591-$F591/(1+$H591),2))</f>
        <v>0</v>
      </c>
      <c r="L591" s="31" t="n">
        <f aca="false">IF($F591="",0,$F591-$K591)</f>
        <v>0</v>
      </c>
      <c r="M591" s="31" t="n">
        <f aca="false">IF($F591="",0,IF($J591="V",$L591,$F591))</f>
        <v>0</v>
      </c>
      <c r="N591" s="31" t="n">
        <f aca="false">IF($F591="",0,IF($J591="U",$L591,$F591))</f>
        <v>0</v>
      </c>
      <c r="O591" s="35" t="str">
        <f aca="false">IF($A591="","",MONTH($A591))</f>
        <v/>
      </c>
      <c r="P591" s="35" t="str">
        <f aca="false">IF($A591="","",ROUNDUP(MONTH($A591)/3,0))</f>
        <v/>
      </c>
      <c r="Q591" s="35" t="str">
        <f aca="false">IF($A591="","",IF(MONTH($A591)&lt;=6,1,2))</f>
        <v/>
      </c>
      <c r="R591" s="35" t="str">
        <f aca="false">IF($E591="","",IFERROR(INDEX(Kontenplan!$F$5:$F$90,MATCH($E591,Kontenplan!$A$5:$A$90,0)),""))</f>
        <v/>
      </c>
      <c r="S591" s="35" t="str">
        <f aca="false">IF($D591="","",IFERROR(INDEX(Kontenplan!$F$5:$F$90,MATCH($D591,Kontenplan!$A$5:$A$90,0)),""))</f>
        <v/>
      </c>
      <c r="T591" s="35" t="str">
        <f aca="false">IF($D591="","",IFERROR(INDEX(Kontenplan!$C$5:$C$90,MATCH($D591,Kontenplan!$A$5:$A$90,0)),"?"))</f>
        <v/>
      </c>
      <c r="U591" s="35" t="str">
        <f aca="false">IF($E591="","",IFERROR(INDEX(Kontenplan!$C$5:$C$90,MATCH($E591,Kontenplan!$A$5:$A$90,0)),"?"))</f>
        <v/>
      </c>
      <c r="V591" s="35" t="str">
        <f aca="false">IF($F591="","",IF(OR($D591="",$E591="",$T591="?",$U591="?"),"Konto prüfen!",IF($A591="","Datum fehlt",IF(YEAR($A591)&lt;&gt;Einstellungen!$B$7,"anderes Jahr!",IF($G591="","MWST-Code fehlt","OK")))))</f>
        <v/>
      </c>
      <c r="W591" s="35" t="str">
        <f aca="false">IF($F591="","",IF(OR($D591=Kontoauszug!$C$4,$E591=Kontoauszug!$C$4),MAX(W$4:W590)+1,""))</f>
        <v/>
      </c>
    </row>
    <row r="592" customFormat="false" ht="15" hidden="false" customHeight="false" outlineLevel="0" collapsed="false">
      <c r="A592" s="33"/>
      <c r="B592" s="32"/>
      <c r="C592" s="32"/>
      <c r="D592" s="32"/>
      <c r="E592" s="32"/>
      <c r="F592" s="30"/>
      <c r="G592" s="32"/>
      <c r="H592" s="34" t="n">
        <f aca="false">IF($G592="",0,IFERROR(INDEX(Einstellungen!$G$5:$G$11,MATCH($G592,Einstellungen!$E$5:$E$11,0)),0))</f>
        <v>0</v>
      </c>
      <c r="I592" s="35" t="str">
        <f aca="false">IF($G592="","-",IFERROR(INDEX(Einstellungen!$H$5:$H$11,MATCH($G592,Einstellungen!$E$5:$E$11,0)),"-"))</f>
        <v>-</v>
      </c>
      <c r="J592" s="35" t="str">
        <f aca="false">IF(AND(Einstellungen!$B$8="Ja",Einstellungen!$B$9="Effektiv"),$I592,"-")</f>
        <v>-</v>
      </c>
      <c r="K592" s="31" t="n">
        <f aca="false">IF(OR($F592="",$J592="-"),0,ROUND($F592-$F592/(1+$H592),2))</f>
        <v>0</v>
      </c>
      <c r="L592" s="31" t="n">
        <f aca="false">IF($F592="",0,$F592-$K592)</f>
        <v>0</v>
      </c>
      <c r="M592" s="31" t="n">
        <f aca="false">IF($F592="",0,IF($J592="V",$L592,$F592))</f>
        <v>0</v>
      </c>
      <c r="N592" s="31" t="n">
        <f aca="false">IF($F592="",0,IF($J592="U",$L592,$F592))</f>
        <v>0</v>
      </c>
      <c r="O592" s="35" t="str">
        <f aca="false">IF($A592="","",MONTH($A592))</f>
        <v/>
      </c>
      <c r="P592" s="35" t="str">
        <f aca="false">IF($A592="","",ROUNDUP(MONTH($A592)/3,0))</f>
        <v/>
      </c>
      <c r="Q592" s="35" t="str">
        <f aca="false">IF($A592="","",IF(MONTH($A592)&lt;=6,1,2))</f>
        <v/>
      </c>
      <c r="R592" s="35" t="str">
        <f aca="false">IF($E592="","",IFERROR(INDEX(Kontenplan!$F$5:$F$90,MATCH($E592,Kontenplan!$A$5:$A$90,0)),""))</f>
        <v/>
      </c>
      <c r="S592" s="35" t="str">
        <f aca="false">IF($D592="","",IFERROR(INDEX(Kontenplan!$F$5:$F$90,MATCH($D592,Kontenplan!$A$5:$A$90,0)),""))</f>
        <v/>
      </c>
      <c r="T592" s="35" t="str">
        <f aca="false">IF($D592="","",IFERROR(INDEX(Kontenplan!$C$5:$C$90,MATCH($D592,Kontenplan!$A$5:$A$90,0)),"?"))</f>
        <v/>
      </c>
      <c r="U592" s="35" t="str">
        <f aca="false">IF($E592="","",IFERROR(INDEX(Kontenplan!$C$5:$C$90,MATCH($E592,Kontenplan!$A$5:$A$90,0)),"?"))</f>
        <v/>
      </c>
      <c r="V592" s="35" t="str">
        <f aca="false">IF($F592="","",IF(OR($D592="",$E592="",$T592="?",$U592="?"),"Konto prüfen!",IF($A592="","Datum fehlt",IF(YEAR($A592)&lt;&gt;Einstellungen!$B$7,"anderes Jahr!",IF($G592="","MWST-Code fehlt","OK")))))</f>
        <v/>
      </c>
      <c r="W592" s="35" t="str">
        <f aca="false">IF($F592="","",IF(OR($D592=Kontoauszug!$C$4,$E592=Kontoauszug!$C$4),MAX(W$4:W591)+1,""))</f>
        <v/>
      </c>
    </row>
    <row r="593" customFormat="false" ht="15" hidden="false" customHeight="false" outlineLevel="0" collapsed="false">
      <c r="A593" s="33"/>
      <c r="B593" s="32"/>
      <c r="C593" s="32"/>
      <c r="D593" s="32"/>
      <c r="E593" s="32"/>
      <c r="F593" s="30"/>
      <c r="G593" s="32"/>
      <c r="H593" s="34" t="n">
        <f aca="false">IF($G593="",0,IFERROR(INDEX(Einstellungen!$G$5:$G$11,MATCH($G593,Einstellungen!$E$5:$E$11,0)),0))</f>
        <v>0</v>
      </c>
      <c r="I593" s="35" t="str">
        <f aca="false">IF($G593="","-",IFERROR(INDEX(Einstellungen!$H$5:$H$11,MATCH($G593,Einstellungen!$E$5:$E$11,0)),"-"))</f>
        <v>-</v>
      </c>
      <c r="J593" s="35" t="str">
        <f aca="false">IF(AND(Einstellungen!$B$8="Ja",Einstellungen!$B$9="Effektiv"),$I593,"-")</f>
        <v>-</v>
      </c>
      <c r="K593" s="31" t="n">
        <f aca="false">IF(OR($F593="",$J593="-"),0,ROUND($F593-$F593/(1+$H593),2))</f>
        <v>0</v>
      </c>
      <c r="L593" s="31" t="n">
        <f aca="false">IF($F593="",0,$F593-$K593)</f>
        <v>0</v>
      </c>
      <c r="M593" s="31" t="n">
        <f aca="false">IF($F593="",0,IF($J593="V",$L593,$F593))</f>
        <v>0</v>
      </c>
      <c r="N593" s="31" t="n">
        <f aca="false">IF($F593="",0,IF($J593="U",$L593,$F593))</f>
        <v>0</v>
      </c>
      <c r="O593" s="35" t="str">
        <f aca="false">IF($A593="","",MONTH($A593))</f>
        <v/>
      </c>
      <c r="P593" s="35" t="str">
        <f aca="false">IF($A593="","",ROUNDUP(MONTH($A593)/3,0))</f>
        <v/>
      </c>
      <c r="Q593" s="35" t="str">
        <f aca="false">IF($A593="","",IF(MONTH($A593)&lt;=6,1,2))</f>
        <v/>
      </c>
      <c r="R593" s="35" t="str">
        <f aca="false">IF($E593="","",IFERROR(INDEX(Kontenplan!$F$5:$F$90,MATCH($E593,Kontenplan!$A$5:$A$90,0)),""))</f>
        <v/>
      </c>
      <c r="S593" s="35" t="str">
        <f aca="false">IF($D593="","",IFERROR(INDEX(Kontenplan!$F$5:$F$90,MATCH($D593,Kontenplan!$A$5:$A$90,0)),""))</f>
        <v/>
      </c>
      <c r="T593" s="35" t="str">
        <f aca="false">IF($D593="","",IFERROR(INDEX(Kontenplan!$C$5:$C$90,MATCH($D593,Kontenplan!$A$5:$A$90,0)),"?"))</f>
        <v/>
      </c>
      <c r="U593" s="35" t="str">
        <f aca="false">IF($E593="","",IFERROR(INDEX(Kontenplan!$C$5:$C$90,MATCH($E593,Kontenplan!$A$5:$A$90,0)),"?"))</f>
        <v/>
      </c>
      <c r="V593" s="35" t="str">
        <f aca="false">IF($F593="","",IF(OR($D593="",$E593="",$T593="?",$U593="?"),"Konto prüfen!",IF($A593="","Datum fehlt",IF(YEAR($A593)&lt;&gt;Einstellungen!$B$7,"anderes Jahr!",IF($G593="","MWST-Code fehlt","OK")))))</f>
        <v/>
      </c>
      <c r="W593" s="35" t="str">
        <f aca="false">IF($F593="","",IF(OR($D593=Kontoauszug!$C$4,$E593=Kontoauszug!$C$4),MAX(W$4:W592)+1,""))</f>
        <v/>
      </c>
    </row>
    <row r="594" customFormat="false" ht="15" hidden="false" customHeight="false" outlineLevel="0" collapsed="false">
      <c r="A594" s="33"/>
      <c r="B594" s="32"/>
      <c r="C594" s="32"/>
      <c r="D594" s="32"/>
      <c r="E594" s="32"/>
      <c r="F594" s="30"/>
      <c r="G594" s="32"/>
      <c r="H594" s="34" t="n">
        <f aca="false">IF($G594="",0,IFERROR(INDEX(Einstellungen!$G$5:$G$11,MATCH($G594,Einstellungen!$E$5:$E$11,0)),0))</f>
        <v>0</v>
      </c>
      <c r="I594" s="35" t="str">
        <f aca="false">IF($G594="","-",IFERROR(INDEX(Einstellungen!$H$5:$H$11,MATCH($G594,Einstellungen!$E$5:$E$11,0)),"-"))</f>
        <v>-</v>
      </c>
      <c r="J594" s="35" t="str">
        <f aca="false">IF(AND(Einstellungen!$B$8="Ja",Einstellungen!$B$9="Effektiv"),$I594,"-")</f>
        <v>-</v>
      </c>
      <c r="K594" s="31" t="n">
        <f aca="false">IF(OR($F594="",$J594="-"),0,ROUND($F594-$F594/(1+$H594),2))</f>
        <v>0</v>
      </c>
      <c r="L594" s="31" t="n">
        <f aca="false">IF($F594="",0,$F594-$K594)</f>
        <v>0</v>
      </c>
      <c r="M594" s="31" t="n">
        <f aca="false">IF($F594="",0,IF($J594="V",$L594,$F594))</f>
        <v>0</v>
      </c>
      <c r="N594" s="31" t="n">
        <f aca="false">IF($F594="",0,IF($J594="U",$L594,$F594))</f>
        <v>0</v>
      </c>
      <c r="O594" s="35" t="str">
        <f aca="false">IF($A594="","",MONTH($A594))</f>
        <v/>
      </c>
      <c r="P594" s="35" t="str">
        <f aca="false">IF($A594="","",ROUNDUP(MONTH($A594)/3,0))</f>
        <v/>
      </c>
      <c r="Q594" s="35" t="str">
        <f aca="false">IF($A594="","",IF(MONTH($A594)&lt;=6,1,2))</f>
        <v/>
      </c>
      <c r="R594" s="35" t="str">
        <f aca="false">IF($E594="","",IFERROR(INDEX(Kontenplan!$F$5:$F$90,MATCH($E594,Kontenplan!$A$5:$A$90,0)),""))</f>
        <v/>
      </c>
      <c r="S594" s="35" t="str">
        <f aca="false">IF($D594="","",IFERROR(INDEX(Kontenplan!$F$5:$F$90,MATCH($D594,Kontenplan!$A$5:$A$90,0)),""))</f>
        <v/>
      </c>
      <c r="T594" s="35" t="str">
        <f aca="false">IF($D594="","",IFERROR(INDEX(Kontenplan!$C$5:$C$90,MATCH($D594,Kontenplan!$A$5:$A$90,0)),"?"))</f>
        <v/>
      </c>
      <c r="U594" s="35" t="str">
        <f aca="false">IF($E594="","",IFERROR(INDEX(Kontenplan!$C$5:$C$90,MATCH($E594,Kontenplan!$A$5:$A$90,0)),"?"))</f>
        <v/>
      </c>
      <c r="V594" s="35" t="str">
        <f aca="false">IF($F594="","",IF(OR($D594="",$E594="",$T594="?",$U594="?"),"Konto prüfen!",IF($A594="","Datum fehlt",IF(YEAR($A594)&lt;&gt;Einstellungen!$B$7,"anderes Jahr!",IF($G594="","MWST-Code fehlt","OK")))))</f>
        <v/>
      </c>
      <c r="W594" s="35" t="str">
        <f aca="false">IF($F594="","",IF(OR($D594=Kontoauszug!$C$4,$E594=Kontoauszug!$C$4),MAX(W$4:W593)+1,""))</f>
        <v/>
      </c>
    </row>
    <row r="595" customFormat="false" ht="15" hidden="false" customHeight="false" outlineLevel="0" collapsed="false">
      <c r="A595" s="33"/>
      <c r="B595" s="32"/>
      <c r="C595" s="32"/>
      <c r="D595" s="32"/>
      <c r="E595" s="32"/>
      <c r="F595" s="30"/>
      <c r="G595" s="32"/>
      <c r="H595" s="34" t="n">
        <f aca="false">IF($G595="",0,IFERROR(INDEX(Einstellungen!$G$5:$G$11,MATCH($G595,Einstellungen!$E$5:$E$11,0)),0))</f>
        <v>0</v>
      </c>
      <c r="I595" s="35" t="str">
        <f aca="false">IF($G595="","-",IFERROR(INDEX(Einstellungen!$H$5:$H$11,MATCH($G595,Einstellungen!$E$5:$E$11,0)),"-"))</f>
        <v>-</v>
      </c>
      <c r="J595" s="35" t="str">
        <f aca="false">IF(AND(Einstellungen!$B$8="Ja",Einstellungen!$B$9="Effektiv"),$I595,"-")</f>
        <v>-</v>
      </c>
      <c r="K595" s="31" t="n">
        <f aca="false">IF(OR($F595="",$J595="-"),0,ROUND($F595-$F595/(1+$H595),2))</f>
        <v>0</v>
      </c>
      <c r="L595" s="31" t="n">
        <f aca="false">IF($F595="",0,$F595-$K595)</f>
        <v>0</v>
      </c>
      <c r="M595" s="31" t="n">
        <f aca="false">IF($F595="",0,IF($J595="V",$L595,$F595))</f>
        <v>0</v>
      </c>
      <c r="N595" s="31" t="n">
        <f aca="false">IF($F595="",0,IF($J595="U",$L595,$F595))</f>
        <v>0</v>
      </c>
      <c r="O595" s="35" t="str">
        <f aca="false">IF($A595="","",MONTH($A595))</f>
        <v/>
      </c>
      <c r="P595" s="35" t="str">
        <f aca="false">IF($A595="","",ROUNDUP(MONTH($A595)/3,0))</f>
        <v/>
      </c>
      <c r="Q595" s="35" t="str">
        <f aca="false">IF($A595="","",IF(MONTH($A595)&lt;=6,1,2))</f>
        <v/>
      </c>
      <c r="R595" s="35" t="str">
        <f aca="false">IF($E595="","",IFERROR(INDEX(Kontenplan!$F$5:$F$90,MATCH($E595,Kontenplan!$A$5:$A$90,0)),""))</f>
        <v/>
      </c>
      <c r="S595" s="35" t="str">
        <f aca="false">IF($D595="","",IFERROR(INDEX(Kontenplan!$F$5:$F$90,MATCH($D595,Kontenplan!$A$5:$A$90,0)),""))</f>
        <v/>
      </c>
      <c r="T595" s="35" t="str">
        <f aca="false">IF($D595="","",IFERROR(INDEX(Kontenplan!$C$5:$C$90,MATCH($D595,Kontenplan!$A$5:$A$90,0)),"?"))</f>
        <v/>
      </c>
      <c r="U595" s="35" t="str">
        <f aca="false">IF($E595="","",IFERROR(INDEX(Kontenplan!$C$5:$C$90,MATCH($E595,Kontenplan!$A$5:$A$90,0)),"?"))</f>
        <v/>
      </c>
      <c r="V595" s="35" t="str">
        <f aca="false">IF($F595="","",IF(OR($D595="",$E595="",$T595="?",$U595="?"),"Konto prüfen!",IF($A595="","Datum fehlt",IF(YEAR($A595)&lt;&gt;Einstellungen!$B$7,"anderes Jahr!",IF($G595="","MWST-Code fehlt","OK")))))</f>
        <v/>
      </c>
      <c r="W595" s="35" t="str">
        <f aca="false">IF($F595="","",IF(OR($D595=Kontoauszug!$C$4,$E595=Kontoauszug!$C$4),MAX(W$4:W594)+1,""))</f>
        <v/>
      </c>
    </row>
    <row r="596" customFormat="false" ht="15" hidden="false" customHeight="false" outlineLevel="0" collapsed="false">
      <c r="A596" s="33"/>
      <c r="B596" s="32"/>
      <c r="C596" s="32"/>
      <c r="D596" s="32"/>
      <c r="E596" s="32"/>
      <c r="F596" s="30"/>
      <c r="G596" s="32"/>
      <c r="H596" s="34" t="n">
        <f aca="false">IF($G596="",0,IFERROR(INDEX(Einstellungen!$G$5:$G$11,MATCH($G596,Einstellungen!$E$5:$E$11,0)),0))</f>
        <v>0</v>
      </c>
      <c r="I596" s="35" t="str">
        <f aca="false">IF($G596="","-",IFERROR(INDEX(Einstellungen!$H$5:$H$11,MATCH($G596,Einstellungen!$E$5:$E$11,0)),"-"))</f>
        <v>-</v>
      </c>
      <c r="J596" s="35" t="str">
        <f aca="false">IF(AND(Einstellungen!$B$8="Ja",Einstellungen!$B$9="Effektiv"),$I596,"-")</f>
        <v>-</v>
      </c>
      <c r="K596" s="31" t="n">
        <f aca="false">IF(OR($F596="",$J596="-"),0,ROUND($F596-$F596/(1+$H596),2))</f>
        <v>0</v>
      </c>
      <c r="L596" s="31" t="n">
        <f aca="false">IF($F596="",0,$F596-$K596)</f>
        <v>0</v>
      </c>
      <c r="M596" s="31" t="n">
        <f aca="false">IF($F596="",0,IF($J596="V",$L596,$F596))</f>
        <v>0</v>
      </c>
      <c r="N596" s="31" t="n">
        <f aca="false">IF($F596="",0,IF($J596="U",$L596,$F596))</f>
        <v>0</v>
      </c>
      <c r="O596" s="35" t="str">
        <f aca="false">IF($A596="","",MONTH($A596))</f>
        <v/>
      </c>
      <c r="P596" s="35" t="str">
        <f aca="false">IF($A596="","",ROUNDUP(MONTH($A596)/3,0))</f>
        <v/>
      </c>
      <c r="Q596" s="35" t="str">
        <f aca="false">IF($A596="","",IF(MONTH($A596)&lt;=6,1,2))</f>
        <v/>
      </c>
      <c r="R596" s="35" t="str">
        <f aca="false">IF($E596="","",IFERROR(INDEX(Kontenplan!$F$5:$F$90,MATCH($E596,Kontenplan!$A$5:$A$90,0)),""))</f>
        <v/>
      </c>
      <c r="S596" s="35" t="str">
        <f aca="false">IF($D596="","",IFERROR(INDEX(Kontenplan!$F$5:$F$90,MATCH($D596,Kontenplan!$A$5:$A$90,0)),""))</f>
        <v/>
      </c>
      <c r="T596" s="35" t="str">
        <f aca="false">IF($D596="","",IFERROR(INDEX(Kontenplan!$C$5:$C$90,MATCH($D596,Kontenplan!$A$5:$A$90,0)),"?"))</f>
        <v/>
      </c>
      <c r="U596" s="35" t="str">
        <f aca="false">IF($E596="","",IFERROR(INDEX(Kontenplan!$C$5:$C$90,MATCH($E596,Kontenplan!$A$5:$A$90,0)),"?"))</f>
        <v/>
      </c>
      <c r="V596" s="35" t="str">
        <f aca="false">IF($F596="","",IF(OR($D596="",$E596="",$T596="?",$U596="?"),"Konto prüfen!",IF($A596="","Datum fehlt",IF(YEAR($A596)&lt;&gt;Einstellungen!$B$7,"anderes Jahr!",IF($G596="","MWST-Code fehlt","OK")))))</f>
        <v/>
      </c>
      <c r="W596" s="35" t="str">
        <f aca="false">IF($F596="","",IF(OR($D596=Kontoauszug!$C$4,$E596=Kontoauszug!$C$4),MAX(W$4:W595)+1,""))</f>
        <v/>
      </c>
    </row>
    <row r="597" customFormat="false" ht="15" hidden="false" customHeight="false" outlineLevel="0" collapsed="false">
      <c r="A597" s="33"/>
      <c r="B597" s="32"/>
      <c r="C597" s="32"/>
      <c r="D597" s="32"/>
      <c r="E597" s="32"/>
      <c r="F597" s="30"/>
      <c r="G597" s="32"/>
      <c r="H597" s="34" t="n">
        <f aca="false">IF($G597="",0,IFERROR(INDEX(Einstellungen!$G$5:$G$11,MATCH($G597,Einstellungen!$E$5:$E$11,0)),0))</f>
        <v>0</v>
      </c>
      <c r="I597" s="35" t="str">
        <f aca="false">IF($G597="","-",IFERROR(INDEX(Einstellungen!$H$5:$H$11,MATCH($G597,Einstellungen!$E$5:$E$11,0)),"-"))</f>
        <v>-</v>
      </c>
      <c r="J597" s="35" t="str">
        <f aca="false">IF(AND(Einstellungen!$B$8="Ja",Einstellungen!$B$9="Effektiv"),$I597,"-")</f>
        <v>-</v>
      </c>
      <c r="K597" s="31" t="n">
        <f aca="false">IF(OR($F597="",$J597="-"),0,ROUND($F597-$F597/(1+$H597),2))</f>
        <v>0</v>
      </c>
      <c r="L597" s="31" t="n">
        <f aca="false">IF($F597="",0,$F597-$K597)</f>
        <v>0</v>
      </c>
      <c r="M597" s="31" t="n">
        <f aca="false">IF($F597="",0,IF($J597="V",$L597,$F597))</f>
        <v>0</v>
      </c>
      <c r="N597" s="31" t="n">
        <f aca="false">IF($F597="",0,IF($J597="U",$L597,$F597))</f>
        <v>0</v>
      </c>
      <c r="O597" s="35" t="str">
        <f aca="false">IF($A597="","",MONTH($A597))</f>
        <v/>
      </c>
      <c r="P597" s="35" t="str">
        <f aca="false">IF($A597="","",ROUNDUP(MONTH($A597)/3,0))</f>
        <v/>
      </c>
      <c r="Q597" s="35" t="str">
        <f aca="false">IF($A597="","",IF(MONTH($A597)&lt;=6,1,2))</f>
        <v/>
      </c>
      <c r="R597" s="35" t="str">
        <f aca="false">IF($E597="","",IFERROR(INDEX(Kontenplan!$F$5:$F$90,MATCH($E597,Kontenplan!$A$5:$A$90,0)),""))</f>
        <v/>
      </c>
      <c r="S597" s="35" t="str">
        <f aca="false">IF($D597="","",IFERROR(INDEX(Kontenplan!$F$5:$F$90,MATCH($D597,Kontenplan!$A$5:$A$90,0)),""))</f>
        <v/>
      </c>
      <c r="T597" s="35" t="str">
        <f aca="false">IF($D597="","",IFERROR(INDEX(Kontenplan!$C$5:$C$90,MATCH($D597,Kontenplan!$A$5:$A$90,0)),"?"))</f>
        <v/>
      </c>
      <c r="U597" s="35" t="str">
        <f aca="false">IF($E597="","",IFERROR(INDEX(Kontenplan!$C$5:$C$90,MATCH($E597,Kontenplan!$A$5:$A$90,0)),"?"))</f>
        <v/>
      </c>
      <c r="V597" s="35" t="str">
        <f aca="false">IF($F597="","",IF(OR($D597="",$E597="",$T597="?",$U597="?"),"Konto prüfen!",IF($A597="","Datum fehlt",IF(YEAR($A597)&lt;&gt;Einstellungen!$B$7,"anderes Jahr!",IF($G597="","MWST-Code fehlt","OK")))))</f>
        <v/>
      </c>
      <c r="W597" s="35" t="str">
        <f aca="false">IF($F597="","",IF(OR($D597=Kontoauszug!$C$4,$E597=Kontoauszug!$C$4),MAX(W$4:W596)+1,""))</f>
        <v/>
      </c>
    </row>
    <row r="598" customFormat="false" ht="15" hidden="false" customHeight="false" outlineLevel="0" collapsed="false">
      <c r="A598" s="33"/>
      <c r="B598" s="32"/>
      <c r="C598" s="32"/>
      <c r="D598" s="32"/>
      <c r="E598" s="32"/>
      <c r="F598" s="30"/>
      <c r="G598" s="32"/>
      <c r="H598" s="34" t="n">
        <f aca="false">IF($G598="",0,IFERROR(INDEX(Einstellungen!$G$5:$G$11,MATCH($G598,Einstellungen!$E$5:$E$11,0)),0))</f>
        <v>0</v>
      </c>
      <c r="I598" s="35" t="str">
        <f aca="false">IF($G598="","-",IFERROR(INDEX(Einstellungen!$H$5:$H$11,MATCH($G598,Einstellungen!$E$5:$E$11,0)),"-"))</f>
        <v>-</v>
      </c>
      <c r="J598" s="35" t="str">
        <f aca="false">IF(AND(Einstellungen!$B$8="Ja",Einstellungen!$B$9="Effektiv"),$I598,"-")</f>
        <v>-</v>
      </c>
      <c r="K598" s="31" t="n">
        <f aca="false">IF(OR($F598="",$J598="-"),0,ROUND($F598-$F598/(1+$H598),2))</f>
        <v>0</v>
      </c>
      <c r="L598" s="31" t="n">
        <f aca="false">IF($F598="",0,$F598-$K598)</f>
        <v>0</v>
      </c>
      <c r="M598" s="31" t="n">
        <f aca="false">IF($F598="",0,IF($J598="V",$L598,$F598))</f>
        <v>0</v>
      </c>
      <c r="N598" s="31" t="n">
        <f aca="false">IF($F598="",0,IF($J598="U",$L598,$F598))</f>
        <v>0</v>
      </c>
      <c r="O598" s="35" t="str">
        <f aca="false">IF($A598="","",MONTH($A598))</f>
        <v/>
      </c>
      <c r="P598" s="35" t="str">
        <f aca="false">IF($A598="","",ROUNDUP(MONTH($A598)/3,0))</f>
        <v/>
      </c>
      <c r="Q598" s="35" t="str">
        <f aca="false">IF($A598="","",IF(MONTH($A598)&lt;=6,1,2))</f>
        <v/>
      </c>
      <c r="R598" s="35" t="str">
        <f aca="false">IF($E598="","",IFERROR(INDEX(Kontenplan!$F$5:$F$90,MATCH($E598,Kontenplan!$A$5:$A$90,0)),""))</f>
        <v/>
      </c>
      <c r="S598" s="35" t="str">
        <f aca="false">IF($D598="","",IFERROR(INDEX(Kontenplan!$F$5:$F$90,MATCH($D598,Kontenplan!$A$5:$A$90,0)),""))</f>
        <v/>
      </c>
      <c r="T598" s="35" t="str">
        <f aca="false">IF($D598="","",IFERROR(INDEX(Kontenplan!$C$5:$C$90,MATCH($D598,Kontenplan!$A$5:$A$90,0)),"?"))</f>
        <v/>
      </c>
      <c r="U598" s="35" t="str">
        <f aca="false">IF($E598="","",IFERROR(INDEX(Kontenplan!$C$5:$C$90,MATCH($E598,Kontenplan!$A$5:$A$90,0)),"?"))</f>
        <v/>
      </c>
      <c r="V598" s="35" t="str">
        <f aca="false">IF($F598="","",IF(OR($D598="",$E598="",$T598="?",$U598="?"),"Konto prüfen!",IF($A598="","Datum fehlt",IF(YEAR($A598)&lt;&gt;Einstellungen!$B$7,"anderes Jahr!",IF($G598="","MWST-Code fehlt","OK")))))</f>
        <v/>
      </c>
      <c r="W598" s="35" t="str">
        <f aca="false">IF($F598="","",IF(OR($D598=Kontoauszug!$C$4,$E598=Kontoauszug!$C$4),MAX(W$4:W597)+1,""))</f>
        <v/>
      </c>
    </row>
    <row r="599" customFormat="false" ht="15" hidden="false" customHeight="false" outlineLevel="0" collapsed="false">
      <c r="A599" s="33"/>
      <c r="B599" s="32"/>
      <c r="C599" s="32"/>
      <c r="D599" s="32"/>
      <c r="E599" s="32"/>
      <c r="F599" s="30"/>
      <c r="G599" s="32"/>
      <c r="H599" s="34" t="n">
        <f aca="false">IF($G599="",0,IFERROR(INDEX(Einstellungen!$G$5:$G$11,MATCH($G599,Einstellungen!$E$5:$E$11,0)),0))</f>
        <v>0</v>
      </c>
      <c r="I599" s="35" t="str">
        <f aca="false">IF($G599="","-",IFERROR(INDEX(Einstellungen!$H$5:$H$11,MATCH($G599,Einstellungen!$E$5:$E$11,0)),"-"))</f>
        <v>-</v>
      </c>
      <c r="J599" s="35" t="str">
        <f aca="false">IF(AND(Einstellungen!$B$8="Ja",Einstellungen!$B$9="Effektiv"),$I599,"-")</f>
        <v>-</v>
      </c>
      <c r="K599" s="31" t="n">
        <f aca="false">IF(OR($F599="",$J599="-"),0,ROUND($F599-$F599/(1+$H599),2))</f>
        <v>0</v>
      </c>
      <c r="L599" s="31" t="n">
        <f aca="false">IF($F599="",0,$F599-$K599)</f>
        <v>0</v>
      </c>
      <c r="M599" s="31" t="n">
        <f aca="false">IF($F599="",0,IF($J599="V",$L599,$F599))</f>
        <v>0</v>
      </c>
      <c r="N599" s="31" t="n">
        <f aca="false">IF($F599="",0,IF($J599="U",$L599,$F599))</f>
        <v>0</v>
      </c>
      <c r="O599" s="35" t="str">
        <f aca="false">IF($A599="","",MONTH($A599))</f>
        <v/>
      </c>
      <c r="P599" s="35" t="str">
        <f aca="false">IF($A599="","",ROUNDUP(MONTH($A599)/3,0))</f>
        <v/>
      </c>
      <c r="Q599" s="35" t="str">
        <f aca="false">IF($A599="","",IF(MONTH($A599)&lt;=6,1,2))</f>
        <v/>
      </c>
      <c r="R599" s="35" t="str">
        <f aca="false">IF($E599="","",IFERROR(INDEX(Kontenplan!$F$5:$F$90,MATCH($E599,Kontenplan!$A$5:$A$90,0)),""))</f>
        <v/>
      </c>
      <c r="S599" s="35" t="str">
        <f aca="false">IF($D599="","",IFERROR(INDEX(Kontenplan!$F$5:$F$90,MATCH($D599,Kontenplan!$A$5:$A$90,0)),""))</f>
        <v/>
      </c>
      <c r="T599" s="35" t="str">
        <f aca="false">IF($D599="","",IFERROR(INDEX(Kontenplan!$C$5:$C$90,MATCH($D599,Kontenplan!$A$5:$A$90,0)),"?"))</f>
        <v/>
      </c>
      <c r="U599" s="35" t="str">
        <f aca="false">IF($E599="","",IFERROR(INDEX(Kontenplan!$C$5:$C$90,MATCH($E599,Kontenplan!$A$5:$A$90,0)),"?"))</f>
        <v/>
      </c>
      <c r="V599" s="35" t="str">
        <f aca="false">IF($F599="","",IF(OR($D599="",$E599="",$T599="?",$U599="?"),"Konto prüfen!",IF($A599="","Datum fehlt",IF(YEAR($A599)&lt;&gt;Einstellungen!$B$7,"anderes Jahr!",IF($G599="","MWST-Code fehlt","OK")))))</f>
        <v/>
      </c>
      <c r="W599" s="35" t="str">
        <f aca="false">IF($F599="","",IF(OR($D599=Kontoauszug!$C$4,$E599=Kontoauszug!$C$4),MAX(W$4:W598)+1,""))</f>
        <v/>
      </c>
    </row>
    <row r="600" customFormat="false" ht="15" hidden="false" customHeight="false" outlineLevel="0" collapsed="false">
      <c r="A600" s="33"/>
      <c r="B600" s="32"/>
      <c r="C600" s="32"/>
      <c r="D600" s="32"/>
      <c r="E600" s="32"/>
      <c r="F600" s="30"/>
      <c r="G600" s="32"/>
      <c r="H600" s="34" t="n">
        <f aca="false">IF($G600="",0,IFERROR(INDEX(Einstellungen!$G$5:$G$11,MATCH($G600,Einstellungen!$E$5:$E$11,0)),0))</f>
        <v>0</v>
      </c>
      <c r="I600" s="35" t="str">
        <f aca="false">IF($G600="","-",IFERROR(INDEX(Einstellungen!$H$5:$H$11,MATCH($G600,Einstellungen!$E$5:$E$11,0)),"-"))</f>
        <v>-</v>
      </c>
      <c r="J600" s="35" t="str">
        <f aca="false">IF(AND(Einstellungen!$B$8="Ja",Einstellungen!$B$9="Effektiv"),$I600,"-")</f>
        <v>-</v>
      </c>
      <c r="K600" s="31" t="n">
        <f aca="false">IF(OR($F600="",$J600="-"),0,ROUND($F600-$F600/(1+$H600),2))</f>
        <v>0</v>
      </c>
      <c r="L600" s="31" t="n">
        <f aca="false">IF($F600="",0,$F600-$K600)</f>
        <v>0</v>
      </c>
      <c r="M600" s="31" t="n">
        <f aca="false">IF($F600="",0,IF($J600="V",$L600,$F600))</f>
        <v>0</v>
      </c>
      <c r="N600" s="31" t="n">
        <f aca="false">IF($F600="",0,IF($J600="U",$L600,$F600))</f>
        <v>0</v>
      </c>
      <c r="O600" s="35" t="str">
        <f aca="false">IF($A600="","",MONTH($A600))</f>
        <v/>
      </c>
      <c r="P600" s="35" t="str">
        <f aca="false">IF($A600="","",ROUNDUP(MONTH($A600)/3,0))</f>
        <v/>
      </c>
      <c r="Q600" s="35" t="str">
        <f aca="false">IF($A600="","",IF(MONTH($A600)&lt;=6,1,2))</f>
        <v/>
      </c>
      <c r="R600" s="35" t="str">
        <f aca="false">IF($E600="","",IFERROR(INDEX(Kontenplan!$F$5:$F$90,MATCH($E600,Kontenplan!$A$5:$A$90,0)),""))</f>
        <v/>
      </c>
      <c r="S600" s="35" t="str">
        <f aca="false">IF($D600="","",IFERROR(INDEX(Kontenplan!$F$5:$F$90,MATCH($D600,Kontenplan!$A$5:$A$90,0)),""))</f>
        <v/>
      </c>
      <c r="T600" s="35" t="str">
        <f aca="false">IF($D600="","",IFERROR(INDEX(Kontenplan!$C$5:$C$90,MATCH($D600,Kontenplan!$A$5:$A$90,0)),"?"))</f>
        <v/>
      </c>
      <c r="U600" s="35" t="str">
        <f aca="false">IF($E600="","",IFERROR(INDEX(Kontenplan!$C$5:$C$90,MATCH($E600,Kontenplan!$A$5:$A$90,0)),"?"))</f>
        <v/>
      </c>
      <c r="V600" s="35" t="str">
        <f aca="false">IF($F600="","",IF(OR($D600="",$E600="",$T600="?",$U600="?"),"Konto prüfen!",IF($A600="","Datum fehlt",IF(YEAR($A600)&lt;&gt;Einstellungen!$B$7,"anderes Jahr!",IF($G600="","MWST-Code fehlt","OK")))))</f>
        <v/>
      </c>
      <c r="W600" s="35" t="str">
        <f aca="false">IF($F600="","",IF(OR($D600=Kontoauszug!$C$4,$E600=Kontoauszug!$C$4),MAX(W$4:W599)+1,""))</f>
        <v/>
      </c>
    </row>
    <row r="601" customFormat="false" ht="15" hidden="false" customHeight="false" outlineLevel="0" collapsed="false">
      <c r="A601" s="33"/>
      <c r="B601" s="32"/>
      <c r="C601" s="32"/>
      <c r="D601" s="32"/>
      <c r="E601" s="32"/>
      <c r="F601" s="30"/>
      <c r="G601" s="32"/>
      <c r="H601" s="34" t="n">
        <f aca="false">IF($G601="",0,IFERROR(INDEX(Einstellungen!$G$5:$G$11,MATCH($G601,Einstellungen!$E$5:$E$11,0)),0))</f>
        <v>0</v>
      </c>
      <c r="I601" s="35" t="str">
        <f aca="false">IF($G601="","-",IFERROR(INDEX(Einstellungen!$H$5:$H$11,MATCH($G601,Einstellungen!$E$5:$E$11,0)),"-"))</f>
        <v>-</v>
      </c>
      <c r="J601" s="35" t="str">
        <f aca="false">IF(AND(Einstellungen!$B$8="Ja",Einstellungen!$B$9="Effektiv"),$I601,"-")</f>
        <v>-</v>
      </c>
      <c r="K601" s="31" t="n">
        <f aca="false">IF(OR($F601="",$J601="-"),0,ROUND($F601-$F601/(1+$H601),2))</f>
        <v>0</v>
      </c>
      <c r="L601" s="31" t="n">
        <f aca="false">IF($F601="",0,$F601-$K601)</f>
        <v>0</v>
      </c>
      <c r="M601" s="31" t="n">
        <f aca="false">IF($F601="",0,IF($J601="V",$L601,$F601))</f>
        <v>0</v>
      </c>
      <c r="N601" s="31" t="n">
        <f aca="false">IF($F601="",0,IF($J601="U",$L601,$F601))</f>
        <v>0</v>
      </c>
      <c r="O601" s="35" t="str">
        <f aca="false">IF($A601="","",MONTH($A601))</f>
        <v/>
      </c>
      <c r="P601" s="35" t="str">
        <f aca="false">IF($A601="","",ROUNDUP(MONTH($A601)/3,0))</f>
        <v/>
      </c>
      <c r="Q601" s="35" t="str">
        <f aca="false">IF($A601="","",IF(MONTH($A601)&lt;=6,1,2))</f>
        <v/>
      </c>
      <c r="R601" s="35" t="str">
        <f aca="false">IF($E601="","",IFERROR(INDEX(Kontenplan!$F$5:$F$90,MATCH($E601,Kontenplan!$A$5:$A$90,0)),""))</f>
        <v/>
      </c>
      <c r="S601" s="35" t="str">
        <f aca="false">IF($D601="","",IFERROR(INDEX(Kontenplan!$F$5:$F$90,MATCH($D601,Kontenplan!$A$5:$A$90,0)),""))</f>
        <v/>
      </c>
      <c r="T601" s="35" t="str">
        <f aca="false">IF($D601="","",IFERROR(INDEX(Kontenplan!$C$5:$C$90,MATCH($D601,Kontenplan!$A$5:$A$90,0)),"?"))</f>
        <v/>
      </c>
      <c r="U601" s="35" t="str">
        <f aca="false">IF($E601="","",IFERROR(INDEX(Kontenplan!$C$5:$C$90,MATCH($E601,Kontenplan!$A$5:$A$90,0)),"?"))</f>
        <v/>
      </c>
      <c r="V601" s="35" t="str">
        <f aca="false">IF($F601="","",IF(OR($D601="",$E601="",$T601="?",$U601="?"),"Konto prüfen!",IF($A601="","Datum fehlt",IF(YEAR($A601)&lt;&gt;Einstellungen!$B$7,"anderes Jahr!",IF($G601="","MWST-Code fehlt","OK")))))</f>
        <v/>
      </c>
      <c r="W601" s="35" t="str">
        <f aca="false">IF($F601="","",IF(OR($D601=Kontoauszug!$C$4,$E601=Kontoauszug!$C$4),MAX(W$4:W600)+1,""))</f>
        <v/>
      </c>
    </row>
    <row r="602" customFormat="false" ht="15" hidden="false" customHeight="false" outlineLevel="0" collapsed="false">
      <c r="A602" s="33"/>
      <c r="B602" s="32"/>
      <c r="C602" s="32"/>
      <c r="D602" s="32"/>
      <c r="E602" s="32"/>
      <c r="F602" s="30"/>
      <c r="G602" s="32"/>
      <c r="H602" s="34" t="n">
        <f aca="false">IF($G602="",0,IFERROR(INDEX(Einstellungen!$G$5:$G$11,MATCH($G602,Einstellungen!$E$5:$E$11,0)),0))</f>
        <v>0</v>
      </c>
      <c r="I602" s="35" t="str">
        <f aca="false">IF($G602="","-",IFERROR(INDEX(Einstellungen!$H$5:$H$11,MATCH($G602,Einstellungen!$E$5:$E$11,0)),"-"))</f>
        <v>-</v>
      </c>
      <c r="J602" s="35" t="str">
        <f aca="false">IF(AND(Einstellungen!$B$8="Ja",Einstellungen!$B$9="Effektiv"),$I602,"-")</f>
        <v>-</v>
      </c>
      <c r="K602" s="31" t="n">
        <f aca="false">IF(OR($F602="",$J602="-"),0,ROUND($F602-$F602/(1+$H602),2))</f>
        <v>0</v>
      </c>
      <c r="L602" s="31" t="n">
        <f aca="false">IF($F602="",0,$F602-$K602)</f>
        <v>0</v>
      </c>
      <c r="M602" s="31" t="n">
        <f aca="false">IF($F602="",0,IF($J602="V",$L602,$F602))</f>
        <v>0</v>
      </c>
      <c r="N602" s="31" t="n">
        <f aca="false">IF($F602="",0,IF($J602="U",$L602,$F602))</f>
        <v>0</v>
      </c>
      <c r="O602" s="35" t="str">
        <f aca="false">IF($A602="","",MONTH($A602))</f>
        <v/>
      </c>
      <c r="P602" s="35" t="str">
        <f aca="false">IF($A602="","",ROUNDUP(MONTH($A602)/3,0))</f>
        <v/>
      </c>
      <c r="Q602" s="35" t="str">
        <f aca="false">IF($A602="","",IF(MONTH($A602)&lt;=6,1,2))</f>
        <v/>
      </c>
      <c r="R602" s="35" t="str">
        <f aca="false">IF($E602="","",IFERROR(INDEX(Kontenplan!$F$5:$F$90,MATCH($E602,Kontenplan!$A$5:$A$90,0)),""))</f>
        <v/>
      </c>
      <c r="S602" s="35" t="str">
        <f aca="false">IF($D602="","",IFERROR(INDEX(Kontenplan!$F$5:$F$90,MATCH($D602,Kontenplan!$A$5:$A$90,0)),""))</f>
        <v/>
      </c>
      <c r="T602" s="35" t="str">
        <f aca="false">IF($D602="","",IFERROR(INDEX(Kontenplan!$C$5:$C$90,MATCH($D602,Kontenplan!$A$5:$A$90,0)),"?"))</f>
        <v/>
      </c>
      <c r="U602" s="35" t="str">
        <f aca="false">IF($E602="","",IFERROR(INDEX(Kontenplan!$C$5:$C$90,MATCH($E602,Kontenplan!$A$5:$A$90,0)),"?"))</f>
        <v/>
      </c>
      <c r="V602" s="35" t="str">
        <f aca="false">IF($F602="","",IF(OR($D602="",$E602="",$T602="?",$U602="?"),"Konto prüfen!",IF($A602="","Datum fehlt",IF(YEAR($A602)&lt;&gt;Einstellungen!$B$7,"anderes Jahr!",IF($G602="","MWST-Code fehlt","OK")))))</f>
        <v/>
      </c>
      <c r="W602" s="35" t="str">
        <f aca="false">IF($F602="","",IF(OR($D602=Kontoauszug!$C$4,$E602=Kontoauszug!$C$4),MAX(W$4:W601)+1,""))</f>
        <v/>
      </c>
    </row>
    <row r="603" customFormat="false" ht="15" hidden="false" customHeight="false" outlineLevel="0" collapsed="false">
      <c r="A603" s="33"/>
      <c r="B603" s="32"/>
      <c r="C603" s="32"/>
      <c r="D603" s="32"/>
      <c r="E603" s="32"/>
      <c r="F603" s="30"/>
      <c r="G603" s="32"/>
      <c r="H603" s="34" t="n">
        <f aca="false">IF($G603="",0,IFERROR(INDEX(Einstellungen!$G$5:$G$11,MATCH($G603,Einstellungen!$E$5:$E$11,0)),0))</f>
        <v>0</v>
      </c>
      <c r="I603" s="35" t="str">
        <f aca="false">IF($G603="","-",IFERROR(INDEX(Einstellungen!$H$5:$H$11,MATCH($G603,Einstellungen!$E$5:$E$11,0)),"-"))</f>
        <v>-</v>
      </c>
      <c r="J603" s="35" t="str">
        <f aca="false">IF(AND(Einstellungen!$B$8="Ja",Einstellungen!$B$9="Effektiv"),$I603,"-")</f>
        <v>-</v>
      </c>
      <c r="K603" s="31" t="n">
        <f aca="false">IF(OR($F603="",$J603="-"),0,ROUND($F603-$F603/(1+$H603),2))</f>
        <v>0</v>
      </c>
      <c r="L603" s="31" t="n">
        <f aca="false">IF($F603="",0,$F603-$K603)</f>
        <v>0</v>
      </c>
      <c r="M603" s="31" t="n">
        <f aca="false">IF($F603="",0,IF($J603="V",$L603,$F603))</f>
        <v>0</v>
      </c>
      <c r="N603" s="31" t="n">
        <f aca="false">IF($F603="",0,IF($J603="U",$L603,$F603))</f>
        <v>0</v>
      </c>
      <c r="O603" s="35" t="str">
        <f aca="false">IF($A603="","",MONTH($A603))</f>
        <v/>
      </c>
      <c r="P603" s="35" t="str">
        <f aca="false">IF($A603="","",ROUNDUP(MONTH($A603)/3,0))</f>
        <v/>
      </c>
      <c r="Q603" s="35" t="str">
        <f aca="false">IF($A603="","",IF(MONTH($A603)&lt;=6,1,2))</f>
        <v/>
      </c>
      <c r="R603" s="35" t="str">
        <f aca="false">IF($E603="","",IFERROR(INDEX(Kontenplan!$F$5:$F$90,MATCH($E603,Kontenplan!$A$5:$A$90,0)),""))</f>
        <v/>
      </c>
      <c r="S603" s="35" t="str">
        <f aca="false">IF($D603="","",IFERROR(INDEX(Kontenplan!$F$5:$F$90,MATCH($D603,Kontenplan!$A$5:$A$90,0)),""))</f>
        <v/>
      </c>
      <c r="T603" s="35" t="str">
        <f aca="false">IF($D603="","",IFERROR(INDEX(Kontenplan!$C$5:$C$90,MATCH($D603,Kontenplan!$A$5:$A$90,0)),"?"))</f>
        <v/>
      </c>
      <c r="U603" s="35" t="str">
        <f aca="false">IF($E603="","",IFERROR(INDEX(Kontenplan!$C$5:$C$90,MATCH($E603,Kontenplan!$A$5:$A$90,0)),"?"))</f>
        <v/>
      </c>
      <c r="V603" s="35" t="str">
        <f aca="false">IF($F603="","",IF(OR($D603="",$E603="",$T603="?",$U603="?"),"Konto prüfen!",IF($A603="","Datum fehlt",IF(YEAR($A603)&lt;&gt;Einstellungen!$B$7,"anderes Jahr!",IF($G603="","MWST-Code fehlt","OK")))))</f>
        <v/>
      </c>
      <c r="W603" s="35" t="str">
        <f aca="false">IF($F603="","",IF(OR($D603=Kontoauszug!$C$4,$E603=Kontoauszug!$C$4),MAX(W$4:W602)+1,""))</f>
        <v/>
      </c>
    </row>
    <row r="604" customFormat="false" ht="15" hidden="false" customHeight="false" outlineLevel="0" collapsed="false">
      <c r="A604" s="33"/>
      <c r="B604" s="32"/>
      <c r="C604" s="32"/>
      <c r="D604" s="32"/>
      <c r="E604" s="32"/>
      <c r="F604" s="30"/>
      <c r="G604" s="32"/>
      <c r="H604" s="34" t="n">
        <f aca="false">IF($G604="",0,IFERROR(INDEX(Einstellungen!$G$5:$G$11,MATCH($G604,Einstellungen!$E$5:$E$11,0)),0))</f>
        <v>0</v>
      </c>
      <c r="I604" s="35" t="str">
        <f aca="false">IF($G604="","-",IFERROR(INDEX(Einstellungen!$H$5:$H$11,MATCH($G604,Einstellungen!$E$5:$E$11,0)),"-"))</f>
        <v>-</v>
      </c>
      <c r="J604" s="35" t="str">
        <f aca="false">IF(AND(Einstellungen!$B$8="Ja",Einstellungen!$B$9="Effektiv"),$I604,"-")</f>
        <v>-</v>
      </c>
      <c r="K604" s="31" t="n">
        <f aca="false">IF(OR($F604="",$J604="-"),0,ROUND($F604-$F604/(1+$H604),2))</f>
        <v>0</v>
      </c>
      <c r="L604" s="31" t="n">
        <f aca="false">IF($F604="",0,$F604-$K604)</f>
        <v>0</v>
      </c>
      <c r="M604" s="31" t="n">
        <f aca="false">IF($F604="",0,IF($J604="V",$L604,$F604))</f>
        <v>0</v>
      </c>
      <c r="N604" s="31" t="n">
        <f aca="false">IF($F604="",0,IF($J604="U",$L604,$F604))</f>
        <v>0</v>
      </c>
      <c r="O604" s="35" t="str">
        <f aca="false">IF($A604="","",MONTH($A604))</f>
        <v/>
      </c>
      <c r="P604" s="35" t="str">
        <f aca="false">IF($A604="","",ROUNDUP(MONTH($A604)/3,0))</f>
        <v/>
      </c>
      <c r="Q604" s="35" t="str">
        <f aca="false">IF($A604="","",IF(MONTH($A604)&lt;=6,1,2))</f>
        <v/>
      </c>
      <c r="R604" s="35" t="str">
        <f aca="false">IF($E604="","",IFERROR(INDEX(Kontenplan!$F$5:$F$90,MATCH($E604,Kontenplan!$A$5:$A$90,0)),""))</f>
        <v/>
      </c>
      <c r="S604" s="35" t="str">
        <f aca="false">IF($D604="","",IFERROR(INDEX(Kontenplan!$F$5:$F$90,MATCH($D604,Kontenplan!$A$5:$A$90,0)),""))</f>
        <v/>
      </c>
      <c r="T604" s="35" t="str">
        <f aca="false">IF($D604="","",IFERROR(INDEX(Kontenplan!$C$5:$C$90,MATCH($D604,Kontenplan!$A$5:$A$90,0)),"?"))</f>
        <v/>
      </c>
      <c r="U604" s="35" t="str">
        <f aca="false">IF($E604="","",IFERROR(INDEX(Kontenplan!$C$5:$C$90,MATCH($E604,Kontenplan!$A$5:$A$90,0)),"?"))</f>
        <v/>
      </c>
      <c r="V604" s="35" t="str">
        <f aca="false">IF($F604="","",IF(OR($D604="",$E604="",$T604="?",$U604="?"),"Konto prüfen!",IF($A604="","Datum fehlt",IF(YEAR($A604)&lt;&gt;Einstellungen!$B$7,"anderes Jahr!",IF($G604="","MWST-Code fehlt","OK")))))</f>
        <v/>
      </c>
      <c r="W604" s="35" t="str">
        <f aca="false">IF($F604="","",IF(OR($D604=Kontoauszug!$C$4,$E604=Kontoauszug!$C$4),MAX(W$4:W603)+1,""))</f>
        <v/>
      </c>
    </row>
    <row r="605" customFormat="false" ht="15" hidden="false" customHeight="false" outlineLevel="0" collapsed="false">
      <c r="A605" s="33"/>
      <c r="B605" s="32"/>
      <c r="C605" s="32"/>
      <c r="D605" s="32"/>
      <c r="E605" s="32"/>
      <c r="F605" s="30"/>
      <c r="G605" s="32"/>
      <c r="H605" s="34" t="n">
        <f aca="false">IF($G605="",0,IFERROR(INDEX(Einstellungen!$G$5:$G$11,MATCH($G605,Einstellungen!$E$5:$E$11,0)),0))</f>
        <v>0</v>
      </c>
      <c r="I605" s="35" t="str">
        <f aca="false">IF($G605="","-",IFERROR(INDEX(Einstellungen!$H$5:$H$11,MATCH($G605,Einstellungen!$E$5:$E$11,0)),"-"))</f>
        <v>-</v>
      </c>
      <c r="J605" s="35" t="str">
        <f aca="false">IF(AND(Einstellungen!$B$8="Ja",Einstellungen!$B$9="Effektiv"),$I605,"-")</f>
        <v>-</v>
      </c>
      <c r="K605" s="31" t="n">
        <f aca="false">IF(OR($F605="",$J605="-"),0,ROUND($F605-$F605/(1+$H605),2))</f>
        <v>0</v>
      </c>
      <c r="L605" s="31" t="n">
        <f aca="false">IF($F605="",0,$F605-$K605)</f>
        <v>0</v>
      </c>
      <c r="M605" s="31" t="n">
        <f aca="false">IF($F605="",0,IF($J605="V",$L605,$F605))</f>
        <v>0</v>
      </c>
      <c r="N605" s="31" t="n">
        <f aca="false">IF($F605="",0,IF($J605="U",$L605,$F605))</f>
        <v>0</v>
      </c>
      <c r="O605" s="35" t="str">
        <f aca="false">IF($A605="","",MONTH($A605))</f>
        <v/>
      </c>
      <c r="P605" s="35" t="str">
        <f aca="false">IF($A605="","",ROUNDUP(MONTH($A605)/3,0))</f>
        <v/>
      </c>
      <c r="Q605" s="35" t="str">
        <f aca="false">IF($A605="","",IF(MONTH($A605)&lt;=6,1,2))</f>
        <v/>
      </c>
      <c r="R605" s="35" t="str">
        <f aca="false">IF($E605="","",IFERROR(INDEX(Kontenplan!$F$5:$F$90,MATCH($E605,Kontenplan!$A$5:$A$90,0)),""))</f>
        <v/>
      </c>
      <c r="S605" s="35" t="str">
        <f aca="false">IF($D605="","",IFERROR(INDEX(Kontenplan!$F$5:$F$90,MATCH($D605,Kontenplan!$A$5:$A$90,0)),""))</f>
        <v/>
      </c>
      <c r="T605" s="35" t="str">
        <f aca="false">IF($D605="","",IFERROR(INDEX(Kontenplan!$C$5:$C$90,MATCH($D605,Kontenplan!$A$5:$A$90,0)),"?"))</f>
        <v/>
      </c>
      <c r="U605" s="35" t="str">
        <f aca="false">IF($E605="","",IFERROR(INDEX(Kontenplan!$C$5:$C$90,MATCH($E605,Kontenplan!$A$5:$A$90,0)),"?"))</f>
        <v/>
      </c>
      <c r="V605" s="35" t="str">
        <f aca="false">IF($F605="","",IF(OR($D605="",$E605="",$T605="?",$U605="?"),"Konto prüfen!",IF($A605="","Datum fehlt",IF(YEAR($A605)&lt;&gt;Einstellungen!$B$7,"anderes Jahr!",IF($G605="","MWST-Code fehlt","OK")))))</f>
        <v/>
      </c>
      <c r="W605" s="35" t="str">
        <f aca="false">IF($F605="","",IF(OR($D605=Kontoauszug!$C$4,$E605=Kontoauszug!$C$4),MAX(W$4:W604)+1,""))</f>
        <v/>
      </c>
    </row>
    <row r="606" customFormat="false" ht="15" hidden="false" customHeight="false" outlineLevel="0" collapsed="false">
      <c r="A606" s="33"/>
      <c r="B606" s="32"/>
      <c r="C606" s="32"/>
      <c r="D606" s="32"/>
      <c r="E606" s="32"/>
      <c r="F606" s="30"/>
      <c r="G606" s="32"/>
      <c r="H606" s="34" t="n">
        <f aca="false">IF($G606="",0,IFERROR(INDEX(Einstellungen!$G$5:$G$11,MATCH($G606,Einstellungen!$E$5:$E$11,0)),0))</f>
        <v>0</v>
      </c>
      <c r="I606" s="35" t="str">
        <f aca="false">IF($G606="","-",IFERROR(INDEX(Einstellungen!$H$5:$H$11,MATCH($G606,Einstellungen!$E$5:$E$11,0)),"-"))</f>
        <v>-</v>
      </c>
      <c r="J606" s="35" t="str">
        <f aca="false">IF(AND(Einstellungen!$B$8="Ja",Einstellungen!$B$9="Effektiv"),$I606,"-")</f>
        <v>-</v>
      </c>
      <c r="K606" s="31" t="n">
        <f aca="false">IF(OR($F606="",$J606="-"),0,ROUND($F606-$F606/(1+$H606),2))</f>
        <v>0</v>
      </c>
      <c r="L606" s="31" t="n">
        <f aca="false">IF($F606="",0,$F606-$K606)</f>
        <v>0</v>
      </c>
      <c r="M606" s="31" t="n">
        <f aca="false">IF($F606="",0,IF($J606="V",$L606,$F606))</f>
        <v>0</v>
      </c>
      <c r="N606" s="31" t="n">
        <f aca="false">IF($F606="",0,IF($J606="U",$L606,$F606))</f>
        <v>0</v>
      </c>
      <c r="O606" s="35" t="str">
        <f aca="false">IF($A606="","",MONTH($A606))</f>
        <v/>
      </c>
      <c r="P606" s="35" t="str">
        <f aca="false">IF($A606="","",ROUNDUP(MONTH($A606)/3,0))</f>
        <v/>
      </c>
      <c r="Q606" s="35" t="str">
        <f aca="false">IF($A606="","",IF(MONTH($A606)&lt;=6,1,2))</f>
        <v/>
      </c>
      <c r="R606" s="35" t="str">
        <f aca="false">IF($E606="","",IFERROR(INDEX(Kontenplan!$F$5:$F$90,MATCH($E606,Kontenplan!$A$5:$A$90,0)),""))</f>
        <v/>
      </c>
      <c r="S606" s="35" t="str">
        <f aca="false">IF($D606="","",IFERROR(INDEX(Kontenplan!$F$5:$F$90,MATCH($D606,Kontenplan!$A$5:$A$90,0)),""))</f>
        <v/>
      </c>
      <c r="T606" s="35" t="str">
        <f aca="false">IF($D606="","",IFERROR(INDEX(Kontenplan!$C$5:$C$90,MATCH($D606,Kontenplan!$A$5:$A$90,0)),"?"))</f>
        <v/>
      </c>
      <c r="U606" s="35" t="str">
        <f aca="false">IF($E606="","",IFERROR(INDEX(Kontenplan!$C$5:$C$90,MATCH($E606,Kontenplan!$A$5:$A$90,0)),"?"))</f>
        <v/>
      </c>
      <c r="V606" s="35" t="str">
        <f aca="false">IF($F606="","",IF(OR($D606="",$E606="",$T606="?",$U606="?"),"Konto prüfen!",IF($A606="","Datum fehlt",IF(YEAR($A606)&lt;&gt;Einstellungen!$B$7,"anderes Jahr!",IF($G606="","MWST-Code fehlt","OK")))))</f>
        <v/>
      </c>
      <c r="W606" s="35" t="str">
        <f aca="false">IF($F606="","",IF(OR($D606=Kontoauszug!$C$4,$E606=Kontoauszug!$C$4),MAX(W$4:W605)+1,""))</f>
        <v/>
      </c>
    </row>
    <row r="607" customFormat="false" ht="15" hidden="false" customHeight="false" outlineLevel="0" collapsed="false">
      <c r="A607" s="33"/>
      <c r="B607" s="32"/>
      <c r="C607" s="32"/>
      <c r="D607" s="32"/>
      <c r="E607" s="32"/>
      <c r="F607" s="30"/>
      <c r="G607" s="32"/>
      <c r="H607" s="34" t="n">
        <f aca="false">IF($G607="",0,IFERROR(INDEX(Einstellungen!$G$5:$G$11,MATCH($G607,Einstellungen!$E$5:$E$11,0)),0))</f>
        <v>0</v>
      </c>
      <c r="I607" s="35" t="str">
        <f aca="false">IF($G607="","-",IFERROR(INDEX(Einstellungen!$H$5:$H$11,MATCH($G607,Einstellungen!$E$5:$E$11,0)),"-"))</f>
        <v>-</v>
      </c>
      <c r="J607" s="35" t="str">
        <f aca="false">IF(AND(Einstellungen!$B$8="Ja",Einstellungen!$B$9="Effektiv"),$I607,"-")</f>
        <v>-</v>
      </c>
      <c r="K607" s="31" t="n">
        <f aca="false">IF(OR($F607="",$J607="-"),0,ROUND($F607-$F607/(1+$H607),2))</f>
        <v>0</v>
      </c>
      <c r="L607" s="31" t="n">
        <f aca="false">IF($F607="",0,$F607-$K607)</f>
        <v>0</v>
      </c>
      <c r="M607" s="31" t="n">
        <f aca="false">IF($F607="",0,IF($J607="V",$L607,$F607))</f>
        <v>0</v>
      </c>
      <c r="N607" s="31" t="n">
        <f aca="false">IF($F607="",0,IF($J607="U",$L607,$F607))</f>
        <v>0</v>
      </c>
      <c r="O607" s="35" t="str">
        <f aca="false">IF($A607="","",MONTH($A607))</f>
        <v/>
      </c>
      <c r="P607" s="35" t="str">
        <f aca="false">IF($A607="","",ROUNDUP(MONTH($A607)/3,0))</f>
        <v/>
      </c>
      <c r="Q607" s="35" t="str">
        <f aca="false">IF($A607="","",IF(MONTH($A607)&lt;=6,1,2))</f>
        <v/>
      </c>
      <c r="R607" s="35" t="str">
        <f aca="false">IF($E607="","",IFERROR(INDEX(Kontenplan!$F$5:$F$90,MATCH($E607,Kontenplan!$A$5:$A$90,0)),""))</f>
        <v/>
      </c>
      <c r="S607" s="35" t="str">
        <f aca="false">IF($D607="","",IFERROR(INDEX(Kontenplan!$F$5:$F$90,MATCH($D607,Kontenplan!$A$5:$A$90,0)),""))</f>
        <v/>
      </c>
      <c r="T607" s="35" t="str">
        <f aca="false">IF($D607="","",IFERROR(INDEX(Kontenplan!$C$5:$C$90,MATCH($D607,Kontenplan!$A$5:$A$90,0)),"?"))</f>
        <v/>
      </c>
      <c r="U607" s="35" t="str">
        <f aca="false">IF($E607="","",IFERROR(INDEX(Kontenplan!$C$5:$C$90,MATCH($E607,Kontenplan!$A$5:$A$90,0)),"?"))</f>
        <v/>
      </c>
      <c r="V607" s="35" t="str">
        <f aca="false">IF($F607="","",IF(OR($D607="",$E607="",$T607="?",$U607="?"),"Konto prüfen!",IF($A607="","Datum fehlt",IF(YEAR($A607)&lt;&gt;Einstellungen!$B$7,"anderes Jahr!",IF($G607="","MWST-Code fehlt","OK")))))</f>
        <v/>
      </c>
      <c r="W607" s="35" t="str">
        <f aca="false">IF($F607="","",IF(OR($D607=Kontoauszug!$C$4,$E607=Kontoauszug!$C$4),MAX(W$4:W606)+1,""))</f>
        <v/>
      </c>
    </row>
    <row r="608" customFormat="false" ht="15" hidden="false" customHeight="false" outlineLevel="0" collapsed="false">
      <c r="A608" s="33"/>
      <c r="B608" s="32"/>
      <c r="C608" s="32"/>
      <c r="D608" s="32"/>
      <c r="E608" s="32"/>
      <c r="F608" s="30"/>
      <c r="G608" s="32"/>
      <c r="H608" s="34" t="n">
        <f aca="false">IF($G608="",0,IFERROR(INDEX(Einstellungen!$G$5:$G$11,MATCH($G608,Einstellungen!$E$5:$E$11,0)),0))</f>
        <v>0</v>
      </c>
      <c r="I608" s="35" t="str">
        <f aca="false">IF($G608="","-",IFERROR(INDEX(Einstellungen!$H$5:$H$11,MATCH($G608,Einstellungen!$E$5:$E$11,0)),"-"))</f>
        <v>-</v>
      </c>
      <c r="J608" s="35" t="str">
        <f aca="false">IF(AND(Einstellungen!$B$8="Ja",Einstellungen!$B$9="Effektiv"),$I608,"-")</f>
        <v>-</v>
      </c>
      <c r="K608" s="31" t="n">
        <f aca="false">IF(OR($F608="",$J608="-"),0,ROUND($F608-$F608/(1+$H608),2))</f>
        <v>0</v>
      </c>
      <c r="L608" s="31" t="n">
        <f aca="false">IF($F608="",0,$F608-$K608)</f>
        <v>0</v>
      </c>
      <c r="M608" s="31" t="n">
        <f aca="false">IF($F608="",0,IF($J608="V",$L608,$F608))</f>
        <v>0</v>
      </c>
      <c r="N608" s="31" t="n">
        <f aca="false">IF($F608="",0,IF($J608="U",$L608,$F608))</f>
        <v>0</v>
      </c>
      <c r="O608" s="35" t="str">
        <f aca="false">IF($A608="","",MONTH($A608))</f>
        <v/>
      </c>
      <c r="P608" s="35" t="str">
        <f aca="false">IF($A608="","",ROUNDUP(MONTH($A608)/3,0))</f>
        <v/>
      </c>
      <c r="Q608" s="35" t="str">
        <f aca="false">IF($A608="","",IF(MONTH($A608)&lt;=6,1,2))</f>
        <v/>
      </c>
      <c r="R608" s="35" t="str">
        <f aca="false">IF($E608="","",IFERROR(INDEX(Kontenplan!$F$5:$F$90,MATCH($E608,Kontenplan!$A$5:$A$90,0)),""))</f>
        <v/>
      </c>
      <c r="S608" s="35" t="str">
        <f aca="false">IF($D608="","",IFERROR(INDEX(Kontenplan!$F$5:$F$90,MATCH($D608,Kontenplan!$A$5:$A$90,0)),""))</f>
        <v/>
      </c>
      <c r="T608" s="35" t="str">
        <f aca="false">IF($D608="","",IFERROR(INDEX(Kontenplan!$C$5:$C$90,MATCH($D608,Kontenplan!$A$5:$A$90,0)),"?"))</f>
        <v/>
      </c>
      <c r="U608" s="35" t="str">
        <f aca="false">IF($E608="","",IFERROR(INDEX(Kontenplan!$C$5:$C$90,MATCH($E608,Kontenplan!$A$5:$A$90,0)),"?"))</f>
        <v/>
      </c>
      <c r="V608" s="35" t="str">
        <f aca="false">IF($F608="","",IF(OR($D608="",$E608="",$T608="?",$U608="?"),"Konto prüfen!",IF($A608="","Datum fehlt",IF(YEAR($A608)&lt;&gt;Einstellungen!$B$7,"anderes Jahr!",IF($G608="","MWST-Code fehlt","OK")))))</f>
        <v/>
      </c>
      <c r="W608" s="35" t="str">
        <f aca="false">IF($F608="","",IF(OR($D608=Kontoauszug!$C$4,$E608=Kontoauszug!$C$4),MAX(W$4:W607)+1,""))</f>
        <v/>
      </c>
    </row>
    <row r="609" customFormat="false" ht="15" hidden="false" customHeight="false" outlineLevel="0" collapsed="false">
      <c r="A609" s="33"/>
      <c r="B609" s="32"/>
      <c r="C609" s="32"/>
      <c r="D609" s="32"/>
      <c r="E609" s="32"/>
      <c r="F609" s="30"/>
      <c r="G609" s="32"/>
      <c r="H609" s="34" t="n">
        <f aca="false">IF($G609="",0,IFERROR(INDEX(Einstellungen!$G$5:$G$11,MATCH($G609,Einstellungen!$E$5:$E$11,0)),0))</f>
        <v>0</v>
      </c>
      <c r="I609" s="35" t="str">
        <f aca="false">IF($G609="","-",IFERROR(INDEX(Einstellungen!$H$5:$H$11,MATCH($G609,Einstellungen!$E$5:$E$11,0)),"-"))</f>
        <v>-</v>
      </c>
      <c r="J609" s="35" t="str">
        <f aca="false">IF(AND(Einstellungen!$B$8="Ja",Einstellungen!$B$9="Effektiv"),$I609,"-")</f>
        <v>-</v>
      </c>
      <c r="K609" s="31" t="n">
        <f aca="false">IF(OR($F609="",$J609="-"),0,ROUND($F609-$F609/(1+$H609),2))</f>
        <v>0</v>
      </c>
      <c r="L609" s="31" t="n">
        <f aca="false">IF($F609="",0,$F609-$K609)</f>
        <v>0</v>
      </c>
      <c r="M609" s="31" t="n">
        <f aca="false">IF($F609="",0,IF($J609="V",$L609,$F609))</f>
        <v>0</v>
      </c>
      <c r="N609" s="31" t="n">
        <f aca="false">IF($F609="",0,IF($J609="U",$L609,$F609))</f>
        <v>0</v>
      </c>
      <c r="O609" s="35" t="str">
        <f aca="false">IF($A609="","",MONTH($A609))</f>
        <v/>
      </c>
      <c r="P609" s="35" t="str">
        <f aca="false">IF($A609="","",ROUNDUP(MONTH($A609)/3,0))</f>
        <v/>
      </c>
      <c r="Q609" s="35" t="str">
        <f aca="false">IF($A609="","",IF(MONTH($A609)&lt;=6,1,2))</f>
        <v/>
      </c>
      <c r="R609" s="35" t="str">
        <f aca="false">IF($E609="","",IFERROR(INDEX(Kontenplan!$F$5:$F$90,MATCH($E609,Kontenplan!$A$5:$A$90,0)),""))</f>
        <v/>
      </c>
      <c r="S609" s="35" t="str">
        <f aca="false">IF($D609="","",IFERROR(INDEX(Kontenplan!$F$5:$F$90,MATCH($D609,Kontenplan!$A$5:$A$90,0)),""))</f>
        <v/>
      </c>
      <c r="T609" s="35" t="str">
        <f aca="false">IF($D609="","",IFERROR(INDEX(Kontenplan!$C$5:$C$90,MATCH($D609,Kontenplan!$A$5:$A$90,0)),"?"))</f>
        <v/>
      </c>
      <c r="U609" s="35" t="str">
        <f aca="false">IF($E609="","",IFERROR(INDEX(Kontenplan!$C$5:$C$90,MATCH($E609,Kontenplan!$A$5:$A$90,0)),"?"))</f>
        <v/>
      </c>
      <c r="V609" s="35" t="str">
        <f aca="false">IF($F609="","",IF(OR($D609="",$E609="",$T609="?",$U609="?"),"Konto prüfen!",IF($A609="","Datum fehlt",IF(YEAR($A609)&lt;&gt;Einstellungen!$B$7,"anderes Jahr!",IF($G609="","MWST-Code fehlt","OK")))))</f>
        <v/>
      </c>
      <c r="W609" s="35" t="str">
        <f aca="false">IF($F609="","",IF(OR($D609=Kontoauszug!$C$4,$E609=Kontoauszug!$C$4),MAX(W$4:W608)+1,""))</f>
        <v/>
      </c>
    </row>
    <row r="610" customFormat="false" ht="15" hidden="false" customHeight="false" outlineLevel="0" collapsed="false">
      <c r="A610" s="33"/>
      <c r="B610" s="32"/>
      <c r="C610" s="32"/>
      <c r="D610" s="32"/>
      <c r="E610" s="32"/>
      <c r="F610" s="30"/>
      <c r="G610" s="32"/>
      <c r="H610" s="34" t="n">
        <f aca="false">IF($G610="",0,IFERROR(INDEX(Einstellungen!$G$5:$G$11,MATCH($G610,Einstellungen!$E$5:$E$11,0)),0))</f>
        <v>0</v>
      </c>
      <c r="I610" s="35" t="str">
        <f aca="false">IF($G610="","-",IFERROR(INDEX(Einstellungen!$H$5:$H$11,MATCH($G610,Einstellungen!$E$5:$E$11,0)),"-"))</f>
        <v>-</v>
      </c>
      <c r="J610" s="35" t="str">
        <f aca="false">IF(AND(Einstellungen!$B$8="Ja",Einstellungen!$B$9="Effektiv"),$I610,"-")</f>
        <v>-</v>
      </c>
      <c r="K610" s="31" t="n">
        <f aca="false">IF(OR($F610="",$J610="-"),0,ROUND($F610-$F610/(1+$H610),2))</f>
        <v>0</v>
      </c>
      <c r="L610" s="31" t="n">
        <f aca="false">IF($F610="",0,$F610-$K610)</f>
        <v>0</v>
      </c>
      <c r="M610" s="31" t="n">
        <f aca="false">IF($F610="",0,IF($J610="V",$L610,$F610))</f>
        <v>0</v>
      </c>
      <c r="N610" s="31" t="n">
        <f aca="false">IF($F610="",0,IF($J610="U",$L610,$F610))</f>
        <v>0</v>
      </c>
      <c r="O610" s="35" t="str">
        <f aca="false">IF($A610="","",MONTH($A610))</f>
        <v/>
      </c>
      <c r="P610" s="35" t="str">
        <f aca="false">IF($A610="","",ROUNDUP(MONTH($A610)/3,0))</f>
        <v/>
      </c>
      <c r="Q610" s="35" t="str">
        <f aca="false">IF($A610="","",IF(MONTH($A610)&lt;=6,1,2))</f>
        <v/>
      </c>
      <c r="R610" s="35" t="str">
        <f aca="false">IF($E610="","",IFERROR(INDEX(Kontenplan!$F$5:$F$90,MATCH($E610,Kontenplan!$A$5:$A$90,0)),""))</f>
        <v/>
      </c>
      <c r="S610" s="35" t="str">
        <f aca="false">IF($D610="","",IFERROR(INDEX(Kontenplan!$F$5:$F$90,MATCH($D610,Kontenplan!$A$5:$A$90,0)),""))</f>
        <v/>
      </c>
      <c r="T610" s="35" t="str">
        <f aca="false">IF($D610="","",IFERROR(INDEX(Kontenplan!$C$5:$C$90,MATCH($D610,Kontenplan!$A$5:$A$90,0)),"?"))</f>
        <v/>
      </c>
      <c r="U610" s="35" t="str">
        <f aca="false">IF($E610="","",IFERROR(INDEX(Kontenplan!$C$5:$C$90,MATCH($E610,Kontenplan!$A$5:$A$90,0)),"?"))</f>
        <v/>
      </c>
      <c r="V610" s="35" t="str">
        <f aca="false">IF($F610="","",IF(OR($D610="",$E610="",$T610="?",$U610="?"),"Konto prüfen!",IF($A610="","Datum fehlt",IF(YEAR($A610)&lt;&gt;Einstellungen!$B$7,"anderes Jahr!",IF($G610="","MWST-Code fehlt","OK")))))</f>
        <v/>
      </c>
      <c r="W610" s="35" t="str">
        <f aca="false">IF($F610="","",IF(OR($D610=Kontoauszug!$C$4,$E610=Kontoauszug!$C$4),MAX(W$4:W609)+1,""))</f>
        <v/>
      </c>
    </row>
    <row r="611" customFormat="false" ht="15" hidden="false" customHeight="false" outlineLevel="0" collapsed="false">
      <c r="A611" s="33"/>
      <c r="B611" s="32"/>
      <c r="C611" s="32"/>
      <c r="D611" s="32"/>
      <c r="E611" s="32"/>
      <c r="F611" s="30"/>
      <c r="G611" s="32"/>
      <c r="H611" s="34" t="n">
        <f aca="false">IF($G611="",0,IFERROR(INDEX(Einstellungen!$G$5:$G$11,MATCH($G611,Einstellungen!$E$5:$E$11,0)),0))</f>
        <v>0</v>
      </c>
      <c r="I611" s="35" t="str">
        <f aca="false">IF($G611="","-",IFERROR(INDEX(Einstellungen!$H$5:$H$11,MATCH($G611,Einstellungen!$E$5:$E$11,0)),"-"))</f>
        <v>-</v>
      </c>
      <c r="J611" s="35" t="str">
        <f aca="false">IF(AND(Einstellungen!$B$8="Ja",Einstellungen!$B$9="Effektiv"),$I611,"-")</f>
        <v>-</v>
      </c>
      <c r="K611" s="31" t="n">
        <f aca="false">IF(OR($F611="",$J611="-"),0,ROUND($F611-$F611/(1+$H611),2))</f>
        <v>0</v>
      </c>
      <c r="L611" s="31" t="n">
        <f aca="false">IF($F611="",0,$F611-$K611)</f>
        <v>0</v>
      </c>
      <c r="M611" s="31" t="n">
        <f aca="false">IF($F611="",0,IF($J611="V",$L611,$F611))</f>
        <v>0</v>
      </c>
      <c r="N611" s="31" t="n">
        <f aca="false">IF($F611="",0,IF($J611="U",$L611,$F611))</f>
        <v>0</v>
      </c>
      <c r="O611" s="35" t="str">
        <f aca="false">IF($A611="","",MONTH($A611))</f>
        <v/>
      </c>
      <c r="P611" s="35" t="str">
        <f aca="false">IF($A611="","",ROUNDUP(MONTH($A611)/3,0))</f>
        <v/>
      </c>
      <c r="Q611" s="35" t="str">
        <f aca="false">IF($A611="","",IF(MONTH($A611)&lt;=6,1,2))</f>
        <v/>
      </c>
      <c r="R611" s="35" t="str">
        <f aca="false">IF($E611="","",IFERROR(INDEX(Kontenplan!$F$5:$F$90,MATCH($E611,Kontenplan!$A$5:$A$90,0)),""))</f>
        <v/>
      </c>
      <c r="S611" s="35" t="str">
        <f aca="false">IF($D611="","",IFERROR(INDEX(Kontenplan!$F$5:$F$90,MATCH($D611,Kontenplan!$A$5:$A$90,0)),""))</f>
        <v/>
      </c>
      <c r="T611" s="35" t="str">
        <f aca="false">IF($D611="","",IFERROR(INDEX(Kontenplan!$C$5:$C$90,MATCH($D611,Kontenplan!$A$5:$A$90,0)),"?"))</f>
        <v/>
      </c>
      <c r="U611" s="35" t="str">
        <f aca="false">IF($E611="","",IFERROR(INDEX(Kontenplan!$C$5:$C$90,MATCH($E611,Kontenplan!$A$5:$A$90,0)),"?"))</f>
        <v/>
      </c>
      <c r="V611" s="35" t="str">
        <f aca="false">IF($F611="","",IF(OR($D611="",$E611="",$T611="?",$U611="?"),"Konto prüfen!",IF($A611="","Datum fehlt",IF(YEAR($A611)&lt;&gt;Einstellungen!$B$7,"anderes Jahr!",IF($G611="","MWST-Code fehlt","OK")))))</f>
        <v/>
      </c>
      <c r="W611" s="35" t="str">
        <f aca="false">IF($F611="","",IF(OR($D611=Kontoauszug!$C$4,$E611=Kontoauszug!$C$4),MAX(W$4:W610)+1,""))</f>
        <v/>
      </c>
    </row>
    <row r="612" customFormat="false" ht="15" hidden="false" customHeight="false" outlineLevel="0" collapsed="false">
      <c r="A612" s="33"/>
      <c r="B612" s="32"/>
      <c r="C612" s="32"/>
      <c r="D612" s="32"/>
      <c r="E612" s="32"/>
      <c r="F612" s="30"/>
      <c r="G612" s="32"/>
      <c r="H612" s="34" t="n">
        <f aca="false">IF($G612="",0,IFERROR(INDEX(Einstellungen!$G$5:$G$11,MATCH($G612,Einstellungen!$E$5:$E$11,0)),0))</f>
        <v>0</v>
      </c>
      <c r="I612" s="35" t="str">
        <f aca="false">IF($G612="","-",IFERROR(INDEX(Einstellungen!$H$5:$H$11,MATCH($G612,Einstellungen!$E$5:$E$11,0)),"-"))</f>
        <v>-</v>
      </c>
      <c r="J612" s="35" t="str">
        <f aca="false">IF(AND(Einstellungen!$B$8="Ja",Einstellungen!$B$9="Effektiv"),$I612,"-")</f>
        <v>-</v>
      </c>
      <c r="K612" s="31" t="n">
        <f aca="false">IF(OR($F612="",$J612="-"),0,ROUND($F612-$F612/(1+$H612),2))</f>
        <v>0</v>
      </c>
      <c r="L612" s="31" t="n">
        <f aca="false">IF($F612="",0,$F612-$K612)</f>
        <v>0</v>
      </c>
      <c r="M612" s="31" t="n">
        <f aca="false">IF($F612="",0,IF($J612="V",$L612,$F612))</f>
        <v>0</v>
      </c>
      <c r="N612" s="31" t="n">
        <f aca="false">IF($F612="",0,IF($J612="U",$L612,$F612))</f>
        <v>0</v>
      </c>
      <c r="O612" s="35" t="str">
        <f aca="false">IF($A612="","",MONTH($A612))</f>
        <v/>
      </c>
      <c r="P612" s="35" t="str">
        <f aca="false">IF($A612="","",ROUNDUP(MONTH($A612)/3,0))</f>
        <v/>
      </c>
      <c r="Q612" s="35" t="str">
        <f aca="false">IF($A612="","",IF(MONTH($A612)&lt;=6,1,2))</f>
        <v/>
      </c>
      <c r="R612" s="35" t="str">
        <f aca="false">IF($E612="","",IFERROR(INDEX(Kontenplan!$F$5:$F$90,MATCH($E612,Kontenplan!$A$5:$A$90,0)),""))</f>
        <v/>
      </c>
      <c r="S612" s="35" t="str">
        <f aca="false">IF($D612="","",IFERROR(INDEX(Kontenplan!$F$5:$F$90,MATCH($D612,Kontenplan!$A$5:$A$90,0)),""))</f>
        <v/>
      </c>
      <c r="T612" s="35" t="str">
        <f aca="false">IF($D612="","",IFERROR(INDEX(Kontenplan!$C$5:$C$90,MATCH($D612,Kontenplan!$A$5:$A$90,0)),"?"))</f>
        <v/>
      </c>
      <c r="U612" s="35" t="str">
        <f aca="false">IF($E612="","",IFERROR(INDEX(Kontenplan!$C$5:$C$90,MATCH($E612,Kontenplan!$A$5:$A$90,0)),"?"))</f>
        <v/>
      </c>
      <c r="V612" s="35" t="str">
        <f aca="false">IF($F612="","",IF(OR($D612="",$E612="",$T612="?",$U612="?"),"Konto prüfen!",IF($A612="","Datum fehlt",IF(YEAR($A612)&lt;&gt;Einstellungen!$B$7,"anderes Jahr!",IF($G612="","MWST-Code fehlt","OK")))))</f>
        <v/>
      </c>
      <c r="W612" s="35" t="str">
        <f aca="false">IF($F612="","",IF(OR($D612=Kontoauszug!$C$4,$E612=Kontoauszug!$C$4),MAX(W$4:W611)+1,""))</f>
        <v/>
      </c>
    </row>
    <row r="613" customFormat="false" ht="15" hidden="false" customHeight="false" outlineLevel="0" collapsed="false">
      <c r="A613" s="33"/>
      <c r="B613" s="32"/>
      <c r="C613" s="32"/>
      <c r="D613" s="32"/>
      <c r="E613" s="32"/>
      <c r="F613" s="30"/>
      <c r="G613" s="32"/>
      <c r="H613" s="34" t="n">
        <f aca="false">IF($G613="",0,IFERROR(INDEX(Einstellungen!$G$5:$G$11,MATCH($G613,Einstellungen!$E$5:$E$11,0)),0))</f>
        <v>0</v>
      </c>
      <c r="I613" s="35" t="str">
        <f aca="false">IF($G613="","-",IFERROR(INDEX(Einstellungen!$H$5:$H$11,MATCH($G613,Einstellungen!$E$5:$E$11,0)),"-"))</f>
        <v>-</v>
      </c>
      <c r="J613" s="35" t="str">
        <f aca="false">IF(AND(Einstellungen!$B$8="Ja",Einstellungen!$B$9="Effektiv"),$I613,"-")</f>
        <v>-</v>
      </c>
      <c r="K613" s="31" t="n">
        <f aca="false">IF(OR($F613="",$J613="-"),0,ROUND($F613-$F613/(1+$H613),2))</f>
        <v>0</v>
      </c>
      <c r="L613" s="31" t="n">
        <f aca="false">IF($F613="",0,$F613-$K613)</f>
        <v>0</v>
      </c>
      <c r="M613" s="31" t="n">
        <f aca="false">IF($F613="",0,IF($J613="V",$L613,$F613))</f>
        <v>0</v>
      </c>
      <c r="N613" s="31" t="n">
        <f aca="false">IF($F613="",0,IF($J613="U",$L613,$F613))</f>
        <v>0</v>
      </c>
      <c r="O613" s="35" t="str">
        <f aca="false">IF($A613="","",MONTH($A613))</f>
        <v/>
      </c>
      <c r="P613" s="35" t="str">
        <f aca="false">IF($A613="","",ROUNDUP(MONTH($A613)/3,0))</f>
        <v/>
      </c>
      <c r="Q613" s="35" t="str">
        <f aca="false">IF($A613="","",IF(MONTH($A613)&lt;=6,1,2))</f>
        <v/>
      </c>
      <c r="R613" s="35" t="str">
        <f aca="false">IF($E613="","",IFERROR(INDEX(Kontenplan!$F$5:$F$90,MATCH($E613,Kontenplan!$A$5:$A$90,0)),""))</f>
        <v/>
      </c>
      <c r="S613" s="35" t="str">
        <f aca="false">IF($D613="","",IFERROR(INDEX(Kontenplan!$F$5:$F$90,MATCH($D613,Kontenplan!$A$5:$A$90,0)),""))</f>
        <v/>
      </c>
      <c r="T613" s="35" t="str">
        <f aca="false">IF($D613="","",IFERROR(INDEX(Kontenplan!$C$5:$C$90,MATCH($D613,Kontenplan!$A$5:$A$90,0)),"?"))</f>
        <v/>
      </c>
      <c r="U613" s="35" t="str">
        <f aca="false">IF($E613="","",IFERROR(INDEX(Kontenplan!$C$5:$C$90,MATCH($E613,Kontenplan!$A$5:$A$90,0)),"?"))</f>
        <v/>
      </c>
      <c r="V613" s="35" t="str">
        <f aca="false">IF($F613="","",IF(OR($D613="",$E613="",$T613="?",$U613="?"),"Konto prüfen!",IF($A613="","Datum fehlt",IF(YEAR($A613)&lt;&gt;Einstellungen!$B$7,"anderes Jahr!",IF($G613="","MWST-Code fehlt","OK")))))</f>
        <v/>
      </c>
      <c r="W613" s="35" t="str">
        <f aca="false">IF($F613="","",IF(OR($D613=Kontoauszug!$C$4,$E613=Kontoauszug!$C$4),MAX(W$4:W612)+1,""))</f>
        <v/>
      </c>
    </row>
    <row r="614" customFormat="false" ht="15" hidden="false" customHeight="false" outlineLevel="0" collapsed="false">
      <c r="A614" s="33"/>
      <c r="B614" s="32"/>
      <c r="C614" s="32"/>
      <c r="D614" s="32"/>
      <c r="E614" s="32"/>
      <c r="F614" s="30"/>
      <c r="G614" s="32"/>
      <c r="H614" s="34" t="n">
        <f aca="false">IF($G614="",0,IFERROR(INDEX(Einstellungen!$G$5:$G$11,MATCH($G614,Einstellungen!$E$5:$E$11,0)),0))</f>
        <v>0</v>
      </c>
      <c r="I614" s="35" t="str">
        <f aca="false">IF($G614="","-",IFERROR(INDEX(Einstellungen!$H$5:$H$11,MATCH($G614,Einstellungen!$E$5:$E$11,0)),"-"))</f>
        <v>-</v>
      </c>
      <c r="J614" s="35" t="str">
        <f aca="false">IF(AND(Einstellungen!$B$8="Ja",Einstellungen!$B$9="Effektiv"),$I614,"-")</f>
        <v>-</v>
      </c>
      <c r="K614" s="31" t="n">
        <f aca="false">IF(OR($F614="",$J614="-"),0,ROUND($F614-$F614/(1+$H614),2))</f>
        <v>0</v>
      </c>
      <c r="L614" s="31" t="n">
        <f aca="false">IF($F614="",0,$F614-$K614)</f>
        <v>0</v>
      </c>
      <c r="M614" s="31" t="n">
        <f aca="false">IF($F614="",0,IF($J614="V",$L614,$F614))</f>
        <v>0</v>
      </c>
      <c r="N614" s="31" t="n">
        <f aca="false">IF($F614="",0,IF($J614="U",$L614,$F614))</f>
        <v>0</v>
      </c>
      <c r="O614" s="35" t="str">
        <f aca="false">IF($A614="","",MONTH($A614))</f>
        <v/>
      </c>
      <c r="P614" s="35" t="str">
        <f aca="false">IF($A614="","",ROUNDUP(MONTH($A614)/3,0))</f>
        <v/>
      </c>
      <c r="Q614" s="35" t="str">
        <f aca="false">IF($A614="","",IF(MONTH($A614)&lt;=6,1,2))</f>
        <v/>
      </c>
      <c r="R614" s="35" t="str">
        <f aca="false">IF($E614="","",IFERROR(INDEX(Kontenplan!$F$5:$F$90,MATCH($E614,Kontenplan!$A$5:$A$90,0)),""))</f>
        <v/>
      </c>
      <c r="S614" s="35" t="str">
        <f aca="false">IF($D614="","",IFERROR(INDEX(Kontenplan!$F$5:$F$90,MATCH($D614,Kontenplan!$A$5:$A$90,0)),""))</f>
        <v/>
      </c>
      <c r="T614" s="35" t="str">
        <f aca="false">IF($D614="","",IFERROR(INDEX(Kontenplan!$C$5:$C$90,MATCH($D614,Kontenplan!$A$5:$A$90,0)),"?"))</f>
        <v/>
      </c>
      <c r="U614" s="35" t="str">
        <f aca="false">IF($E614="","",IFERROR(INDEX(Kontenplan!$C$5:$C$90,MATCH($E614,Kontenplan!$A$5:$A$90,0)),"?"))</f>
        <v/>
      </c>
      <c r="V614" s="35" t="str">
        <f aca="false">IF($F614="","",IF(OR($D614="",$E614="",$T614="?",$U614="?"),"Konto prüfen!",IF($A614="","Datum fehlt",IF(YEAR($A614)&lt;&gt;Einstellungen!$B$7,"anderes Jahr!",IF($G614="","MWST-Code fehlt","OK")))))</f>
        <v/>
      </c>
      <c r="W614" s="35" t="str">
        <f aca="false">IF($F614="","",IF(OR($D614=Kontoauszug!$C$4,$E614=Kontoauszug!$C$4),MAX(W$4:W613)+1,""))</f>
        <v/>
      </c>
    </row>
    <row r="615" customFormat="false" ht="15" hidden="false" customHeight="false" outlineLevel="0" collapsed="false">
      <c r="A615" s="33"/>
      <c r="B615" s="32"/>
      <c r="C615" s="32"/>
      <c r="D615" s="32"/>
      <c r="E615" s="32"/>
      <c r="F615" s="30"/>
      <c r="G615" s="32"/>
      <c r="H615" s="34" t="n">
        <f aca="false">IF($G615="",0,IFERROR(INDEX(Einstellungen!$G$5:$G$11,MATCH($G615,Einstellungen!$E$5:$E$11,0)),0))</f>
        <v>0</v>
      </c>
      <c r="I615" s="35" t="str">
        <f aca="false">IF($G615="","-",IFERROR(INDEX(Einstellungen!$H$5:$H$11,MATCH($G615,Einstellungen!$E$5:$E$11,0)),"-"))</f>
        <v>-</v>
      </c>
      <c r="J615" s="35" t="str">
        <f aca="false">IF(AND(Einstellungen!$B$8="Ja",Einstellungen!$B$9="Effektiv"),$I615,"-")</f>
        <v>-</v>
      </c>
      <c r="K615" s="31" t="n">
        <f aca="false">IF(OR($F615="",$J615="-"),0,ROUND($F615-$F615/(1+$H615),2))</f>
        <v>0</v>
      </c>
      <c r="L615" s="31" t="n">
        <f aca="false">IF($F615="",0,$F615-$K615)</f>
        <v>0</v>
      </c>
      <c r="M615" s="31" t="n">
        <f aca="false">IF($F615="",0,IF($J615="V",$L615,$F615))</f>
        <v>0</v>
      </c>
      <c r="N615" s="31" t="n">
        <f aca="false">IF($F615="",0,IF($J615="U",$L615,$F615))</f>
        <v>0</v>
      </c>
      <c r="O615" s="35" t="str">
        <f aca="false">IF($A615="","",MONTH($A615))</f>
        <v/>
      </c>
      <c r="P615" s="35" t="str">
        <f aca="false">IF($A615="","",ROUNDUP(MONTH($A615)/3,0))</f>
        <v/>
      </c>
      <c r="Q615" s="35" t="str">
        <f aca="false">IF($A615="","",IF(MONTH($A615)&lt;=6,1,2))</f>
        <v/>
      </c>
      <c r="R615" s="35" t="str">
        <f aca="false">IF($E615="","",IFERROR(INDEX(Kontenplan!$F$5:$F$90,MATCH($E615,Kontenplan!$A$5:$A$90,0)),""))</f>
        <v/>
      </c>
      <c r="S615" s="35" t="str">
        <f aca="false">IF($D615="","",IFERROR(INDEX(Kontenplan!$F$5:$F$90,MATCH($D615,Kontenplan!$A$5:$A$90,0)),""))</f>
        <v/>
      </c>
      <c r="T615" s="35" t="str">
        <f aca="false">IF($D615="","",IFERROR(INDEX(Kontenplan!$C$5:$C$90,MATCH($D615,Kontenplan!$A$5:$A$90,0)),"?"))</f>
        <v/>
      </c>
      <c r="U615" s="35" t="str">
        <f aca="false">IF($E615="","",IFERROR(INDEX(Kontenplan!$C$5:$C$90,MATCH($E615,Kontenplan!$A$5:$A$90,0)),"?"))</f>
        <v/>
      </c>
      <c r="V615" s="35" t="str">
        <f aca="false">IF($F615="","",IF(OR($D615="",$E615="",$T615="?",$U615="?"),"Konto prüfen!",IF($A615="","Datum fehlt",IF(YEAR($A615)&lt;&gt;Einstellungen!$B$7,"anderes Jahr!",IF($G615="","MWST-Code fehlt","OK")))))</f>
        <v/>
      </c>
      <c r="W615" s="35" t="str">
        <f aca="false">IF($F615="","",IF(OR($D615=Kontoauszug!$C$4,$E615=Kontoauszug!$C$4),MAX(W$4:W614)+1,""))</f>
        <v/>
      </c>
    </row>
    <row r="616" customFormat="false" ht="15" hidden="false" customHeight="false" outlineLevel="0" collapsed="false">
      <c r="A616" s="33"/>
      <c r="B616" s="32"/>
      <c r="C616" s="32"/>
      <c r="D616" s="32"/>
      <c r="E616" s="32"/>
      <c r="F616" s="30"/>
      <c r="G616" s="32"/>
      <c r="H616" s="34" t="n">
        <f aca="false">IF($G616="",0,IFERROR(INDEX(Einstellungen!$G$5:$G$11,MATCH($G616,Einstellungen!$E$5:$E$11,0)),0))</f>
        <v>0</v>
      </c>
      <c r="I616" s="35" t="str">
        <f aca="false">IF($G616="","-",IFERROR(INDEX(Einstellungen!$H$5:$H$11,MATCH($G616,Einstellungen!$E$5:$E$11,0)),"-"))</f>
        <v>-</v>
      </c>
      <c r="J616" s="35" t="str">
        <f aca="false">IF(AND(Einstellungen!$B$8="Ja",Einstellungen!$B$9="Effektiv"),$I616,"-")</f>
        <v>-</v>
      </c>
      <c r="K616" s="31" t="n">
        <f aca="false">IF(OR($F616="",$J616="-"),0,ROUND($F616-$F616/(1+$H616),2))</f>
        <v>0</v>
      </c>
      <c r="L616" s="31" t="n">
        <f aca="false">IF($F616="",0,$F616-$K616)</f>
        <v>0</v>
      </c>
      <c r="M616" s="31" t="n">
        <f aca="false">IF($F616="",0,IF($J616="V",$L616,$F616))</f>
        <v>0</v>
      </c>
      <c r="N616" s="31" t="n">
        <f aca="false">IF($F616="",0,IF($J616="U",$L616,$F616))</f>
        <v>0</v>
      </c>
      <c r="O616" s="35" t="str">
        <f aca="false">IF($A616="","",MONTH($A616))</f>
        <v/>
      </c>
      <c r="P616" s="35" t="str">
        <f aca="false">IF($A616="","",ROUNDUP(MONTH($A616)/3,0))</f>
        <v/>
      </c>
      <c r="Q616" s="35" t="str">
        <f aca="false">IF($A616="","",IF(MONTH($A616)&lt;=6,1,2))</f>
        <v/>
      </c>
      <c r="R616" s="35" t="str">
        <f aca="false">IF($E616="","",IFERROR(INDEX(Kontenplan!$F$5:$F$90,MATCH($E616,Kontenplan!$A$5:$A$90,0)),""))</f>
        <v/>
      </c>
      <c r="S616" s="35" t="str">
        <f aca="false">IF($D616="","",IFERROR(INDEX(Kontenplan!$F$5:$F$90,MATCH($D616,Kontenplan!$A$5:$A$90,0)),""))</f>
        <v/>
      </c>
      <c r="T616" s="35" t="str">
        <f aca="false">IF($D616="","",IFERROR(INDEX(Kontenplan!$C$5:$C$90,MATCH($D616,Kontenplan!$A$5:$A$90,0)),"?"))</f>
        <v/>
      </c>
      <c r="U616" s="35" t="str">
        <f aca="false">IF($E616="","",IFERROR(INDEX(Kontenplan!$C$5:$C$90,MATCH($E616,Kontenplan!$A$5:$A$90,0)),"?"))</f>
        <v/>
      </c>
      <c r="V616" s="35" t="str">
        <f aca="false">IF($F616="","",IF(OR($D616="",$E616="",$T616="?",$U616="?"),"Konto prüfen!",IF($A616="","Datum fehlt",IF(YEAR($A616)&lt;&gt;Einstellungen!$B$7,"anderes Jahr!",IF($G616="","MWST-Code fehlt","OK")))))</f>
        <v/>
      </c>
      <c r="W616" s="35" t="str">
        <f aca="false">IF($F616="","",IF(OR($D616=Kontoauszug!$C$4,$E616=Kontoauszug!$C$4),MAX(W$4:W615)+1,""))</f>
        <v/>
      </c>
    </row>
    <row r="617" customFormat="false" ht="15" hidden="false" customHeight="false" outlineLevel="0" collapsed="false">
      <c r="A617" s="33"/>
      <c r="B617" s="32"/>
      <c r="C617" s="32"/>
      <c r="D617" s="32"/>
      <c r="E617" s="32"/>
      <c r="F617" s="30"/>
      <c r="G617" s="32"/>
      <c r="H617" s="34" t="n">
        <f aca="false">IF($G617="",0,IFERROR(INDEX(Einstellungen!$G$5:$G$11,MATCH($G617,Einstellungen!$E$5:$E$11,0)),0))</f>
        <v>0</v>
      </c>
      <c r="I617" s="35" t="str">
        <f aca="false">IF($G617="","-",IFERROR(INDEX(Einstellungen!$H$5:$H$11,MATCH($G617,Einstellungen!$E$5:$E$11,0)),"-"))</f>
        <v>-</v>
      </c>
      <c r="J617" s="35" t="str">
        <f aca="false">IF(AND(Einstellungen!$B$8="Ja",Einstellungen!$B$9="Effektiv"),$I617,"-")</f>
        <v>-</v>
      </c>
      <c r="K617" s="31" t="n">
        <f aca="false">IF(OR($F617="",$J617="-"),0,ROUND($F617-$F617/(1+$H617),2))</f>
        <v>0</v>
      </c>
      <c r="L617" s="31" t="n">
        <f aca="false">IF($F617="",0,$F617-$K617)</f>
        <v>0</v>
      </c>
      <c r="M617" s="31" t="n">
        <f aca="false">IF($F617="",0,IF($J617="V",$L617,$F617))</f>
        <v>0</v>
      </c>
      <c r="N617" s="31" t="n">
        <f aca="false">IF($F617="",0,IF($J617="U",$L617,$F617))</f>
        <v>0</v>
      </c>
      <c r="O617" s="35" t="str">
        <f aca="false">IF($A617="","",MONTH($A617))</f>
        <v/>
      </c>
      <c r="P617" s="35" t="str">
        <f aca="false">IF($A617="","",ROUNDUP(MONTH($A617)/3,0))</f>
        <v/>
      </c>
      <c r="Q617" s="35" t="str">
        <f aca="false">IF($A617="","",IF(MONTH($A617)&lt;=6,1,2))</f>
        <v/>
      </c>
      <c r="R617" s="35" t="str">
        <f aca="false">IF($E617="","",IFERROR(INDEX(Kontenplan!$F$5:$F$90,MATCH($E617,Kontenplan!$A$5:$A$90,0)),""))</f>
        <v/>
      </c>
      <c r="S617" s="35" t="str">
        <f aca="false">IF($D617="","",IFERROR(INDEX(Kontenplan!$F$5:$F$90,MATCH($D617,Kontenplan!$A$5:$A$90,0)),""))</f>
        <v/>
      </c>
      <c r="T617" s="35" t="str">
        <f aca="false">IF($D617="","",IFERROR(INDEX(Kontenplan!$C$5:$C$90,MATCH($D617,Kontenplan!$A$5:$A$90,0)),"?"))</f>
        <v/>
      </c>
      <c r="U617" s="35" t="str">
        <f aca="false">IF($E617="","",IFERROR(INDEX(Kontenplan!$C$5:$C$90,MATCH($E617,Kontenplan!$A$5:$A$90,0)),"?"))</f>
        <v/>
      </c>
      <c r="V617" s="35" t="str">
        <f aca="false">IF($F617="","",IF(OR($D617="",$E617="",$T617="?",$U617="?"),"Konto prüfen!",IF($A617="","Datum fehlt",IF(YEAR($A617)&lt;&gt;Einstellungen!$B$7,"anderes Jahr!",IF($G617="","MWST-Code fehlt","OK")))))</f>
        <v/>
      </c>
      <c r="W617" s="35" t="str">
        <f aca="false">IF($F617="","",IF(OR($D617=Kontoauszug!$C$4,$E617=Kontoauszug!$C$4),MAX(W$4:W616)+1,""))</f>
        <v/>
      </c>
    </row>
    <row r="618" customFormat="false" ht="15" hidden="false" customHeight="false" outlineLevel="0" collapsed="false">
      <c r="A618" s="33"/>
      <c r="B618" s="32"/>
      <c r="C618" s="32"/>
      <c r="D618" s="32"/>
      <c r="E618" s="32"/>
      <c r="F618" s="30"/>
      <c r="G618" s="32"/>
      <c r="H618" s="34" t="n">
        <f aca="false">IF($G618="",0,IFERROR(INDEX(Einstellungen!$G$5:$G$11,MATCH($G618,Einstellungen!$E$5:$E$11,0)),0))</f>
        <v>0</v>
      </c>
      <c r="I618" s="35" t="str">
        <f aca="false">IF($G618="","-",IFERROR(INDEX(Einstellungen!$H$5:$H$11,MATCH($G618,Einstellungen!$E$5:$E$11,0)),"-"))</f>
        <v>-</v>
      </c>
      <c r="J618" s="35" t="str">
        <f aca="false">IF(AND(Einstellungen!$B$8="Ja",Einstellungen!$B$9="Effektiv"),$I618,"-")</f>
        <v>-</v>
      </c>
      <c r="K618" s="31" t="n">
        <f aca="false">IF(OR($F618="",$J618="-"),0,ROUND($F618-$F618/(1+$H618),2))</f>
        <v>0</v>
      </c>
      <c r="L618" s="31" t="n">
        <f aca="false">IF($F618="",0,$F618-$K618)</f>
        <v>0</v>
      </c>
      <c r="M618" s="31" t="n">
        <f aca="false">IF($F618="",0,IF($J618="V",$L618,$F618))</f>
        <v>0</v>
      </c>
      <c r="N618" s="31" t="n">
        <f aca="false">IF($F618="",0,IF($J618="U",$L618,$F618))</f>
        <v>0</v>
      </c>
      <c r="O618" s="35" t="str">
        <f aca="false">IF($A618="","",MONTH($A618))</f>
        <v/>
      </c>
      <c r="P618" s="35" t="str">
        <f aca="false">IF($A618="","",ROUNDUP(MONTH($A618)/3,0))</f>
        <v/>
      </c>
      <c r="Q618" s="35" t="str">
        <f aca="false">IF($A618="","",IF(MONTH($A618)&lt;=6,1,2))</f>
        <v/>
      </c>
      <c r="R618" s="35" t="str">
        <f aca="false">IF($E618="","",IFERROR(INDEX(Kontenplan!$F$5:$F$90,MATCH($E618,Kontenplan!$A$5:$A$90,0)),""))</f>
        <v/>
      </c>
      <c r="S618" s="35" t="str">
        <f aca="false">IF($D618="","",IFERROR(INDEX(Kontenplan!$F$5:$F$90,MATCH($D618,Kontenplan!$A$5:$A$90,0)),""))</f>
        <v/>
      </c>
      <c r="T618" s="35" t="str">
        <f aca="false">IF($D618="","",IFERROR(INDEX(Kontenplan!$C$5:$C$90,MATCH($D618,Kontenplan!$A$5:$A$90,0)),"?"))</f>
        <v/>
      </c>
      <c r="U618" s="35" t="str">
        <f aca="false">IF($E618="","",IFERROR(INDEX(Kontenplan!$C$5:$C$90,MATCH($E618,Kontenplan!$A$5:$A$90,0)),"?"))</f>
        <v/>
      </c>
      <c r="V618" s="35" t="str">
        <f aca="false">IF($F618="","",IF(OR($D618="",$E618="",$T618="?",$U618="?"),"Konto prüfen!",IF($A618="","Datum fehlt",IF(YEAR($A618)&lt;&gt;Einstellungen!$B$7,"anderes Jahr!",IF($G618="","MWST-Code fehlt","OK")))))</f>
        <v/>
      </c>
      <c r="W618" s="35" t="str">
        <f aca="false">IF($F618="","",IF(OR($D618=Kontoauszug!$C$4,$E618=Kontoauszug!$C$4),MAX(W$4:W617)+1,""))</f>
        <v/>
      </c>
    </row>
    <row r="619" customFormat="false" ht="15" hidden="false" customHeight="false" outlineLevel="0" collapsed="false">
      <c r="A619" s="33"/>
      <c r="B619" s="32"/>
      <c r="C619" s="32"/>
      <c r="D619" s="32"/>
      <c r="E619" s="32"/>
      <c r="F619" s="30"/>
      <c r="G619" s="32"/>
      <c r="H619" s="34" t="n">
        <f aca="false">IF($G619="",0,IFERROR(INDEX(Einstellungen!$G$5:$G$11,MATCH($G619,Einstellungen!$E$5:$E$11,0)),0))</f>
        <v>0</v>
      </c>
      <c r="I619" s="35" t="str">
        <f aca="false">IF($G619="","-",IFERROR(INDEX(Einstellungen!$H$5:$H$11,MATCH($G619,Einstellungen!$E$5:$E$11,0)),"-"))</f>
        <v>-</v>
      </c>
      <c r="J619" s="35" t="str">
        <f aca="false">IF(AND(Einstellungen!$B$8="Ja",Einstellungen!$B$9="Effektiv"),$I619,"-")</f>
        <v>-</v>
      </c>
      <c r="K619" s="31" t="n">
        <f aca="false">IF(OR($F619="",$J619="-"),0,ROUND($F619-$F619/(1+$H619),2))</f>
        <v>0</v>
      </c>
      <c r="L619" s="31" t="n">
        <f aca="false">IF($F619="",0,$F619-$K619)</f>
        <v>0</v>
      </c>
      <c r="M619" s="31" t="n">
        <f aca="false">IF($F619="",0,IF($J619="V",$L619,$F619))</f>
        <v>0</v>
      </c>
      <c r="N619" s="31" t="n">
        <f aca="false">IF($F619="",0,IF($J619="U",$L619,$F619))</f>
        <v>0</v>
      </c>
      <c r="O619" s="35" t="str">
        <f aca="false">IF($A619="","",MONTH($A619))</f>
        <v/>
      </c>
      <c r="P619" s="35" t="str">
        <f aca="false">IF($A619="","",ROUNDUP(MONTH($A619)/3,0))</f>
        <v/>
      </c>
      <c r="Q619" s="35" t="str">
        <f aca="false">IF($A619="","",IF(MONTH($A619)&lt;=6,1,2))</f>
        <v/>
      </c>
      <c r="R619" s="35" t="str">
        <f aca="false">IF($E619="","",IFERROR(INDEX(Kontenplan!$F$5:$F$90,MATCH($E619,Kontenplan!$A$5:$A$90,0)),""))</f>
        <v/>
      </c>
      <c r="S619" s="35" t="str">
        <f aca="false">IF($D619="","",IFERROR(INDEX(Kontenplan!$F$5:$F$90,MATCH($D619,Kontenplan!$A$5:$A$90,0)),""))</f>
        <v/>
      </c>
      <c r="T619" s="35" t="str">
        <f aca="false">IF($D619="","",IFERROR(INDEX(Kontenplan!$C$5:$C$90,MATCH($D619,Kontenplan!$A$5:$A$90,0)),"?"))</f>
        <v/>
      </c>
      <c r="U619" s="35" t="str">
        <f aca="false">IF($E619="","",IFERROR(INDEX(Kontenplan!$C$5:$C$90,MATCH($E619,Kontenplan!$A$5:$A$90,0)),"?"))</f>
        <v/>
      </c>
      <c r="V619" s="35" t="str">
        <f aca="false">IF($F619="","",IF(OR($D619="",$E619="",$T619="?",$U619="?"),"Konto prüfen!",IF($A619="","Datum fehlt",IF(YEAR($A619)&lt;&gt;Einstellungen!$B$7,"anderes Jahr!",IF($G619="","MWST-Code fehlt","OK")))))</f>
        <v/>
      </c>
      <c r="W619" s="35" t="str">
        <f aca="false">IF($F619="","",IF(OR($D619=Kontoauszug!$C$4,$E619=Kontoauszug!$C$4),MAX(W$4:W618)+1,""))</f>
        <v/>
      </c>
    </row>
    <row r="620" customFormat="false" ht="15" hidden="false" customHeight="false" outlineLevel="0" collapsed="false">
      <c r="A620" s="33"/>
      <c r="B620" s="32"/>
      <c r="C620" s="32"/>
      <c r="D620" s="32"/>
      <c r="E620" s="32"/>
      <c r="F620" s="30"/>
      <c r="G620" s="32"/>
      <c r="H620" s="34" t="n">
        <f aca="false">IF($G620="",0,IFERROR(INDEX(Einstellungen!$G$5:$G$11,MATCH($G620,Einstellungen!$E$5:$E$11,0)),0))</f>
        <v>0</v>
      </c>
      <c r="I620" s="35" t="str">
        <f aca="false">IF($G620="","-",IFERROR(INDEX(Einstellungen!$H$5:$H$11,MATCH($G620,Einstellungen!$E$5:$E$11,0)),"-"))</f>
        <v>-</v>
      </c>
      <c r="J620" s="35" t="str">
        <f aca="false">IF(AND(Einstellungen!$B$8="Ja",Einstellungen!$B$9="Effektiv"),$I620,"-")</f>
        <v>-</v>
      </c>
      <c r="K620" s="31" t="n">
        <f aca="false">IF(OR($F620="",$J620="-"),0,ROUND($F620-$F620/(1+$H620),2))</f>
        <v>0</v>
      </c>
      <c r="L620" s="31" t="n">
        <f aca="false">IF($F620="",0,$F620-$K620)</f>
        <v>0</v>
      </c>
      <c r="M620" s="31" t="n">
        <f aca="false">IF($F620="",0,IF($J620="V",$L620,$F620))</f>
        <v>0</v>
      </c>
      <c r="N620" s="31" t="n">
        <f aca="false">IF($F620="",0,IF($J620="U",$L620,$F620))</f>
        <v>0</v>
      </c>
      <c r="O620" s="35" t="str">
        <f aca="false">IF($A620="","",MONTH($A620))</f>
        <v/>
      </c>
      <c r="P620" s="35" t="str">
        <f aca="false">IF($A620="","",ROUNDUP(MONTH($A620)/3,0))</f>
        <v/>
      </c>
      <c r="Q620" s="35" t="str">
        <f aca="false">IF($A620="","",IF(MONTH($A620)&lt;=6,1,2))</f>
        <v/>
      </c>
      <c r="R620" s="35" t="str">
        <f aca="false">IF($E620="","",IFERROR(INDEX(Kontenplan!$F$5:$F$90,MATCH($E620,Kontenplan!$A$5:$A$90,0)),""))</f>
        <v/>
      </c>
      <c r="S620" s="35" t="str">
        <f aca="false">IF($D620="","",IFERROR(INDEX(Kontenplan!$F$5:$F$90,MATCH($D620,Kontenplan!$A$5:$A$90,0)),""))</f>
        <v/>
      </c>
      <c r="T620" s="35" t="str">
        <f aca="false">IF($D620="","",IFERROR(INDEX(Kontenplan!$C$5:$C$90,MATCH($D620,Kontenplan!$A$5:$A$90,0)),"?"))</f>
        <v/>
      </c>
      <c r="U620" s="35" t="str">
        <f aca="false">IF($E620="","",IFERROR(INDEX(Kontenplan!$C$5:$C$90,MATCH($E620,Kontenplan!$A$5:$A$90,0)),"?"))</f>
        <v/>
      </c>
      <c r="V620" s="35" t="str">
        <f aca="false">IF($F620="","",IF(OR($D620="",$E620="",$T620="?",$U620="?"),"Konto prüfen!",IF($A620="","Datum fehlt",IF(YEAR($A620)&lt;&gt;Einstellungen!$B$7,"anderes Jahr!",IF($G620="","MWST-Code fehlt","OK")))))</f>
        <v/>
      </c>
      <c r="W620" s="35" t="str">
        <f aca="false">IF($F620="","",IF(OR($D620=Kontoauszug!$C$4,$E620=Kontoauszug!$C$4),MAX(W$4:W619)+1,""))</f>
        <v/>
      </c>
    </row>
    <row r="621" customFormat="false" ht="15" hidden="false" customHeight="false" outlineLevel="0" collapsed="false">
      <c r="A621" s="33"/>
      <c r="B621" s="32"/>
      <c r="C621" s="32"/>
      <c r="D621" s="32"/>
      <c r="E621" s="32"/>
      <c r="F621" s="30"/>
      <c r="G621" s="32"/>
      <c r="H621" s="34" t="n">
        <f aca="false">IF($G621="",0,IFERROR(INDEX(Einstellungen!$G$5:$G$11,MATCH($G621,Einstellungen!$E$5:$E$11,0)),0))</f>
        <v>0</v>
      </c>
      <c r="I621" s="35" t="str">
        <f aca="false">IF($G621="","-",IFERROR(INDEX(Einstellungen!$H$5:$H$11,MATCH($G621,Einstellungen!$E$5:$E$11,0)),"-"))</f>
        <v>-</v>
      </c>
      <c r="J621" s="35" t="str">
        <f aca="false">IF(AND(Einstellungen!$B$8="Ja",Einstellungen!$B$9="Effektiv"),$I621,"-")</f>
        <v>-</v>
      </c>
      <c r="K621" s="31" t="n">
        <f aca="false">IF(OR($F621="",$J621="-"),0,ROUND($F621-$F621/(1+$H621),2))</f>
        <v>0</v>
      </c>
      <c r="L621" s="31" t="n">
        <f aca="false">IF($F621="",0,$F621-$K621)</f>
        <v>0</v>
      </c>
      <c r="M621" s="31" t="n">
        <f aca="false">IF($F621="",0,IF($J621="V",$L621,$F621))</f>
        <v>0</v>
      </c>
      <c r="N621" s="31" t="n">
        <f aca="false">IF($F621="",0,IF($J621="U",$L621,$F621))</f>
        <v>0</v>
      </c>
      <c r="O621" s="35" t="str">
        <f aca="false">IF($A621="","",MONTH($A621))</f>
        <v/>
      </c>
      <c r="P621" s="35" t="str">
        <f aca="false">IF($A621="","",ROUNDUP(MONTH($A621)/3,0))</f>
        <v/>
      </c>
      <c r="Q621" s="35" t="str">
        <f aca="false">IF($A621="","",IF(MONTH($A621)&lt;=6,1,2))</f>
        <v/>
      </c>
      <c r="R621" s="35" t="str">
        <f aca="false">IF($E621="","",IFERROR(INDEX(Kontenplan!$F$5:$F$90,MATCH($E621,Kontenplan!$A$5:$A$90,0)),""))</f>
        <v/>
      </c>
      <c r="S621" s="35" t="str">
        <f aca="false">IF($D621="","",IFERROR(INDEX(Kontenplan!$F$5:$F$90,MATCH($D621,Kontenplan!$A$5:$A$90,0)),""))</f>
        <v/>
      </c>
      <c r="T621" s="35" t="str">
        <f aca="false">IF($D621="","",IFERROR(INDEX(Kontenplan!$C$5:$C$90,MATCH($D621,Kontenplan!$A$5:$A$90,0)),"?"))</f>
        <v/>
      </c>
      <c r="U621" s="35" t="str">
        <f aca="false">IF($E621="","",IFERROR(INDEX(Kontenplan!$C$5:$C$90,MATCH($E621,Kontenplan!$A$5:$A$90,0)),"?"))</f>
        <v/>
      </c>
      <c r="V621" s="35" t="str">
        <f aca="false">IF($F621="","",IF(OR($D621="",$E621="",$T621="?",$U621="?"),"Konto prüfen!",IF($A621="","Datum fehlt",IF(YEAR($A621)&lt;&gt;Einstellungen!$B$7,"anderes Jahr!",IF($G621="","MWST-Code fehlt","OK")))))</f>
        <v/>
      </c>
      <c r="W621" s="35" t="str">
        <f aca="false">IF($F621="","",IF(OR($D621=Kontoauszug!$C$4,$E621=Kontoauszug!$C$4),MAX(W$4:W620)+1,""))</f>
        <v/>
      </c>
    </row>
    <row r="622" customFormat="false" ht="15" hidden="false" customHeight="false" outlineLevel="0" collapsed="false">
      <c r="A622" s="33"/>
      <c r="B622" s="32"/>
      <c r="C622" s="32"/>
      <c r="D622" s="32"/>
      <c r="E622" s="32"/>
      <c r="F622" s="30"/>
      <c r="G622" s="32"/>
      <c r="H622" s="34" t="n">
        <f aca="false">IF($G622="",0,IFERROR(INDEX(Einstellungen!$G$5:$G$11,MATCH($G622,Einstellungen!$E$5:$E$11,0)),0))</f>
        <v>0</v>
      </c>
      <c r="I622" s="35" t="str">
        <f aca="false">IF($G622="","-",IFERROR(INDEX(Einstellungen!$H$5:$H$11,MATCH($G622,Einstellungen!$E$5:$E$11,0)),"-"))</f>
        <v>-</v>
      </c>
      <c r="J622" s="35" t="str">
        <f aca="false">IF(AND(Einstellungen!$B$8="Ja",Einstellungen!$B$9="Effektiv"),$I622,"-")</f>
        <v>-</v>
      </c>
      <c r="K622" s="31" t="n">
        <f aca="false">IF(OR($F622="",$J622="-"),0,ROUND($F622-$F622/(1+$H622),2))</f>
        <v>0</v>
      </c>
      <c r="L622" s="31" t="n">
        <f aca="false">IF($F622="",0,$F622-$K622)</f>
        <v>0</v>
      </c>
      <c r="M622" s="31" t="n">
        <f aca="false">IF($F622="",0,IF($J622="V",$L622,$F622))</f>
        <v>0</v>
      </c>
      <c r="N622" s="31" t="n">
        <f aca="false">IF($F622="",0,IF($J622="U",$L622,$F622))</f>
        <v>0</v>
      </c>
      <c r="O622" s="35" t="str">
        <f aca="false">IF($A622="","",MONTH($A622))</f>
        <v/>
      </c>
      <c r="P622" s="35" t="str">
        <f aca="false">IF($A622="","",ROUNDUP(MONTH($A622)/3,0))</f>
        <v/>
      </c>
      <c r="Q622" s="35" t="str">
        <f aca="false">IF($A622="","",IF(MONTH($A622)&lt;=6,1,2))</f>
        <v/>
      </c>
      <c r="R622" s="35" t="str">
        <f aca="false">IF($E622="","",IFERROR(INDEX(Kontenplan!$F$5:$F$90,MATCH($E622,Kontenplan!$A$5:$A$90,0)),""))</f>
        <v/>
      </c>
      <c r="S622" s="35" t="str">
        <f aca="false">IF($D622="","",IFERROR(INDEX(Kontenplan!$F$5:$F$90,MATCH($D622,Kontenplan!$A$5:$A$90,0)),""))</f>
        <v/>
      </c>
      <c r="T622" s="35" t="str">
        <f aca="false">IF($D622="","",IFERROR(INDEX(Kontenplan!$C$5:$C$90,MATCH($D622,Kontenplan!$A$5:$A$90,0)),"?"))</f>
        <v/>
      </c>
      <c r="U622" s="35" t="str">
        <f aca="false">IF($E622="","",IFERROR(INDEX(Kontenplan!$C$5:$C$90,MATCH($E622,Kontenplan!$A$5:$A$90,0)),"?"))</f>
        <v/>
      </c>
      <c r="V622" s="35" t="str">
        <f aca="false">IF($F622="","",IF(OR($D622="",$E622="",$T622="?",$U622="?"),"Konto prüfen!",IF($A622="","Datum fehlt",IF(YEAR($A622)&lt;&gt;Einstellungen!$B$7,"anderes Jahr!",IF($G622="","MWST-Code fehlt","OK")))))</f>
        <v/>
      </c>
      <c r="W622" s="35" t="str">
        <f aca="false">IF($F622="","",IF(OR($D622=Kontoauszug!$C$4,$E622=Kontoauszug!$C$4),MAX(W$4:W621)+1,""))</f>
        <v/>
      </c>
    </row>
    <row r="623" customFormat="false" ht="15" hidden="false" customHeight="false" outlineLevel="0" collapsed="false">
      <c r="A623" s="33"/>
      <c r="B623" s="32"/>
      <c r="C623" s="32"/>
      <c r="D623" s="32"/>
      <c r="E623" s="32"/>
      <c r="F623" s="30"/>
      <c r="G623" s="32"/>
      <c r="H623" s="34" t="n">
        <f aca="false">IF($G623="",0,IFERROR(INDEX(Einstellungen!$G$5:$G$11,MATCH($G623,Einstellungen!$E$5:$E$11,0)),0))</f>
        <v>0</v>
      </c>
      <c r="I623" s="35" t="str">
        <f aca="false">IF($G623="","-",IFERROR(INDEX(Einstellungen!$H$5:$H$11,MATCH($G623,Einstellungen!$E$5:$E$11,0)),"-"))</f>
        <v>-</v>
      </c>
      <c r="J623" s="35" t="str">
        <f aca="false">IF(AND(Einstellungen!$B$8="Ja",Einstellungen!$B$9="Effektiv"),$I623,"-")</f>
        <v>-</v>
      </c>
      <c r="K623" s="31" t="n">
        <f aca="false">IF(OR($F623="",$J623="-"),0,ROUND($F623-$F623/(1+$H623),2))</f>
        <v>0</v>
      </c>
      <c r="L623" s="31" t="n">
        <f aca="false">IF($F623="",0,$F623-$K623)</f>
        <v>0</v>
      </c>
      <c r="M623" s="31" t="n">
        <f aca="false">IF($F623="",0,IF($J623="V",$L623,$F623))</f>
        <v>0</v>
      </c>
      <c r="N623" s="31" t="n">
        <f aca="false">IF($F623="",0,IF($J623="U",$L623,$F623))</f>
        <v>0</v>
      </c>
      <c r="O623" s="35" t="str">
        <f aca="false">IF($A623="","",MONTH($A623))</f>
        <v/>
      </c>
      <c r="P623" s="35" t="str">
        <f aca="false">IF($A623="","",ROUNDUP(MONTH($A623)/3,0))</f>
        <v/>
      </c>
      <c r="Q623" s="35" t="str">
        <f aca="false">IF($A623="","",IF(MONTH($A623)&lt;=6,1,2))</f>
        <v/>
      </c>
      <c r="R623" s="35" t="str">
        <f aca="false">IF($E623="","",IFERROR(INDEX(Kontenplan!$F$5:$F$90,MATCH($E623,Kontenplan!$A$5:$A$90,0)),""))</f>
        <v/>
      </c>
      <c r="S623" s="35" t="str">
        <f aca="false">IF($D623="","",IFERROR(INDEX(Kontenplan!$F$5:$F$90,MATCH($D623,Kontenplan!$A$5:$A$90,0)),""))</f>
        <v/>
      </c>
      <c r="T623" s="35" t="str">
        <f aca="false">IF($D623="","",IFERROR(INDEX(Kontenplan!$C$5:$C$90,MATCH($D623,Kontenplan!$A$5:$A$90,0)),"?"))</f>
        <v/>
      </c>
      <c r="U623" s="35" t="str">
        <f aca="false">IF($E623="","",IFERROR(INDEX(Kontenplan!$C$5:$C$90,MATCH($E623,Kontenplan!$A$5:$A$90,0)),"?"))</f>
        <v/>
      </c>
      <c r="V623" s="35" t="str">
        <f aca="false">IF($F623="","",IF(OR($D623="",$E623="",$T623="?",$U623="?"),"Konto prüfen!",IF($A623="","Datum fehlt",IF(YEAR($A623)&lt;&gt;Einstellungen!$B$7,"anderes Jahr!",IF($G623="","MWST-Code fehlt","OK")))))</f>
        <v/>
      </c>
      <c r="W623" s="35" t="str">
        <f aca="false">IF($F623="","",IF(OR($D623=Kontoauszug!$C$4,$E623=Kontoauszug!$C$4),MAX(W$4:W622)+1,""))</f>
        <v/>
      </c>
    </row>
    <row r="624" customFormat="false" ht="15" hidden="false" customHeight="false" outlineLevel="0" collapsed="false">
      <c r="A624" s="33"/>
      <c r="B624" s="32"/>
      <c r="C624" s="32"/>
      <c r="D624" s="32"/>
      <c r="E624" s="32"/>
      <c r="F624" s="30"/>
      <c r="G624" s="32"/>
      <c r="H624" s="34" t="n">
        <f aca="false">IF($G624="",0,IFERROR(INDEX(Einstellungen!$G$5:$G$11,MATCH($G624,Einstellungen!$E$5:$E$11,0)),0))</f>
        <v>0</v>
      </c>
      <c r="I624" s="35" t="str">
        <f aca="false">IF($G624="","-",IFERROR(INDEX(Einstellungen!$H$5:$H$11,MATCH($G624,Einstellungen!$E$5:$E$11,0)),"-"))</f>
        <v>-</v>
      </c>
      <c r="J624" s="35" t="str">
        <f aca="false">IF(AND(Einstellungen!$B$8="Ja",Einstellungen!$B$9="Effektiv"),$I624,"-")</f>
        <v>-</v>
      </c>
      <c r="K624" s="31" t="n">
        <f aca="false">IF(OR($F624="",$J624="-"),0,ROUND($F624-$F624/(1+$H624),2))</f>
        <v>0</v>
      </c>
      <c r="L624" s="31" t="n">
        <f aca="false">IF($F624="",0,$F624-$K624)</f>
        <v>0</v>
      </c>
      <c r="M624" s="31" t="n">
        <f aca="false">IF($F624="",0,IF($J624="V",$L624,$F624))</f>
        <v>0</v>
      </c>
      <c r="N624" s="31" t="n">
        <f aca="false">IF($F624="",0,IF($J624="U",$L624,$F624))</f>
        <v>0</v>
      </c>
      <c r="O624" s="35" t="str">
        <f aca="false">IF($A624="","",MONTH($A624))</f>
        <v/>
      </c>
      <c r="P624" s="35" t="str">
        <f aca="false">IF($A624="","",ROUNDUP(MONTH($A624)/3,0))</f>
        <v/>
      </c>
      <c r="Q624" s="35" t="str">
        <f aca="false">IF($A624="","",IF(MONTH($A624)&lt;=6,1,2))</f>
        <v/>
      </c>
      <c r="R624" s="35" t="str">
        <f aca="false">IF($E624="","",IFERROR(INDEX(Kontenplan!$F$5:$F$90,MATCH($E624,Kontenplan!$A$5:$A$90,0)),""))</f>
        <v/>
      </c>
      <c r="S624" s="35" t="str">
        <f aca="false">IF($D624="","",IFERROR(INDEX(Kontenplan!$F$5:$F$90,MATCH($D624,Kontenplan!$A$5:$A$90,0)),""))</f>
        <v/>
      </c>
      <c r="T624" s="35" t="str">
        <f aca="false">IF($D624="","",IFERROR(INDEX(Kontenplan!$C$5:$C$90,MATCH($D624,Kontenplan!$A$5:$A$90,0)),"?"))</f>
        <v/>
      </c>
      <c r="U624" s="35" t="str">
        <f aca="false">IF($E624="","",IFERROR(INDEX(Kontenplan!$C$5:$C$90,MATCH($E624,Kontenplan!$A$5:$A$90,0)),"?"))</f>
        <v/>
      </c>
      <c r="V624" s="35" t="str">
        <f aca="false">IF($F624="","",IF(OR($D624="",$E624="",$T624="?",$U624="?"),"Konto prüfen!",IF($A624="","Datum fehlt",IF(YEAR($A624)&lt;&gt;Einstellungen!$B$7,"anderes Jahr!",IF($G624="","MWST-Code fehlt","OK")))))</f>
        <v/>
      </c>
      <c r="W624" s="35" t="str">
        <f aca="false">IF($F624="","",IF(OR($D624=Kontoauszug!$C$4,$E624=Kontoauszug!$C$4),MAX(W$4:W623)+1,""))</f>
        <v/>
      </c>
    </row>
    <row r="625" customFormat="false" ht="15" hidden="false" customHeight="false" outlineLevel="0" collapsed="false">
      <c r="A625" s="33"/>
      <c r="B625" s="32"/>
      <c r="C625" s="32"/>
      <c r="D625" s="32"/>
      <c r="E625" s="32"/>
      <c r="F625" s="30"/>
      <c r="G625" s="32"/>
      <c r="H625" s="34" t="n">
        <f aca="false">IF($G625="",0,IFERROR(INDEX(Einstellungen!$G$5:$G$11,MATCH($G625,Einstellungen!$E$5:$E$11,0)),0))</f>
        <v>0</v>
      </c>
      <c r="I625" s="35" t="str">
        <f aca="false">IF($G625="","-",IFERROR(INDEX(Einstellungen!$H$5:$H$11,MATCH($G625,Einstellungen!$E$5:$E$11,0)),"-"))</f>
        <v>-</v>
      </c>
      <c r="J625" s="35" t="str">
        <f aca="false">IF(AND(Einstellungen!$B$8="Ja",Einstellungen!$B$9="Effektiv"),$I625,"-")</f>
        <v>-</v>
      </c>
      <c r="K625" s="31" t="n">
        <f aca="false">IF(OR($F625="",$J625="-"),0,ROUND($F625-$F625/(1+$H625),2))</f>
        <v>0</v>
      </c>
      <c r="L625" s="31" t="n">
        <f aca="false">IF($F625="",0,$F625-$K625)</f>
        <v>0</v>
      </c>
      <c r="M625" s="31" t="n">
        <f aca="false">IF($F625="",0,IF($J625="V",$L625,$F625))</f>
        <v>0</v>
      </c>
      <c r="N625" s="31" t="n">
        <f aca="false">IF($F625="",0,IF($J625="U",$L625,$F625))</f>
        <v>0</v>
      </c>
      <c r="O625" s="35" t="str">
        <f aca="false">IF($A625="","",MONTH($A625))</f>
        <v/>
      </c>
      <c r="P625" s="35" t="str">
        <f aca="false">IF($A625="","",ROUNDUP(MONTH($A625)/3,0))</f>
        <v/>
      </c>
      <c r="Q625" s="35" t="str">
        <f aca="false">IF($A625="","",IF(MONTH($A625)&lt;=6,1,2))</f>
        <v/>
      </c>
      <c r="R625" s="35" t="str">
        <f aca="false">IF($E625="","",IFERROR(INDEX(Kontenplan!$F$5:$F$90,MATCH($E625,Kontenplan!$A$5:$A$90,0)),""))</f>
        <v/>
      </c>
      <c r="S625" s="35" t="str">
        <f aca="false">IF($D625="","",IFERROR(INDEX(Kontenplan!$F$5:$F$90,MATCH($D625,Kontenplan!$A$5:$A$90,0)),""))</f>
        <v/>
      </c>
      <c r="T625" s="35" t="str">
        <f aca="false">IF($D625="","",IFERROR(INDEX(Kontenplan!$C$5:$C$90,MATCH($D625,Kontenplan!$A$5:$A$90,0)),"?"))</f>
        <v/>
      </c>
      <c r="U625" s="35" t="str">
        <f aca="false">IF($E625="","",IFERROR(INDEX(Kontenplan!$C$5:$C$90,MATCH($E625,Kontenplan!$A$5:$A$90,0)),"?"))</f>
        <v/>
      </c>
      <c r="V625" s="35" t="str">
        <f aca="false">IF($F625="","",IF(OR($D625="",$E625="",$T625="?",$U625="?"),"Konto prüfen!",IF($A625="","Datum fehlt",IF(YEAR($A625)&lt;&gt;Einstellungen!$B$7,"anderes Jahr!",IF($G625="","MWST-Code fehlt","OK")))))</f>
        <v/>
      </c>
      <c r="W625" s="35" t="str">
        <f aca="false">IF($F625="","",IF(OR($D625=Kontoauszug!$C$4,$E625=Kontoauszug!$C$4),MAX(W$4:W624)+1,""))</f>
        <v/>
      </c>
    </row>
    <row r="626" customFormat="false" ht="15" hidden="false" customHeight="false" outlineLevel="0" collapsed="false">
      <c r="A626" s="33"/>
      <c r="B626" s="32"/>
      <c r="C626" s="32"/>
      <c r="D626" s="32"/>
      <c r="E626" s="32"/>
      <c r="F626" s="30"/>
      <c r="G626" s="32"/>
      <c r="H626" s="34" t="n">
        <f aca="false">IF($G626="",0,IFERROR(INDEX(Einstellungen!$G$5:$G$11,MATCH($G626,Einstellungen!$E$5:$E$11,0)),0))</f>
        <v>0</v>
      </c>
      <c r="I626" s="35" t="str">
        <f aca="false">IF($G626="","-",IFERROR(INDEX(Einstellungen!$H$5:$H$11,MATCH($G626,Einstellungen!$E$5:$E$11,0)),"-"))</f>
        <v>-</v>
      </c>
      <c r="J626" s="35" t="str">
        <f aca="false">IF(AND(Einstellungen!$B$8="Ja",Einstellungen!$B$9="Effektiv"),$I626,"-")</f>
        <v>-</v>
      </c>
      <c r="K626" s="31" t="n">
        <f aca="false">IF(OR($F626="",$J626="-"),0,ROUND($F626-$F626/(1+$H626),2))</f>
        <v>0</v>
      </c>
      <c r="L626" s="31" t="n">
        <f aca="false">IF($F626="",0,$F626-$K626)</f>
        <v>0</v>
      </c>
      <c r="M626" s="31" t="n">
        <f aca="false">IF($F626="",0,IF($J626="V",$L626,$F626))</f>
        <v>0</v>
      </c>
      <c r="N626" s="31" t="n">
        <f aca="false">IF($F626="",0,IF($J626="U",$L626,$F626))</f>
        <v>0</v>
      </c>
      <c r="O626" s="35" t="str">
        <f aca="false">IF($A626="","",MONTH($A626))</f>
        <v/>
      </c>
      <c r="P626" s="35" t="str">
        <f aca="false">IF($A626="","",ROUNDUP(MONTH($A626)/3,0))</f>
        <v/>
      </c>
      <c r="Q626" s="35" t="str">
        <f aca="false">IF($A626="","",IF(MONTH($A626)&lt;=6,1,2))</f>
        <v/>
      </c>
      <c r="R626" s="35" t="str">
        <f aca="false">IF($E626="","",IFERROR(INDEX(Kontenplan!$F$5:$F$90,MATCH($E626,Kontenplan!$A$5:$A$90,0)),""))</f>
        <v/>
      </c>
      <c r="S626" s="35" t="str">
        <f aca="false">IF($D626="","",IFERROR(INDEX(Kontenplan!$F$5:$F$90,MATCH($D626,Kontenplan!$A$5:$A$90,0)),""))</f>
        <v/>
      </c>
      <c r="T626" s="35" t="str">
        <f aca="false">IF($D626="","",IFERROR(INDEX(Kontenplan!$C$5:$C$90,MATCH($D626,Kontenplan!$A$5:$A$90,0)),"?"))</f>
        <v/>
      </c>
      <c r="U626" s="35" t="str">
        <f aca="false">IF($E626="","",IFERROR(INDEX(Kontenplan!$C$5:$C$90,MATCH($E626,Kontenplan!$A$5:$A$90,0)),"?"))</f>
        <v/>
      </c>
      <c r="V626" s="35" t="str">
        <f aca="false">IF($F626="","",IF(OR($D626="",$E626="",$T626="?",$U626="?"),"Konto prüfen!",IF($A626="","Datum fehlt",IF(YEAR($A626)&lt;&gt;Einstellungen!$B$7,"anderes Jahr!",IF($G626="","MWST-Code fehlt","OK")))))</f>
        <v/>
      </c>
      <c r="W626" s="35" t="str">
        <f aca="false">IF($F626="","",IF(OR($D626=Kontoauszug!$C$4,$E626=Kontoauszug!$C$4),MAX(W$4:W625)+1,""))</f>
        <v/>
      </c>
    </row>
    <row r="627" customFormat="false" ht="15" hidden="false" customHeight="false" outlineLevel="0" collapsed="false">
      <c r="A627" s="33"/>
      <c r="B627" s="32"/>
      <c r="C627" s="32"/>
      <c r="D627" s="32"/>
      <c r="E627" s="32"/>
      <c r="F627" s="30"/>
      <c r="G627" s="32"/>
      <c r="H627" s="34" t="n">
        <f aca="false">IF($G627="",0,IFERROR(INDEX(Einstellungen!$G$5:$G$11,MATCH($G627,Einstellungen!$E$5:$E$11,0)),0))</f>
        <v>0</v>
      </c>
      <c r="I627" s="35" t="str">
        <f aca="false">IF($G627="","-",IFERROR(INDEX(Einstellungen!$H$5:$H$11,MATCH($G627,Einstellungen!$E$5:$E$11,0)),"-"))</f>
        <v>-</v>
      </c>
      <c r="J627" s="35" t="str">
        <f aca="false">IF(AND(Einstellungen!$B$8="Ja",Einstellungen!$B$9="Effektiv"),$I627,"-")</f>
        <v>-</v>
      </c>
      <c r="K627" s="31" t="n">
        <f aca="false">IF(OR($F627="",$J627="-"),0,ROUND($F627-$F627/(1+$H627),2))</f>
        <v>0</v>
      </c>
      <c r="L627" s="31" t="n">
        <f aca="false">IF($F627="",0,$F627-$K627)</f>
        <v>0</v>
      </c>
      <c r="M627" s="31" t="n">
        <f aca="false">IF($F627="",0,IF($J627="V",$L627,$F627))</f>
        <v>0</v>
      </c>
      <c r="N627" s="31" t="n">
        <f aca="false">IF($F627="",0,IF($J627="U",$L627,$F627))</f>
        <v>0</v>
      </c>
      <c r="O627" s="35" t="str">
        <f aca="false">IF($A627="","",MONTH($A627))</f>
        <v/>
      </c>
      <c r="P627" s="35" t="str">
        <f aca="false">IF($A627="","",ROUNDUP(MONTH($A627)/3,0))</f>
        <v/>
      </c>
      <c r="Q627" s="35" t="str">
        <f aca="false">IF($A627="","",IF(MONTH($A627)&lt;=6,1,2))</f>
        <v/>
      </c>
      <c r="R627" s="35" t="str">
        <f aca="false">IF($E627="","",IFERROR(INDEX(Kontenplan!$F$5:$F$90,MATCH($E627,Kontenplan!$A$5:$A$90,0)),""))</f>
        <v/>
      </c>
      <c r="S627" s="35" t="str">
        <f aca="false">IF($D627="","",IFERROR(INDEX(Kontenplan!$F$5:$F$90,MATCH($D627,Kontenplan!$A$5:$A$90,0)),""))</f>
        <v/>
      </c>
      <c r="T627" s="35" t="str">
        <f aca="false">IF($D627="","",IFERROR(INDEX(Kontenplan!$C$5:$C$90,MATCH($D627,Kontenplan!$A$5:$A$90,0)),"?"))</f>
        <v/>
      </c>
      <c r="U627" s="35" t="str">
        <f aca="false">IF($E627="","",IFERROR(INDEX(Kontenplan!$C$5:$C$90,MATCH($E627,Kontenplan!$A$5:$A$90,0)),"?"))</f>
        <v/>
      </c>
      <c r="V627" s="35" t="str">
        <f aca="false">IF($F627="","",IF(OR($D627="",$E627="",$T627="?",$U627="?"),"Konto prüfen!",IF($A627="","Datum fehlt",IF(YEAR($A627)&lt;&gt;Einstellungen!$B$7,"anderes Jahr!",IF($G627="","MWST-Code fehlt","OK")))))</f>
        <v/>
      </c>
      <c r="W627" s="35" t="str">
        <f aca="false">IF($F627="","",IF(OR($D627=Kontoauszug!$C$4,$E627=Kontoauszug!$C$4),MAX(W$4:W626)+1,""))</f>
        <v/>
      </c>
    </row>
    <row r="628" customFormat="false" ht="15" hidden="false" customHeight="false" outlineLevel="0" collapsed="false">
      <c r="A628" s="33"/>
      <c r="B628" s="32"/>
      <c r="C628" s="32"/>
      <c r="D628" s="32"/>
      <c r="E628" s="32"/>
      <c r="F628" s="30"/>
      <c r="G628" s="32"/>
      <c r="H628" s="34" t="n">
        <f aca="false">IF($G628="",0,IFERROR(INDEX(Einstellungen!$G$5:$G$11,MATCH($G628,Einstellungen!$E$5:$E$11,0)),0))</f>
        <v>0</v>
      </c>
      <c r="I628" s="35" t="str">
        <f aca="false">IF($G628="","-",IFERROR(INDEX(Einstellungen!$H$5:$H$11,MATCH($G628,Einstellungen!$E$5:$E$11,0)),"-"))</f>
        <v>-</v>
      </c>
      <c r="J628" s="35" t="str">
        <f aca="false">IF(AND(Einstellungen!$B$8="Ja",Einstellungen!$B$9="Effektiv"),$I628,"-")</f>
        <v>-</v>
      </c>
      <c r="K628" s="31" t="n">
        <f aca="false">IF(OR($F628="",$J628="-"),0,ROUND($F628-$F628/(1+$H628),2))</f>
        <v>0</v>
      </c>
      <c r="L628" s="31" t="n">
        <f aca="false">IF($F628="",0,$F628-$K628)</f>
        <v>0</v>
      </c>
      <c r="M628" s="31" t="n">
        <f aca="false">IF($F628="",0,IF($J628="V",$L628,$F628))</f>
        <v>0</v>
      </c>
      <c r="N628" s="31" t="n">
        <f aca="false">IF($F628="",0,IF($J628="U",$L628,$F628))</f>
        <v>0</v>
      </c>
      <c r="O628" s="35" t="str">
        <f aca="false">IF($A628="","",MONTH($A628))</f>
        <v/>
      </c>
      <c r="P628" s="35" t="str">
        <f aca="false">IF($A628="","",ROUNDUP(MONTH($A628)/3,0))</f>
        <v/>
      </c>
      <c r="Q628" s="35" t="str">
        <f aca="false">IF($A628="","",IF(MONTH($A628)&lt;=6,1,2))</f>
        <v/>
      </c>
      <c r="R628" s="35" t="str">
        <f aca="false">IF($E628="","",IFERROR(INDEX(Kontenplan!$F$5:$F$90,MATCH($E628,Kontenplan!$A$5:$A$90,0)),""))</f>
        <v/>
      </c>
      <c r="S628" s="35" t="str">
        <f aca="false">IF($D628="","",IFERROR(INDEX(Kontenplan!$F$5:$F$90,MATCH($D628,Kontenplan!$A$5:$A$90,0)),""))</f>
        <v/>
      </c>
      <c r="T628" s="35" t="str">
        <f aca="false">IF($D628="","",IFERROR(INDEX(Kontenplan!$C$5:$C$90,MATCH($D628,Kontenplan!$A$5:$A$90,0)),"?"))</f>
        <v/>
      </c>
      <c r="U628" s="35" t="str">
        <f aca="false">IF($E628="","",IFERROR(INDEX(Kontenplan!$C$5:$C$90,MATCH($E628,Kontenplan!$A$5:$A$90,0)),"?"))</f>
        <v/>
      </c>
      <c r="V628" s="35" t="str">
        <f aca="false">IF($F628="","",IF(OR($D628="",$E628="",$T628="?",$U628="?"),"Konto prüfen!",IF($A628="","Datum fehlt",IF(YEAR($A628)&lt;&gt;Einstellungen!$B$7,"anderes Jahr!",IF($G628="","MWST-Code fehlt","OK")))))</f>
        <v/>
      </c>
      <c r="W628" s="35" t="str">
        <f aca="false">IF($F628="","",IF(OR($D628=Kontoauszug!$C$4,$E628=Kontoauszug!$C$4),MAX(W$4:W627)+1,""))</f>
        <v/>
      </c>
    </row>
    <row r="629" customFormat="false" ht="15" hidden="false" customHeight="false" outlineLevel="0" collapsed="false">
      <c r="A629" s="33"/>
      <c r="B629" s="32"/>
      <c r="C629" s="32"/>
      <c r="D629" s="32"/>
      <c r="E629" s="32"/>
      <c r="F629" s="30"/>
      <c r="G629" s="32"/>
      <c r="H629" s="34" t="n">
        <f aca="false">IF($G629="",0,IFERROR(INDEX(Einstellungen!$G$5:$G$11,MATCH($G629,Einstellungen!$E$5:$E$11,0)),0))</f>
        <v>0</v>
      </c>
      <c r="I629" s="35" t="str">
        <f aca="false">IF($G629="","-",IFERROR(INDEX(Einstellungen!$H$5:$H$11,MATCH($G629,Einstellungen!$E$5:$E$11,0)),"-"))</f>
        <v>-</v>
      </c>
      <c r="J629" s="35" t="str">
        <f aca="false">IF(AND(Einstellungen!$B$8="Ja",Einstellungen!$B$9="Effektiv"),$I629,"-")</f>
        <v>-</v>
      </c>
      <c r="K629" s="31" t="n">
        <f aca="false">IF(OR($F629="",$J629="-"),0,ROUND($F629-$F629/(1+$H629),2))</f>
        <v>0</v>
      </c>
      <c r="L629" s="31" t="n">
        <f aca="false">IF($F629="",0,$F629-$K629)</f>
        <v>0</v>
      </c>
      <c r="M629" s="31" t="n">
        <f aca="false">IF($F629="",0,IF($J629="V",$L629,$F629))</f>
        <v>0</v>
      </c>
      <c r="N629" s="31" t="n">
        <f aca="false">IF($F629="",0,IF($J629="U",$L629,$F629))</f>
        <v>0</v>
      </c>
      <c r="O629" s="35" t="str">
        <f aca="false">IF($A629="","",MONTH($A629))</f>
        <v/>
      </c>
      <c r="P629" s="35" t="str">
        <f aca="false">IF($A629="","",ROUNDUP(MONTH($A629)/3,0))</f>
        <v/>
      </c>
      <c r="Q629" s="35" t="str">
        <f aca="false">IF($A629="","",IF(MONTH($A629)&lt;=6,1,2))</f>
        <v/>
      </c>
      <c r="R629" s="35" t="str">
        <f aca="false">IF($E629="","",IFERROR(INDEX(Kontenplan!$F$5:$F$90,MATCH($E629,Kontenplan!$A$5:$A$90,0)),""))</f>
        <v/>
      </c>
      <c r="S629" s="35" t="str">
        <f aca="false">IF($D629="","",IFERROR(INDEX(Kontenplan!$F$5:$F$90,MATCH($D629,Kontenplan!$A$5:$A$90,0)),""))</f>
        <v/>
      </c>
      <c r="T629" s="35" t="str">
        <f aca="false">IF($D629="","",IFERROR(INDEX(Kontenplan!$C$5:$C$90,MATCH($D629,Kontenplan!$A$5:$A$90,0)),"?"))</f>
        <v/>
      </c>
      <c r="U629" s="35" t="str">
        <f aca="false">IF($E629="","",IFERROR(INDEX(Kontenplan!$C$5:$C$90,MATCH($E629,Kontenplan!$A$5:$A$90,0)),"?"))</f>
        <v/>
      </c>
      <c r="V629" s="35" t="str">
        <f aca="false">IF($F629="","",IF(OR($D629="",$E629="",$T629="?",$U629="?"),"Konto prüfen!",IF($A629="","Datum fehlt",IF(YEAR($A629)&lt;&gt;Einstellungen!$B$7,"anderes Jahr!",IF($G629="","MWST-Code fehlt","OK")))))</f>
        <v/>
      </c>
      <c r="W629" s="35" t="str">
        <f aca="false">IF($F629="","",IF(OR($D629=Kontoauszug!$C$4,$E629=Kontoauszug!$C$4),MAX(W$4:W628)+1,""))</f>
        <v/>
      </c>
    </row>
    <row r="630" customFormat="false" ht="15" hidden="false" customHeight="false" outlineLevel="0" collapsed="false">
      <c r="A630" s="33"/>
      <c r="B630" s="32"/>
      <c r="C630" s="32"/>
      <c r="D630" s="32"/>
      <c r="E630" s="32"/>
      <c r="F630" s="30"/>
      <c r="G630" s="32"/>
      <c r="H630" s="34" t="n">
        <f aca="false">IF($G630="",0,IFERROR(INDEX(Einstellungen!$G$5:$G$11,MATCH($G630,Einstellungen!$E$5:$E$11,0)),0))</f>
        <v>0</v>
      </c>
      <c r="I630" s="35" t="str">
        <f aca="false">IF($G630="","-",IFERROR(INDEX(Einstellungen!$H$5:$H$11,MATCH($G630,Einstellungen!$E$5:$E$11,0)),"-"))</f>
        <v>-</v>
      </c>
      <c r="J630" s="35" t="str">
        <f aca="false">IF(AND(Einstellungen!$B$8="Ja",Einstellungen!$B$9="Effektiv"),$I630,"-")</f>
        <v>-</v>
      </c>
      <c r="K630" s="31" t="n">
        <f aca="false">IF(OR($F630="",$J630="-"),0,ROUND($F630-$F630/(1+$H630),2))</f>
        <v>0</v>
      </c>
      <c r="L630" s="31" t="n">
        <f aca="false">IF($F630="",0,$F630-$K630)</f>
        <v>0</v>
      </c>
      <c r="M630" s="31" t="n">
        <f aca="false">IF($F630="",0,IF($J630="V",$L630,$F630))</f>
        <v>0</v>
      </c>
      <c r="N630" s="31" t="n">
        <f aca="false">IF($F630="",0,IF($J630="U",$L630,$F630))</f>
        <v>0</v>
      </c>
      <c r="O630" s="35" t="str">
        <f aca="false">IF($A630="","",MONTH($A630))</f>
        <v/>
      </c>
      <c r="P630" s="35" t="str">
        <f aca="false">IF($A630="","",ROUNDUP(MONTH($A630)/3,0))</f>
        <v/>
      </c>
      <c r="Q630" s="35" t="str">
        <f aca="false">IF($A630="","",IF(MONTH($A630)&lt;=6,1,2))</f>
        <v/>
      </c>
      <c r="R630" s="35" t="str">
        <f aca="false">IF($E630="","",IFERROR(INDEX(Kontenplan!$F$5:$F$90,MATCH($E630,Kontenplan!$A$5:$A$90,0)),""))</f>
        <v/>
      </c>
      <c r="S630" s="35" t="str">
        <f aca="false">IF($D630="","",IFERROR(INDEX(Kontenplan!$F$5:$F$90,MATCH($D630,Kontenplan!$A$5:$A$90,0)),""))</f>
        <v/>
      </c>
      <c r="T630" s="35" t="str">
        <f aca="false">IF($D630="","",IFERROR(INDEX(Kontenplan!$C$5:$C$90,MATCH($D630,Kontenplan!$A$5:$A$90,0)),"?"))</f>
        <v/>
      </c>
      <c r="U630" s="35" t="str">
        <f aca="false">IF($E630="","",IFERROR(INDEX(Kontenplan!$C$5:$C$90,MATCH($E630,Kontenplan!$A$5:$A$90,0)),"?"))</f>
        <v/>
      </c>
      <c r="V630" s="35" t="str">
        <f aca="false">IF($F630="","",IF(OR($D630="",$E630="",$T630="?",$U630="?"),"Konto prüfen!",IF($A630="","Datum fehlt",IF(YEAR($A630)&lt;&gt;Einstellungen!$B$7,"anderes Jahr!",IF($G630="","MWST-Code fehlt","OK")))))</f>
        <v/>
      </c>
      <c r="W630" s="35" t="str">
        <f aca="false">IF($F630="","",IF(OR($D630=Kontoauszug!$C$4,$E630=Kontoauszug!$C$4),MAX(W$4:W629)+1,""))</f>
        <v/>
      </c>
    </row>
    <row r="631" customFormat="false" ht="15" hidden="false" customHeight="false" outlineLevel="0" collapsed="false">
      <c r="A631" s="33"/>
      <c r="B631" s="32"/>
      <c r="C631" s="32"/>
      <c r="D631" s="32"/>
      <c r="E631" s="32"/>
      <c r="F631" s="30"/>
      <c r="G631" s="32"/>
      <c r="H631" s="34" t="n">
        <f aca="false">IF($G631="",0,IFERROR(INDEX(Einstellungen!$G$5:$G$11,MATCH($G631,Einstellungen!$E$5:$E$11,0)),0))</f>
        <v>0</v>
      </c>
      <c r="I631" s="35" t="str">
        <f aca="false">IF($G631="","-",IFERROR(INDEX(Einstellungen!$H$5:$H$11,MATCH($G631,Einstellungen!$E$5:$E$11,0)),"-"))</f>
        <v>-</v>
      </c>
      <c r="J631" s="35" t="str">
        <f aca="false">IF(AND(Einstellungen!$B$8="Ja",Einstellungen!$B$9="Effektiv"),$I631,"-")</f>
        <v>-</v>
      </c>
      <c r="K631" s="31" t="n">
        <f aca="false">IF(OR($F631="",$J631="-"),0,ROUND($F631-$F631/(1+$H631),2))</f>
        <v>0</v>
      </c>
      <c r="L631" s="31" t="n">
        <f aca="false">IF($F631="",0,$F631-$K631)</f>
        <v>0</v>
      </c>
      <c r="M631" s="31" t="n">
        <f aca="false">IF($F631="",0,IF($J631="V",$L631,$F631))</f>
        <v>0</v>
      </c>
      <c r="N631" s="31" t="n">
        <f aca="false">IF($F631="",0,IF($J631="U",$L631,$F631))</f>
        <v>0</v>
      </c>
      <c r="O631" s="35" t="str">
        <f aca="false">IF($A631="","",MONTH($A631))</f>
        <v/>
      </c>
      <c r="P631" s="35" t="str">
        <f aca="false">IF($A631="","",ROUNDUP(MONTH($A631)/3,0))</f>
        <v/>
      </c>
      <c r="Q631" s="35" t="str">
        <f aca="false">IF($A631="","",IF(MONTH($A631)&lt;=6,1,2))</f>
        <v/>
      </c>
      <c r="R631" s="35" t="str">
        <f aca="false">IF($E631="","",IFERROR(INDEX(Kontenplan!$F$5:$F$90,MATCH($E631,Kontenplan!$A$5:$A$90,0)),""))</f>
        <v/>
      </c>
      <c r="S631" s="35" t="str">
        <f aca="false">IF($D631="","",IFERROR(INDEX(Kontenplan!$F$5:$F$90,MATCH($D631,Kontenplan!$A$5:$A$90,0)),""))</f>
        <v/>
      </c>
      <c r="T631" s="35" t="str">
        <f aca="false">IF($D631="","",IFERROR(INDEX(Kontenplan!$C$5:$C$90,MATCH($D631,Kontenplan!$A$5:$A$90,0)),"?"))</f>
        <v/>
      </c>
      <c r="U631" s="35" t="str">
        <f aca="false">IF($E631="","",IFERROR(INDEX(Kontenplan!$C$5:$C$90,MATCH($E631,Kontenplan!$A$5:$A$90,0)),"?"))</f>
        <v/>
      </c>
      <c r="V631" s="35" t="str">
        <f aca="false">IF($F631="","",IF(OR($D631="",$E631="",$T631="?",$U631="?"),"Konto prüfen!",IF($A631="","Datum fehlt",IF(YEAR($A631)&lt;&gt;Einstellungen!$B$7,"anderes Jahr!",IF($G631="","MWST-Code fehlt","OK")))))</f>
        <v/>
      </c>
      <c r="W631" s="35" t="str">
        <f aca="false">IF($F631="","",IF(OR($D631=Kontoauszug!$C$4,$E631=Kontoauszug!$C$4),MAX(W$4:W630)+1,""))</f>
        <v/>
      </c>
    </row>
    <row r="632" customFormat="false" ht="15" hidden="false" customHeight="false" outlineLevel="0" collapsed="false">
      <c r="A632" s="33"/>
      <c r="B632" s="32"/>
      <c r="C632" s="32"/>
      <c r="D632" s="32"/>
      <c r="E632" s="32"/>
      <c r="F632" s="30"/>
      <c r="G632" s="32"/>
      <c r="H632" s="34" t="n">
        <f aca="false">IF($G632="",0,IFERROR(INDEX(Einstellungen!$G$5:$G$11,MATCH($G632,Einstellungen!$E$5:$E$11,0)),0))</f>
        <v>0</v>
      </c>
      <c r="I632" s="35" t="str">
        <f aca="false">IF($G632="","-",IFERROR(INDEX(Einstellungen!$H$5:$H$11,MATCH($G632,Einstellungen!$E$5:$E$11,0)),"-"))</f>
        <v>-</v>
      </c>
      <c r="J632" s="35" t="str">
        <f aca="false">IF(AND(Einstellungen!$B$8="Ja",Einstellungen!$B$9="Effektiv"),$I632,"-")</f>
        <v>-</v>
      </c>
      <c r="K632" s="31" t="n">
        <f aca="false">IF(OR($F632="",$J632="-"),0,ROUND($F632-$F632/(1+$H632),2))</f>
        <v>0</v>
      </c>
      <c r="L632" s="31" t="n">
        <f aca="false">IF($F632="",0,$F632-$K632)</f>
        <v>0</v>
      </c>
      <c r="M632" s="31" t="n">
        <f aca="false">IF($F632="",0,IF($J632="V",$L632,$F632))</f>
        <v>0</v>
      </c>
      <c r="N632" s="31" t="n">
        <f aca="false">IF($F632="",0,IF($J632="U",$L632,$F632))</f>
        <v>0</v>
      </c>
      <c r="O632" s="35" t="str">
        <f aca="false">IF($A632="","",MONTH($A632))</f>
        <v/>
      </c>
      <c r="P632" s="35" t="str">
        <f aca="false">IF($A632="","",ROUNDUP(MONTH($A632)/3,0))</f>
        <v/>
      </c>
      <c r="Q632" s="35" t="str">
        <f aca="false">IF($A632="","",IF(MONTH($A632)&lt;=6,1,2))</f>
        <v/>
      </c>
      <c r="R632" s="35" t="str">
        <f aca="false">IF($E632="","",IFERROR(INDEX(Kontenplan!$F$5:$F$90,MATCH($E632,Kontenplan!$A$5:$A$90,0)),""))</f>
        <v/>
      </c>
      <c r="S632" s="35" t="str">
        <f aca="false">IF($D632="","",IFERROR(INDEX(Kontenplan!$F$5:$F$90,MATCH($D632,Kontenplan!$A$5:$A$90,0)),""))</f>
        <v/>
      </c>
      <c r="T632" s="35" t="str">
        <f aca="false">IF($D632="","",IFERROR(INDEX(Kontenplan!$C$5:$C$90,MATCH($D632,Kontenplan!$A$5:$A$90,0)),"?"))</f>
        <v/>
      </c>
      <c r="U632" s="35" t="str">
        <f aca="false">IF($E632="","",IFERROR(INDEX(Kontenplan!$C$5:$C$90,MATCH($E632,Kontenplan!$A$5:$A$90,0)),"?"))</f>
        <v/>
      </c>
      <c r="V632" s="35" t="str">
        <f aca="false">IF($F632="","",IF(OR($D632="",$E632="",$T632="?",$U632="?"),"Konto prüfen!",IF($A632="","Datum fehlt",IF(YEAR($A632)&lt;&gt;Einstellungen!$B$7,"anderes Jahr!",IF($G632="","MWST-Code fehlt","OK")))))</f>
        <v/>
      </c>
      <c r="W632" s="35" t="str">
        <f aca="false">IF($F632="","",IF(OR($D632=Kontoauszug!$C$4,$E632=Kontoauszug!$C$4),MAX(W$4:W631)+1,""))</f>
        <v/>
      </c>
    </row>
    <row r="633" customFormat="false" ht="15" hidden="false" customHeight="false" outlineLevel="0" collapsed="false">
      <c r="A633" s="33"/>
      <c r="B633" s="32"/>
      <c r="C633" s="32"/>
      <c r="D633" s="32"/>
      <c r="E633" s="32"/>
      <c r="F633" s="30"/>
      <c r="G633" s="32"/>
      <c r="H633" s="34" t="n">
        <f aca="false">IF($G633="",0,IFERROR(INDEX(Einstellungen!$G$5:$G$11,MATCH($G633,Einstellungen!$E$5:$E$11,0)),0))</f>
        <v>0</v>
      </c>
      <c r="I633" s="35" t="str">
        <f aca="false">IF($G633="","-",IFERROR(INDEX(Einstellungen!$H$5:$H$11,MATCH($G633,Einstellungen!$E$5:$E$11,0)),"-"))</f>
        <v>-</v>
      </c>
      <c r="J633" s="35" t="str">
        <f aca="false">IF(AND(Einstellungen!$B$8="Ja",Einstellungen!$B$9="Effektiv"),$I633,"-")</f>
        <v>-</v>
      </c>
      <c r="K633" s="31" t="n">
        <f aca="false">IF(OR($F633="",$J633="-"),0,ROUND($F633-$F633/(1+$H633),2))</f>
        <v>0</v>
      </c>
      <c r="L633" s="31" t="n">
        <f aca="false">IF($F633="",0,$F633-$K633)</f>
        <v>0</v>
      </c>
      <c r="M633" s="31" t="n">
        <f aca="false">IF($F633="",0,IF($J633="V",$L633,$F633))</f>
        <v>0</v>
      </c>
      <c r="N633" s="31" t="n">
        <f aca="false">IF($F633="",0,IF($J633="U",$L633,$F633))</f>
        <v>0</v>
      </c>
      <c r="O633" s="35" t="str">
        <f aca="false">IF($A633="","",MONTH($A633))</f>
        <v/>
      </c>
      <c r="P633" s="35" t="str">
        <f aca="false">IF($A633="","",ROUNDUP(MONTH($A633)/3,0))</f>
        <v/>
      </c>
      <c r="Q633" s="35" t="str">
        <f aca="false">IF($A633="","",IF(MONTH($A633)&lt;=6,1,2))</f>
        <v/>
      </c>
      <c r="R633" s="35" t="str">
        <f aca="false">IF($E633="","",IFERROR(INDEX(Kontenplan!$F$5:$F$90,MATCH($E633,Kontenplan!$A$5:$A$90,0)),""))</f>
        <v/>
      </c>
      <c r="S633" s="35" t="str">
        <f aca="false">IF($D633="","",IFERROR(INDEX(Kontenplan!$F$5:$F$90,MATCH($D633,Kontenplan!$A$5:$A$90,0)),""))</f>
        <v/>
      </c>
      <c r="T633" s="35" t="str">
        <f aca="false">IF($D633="","",IFERROR(INDEX(Kontenplan!$C$5:$C$90,MATCH($D633,Kontenplan!$A$5:$A$90,0)),"?"))</f>
        <v/>
      </c>
      <c r="U633" s="35" t="str">
        <f aca="false">IF($E633="","",IFERROR(INDEX(Kontenplan!$C$5:$C$90,MATCH($E633,Kontenplan!$A$5:$A$90,0)),"?"))</f>
        <v/>
      </c>
      <c r="V633" s="35" t="str">
        <f aca="false">IF($F633="","",IF(OR($D633="",$E633="",$T633="?",$U633="?"),"Konto prüfen!",IF($A633="","Datum fehlt",IF(YEAR($A633)&lt;&gt;Einstellungen!$B$7,"anderes Jahr!",IF($G633="","MWST-Code fehlt","OK")))))</f>
        <v/>
      </c>
      <c r="W633" s="35" t="str">
        <f aca="false">IF($F633="","",IF(OR($D633=Kontoauszug!$C$4,$E633=Kontoauszug!$C$4),MAX(W$4:W632)+1,""))</f>
        <v/>
      </c>
    </row>
    <row r="634" customFormat="false" ht="15" hidden="false" customHeight="false" outlineLevel="0" collapsed="false">
      <c r="A634" s="33"/>
      <c r="B634" s="32"/>
      <c r="C634" s="32"/>
      <c r="D634" s="32"/>
      <c r="E634" s="32"/>
      <c r="F634" s="30"/>
      <c r="G634" s="32"/>
      <c r="H634" s="34" t="n">
        <f aca="false">IF($G634="",0,IFERROR(INDEX(Einstellungen!$G$5:$G$11,MATCH($G634,Einstellungen!$E$5:$E$11,0)),0))</f>
        <v>0</v>
      </c>
      <c r="I634" s="35" t="str">
        <f aca="false">IF($G634="","-",IFERROR(INDEX(Einstellungen!$H$5:$H$11,MATCH($G634,Einstellungen!$E$5:$E$11,0)),"-"))</f>
        <v>-</v>
      </c>
      <c r="J634" s="35" t="str">
        <f aca="false">IF(AND(Einstellungen!$B$8="Ja",Einstellungen!$B$9="Effektiv"),$I634,"-")</f>
        <v>-</v>
      </c>
      <c r="K634" s="31" t="n">
        <f aca="false">IF(OR($F634="",$J634="-"),0,ROUND($F634-$F634/(1+$H634),2))</f>
        <v>0</v>
      </c>
      <c r="L634" s="31" t="n">
        <f aca="false">IF($F634="",0,$F634-$K634)</f>
        <v>0</v>
      </c>
      <c r="M634" s="31" t="n">
        <f aca="false">IF($F634="",0,IF($J634="V",$L634,$F634))</f>
        <v>0</v>
      </c>
      <c r="N634" s="31" t="n">
        <f aca="false">IF($F634="",0,IF($J634="U",$L634,$F634))</f>
        <v>0</v>
      </c>
      <c r="O634" s="35" t="str">
        <f aca="false">IF($A634="","",MONTH($A634))</f>
        <v/>
      </c>
      <c r="P634" s="35" t="str">
        <f aca="false">IF($A634="","",ROUNDUP(MONTH($A634)/3,0))</f>
        <v/>
      </c>
      <c r="Q634" s="35" t="str">
        <f aca="false">IF($A634="","",IF(MONTH($A634)&lt;=6,1,2))</f>
        <v/>
      </c>
      <c r="R634" s="35" t="str">
        <f aca="false">IF($E634="","",IFERROR(INDEX(Kontenplan!$F$5:$F$90,MATCH($E634,Kontenplan!$A$5:$A$90,0)),""))</f>
        <v/>
      </c>
      <c r="S634" s="35" t="str">
        <f aca="false">IF($D634="","",IFERROR(INDEX(Kontenplan!$F$5:$F$90,MATCH($D634,Kontenplan!$A$5:$A$90,0)),""))</f>
        <v/>
      </c>
      <c r="T634" s="35" t="str">
        <f aca="false">IF($D634="","",IFERROR(INDEX(Kontenplan!$C$5:$C$90,MATCH($D634,Kontenplan!$A$5:$A$90,0)),"?"))</f>
        <v/>
      </c>
      <c r="U634" s="35" t="str">
        <f aca="false">IF($E634="","",IFERROR(INDEX(Kontenplan!$C$5:$C$90,MATCH($E634,Kontenplan!$A$5:$A$90,0)),"?"))</f>
        <v/>
      </c>
      <c r="V634" s="35" t="str">
        <f aca="false">IF($F634="","",IF(OR($D634="",$E634="",$T634="?",$U634="?"),"Konto prüfen!",IF($A634="","Datum fehlt",IF(YEAR($A634)&lt;&gt;Einstellungen!$B$7,"anderes Jahr!",IF($G634="","MWST-Code fehlt","OK")))))</f>
        <v/>
      </c>
      <c r="W634" s="35" t="str">
        <f aca="false">IF($F634="","",IF(OR($D634=Kontoauszug!$C$4,$E634=Kontoauszug!$C$4),MAX(W$4:W633)+1,""))</f>
        <v/>
      </c>
    </row>
    <row r="635" customFormat="false" ht="15" hidden="false" customHeight="false" outlineLevel="0" collapsed="false">
      <c r="A635" s="33"/>
      <c r="B635" s="32"/>
      <c r="C635" s="32"/>
      <c r="D635" s="32"/>
      <c r="E635" s="32"/>
      <c r="F635" s="30"/>
      <c r="G635" s="32"/>
      <c r="H635" s="34" t="n">
        <f aca="false">IF($G635="",0,IFERROR(INDEX(Einstellungen!$G$5:$G$11,MATCH($G635,Einstellungen!$E$5:$E$11,0)),0))</f>
        <v>0</v>
      </c>
      <c r="I635" s="35" t="str">
        <f aca="false">IF($G635="","-",IFERROR(INDEX(Einstellungen!$H$5:$H$11,MATCH($G635,Einstellungen!$E$5:$E$11,0)),"-"))</f>
        <v>-</v>
      </c>
      <c r="J635" s="35" t="str">
        <f aca="false">IF(AND(Einstellungen!$B$8="Ja",Einstellungen!$B$9="Effektiv"),$I635,"-")</f>
        <v>-</v>
      </c>
      <c r="K635" s="31" t="n">
        <f aca="false">IF(OR($F635="",$J635="-"),0,ROUND($F635-$F635/(1+$H635),2))</f>
        <v>0</v>
      </c>
      <c r="L635" s="31" t="n">
        <f aca="false">IF($F635="",0,$F635-$K635)</f>
        <v>0</v>
      </c>
      <c r="M635" s="31" t="n">
        <f aca="false">IF($F635="",0,IF($J635="V",$L635,$F635))</f>
        <v>0</v>
      </c>
      <c r="N635" s="31" t="n">
        <f aca="false">IF($F635="",0,IF($J635="U",$L635,$F635))</f>
        <v>0</v>
      </c>
      <c r="O635" s="35" t="str">
        <f aca="false">IF($A635="","",MONTH($A635))</f>
        <v/>
      </c>
      <c r="P635" s="35" t="str">
        <f aca="false">IF($A635="","",ROUNDUP(MONTH($A635)/3,0))</f>
        <v/>
      </c>
      <c r="Q635" s="35" t="str">
        <f aca="false">IF($A635="","",IF(MONTH($A635)&lt;=6,1,2))</f>
        <v/>
      </c>
      <c r="R635" s="35" t="str">
        <f aca="false">IF($E635="","",IFERROR(INDEX(Kontenplan!$F$5:$F$90,MATCH($E635,Kontenplan!$A$5:$A$90,0)),""))</f>
        <v/>
      </c>
      <c r="S635" s="35" t="str">
        <f aca="false">IF($D635="","",IFERROR(INDEX(Kontenplan!$F$5:$F$90,MATCH($D635,Kontenplan!$A$5:$A$90,0)),""))</f>
        <v/>
      </c>
      <c r="T635" s="35" t="str">
        <f aca="false">IF($D635="","",IFERROR(INDEX(Kontenplan!$C$5:$C$90,MATCH($D635,Kontenplan!$A$5:$A$90,0)),"?"))</f>
        <v/>
      </c>
      <c r="U635" s="35" t="str">
        <f aca="false">IF($E635="","",IFERROR(INDEX(Kontenplan!$C$5:$C$90,MATCH($E635,Kontenplan!$A$5:$A$90,0)),"?"))</f>
        <v/>
      </c>
      <c r="V635" s="35" t="str">
        <f aca="false">IF($F635="","",IF(OR($D635="",$E635="",$T635="?",$U635="?"),"Konto prüfen!",IF($A635="","Datum fehlt",IF(YEAR($A635)&lt;&gt;Einstellungen!$B$7,"anderes Jahr!",IF($G635="","MWST-Code fehlt","OK")))))</f>
        <v/>
      </c>
      <c r="W635" s="35" t="str">
        <f aca="false">IF($F635="","",IF(OR($D635=Kontoauszug!$C$4,$E635=Kontoauszug!$C$4),MAX(W$4:W634)+1,""))</f>
        <v/>
      </c>
    </row>
    <row r="636" customFormat="false" ht="15" hidden="false" customHeight="false" outlineLevel="0" collapsed="false">
      <c r="A636" s="33"/>
      <c r="B636" s="32"/>
      <c r="C636" s="32"/>
      <c r="D636" s="32"/>
      <c r="E636" s="32"/>
      <c r="F636" s="30"/>
      <c r="G636" s="32"/>
      <c r="H636" s="34" t="n">
        <f aca="false">IF($G636="",0,IFERROR(INDEX(Einstellungen!$G$5:$G$11,MATCH($G636,Einstellungen!$E$5:$E$11,0)),0))</f>
        <v>0</v>
      </c>
      <c r="I636" s="35" t="str">
        <f aca="false">IF($G636="","-",IFERROR(INDEX(Einstellungen!$H$5:$H$11,MATCH($G636,Einstellungen!$E$5:$E$11,0)),"-"))</f>
        <v>-</v>
      </c>
      <c r="J636" s="35" t="str">
        <f aca="false">IF(AND(Einstellungen!$B$8="Ja",Einstellungen!$B$9="Effektiv"),$I636,"-")</f>
        <v>-</v>
      </c>
      <c r="K636" s="31" t="n">
        <f aca="false">IF(OR($F636="",$J636="-"),0,ROUND($F636-$F636/(1+$H636),2))</f>
        <v>0</v>
      </c>
      <c r="L636" s="31" t="n">
        <f aca="false">IF($F636="",0,$F636-$K636)</f>
        <v>0</v>
      </c>
      <c r="M636" s="31" t="n">
        <f aca="false">IF($F636="",0,IF($J636="V",$L636,$F636))</f>
        <v>0</v>
      </c>
      <c r="N636" s="31" t="n">
        <f aca="false">IF($F636="",0,IF($J636="U",$L636,$F636))</f>
        <v>0</v>
      </c>
      <c r="O636" s="35" t="str">
        <f aca="false">IF($A636="","",MONTH($A636))</f>
        <v/>
      </c>
      <c r="P636" s="35" t="str">
        <f aca="false">IF($A636="","",ROUNDUP(MONTH($A636)/3,0))</f>
        <v/>
      </c>
      <c r="Q636" s="35" t="str">
        <f aca="false">IF($A636="","",IF(MONTH($A636)&lt;=6,1,2))</f>
        <v/>
      </c>
      <c r="R636" s="35" t="str">
        <f aca="false">IF($E636="","",IFERROR(INDEX(Kontenplan!$F$5:$F$90,MATCH($E636,Kontenplan!$A$5:$A$90,0)),""))</f>
        <v/>
      </c>
      <c r="S636" s="35" t="str">
        <f aca="false">IF($D636="","",IFERROR(INDEX(Kontenplan!$F$5:$F$90,MATCH($D636,Kontenplan!$A$5:$A$90,0)),""))</f>
        <v/>
      </c>
      <c r="T636" s="35" t="str">
        <f aca="false">IF($D636="","",IFERROR(INDEX(Kontenplan!$C$5:$C$90,MATCH($D636,Kontenplan!$A$5:$A$90,0)),"?"))</f>
        <v/>
      </c>
      <c r="U636" s="35" t="str">
        <f aca="false">IF($E636="","",IFERROR(INDEX(Kontenplan!$C$5:$C$90,MATCH($E636,Kontenplan!$A$5:$A$90,0)),"?"))</f>
        <v/>
      </c>
      <c r="V636" s="35" t="str">
        <f aca="false">IF($F636="","",IF(OR($D636="",$E636="",$T636="?",$U636="?"),"Konto prüfen!",IF($A636="","Datum fehlt",IF(YEAR($A636)&lt;&gt;Einstellungen!$B$7,"anderes Jahr!",IF($G636="","MWST-Code fehlt","OK")))))</f>
        <v/>
      </c>
      <c r="W636" s="35" t="str">
        <f aca="false">IF($F636="","",IF(OR($D636=Kontoauszug!$C$4,$E636=Kontoauszug!$C$4),MAX(W$4:W635)+1,""))</f>
        <v/>
      </c>
    </row>
    <row r="637" customFormat="false" ht="15" hidden="false" customHeight="false" outlineLevel="0" collapsed="false">
      <c r="A637" s="33"/>
      <c r="B637" s="32"/>
      <c r="C637" s="32"/>
      <c r="D637" s="32"/>
      <c r="E637" s="32"/>
      <c r="F637" s="30"/>
      <c r="G637" s="32"/>
      <c r="H637" s="34" t="n">
        <f aca="false">IF($G637="",0,IFERROR(INDEX(Einstellungen!$G$5:$G$11,MATCH($G637,Einstellungen!$E$5:$E$11,0)),0))</f>
        <v>0</v>
      </c>
      <c r="I637" s="35" t="str">
        <f aca="false">IF($G637="","-",IFERROR(INDEX(Einstellungen!$H$5:$H$11,MATCH($G637,Einstellungen!$E$5:$E$11,0)),"-"))</f>
        <v>-</v>
      </c>
      <c r="J637" s="35" t="str">
        <f aca="false">IF(AND(Einstellungen!$B$8="Ja",Einstellungen!$B$9="Effektiv"),$I637,"-")</f>
        <v>-</v>
      </c>
      <c r="K637" s="31" t="n">
        <f aca="false">IF(OR($F637="",$J637="-"),0,ROUND($F637-$F637/(1+$H637),2))</f>
        <v>0</v>
      </c>
      <c r="L637" s="31" t="n">
        <f aca="false">IF($F637="",0,$F637-$K637)</f>
        <v>0</v>
      </c>
      <c r="M637" s="31" t="n">
        <f aca="false">IF($F637="",0,IF($J637="V",$L637,$F637))</f>
        <v>0</v>
      </c>
      <c r="N637" s="31" t="n">
        <f aca="false">IF($F637="",0,IF($J637="U",$L637,$F637))</f>
        <v>0</v>
      </c>
      <c r="O637" s="35" t="str">
        <f aca="false">IF($A637="","",MONTH($A637))</f>
        <v/>
      </c>
      <c r="P637" s="35" t="str">
        <f aca="false">IF($A637="","",ROUNDUP(MONTH($A637)/3,0))</f>
        <v/>
      </c>
      <c r="Q637" s="35" t="str">
        <f aca="false">IF($A637="","",IF(MONTH($A637)&lt;=6,1,2))</f>
        <v/>
      </c>
      <c r="R637" s="35" t="str">
        <f aca="false">IF($E637="","",IFERROR(INDEX(Kontenplan!$F$5:$F$90,MATCH($E637,Kontenplan!$A$5:$A$90,0)),""))</f>
        <v/>
      </c>
      <c r="S637" s="35" t="str">
        <f aca="false">IF($D637="","",IFERROR(INDEX(Kontenplan!$F$5:$F$90,MATCH($D637,Kontenplan!$A$5:$A$90,0)),""))</f>
        <v/>
      </c>
      <c r="T637" s="35" t="str">
        <f aca="false">IF($D637="","",IFERROR(INDEX(Kontenplan!$C$5:$C$90,MATCH($D637,Kontenplan!$A$5:$A$90,0)),"?"))</f>
        <v/>
      </c>
      <c r="U637" s="35" t="str">
        <f aca="false">IF($E637="","",IFERROR(INDEX(Kontenplan!$C$5:$C$90,MATCH($E637,Kontenplan!$A$5:$A$90,0)),"?"))</f>
        <v/>
      </c>
      <c r="V637" s="35" t="str">
        <f aca="false">IF($F637="","",IF(OR($D637="",$E637="",$T637="?",$U637="?"),"Konto prüfen!",IF($A637="","Datum fehlt",IF(YEAR($A637)&lt;&gt;Einstellungen!$B$7,"anderes Jahr!",IF($G637="","MWST-Code fehlt","OK")))))</f>
        <v/>
      </c>
      <c r="W637" s="35" t="str">
        <f aca="false">IF($F637="","",IF(OR($D637=Kontoauszug!$C$4,$E637=Kontoauszug!$C$4),MAX(W$4:W636)+1,""))</f>
        <v/>
      </c>
    </row>
    <row r="638" customFormat="false" ht="15" hidden="false" customHeight="false" outlineLevel="0" collapsed="false">
      <c r="A638" s="33"/>
      <c r="B638" s="32"/>
      <c r="C638" s="32"/>
      <c r="D638" s="32"/>
      <c r="E638" s="32"/>
      <c r="F638" s="30"/>
      <c r="G638" s="32"/>
      <c r="H638" s="34" t="n">
        <f aca="false">IF($G638="",0,IFERROR(INDEX(Einstellungen!$G$5:$G$11,MATCH($G638,Einstellungen!$E$5:$E$11,0)),0))</f>
        <v>0</v>
      </c>
      <c r="I638" s="35" t="str">
        <f aca="false">IF($G638="","-",IFERROR(INDEX(Einstellungen!$H$5:$H$11,MATCH($G638,Einstellungen!$E$5:$E$11,0)),"-"))</f>
        <v>-</v>
      </c>
      <c r="J638" s="35" t="str">
        <f aca="false">IF(AND(Einstellungen!$B$8="Ja",Einstellungen!$B$9="Effektiv"),$I638,"-")</f>
        <v>-</v>
      </c>
      <c r="K638" s="31" t="n">
        <f aca="false">IF(OR($F638="",$J638="-"),0,ROUND($F638-$F638/(1+$H638),2))</f>
        <v>0</v>
      </c>
      <c r="L638" s="31" t="n">
        <f aca="false">IF($F638="",0,$F638-$K638)</f>
        <v>0</v>
      </c>
      <c r="M638" s="31" t="n">
        <f aca="false">IF($F638="",0,IF($J638="V",$L638,$F638))</f>
        <v>0</v>
      </c>
      <c r="N638" s="31" t="n">
        <f aca="false">IF($F638="",0,IF($J638="U",$L638,$F638))</f>
        <v>0</v>
      </c>
      <c r="O638" s="35" t="str">
        <f aca="false">IF($A638="","",MONTH($A638))</f>
        <v/>
      </c>
      <c r="P638" s="35" t="str">
        <f aca="false">IF($A638="","",ROUNDUP(MONTH($A638)/3,0))</f>
        <v/>
      </c>
      <c r="Q638" s="35" t="str">
        <f aca="false">IF($A638="","",IF(MONTH($A638)&lt;=6,1,2))</f>
        <v/>
      </c>
      <c r="R638" s="35" t="str">
        <f aca="false">IF($E638="","",IFERROR(INDEX(Kontenplan!$F$5:$F$90,MATCH($E638,Kontenplan!$A$5:$A$90,0)),""))</f>
        <v/>
      </c>
      <c r="S638" s="35" t="str">
        <f aca="false">IF($D638="","",IFERROR(INDEX(Kontenplan!$F$5:$F$90,MATCH($D638,Kontenplan!$A$5:$A$90,0)),""))</f>
        <v/>
      </c>
      <c r="T638" s="35" t="str">
        <f aca="false">IF($D638="","",IFERROR(INDEX(Kontenplan!$C$5:$C$90,MATCH($D638,Kontenplan!$A$5:$A$90,0)),"?"))</f>
        <v/>
      </c>
      <c r="U638" s="35" t="str">
        <f aca="false">IF($E638="","",IFERROR(INDEX(Kontenplan!$C$5:$C$90,MATCH($E638,Kontenplan!$A$5:$A$90,0)),"?"))</f>
        <v/>
      </c>
      <c r="V638" s="35" t="str">
        <f aca="false">IF($F638="","",IF(OR($D638="",$E638="",$T638="?",$U638="?"),"Konto prüfen!",IF($A638="","Datum fehlt",IF(YEAR($A638)&lt;&gt;Einstellungen!$B$7,"anderes Jahr!",IF($G638="","MWST-Code fehlt","OK")))))</f>
        <v/>
      </c>
      <c r="W638" s="35" t="str">
        <f aca="false">IF($F638="","",IF(OR($D638=Kontoauszug!$C$4,$E638=Kontoauszug!$C$4),MAX(W$4:W637)+1,""))</f>
        <v/>
      </c>
    </row>
    <row r="639" customFormat="false" ht="15" hidden="false" customHeight="false" outlineLevel="0" collapsed="false">
      <c r="A639" s="33"/>
      <c r="B639" s="32"/>
      <c r="C639" s="32"/>
      <c r="D639" s="32"/>
      <c r="E639" s="32"/>
      <c r="F639" s="30"/>
      <c r="G639" s="32"/>
      <c r="H639" s="34" t="n">
        <f aca="false">IF($G639="",0,IFERROR(INDEX(Einstellungen!$G$5:$G$11,MATCH($G639,Einstellungen!$E$5:$E$11,0)),0))</f>
        <v>0</v>
      </c>
      <c r="I639" s="35" t="str">
        <f aca="false">IF($G639="","-",IFERROR(INDEX(Einstellungen!$H$5:$H$11,MATCH($G639,Einstellungen!$E$5:$E$11,0)),"-"))</f>
        <v>-</v>
      </c>
      <c r="J639" s="35" t="str">
        <f aca="false">IF(AND(Einstellungen!$B$8="Ja",Einstellungen!$B$9="Effektiv"),$I639,"-")</f>
        <v>-</v>
      </c>
      <c r="K639" s="31" t="n">
        <f aca="false">IF(OR($F639="",$J639="-"),0,ROUND($F639-$F639/(1+$H639),2))</f>
        <v>0</v>
      </c>
      <c r="L639" s="31" t="n">
        <f aca="false">IF($F639="",0,$F639-$K639)</f>
        <v>0</v>
      </c>
      <c r="M639" s="31" t="n">
        <f aca="false">IF($F639="",0,IF($J639="V",$L639,$F639))</f>
        <v>0</v>
      </c>
      <c r="N639" s="31" t="n">
        <f aca="false">IF($F639="",0,IF($J639="U",$L639,$F639))</f>
        <v>0</v>
      </c>
      <c r="O639" s="35" t="str">
        <f aca="false">IF($A639="","",MONTH($A639))</f>
        <v/>
      </c>
      <c r="P639" s="35" t="str">
        <f aca="false">IF($A639="","",ROUNDUP(MONTH($A639)/3,0))</f>
        <v/>
      </c>
      <c r="Q639" s="35" t="str">
        <f aca="false">IF($A639="","",IF(MONTH($A639)&lt;=6,1,2))</f>
        <v/>
      </c>
      <c r="R639" s="35" t="str">
        <f aca="false">IF($E639="","",IFERROR(INDEX(Kontenplan!$F$5:$F$90,MATCH($E639,Kontenplan!$A$5:$A$90,0)),""))</f>
        <v/>
      </c>
      <c r="S639" s="35" t="str">
        <f aca="false">IF($D639="","",IFERROR(INDEX(Kontenplan!$F$5:$F$90,MATCH($D639,Kontenplan!$A$5:$A$90,0)),""))</f>
        <v/>
      </c>
      <c r="T639" s="35" t="str">
        <f aca="false">IF($D639="","",IFERROR(INDEX(Kontenplan!$C$5:$C$90,MATCH($D639,Kontenplan!$A$5:$A$90,0)),"?"))</f>
        <v/>
      </c>
      <c r="U639" s="35" t="str">
        <f aca="false">IF($E639="","",IFERROR(INDEX(Kontenplan!$C$5:$C$90,MATCH($E639,Kontenplan!$A$5:$A$90,0)),"?"))</f>
        <v/>
      </c>
      <c r="V639" s="35" t="str">
        <f aca="false">IF($F639="","",IF(OR($D639="",$E639="",$T639="?",$U639="?"),"Konto prüfen!",IF($A639="","Datum fehlt",IF(YEAR($A639)&lt;&gt;Einstellungen!$B$7,"anderes Jahr!",IF($G639="","MWST-Code fehlt","OK")))))</f>
        <v/>
      </c>
      <c r="W639" s="35" t="str">
        <f aca="false">IF($F639="","",IF(OR($D639=Kontoauszug!$C$4,$E639=Kontoauszug!$C$4),MAX(W$4:W638)+1,""))</f>
        <v/>
      </c>
    </row>
    <row r="640" customFormat="false" ht="15" hidden="false" customHeight="false" outlineLevel="0" collapsed="false">
      <c r="A640" s="33"/>
      <c r="B640" s="32"/>
      <c r="C640" s="32"/>
      <c r="D640" s="32"/>
      <c r="E640" s="32"/>
      <c r="F640" s="30"/>
      <c r="G640" s="32"/>
      <c r="H640" s="34" t="n">
        <f aca="false">IF($G640="",0,IFERROR(INDEX(Einstellungen!$G$5:$G$11,MATCH($G640,Einstellungen!$E$5:$E$11,0)),0))</f>
        <v>0</v>
      </c>
      <c r="I640" s="35" t="str">
        <f aca="false">IF($G640="","-",IFERROR(INDEX(Einstellungen!$H$5:$H$11,MATCH($G640,Einstellungen!$E$5:$E$11,0)),"-"))</f>
        <v>-</v>
      </c>
      <c r="J640" s="35" t="str">
        <f aca="false">IF(AND(Einstellungen!$B$8="Ja",Einstellungen!$B$9="Effektiv"),$I640,"-")</f>
        <v>-</v>
      </c>
      <c r="K640" s="31" t="n">
        <f aca="false">IF(OR($F640="",$J640="-"),0,ROUND($F640-$F640/(1+$H640),2))</f>
        <v>0</v>
      </c>
      <c r="L640" s="31" t="n">
        <f aca="false">IF($F640="",0,$F640-$K640)</f>
        <v>0</v>
      </c>
      <c r="M640" s="31" t="n">
        <f aca="false">IF($F640="",0,IF($J640="V",$L640,$F640))</f>
        <v>0</v>
      </c>
      <c r="N640" s="31" t="n">
        <f aca="false">IF($F640="",0,IF($J640="U",$L640,$F640))</f>
        <v>0</v>
      </c>
      <c r="O640" s="35" t="str">
        <f aca="false">IF($A640="","",MONTH($A640))</f>
        <v/>
      </c>
      <c r="P640" s="35" t="str">
        <f aca="false">IF($A640="","",ROUNDUP(MONTH($A640)/3,0))</f>
        <v/>
      </c>
      <c r="Q640" s="35" t="str">
        <f aca="false">IF($A640="","",IF(MONTH($A640)&lt;=6,1,2))</f>
        <v/>
      </c>
      <c r="R640" s="35" t="str">
        <f aca="false">IF($E640="","",IFERROR(INDEX(Kontenplan!$F$5:$F$90,MATCH($E640,Kontenplan!$A$5:$A$90,0)),""))</f>
        <v/>
      </c>
      <c r="S640" s="35" t="str">
        <f aca="false">IF($D640="","",IFERROR(INDEX(Kontenplan!$F$5:$F$90,MATCH($D640,Kontenplan!$A$5:$A$90,0)),""))</f>
        <v/>
      </c>
      <c r="T640" s="35" t="str">
        <f aca="false">IF($D640="","",IFERROR(INDEX(Kontenplan!$C$5:$C$90,MATCH($D640,Kontenplan!$A$5:$A$90,0)),"?"))</f>
        <v/>
      </c>
      <c r="U640" s="35" t="str">
        <f aca="false">IF($E640="","",IFERROR(INDEX(Kontenplan!$C$5:$C$90,MATCH($E640,Kontenplan!$A$5:$A$90,0)),"?"))</f>
        <v/>
      </c>
      <c r="V640" s="35" t="str">
        <f aca="false">IF($F640="","",IF(OR($D640="",$E640="",$T640="?",$U640="?"),"Konto prüfen!",IF($A640="","Datum fehlt",IF(YEAR($A640)&lt;&gt;Einstellungen!$B$7,"anderes Jahr!",IF($G640="","MWST-Code fehlt","OK")))))</f>
        <v/>
      </c>
      <c r="W640" s="35" t="str">
        <f aca="false">IF($F640="","",IF(OR($D640=Kontoauszug!$C$4,$E640=Kontoauszug!$C$4),MAX(W$4:W639)+1,""))</f>
        <v/>
      </c>
    </row>
    <row r="641" customFormat="false" ht="15" hidden="false" customHeight="false" outlineLevel="0" collapsed="false">
      <c r="A641" s="33"/>
      <c r="B641" s="32"/>
      <c r="C641" s="32"/>
      <c r="D641" s="32"/>
      <c r="E641" s="32"/>
      <c r="F641" s="30"/>
      <c r="G641" s="32"/>
      <c r="H641" s="34" t="n">
        <f aca="false">IF($G641="",0,IFERROR(INDEX(Einstellungen!$G$5:$G$11,MATCH($G641,Einstellungen!$E$5:$E$11,0)),0))</f>
        <v>0</v>
      </c>
      <c r="I641" s="35" t="str">
        <f aca="false">IF($G641="","-",IFERROR(INDEX(Einstellungen!$H$5:$H$11,MATCH($G641,Einstellungen!$E$5:$E$11,0)),"-"))</f>
        <v>-</v>
      </c>
      <c r="J641" s="35" t="str">
        <f aca="false">IF(AND(Einstellungen!$B$8="Ja",Einstellungen!$B$9="Effektiv"),$I641,"-")</f>
        <v>-</v>
      </c>
      <c r="K641" s="31" t="n">
        <f aca="false">IF(OR($F641="",$J641="-"),0,ROUND($F641-$F641/(1+$H641),2))</f>
        <v>0</v>
      </c>
      <c r="L641" s="31" t="n">
        <f aca="false">IF($F641="",0,$F641-$K641)</f>
        <v>0</v>
      </c>
      <c r="M641" s="31" t="n">
        <f aca="false">IF($F641="",0,IF($J641="V",$L641,$F641))</f>
        <v>0</v>
      </c>
      <c r="N641" s="31" t="n">
        <f aca="false">IF($F641="",0,IF($J641="U",$L641,$F641))</f>
        <v>0</v>
      </c>
      <c r="O641" s="35" t="str">
        <f aca="false">IF($A641="","",MONTH($A641))</f>
        <v/>
      </c>
      <c r="P641" s="35" t="str">
        <f aca="false">IF($A641="","",ROUNDUP(MONTH($A641)/3,0))</f>
        <v/>
      </c>
      <c r="Q641" s="35" t="str">
        <f aca="false">IF($A641="","",IF(MONTH($A641)&lt;=6,1,2))</f>
        <v/>
      </c>
      <c r="R641" s="35" t="str">
        <f aca="false">IF($E641="","",IFERROR(INDEX(Kontenplan!$F$5:$F$90,MATCH($E641,Kontenplan!$A$5:$A$90,0)),""))</f>
        <v/>
      </c>
      <c r="S641" s="35" t="str">
        <f aca="false">IF($D641="","",IFERROR(INDEX(Kontenplan!$F$5:$F$90,MATCH($D641,Kontenplan!$A$5:$A$90,0)),""))</f>
        <v/>
      </c>
      <c r="T641" s="35" t="str">
        <f aca="false">IF($D641="","",IFERROR(INDEX(Kontenplan!$C$5:$C$90,MATCH($D641,Kontenplan!$A$5:$A$90,0)),"?"))</f>
        <v/>
      </c>
      <c r="U641" s="35" t="str">
        <f aca="false">IF($E641="","",IFERROR(INDEX(Kontenplan!$C$5:$C$90,MATCH($E641,Kontenplan!$A$5:$A$90,0)),"?"))</f>
        <v/>
      </c>
      <c r="V641" s="35" t="str">
        <f aca="false">IF($F641="","",IF(OR($D641="",$E641="",$T641="?",$U641="?"),"Konto prüfen!",IF($A641="","Datum fehlt",IF(YEAR($A641)&lt;&gt;Einstellungen!$B$7,"anderes Jahr!",IF($G641="","MWST-Code fehlt","OK")))))</f>
        <v/>
      </c>
      <c r="W641" s="35" t="str">
        <f aca="false">IF($F641="","",IF(OR($D641=Kontoauszug!$C$4,$E641=Kontoauszug!$C$4),MAX(W$4:W640)+1,""))</f>
        <v/>
      </c>
    </row>
    <row r="642" customFormat="false" ht="15" hidden="false" customHeight="false" outlineLevel="0" collapsed="false">
      <c r="A642" s="33"/>
      <c r="B642" s="32"/>
      <c r="C642" s="32"/>
      <c r="D642" s="32"/>
      <c r="E642" s="32"/>
      <c r="F642" s="30"/>
      <c r="G642" s="32"/>
      <c r="H642" s="34" t="n">
        <f aca="false">IF($G642="",0,IFERROR(INDEX(Einstellungen!$G$5:$G$11,MATCH($G642,Einstellungen!$E$5:$E$11,0)),0))</f>
        <v>0</v>
      </c>
      <c r="I642" s="35" t="str">
        <f aca="false">IF($G642="","-",IFERROR(INDEX(Einstellungen!$H$5:$H$11,MATCH($G642,Einstellungen!$E$5:$E$11,0)),"-"))</f>
        <v>-</v>
      </c>
      <c r="J642" s="35" t="str">
        <f aca="false">IF(AND(Einstellungen!$B$8="Ja",Einstellungen!$B$9="Effektiv"),$I642,"-")</f>
        <v>-</v>
      </c>
      <c r="K642" s="31" t="n">
        <f aca="false">IF(OR($F642="",$J642="-"),0,ROUND($F642-$F642/(1+$H642),2))</f>
        <v>0</v>
      </c>
      <c r="L642" s="31" t="n">
        <f aca="false">IF($F642="",0,$F642-$K642)</f>
        <v>0</v>
      </c>
      <c r="M642" s="31" t="n">
        <f aca="false">IF($F642="",0,IF($J642="V",$L642,$F642))</f>
        <v>0</v>
      </c>
      <c r="N642" s="31" t="n">
        <f aca="false">IF($F642="",0,IF($J642="U",$L642,$F642))</f>
        <v>0</v>
      </c>
      <c r="O642" s="35" t="str">
        <f aca="false">IF($A642="","",MONTH($A642))</f>
        <v/>
      </c>
      <c r="P642" s="35" t="str">
        <f aca="false">IF($A642="","",ROUNDUP(MONTH($A642)/3,0))</f>
        <v/>
      </c>
      <c r="Q642" s="35" t="str">
        <f aca="false">IF($A642="","",IF(MONTH($A642)&lt;=6,1,2))</f>
        <v/>
      </c>
      <c r="R642" s="35" t="str">
        <f aca="false">IF($E642="","",IFERROR(INDEX(Kontenplan!$F$5:$F$90,MATCH($E642,Kontenplan!$A$5:$A$90,0)),""))</f>
        <v/>
      </c>
      <c r="S642" s="35" t="str">
        <f aca="false">IF($D642="","",IFERROR(INDEX(Kontenplan!$F$5:$F$90,MATCH($D642,Kontenplan!$A$5:$A$90,0)),""))</f>
        <v/>
      </c>
      <c r="T642" s="35" t="str">
        <f aca="false">IF($D642="","",IFERROR(INDEX(Kontenplan!$C$5:$C$90,MATCH($D642,Kontenplan!$A$5:$A$90,0)),"?"))</f>
        <v/>
      </c>
      <c r="U642" s="35" t="str">
        <f aca="false">IF($E642="","",IFERROR(INDEX(Kontenplan!$C$5:$C$90,MATCH($E642,Kontenplan!$A$5:$A$90,0)),"?"))</f>
        <v/>
      </c>
      <c r="V642" s="35" t="str">
        <f aca="false">IF($F642="","",IF(OR($D642="",$E642="",$T642="?",$U642="?"),"Konto prüfen!",IF($A642="","Datum fehlt",IF(YEAR($A642)&lt;&gt;Einstellungen!$B$7,"anderes Jahr!",IF($G642="","MWST-Code fehlt","OK")))))</f>
        <v/>
      </c>
      <c r="W642" s="35" t="str">
        <f aca="false">IF($F642="","",IF(OR($D642=Kontoauszug!$C$4,$E642=Kontoauszug!$C$4),MAX(W$4:W641)+1,""))</f>
        <v/>
      </c>
    </row>
    <row r="643" customFormat="false" ht="15" hidden="false" customHeight="false" outlineLevel="0" collapsed="false">
      <c r="A643" s="33"/>
      <c r="B643" s="32"/>
      <c r="C643" s="32"/>
      <c r="D643" s="32"/>
      <c r="E643" s="32"/>
      <c r="F643" s="30"/>
      <c r="G643" s="32"/>
      <c r="H643" s="34" t="n">
        <f aca="false">IF($G643="",0,IFERROR(INDEX(Einstellungen!$G$5:$G$11,MATCH($G643,Einstellungen!$E$5:$E$11,0)),0))</f>
        <v>0</v>
      </c>
      <c r="I643" s="35" t="str">
        <f aca="false">IF($G643="","-",IFERROR(INDEX(Einstellungen!$H$5:$H$11,MATCH($G643,Einstellungen!$E$5:$E$11,0)),"-"))</f>
        <v>-</v>
      </c>
      <c r="J643" s="35" t="str">
        <f aca="false">IF(AND(Einstellungen!$B$8="Ja",Einstellungen!$B$9="Effektiv"),$I643,"-")</f>
        <v>-</v>
      </c>
      <c r="K643" s="31" t="n">
        <f aca="false">IF(OR($F643="",$J643="-"),0,ROUND($F643-$F643/(1+$H643),2))</f>
        <v>0</v>
      </c>
      <c r="L643" s="31" t="n">
        <f aca="false">IF($F643="",0,$F643-$K643)</f>
        <v>0</v>
      </c>
      <c r="M643" s="31" t="n">
        <f aca="false">IF($F643="",0,IF($J643="V",$L643,$F643))</f>
        <v>0</v>
      </c>
      <c r="N643" s="31" t="n">
        <f aca="false">IF($F643="",0,IF($J643="U",$L643,$F643))</f>
        <v>0</v>
      </c>
      <c r="O643" s="35" t="str">
        <f aca="false">IF($A643="","",MONTH($A643))</f>
        <v/>
      </c>
      <c r="P643" s="35" t="str">
        <f aca="false">IF($A643="","",ROUNDUP(MONTH($A643)/3,0))</f>
        <v/>
      </c>
      <c r="Q643" s="35" t="str">
        <f aca="false">IF($A643="","",IF(MONTH($A643)&lt;=6,1,2))</f>
        <v/>
      </c>
      <c r="R643" s="35" t="str">
        <f aca="false">IF($E643="","",IFERROR(INDEX(Kontenplan!$F$5:$F$90,MATCH($E643,Kontenplan!$A$5:$A$90,0)),""))</f>
        <v/>
      </c>
      <c r="S643" s="35" t="str">
        <f aca="false">IF($D643="","",IFERROR(INDEX(Kontenplan!$F$5:$F$90,MATCH($D643,Kontenplan!$A$5:$A$90,0)),""))</f>
        <v/>
      </c>
      <c r="T643" s="35" t="str">
        <f aca="false">IF($D643="","",IFERROR(INDEX(Kontenplan!$C$5:$C$90,MATCH($D643,Kontenplan!$A$5:$A$90,0)),"?"))</f>
        <v/>
      </c>
      <c r="U643" s="35" t="str">
        <f aca="false">IF($E643="","",IFERROR(INDEX(Kontenplan!$C$5:$C$90,MATCH($E643,Kontenplan!$A$5:$A$90,0)),"?"))</f>
        <v/>
      </c>
      <c r="V643" s="35" t="str">
        <f aca="false">IF($F643="","",IF(OR($D643="",$E643="",$T643="?",$U643="?"),"Konto prüfen!",IF($A643="","Datum fehlt",IF(YEAR($A643)&lt;&gt;Einstellungen!$B$7,"anderes Jahr!",IF($G643="","MWST-Code fehlt","OK")))))</f>
        <v/>
      </c>
      <c r="W643" s="35" t="str">
        <f aca="false">IF($F643="","",IF(OR($D643=Kontoauszug!$C$4,$E643=Kontoauszug!$C$4),MAX(W$4:W642)+1,""))</f>
        <v/>
      </c>
    </row>
    <row r="644" customFormat="false" ht="15" hidden="false" customHeight="false" outlineLevel="0" collapsed="false">
      <c r="A644" s="33"/>
      <c r="B644" s="32"/>
      <c r="C644" s="32"/>
      <c r="D644" s="32"/>
      <c r="E644" s="32"/>
      <c r="F644" s="30"/>
      <c r="G644" s="32"/>
      <c r="H644" s="34" t="n">
        <f aca="false">IF($G644="",0,IFERROR(INDEX(Einstellungen!$G$5:$G$11,MATCH($G644,Einstellungen!$E$5:$E$11,0)),0))</f>
        <v>0</v>
      </c>
      <c r="I644" s="35" t="str">
        <f aca="false">IF($G644="","-",IFERROR(INDEX(Einstellungen!$H$5:$H$11,MATCH($G644,Einstellungen!$E$5:$E$11,0)),"-"))</f>
        <v>-</v>
      </c>
      <c r="J644" s="35" t="str">
        <f aca="false">IF(AND(Einstellungen!$B$8="Ja",Einstellungen!$B$9="Effektiv"),$I644,"-")</f>
        <v>-</v>
      </c>
      <c r="K644" s="31" t="n">
        <f aca="false">IF(OR($F644="",$J644="-"),0,ROUND($F644-$F644/(1+$H644),2))</f>
        <v>0</v>
      </c>
      <c r="L644" s="31" t="n">
        <f aca="false">IF($F644="",0,$F644-$K644)</f>
        <v>0</v>
      </c>
      <c r="M644" s="31" t="n">
        <f aca="false">IF($F644="",0,IF($J644="V",$L644,$F644))</f>
        <v>0</v>
      </c>
      <c r="N644" s="31" t="n">
        <f aca="false">IF($F644="",0,IF($J644="U",$L644,$F644))</f>
        <v>0</v>
      </c>
      <c r="O644" s="35" t="str">
        <f aca="false">IF($A644="","",MONTH($A644))</f>
        <v/>
      </c>
      <c r="P644" s="35" t="str">
        <f aca="false">IF($A644="","",ROUNDUP(MONTH($A644)/3,0))</f>
        <v/>
      </c>
      <c r="Q644" s="35" t="str">
        <f aca="false">IF($A644="","",IF(MONTH($A644)&lt;=6,1,2))</f>
        <v/>
      </c>
      <c r="R644" s="35" t="str">
        <f aca="false">IF($E644="","",IFERROR(INDEX(Kontenplan!$F$5:$F$90,MATCH($E644,Kontenplan!$A$5:$A$90,0)),""))</f>
        <v/>
      </c>
      <c r="S644" s="35" t="str">
        <f aca="false">IF($D644="","",IFERROR(INDEX(Kontenplan!$F$5:$F$90,MATCH($D644,Kontenplan!$A$5:$A$90,0)),""))</f>
        <v/>
      </c>
      <c r="T644" s="35" t="str">
        <f aca="false">IF($D644="","",IFERROR(INDEX(Kontenplan!$C$5:$C$90,MATCH($D644,Kontenplan!$A$5:$A$90,0)),"?"))</f>
        <v/>
      </c>
      <c r="U644" s="35" t="str">
        <f aca="false">IF($E644="","",IFERROR(INDEX(Kontenplan!$C$5:$C$90,MATCH($E644,Kontenplan!$A$5:$A$90,0)),"?"))</f>
        <v/>
      </c>
      <c r="V644" s="35" t="str">
        <f aca="false">IF($F644="","",IF(OR($D644="",$E644="",$T644="?",$U644="?"),"Konto prüfen!",IF($A644="","Datum fehlt",IF(YEAR($A644)&lt;&gt;Einstellungen!$B$7,"anderes Jahr!",IF($G644="","MWST-Code fehlt","OK")))))</f>
        <v/>
      </c>
      <c r="W644" s="35" t="str">
        <f aca="false">IF($F644="","",IF(OR($D644=Kontoauszug!$C$4,$E644=Kontoauszug!$C$4),MAX(W$4:W643)+1,""))</f>
        <v/>
      </c>
    </row>
    <row r="645" customFormat="false" ht="15" hidden="false" customHeight="false" outlineLevel="0" collapsed="false">
      <c r="A645" s="33"/>
      <c r="B645" s="32"/>
      <c r="C645" s="32"/>
      <c r="D645" s="32"/>
      <c r="E645" s="32"/>
      <c r="F645" s="30"/>
      <c r="G645" s="32"/>
      <c r="H645" s="34" t="n">
        <f aca="false">IF($G645="",0,IFERROR(INDEX(Einstellungen!$G$5:$G$11,MATCH($G645,Einstellungen!$E$5:$E$11,0)),0))</f>
        <v>0</v>
      </c>
      <c r="I645" s="35" t="str">
        <f aca="false">IF($G645="","-",IFERROR(INDEX(Einstellungen!$H$5:$H$11,MATCH($G645,Einstellungen!$E$5:$E$11,0)),"-"))</f>
        <v>-</v>
      </c>
      <c r="J645" s="35" t="str">
        <f aca="false">IF(AND(Einstellungen!$B$8="Ja",Einstellungen!$B$9="Effektiv"),$I645,"-")</f>
        <v>-</v>
      </c>
      <c r="K645" s="31" t="n">
        <f aca="false">IF(OR($F645="",$J645="-"),0,ROUND($F645-$F645/(1+$H645),2))</f>
        <v>0</v>
      </c>
      <c r="L645" s="31" t="n">
        <f aca="false">IF($F645="",0,$F645-$K645)</f>
        <v>0</v>
      </c>
      <c r="M645" s="31" t="n">
        <f aca="false">IF($F645="",0,IF($J645="V",$L645,$F645))</f>
        <v>0</v>
      </c>
      <c r="N645" s="31" t="n">
        <f aca="false">IF($F645="",0,IF($J645="U",$L645,$F645))</f>
        <v>0</v>
      </c>
      <c r="O645" s="35" t="str">
        <f aca="false">IF($A645="","",MONTH($A645))</f>
        <v/>
      </c>
      <c r="P645" s="35" t="str">
        <f aca="false">IF($A645="","",ROUNDUP(MONTH($A645)/3,0))</f>
        <v/>
      </c>
      <c r="Q645" s="35" t="str">
        <f aca="false">IF($A645="","",IF(MONTH($A645)&lt;=6,1,2))</f>
        <v/>
      </c>
      <c r="R645" s="35" t="str">
        <f aca="false">IF($E645="","",IFERROR(INDEX(Kontenplan!$F$5:$F$90,MATCH($E645,Kontenplan!$A$5:$A$90,0)),""))</f>
        <v/>
      </c>
      <c r="S645" s="35" t="str">
        <f aca="false">IF($D645="","",IFERROR(INDEX(Kontenplan!$F$5:$F$90,MATCH($D645,Kontenplan!$A$5:$A$90,0)),""))</f>
        <v/>
      </c>
      <c r="T645" s="35" t="str">
        <f aca="false">IF($D645="","",IFERROR(INDEX(Kontenplan!$C$5:$C$90,MATCH($D645,Kontenplan!$A$5:$A$90,0)),"?"))</f>
        <v/>
      </c>
      <c r="U645" s="35" t="str">
        <f aca="false">IF($E645="","",IFERROR(INDEX(Kontenplan!$C$5:$C$90,MATCH($E645,Kontenplan!$A$5:$A$90,0)),"?"))</f>
        <v/>
      </c>
      <c r="V645" s="35" t="str">
        <f aca="false">IF($F645="","",IF(OR($D645="",$E645="",$T645="?",$U645="?"),"Konto prüfen!",IF($A645="","Datum fehlt",IF(YEAR($A645)&lt;&gt;Einstellungen!$B$7,"anderes Jahr!",IF($G645="","MWST-Code fehlt","OK")))))</f>
        <v/>
      </c>
      <c r="W645" s="35" t="str">
        <f aca="false">IF($F645="","",IF(OR($D645=Kontoauszug!$C$4,$E645=Kontoauszug!$C$4),MAX(W$4:W644)+1,""))</f>
        <v/>
      </c>
    </row>
    <row r="646" customFormat="false" ht="15" hidden="false" customHeight="false" outlineLevel="0" collapsed="false">
      <c r="A646" s="33"/>
      <c r="B646" s="32"/>
      <c r="C646" s="32"/>
      <c r="D646" s="32"/>
      <c r="E646" s="32"/>
      <c r="F646" s="30"/>
      <c r="G646" s="32"/>
      <c r="H646" s="34" t="n">
        <f aca="false">IF($G646="",0,IFERROR(INDEX(Einstellungen!$G$5:$G$11,MATCH($G646,Einstellungen!$E$5:$E$11,0)),0))</f>
        <v>0</v>
      </c>
      <c r="I646" s="35" t="str">
        <f aca="false">IF($G646="","-",IFERROR(INDEX(Einstellungen!$H$5:$H$11,MATCH($G646,Einstellungen!$E$5:$E$11,0)),"-"))</f>
        <v>-</v>
      </c>
      <c r="J646" s="35" t="str">
        <f aca="false">IF(AND(Einstellungen!$B$8="Ja",Einstellungen!$B$9="Effektiv"),$I646,"-")</f>
        <v>-</v>
      </c>
      <c r="K646" s="31" t="n">
        <f aca="false">IF(OR($F646="",$J646="-"),0,ROUND($F646-$F646/(1+$H646),2))</f>
        <v>0</v>
      </c>
      <c r="L646" s="31" t="n">
        <f aca="false">IF($F646="",0,$F646-$K646)</f>
        <v>0</v>
      </c>
      <c r="M646" s="31" t="n">
        <f aca="false">IF($F646="",0,IF($J646="V",$L646,$F646))</f>
        <v>0</v>
      </c>
      <c r="N646" s="31" t="n">
        <f aca="false">IF($F646="",0,IF($J646="U",$L646,$F646))</f>
        <v>0</v>
      </c>
      <c r="O646" s="35" t="str">
        <f aca="false">IF($A646="","",MONTH($A646))</f>
        <v/>
      </c>
      <c r="P646" s="35" t="str">
        <f aca="false">IF($A646="","",ROUNDUP(MONTH($A646)/3,0))</f>
        <v/>
      </c>
      <c r="Q646" s="35" t="str">
        <f aca="false">IF($A646="","",IF(MONTH($A646)&lt;=6,1,2))</f>
        <v/>
      </c>
      <c r="R646" s="35" t="str">
        <f aca="false">IF($E646="","",IFERROR(INDEX(Kontenplan!$F$5:$F$90,MATCH($E646,Kontenplan!$A$5:$A$90,0)),""))</f>
        <v/>
      </c>
      <c r="S646" s="35" t="str">
        <f aca="false">IF($D646="","",IFERROR(INDEX(Kontenplan!$F$5:$F$90,MATCH($D646,Kontenplan!$A$5:$A$90,0)),""))</f>
        <v/>
      </c>
      <c r="T646" s="35" t="str">
        <f aca="false">IF($D646="","",IFERROR(INDEX(Kontenplan!$C$5:$C$90,MATCH($D646,Kontenplan!$A$5:$A$90,0)),"?"))</f>
        <v/>
      </c>
      <c r="U646" s="35" t="str">
        <f aca="false">IF($E646="","",IFERROR(INDEX(Kontenplan!$C$5:$C$90,MATCH($E646,Kontenplan!$A$5:$A$90,0)),"?"))</f>
        <v/>
      </c>
      <c r="V646" s="35" t="str">
        <f aca="false">IF($F646="","",IF(OR($D646="",$E646="",$T646="?",$U646="?"),"Konto prüfen!",IF($A646="","Datum fehlt",IF(YEAR($A646)&lt;&gt;Einstellungen!$B$7,"anderes Jahr!",IF($G646="","MWST-Code fehlt","OK")))))</f>
        <v/>
      </c>
      <c r="W646" s="35" t="str">
        <f aca="false">IF($F646="","",IF(OR($D646=Kontoauszug!$C$4,$E646=Kontoauszug!$C$4),MAX(W$4:W645)+1,""))</f>
        <v/>
      </c>
    </row>
    <row r="647" customFormat="false" ht="15" hidden="false" customHeight="false" outlineLevel="0" collapsed="false">
      <c r="A647" s="33"/>
      <c r="B647" s="32"/>
      <c r="C647" s="32"/>
      <c r="D647" s="32"/>
      <c r="E647" s="32"/>
      <c r="F647" s="30"/>
      <c r="G647" s="32"/>
      <c r="H647" s="34" t="n">
        <f aca="false">IF($G647="",0,IFERROR(INDEX(Einstellungen!$G$5:$G$11,MATCH($G647,Einstellungen!$E$5:$E$11,0)),0))</f>
        <v>0</v>
      </c>
      <c r="I647" s="35" t="str">
        <f aca="false">IF($G647="","-",IFERROR(INDEX(Einstellungen!$H$5:$H$11,MATCH($G647,Einstellungen!$E$5:$E$11,0)),"-"))</f>
        <v>-</v>
      </c>
      <c r="J647" s="35" t="str">
        <f aca="false">IF(AND(Einstellungen!$B$8="Ja",Einstellungen!$B$9="Effektiv"),$I647,"-")</f>
        <v>-</v>
      </c>
      <c r="K647" s="31" t="n">
        <f aca="false">IF(OR($F647="",$J647="-"),0,ROUND($F647-$F647/(1+$H647),2))</f>
        <v>0</v>
      </c>
      <c r="L647" s="31" t="n">
        <f aca="false">IF($F647="",0,$F647-$K647)</f>
        <v>0</v>
      </c>
      <c r="M647" s="31" t="n">
        <f aca="false">IF($F647="",0,IF($J647="V",$L647,$F647))</f>
        <v>0</v>
      </c>
      <c r="N647" s="31" t="n">
        <f aca="false">IF($F647="",0,IF($J647="U",$L647,$F647))</f>
        <v>0</v>
      </c>
      <c r="O647" s="35" t="str">
        <f aca="false">IF($A647="","",MONTH($A647))</f>
        <v/>
      </c>
      <c r="P647" s="35" t="str">
        <f aca="false">IF($A647="","",ROUNDUP(MONTH($A647)/3,0))</f>
        <v/>
      </c>
      <c r="Q647" s="35" t="str">
        <f aca="false">IF($A647="","",IF(MONTH($A647)&lt;=6,1,2))</f>
        <v/>
      </c>
      <c r="R647" s="35" t="str">
        <f aca="false">IF($E647="","",IFERROR(INDEX(Kontenplan!$F$5:$F$90,MATCH($E647,Kontenplan!$A$5:$A$90,0)),""))</f>
        <v/>
      </c>
      <c r="S647" s="35" t="str">
        <f aca="false">IF($D647="","",IFERROR(INDEX(Kontenplan!$F$5:$F$90,MATCH($D647,Kontenplan!$A$5:$A$90,0)),""))</f>
        <v/>
      </c>
      <c r="T647" s="35" t="str">
        <f aca="false">IF($D647="","",IFERROR(INDEX(Kontenplan!$C$5:$C$90,MATCH($D647,Kontenplan!$A$5:$A$90,0)),"?"))</f>
        <v/>
      </c>
      <c r="U647" s="35" t="str">
        <f aca="false">IF($E647="","",IFERROR(INDEX(Kontenplan!$C$5:$C$90,MATCH($E647,Kontenplan!$A$5:$A$90,0)),"?"))</f>
        <v/>
      </c>
      <c r="V647" s="35" t="str">
        <f aca="false">IF($F647="","",IF(OR($D647="",$E647="",$T647="?",$U647="?"),"Konto prüfen!",IF($A647="","Datum fehlt",IF(YEAR($A647)&lt;&gt;Einstellungen!$B$7,"anderes Jahr!",IF($G647="","MWST-Code fehlt","OK")))))</f>
        <v/>
      </c>
      <c r="W647" s="35" t="str">
        <f aca="false">IF($F647="","",IF(OR($D647=Kontoauszug!$C$4,$E647=Kontoauszug!$C$4),MAX(W$4:W646)+1,""))</f>
        <v/>
      </c>
    </row>
    <row r="648" customFormat="false" ht="15" hidden="false" customHeight="false" outlineLevel="0" collapsed="false">
      <c r="A648" s="33"/>
      <c r="B648" s="32"/>
      <c r="C648" s="32"/>
      <c r="D648" s="32"/>
      <c r="E648" s="32"/>
      <c r="F648" s="30"/>
      <c r="G648" s="32"/>
      <c r="H648" s="34" t="n">
        <f aca="false">IF($G648="",0,IFERROR(INDEX(Einstellungen!$G$5:$G$11,MATCH($G648,Einstellungen!$E$5:$E$11,0)),0))</f>
        <v>0</v>
      </c>
      <c r="I648" s="35" t="str">
        <f aca="false">IF($G648="","-",IFERROR(INDEX(Einstellungen!$H$5:$H$11,MATCH($G648,Einstellungen!$E$5:$E$11,0)),"-"))</f>
        <v>-</v>
      </c>
      <c r="J648" s="35" t="str">
        <f aca="false">IF(AND(Einstellungen!$B$8="Ja",Einstellungen!$B$9="Effektiv"),$I648,"-")</f>
        <v>-</v>
      </c>
      <c r="K648" s="31" t="n">
        <f aca="false">IF(OR($F648="",$J648="-"),0,ROUND($F648-$F648/(1+$H648),2))</f>
        <v>0</v>
      </c>
      <c r="L648" s="31" t="n">
        <f aca="false">IF($F648="",0,$F648-$K648)</f>
        <v>0</v>
      </c>
      <c r="M648" s="31" t="n">
        <f aca="false">IF($F648="",0,IF($J648="V",$L648,$F648))</f>
        <v>0</v>
      </c>
      <c r="N648" s="31" t="n">
        <f aca="false">IF($F648="",0,IF($J648="U",$L648,$F648))</f>
        <v>0</v>
      </c>
      <c r="O648" s="35" t="str">
        <f aca="false">IF($A648="","",MONTH($A648))</f>
        <v/>
      </c>
      <c r="P648" s="35" t="str">
        <f aca="false">IF($A648="","",ROUNDUP(MONTH($A648)/3,0))</f>
        <v/>
      </c>
      <c r="Q648" s="35" t="str">
        <f aca="false">IF($A648="","",IF(MONTH($A648)&lt;=6,1,2))</f>
        <v/>
      </c>
      <c r="R648" s="35" t="str">
        <f aca="false">IF($E648="","",IFERROR(INDEX(Kontenplan!$F$5:$F$90,MATCH($E648,Kontenplan!$A$5:$A$90,0)),""))</f>
        <v/>
      </c>
      <c r="S648" s="35" t="str">
        <f aca="false">IF($D648="","",IFERROR(INDEX(Kontenplan!$F$5:$F$90,MATCH($D648,Kontenplan!$A$5:$A$90,0)),""))</f>
        <v/>
      </c>
      <c r="T648" s="35" t="str">
        <f aca="false">IF($D648="","",IFERROR(INDEX(Kontenplan!$C$5:$C$90,MATCH($D648,Kontenplan!$A$5:$A$90,0)),"?"))</f>
        <v/>
      </c>
      <c r="U648" s="35" t="str">
        <f aca="false">IF($E648="","",IFERROR(INDEX(Kontenplan!$C$5:$C$90,MATCH($E648,Kontenplan!$A$5:$A$90,0)),"?"))</f>
        <v/>
      </c>
      <c r="V648" s="35" t="str">
        <f aca="false">IF($F648="","",IF(OR($D648="",$E648="",$T648="?",$U648="?"),"Konto prüfen!",IF($A648="","Datum fehlt",IF(YEAR($A648)&lt;&gt;Einstellungen!$B$7,"anderes Jahr!",IF($G648="","MWST-Code fehlt","OK")))))</f>
        <v/>
      </c>
      <c r="W648" s="35" t="str">
        <f aca="false">IF($F648="","",IF(OR($D648=Kontoauszug!$C$4,$E648=Kontoauszug!$C$4),MAX(W$4:W647)+1,""))</f>
        <v/>
      </c>
    </row>
    <row r="649" customFormat="false" ht="15" hidden="false" customHeight="false" outlineLevel="0" collapsed="false">
      <c r="A649" s="33"/>
      <c r="B649" s="32"/>
      <c r="C649" s="32"/>
      <c r="D649" s="32"/>
      <c r="E649" s="32"/>
      <c r="F649" s="30"/>
      <c r="G649" s="32"/>
      <c r="H649" s="34" t="n">
        <f aca="false">IF($G649="",0,IFERROR(INDEX(Einstellungen!$G$5:$G$11,MATCH($G649,Einstellungen!$E$5:$E$11,0)),0))</f>
        <v>0</v>
      </c>
      <c r="I649" s="35" t="str">
        <f aca="false">IF($G649="","-",IFERROR(INDEX(Einstellungen!$H$5:$H$11,MATCH($G649,Einstellungen!$E$5:$E$11,0)),"-"))</f>
        <v>-</v>
      </c>
      <c r="J649" s="35" t="str">
        <f aca="false">IF(AND(Einstellungen!$B$8="Ja",Einstellungen!$B$9="Effektiv"),$I649,"-")</f>
        <v>-</v>
      </c>
      <c r="K649" s="31" t="n">
        <f aca="false">IF(OR($F649="",$J649="-"),0,ROUND($F649-$F649/(1+$H649),2))</f>
        <v>0</v>
      </c>
      <c r="L649" s="31" t="n">
        <f aca="false">IF($F649="",0,$F649-$K649)</f>
        <v>0</v>
      </c>
      <c r="M649" s="31" t="n">
        <f aca="false">IF($F649="",0,IF($J649="V",$L649,$F649))</f>
        <v>0</v>
      </c>
      <c r="N649" s="31" t="n">
        <f aca="false">IF($F649="",0,IF($J649="U",$L649,$F649))</f>
        <v>0</v>
      </c>
      <c r="O649" s="35" t="str">
        <f aca="false">IF($A649="","",MONTH($A649))</f>
        <v/>
      </c>
      <c r="P649" s="35" t="str">
        <f aca="false">IF($A649="","",ROUNDUP(MONTH($A649)/3,0))</f>
        <v/>
      </c>
      <c r="Q649" s="35" t="str">
        <f aca="false">IF($A649="","",IF(MONTH($A649)&lt;=6,1,2))</f>
        <v/>
      </c>
      <c r="R649" s="35" t="str">
        <f aca="false">IF($E649="","",IFERROR(INDEX(Kontenplan!$F$5:$F$90,MATCH($E649,Kontenplan!$A$5:$A$90,0)),""))</f>
        <v/>
      </c>
      <c r="S649" s="35" t="str">
        <f aca="false">IF($D649="","",IFERROR(INDEX(Kontenplan!$F$5:$F$90,MATCH($D649,Kontenplan!$A$5:$A$90,0)),""))</f>
        <v/>
      </c>
      <c r="T649" s="35" t="str">
        <f aca="false">IF($D649="","",IFERROR(INDEX(Kontenplan!$C$5:$C$90,MATCH($D649,Kontenplan!$A$5:$A$90,0)),"?"))</f>
        <v/>
      </c>
      <c r="U649" s="35" t="str">
        <f aca="false">IF($E649="","",IFERROR(INDEX(Kontenplan!$C$5:$C$90,MATCH($E649,Kontenplan!$A$5:$A$90,0)),"?"))</f>
        <v/>
      </c>
      <c r="V649" s="35" t="str">
        <f aca="false">IF($F649="","",IF(OR($D649="",$E649="",$T649="?",$U649="?"),"Konto prüfen!",IF($A649="","Datum fehlt",IF(YEAR($A649)&lt;&gt;Einstellungen!$B$7,"anderes Jahr!",IF($G649="","MWST-Code fehlt","OK")))))</f>
        <v/>
      </c>
      <c r="W649" s="35" t="str">
        <f aca="false">IF($F649="","",IF(OR($D649=Kontoauszug!$C$4,$E649=Kontoauszug!$C$4),MAX(W$4:W648)+1,""))</f>
        <v/>
      </c>
    </row>
    <row r="650" customFormat="false" ht="15" hidden="false" customHeight="false" outlineLevel="0" collapsed="false">
      <c r="A650" s="33"/>
      <c r="B650" s="32"/>
      <c r="C650" s="32"/>
      <c r="D650" s="32"/>
      <c r="E650" s="32"/>
      <c r="F650" s="30"/>
      <c r="G650" s="32"/>
      <c r="H650" s="34" t="n">
        <f aca="false">IF($G650="",0,IFERROR(INDEX(Einstellungen!$G$5:$G$11,MATCH($G650,Einstellungen!$E$5:$E$11,0)),0))</f>
        <v>0</v>
      </c>
      <c r="I650" s="35" t="str">
        <f aca="false">IF($G650="","-",IFERROR(INDEX(Einstellungen!$H$5:$H$11,MATCH($G650,Einstellungen!$E$5:$E$11,0)),"-"))</f>
        <v>-</v>
      </c>
      <c r="J650" s="35" t="str">
        <f aca="false">IF(AND(Einstellungen!$B$8="Ja",Einstellungen!$B$9="Effektiv"),$I650,"-")</f>
        <v>-</v>
      </c>
      <c r="K650" s="31" t="n">
        <f aca="false">IF(OR($F650="",$J650="-"),0,ROUND($F650-$F650/(1+$H650),2))</f>
        <v>0</v>
      </c>
      <c r="L650" s="31" t="n">
        <f aca="false">IF($F650="",0,$F650-$K650)</f>
        <v>0</v>
      </c>
      <c r="M650" s="31" t="n">
        <f aca="false">IF($F650="",0,IF($J650="V",$L650,$F650))</f>
        <v>0</v>
      </c>
      <c r="N650" s="31" t="n">
        <f aca="false">IF($F650="",0,IF($J650="U",$L650,$F650))</f>
        <v>0</v>
      </c>
      <c r="O650" s="35" t="str">
        <f aca="false">IF($A650="","",MONTH($A650))</f>
        <v/>
      </c>
      <c r="P650" s="35" t="str">
        <f aca="false">IF($A650="","",ROUNDUP(MONTH($A650)/3,0))</f>
        <v/>
      </c>
      <c r="Q650" s="35" t="str">
        <f aca="false">IF($A650="","",IF(MONTH($A650)&lt;=6,1,2))</f>
        <v/>
      </c>
      <c r="R650" s="35" t="str">
        <f aca="false">IF($E650="","",IFERROR(INDEX(Kontenplan!$F$5:$F$90,MATCH($E650,Kontenplan!$A$5:$A$90,0)),""))</f>
        <v/>
      </c>
      <c r="S650" s="35" t="str">
        <f aca="false">IF($D650="","",IFERROR(INDEX(Kontenplan!$F$5:$F$90,MATCH($D650,Kontenplan!$A$5:$A$90,0)),""))</f>
        <v/>
      </c>
      <c r="T650" s="35" t="str">
        <f aca="false">IF($D650="","",IFERROR(INDEX(Kontenplan!$C$5:$C$90,MATCH($D650,Kontenplan!$A$5:$A$90,0)),"?"))</f>
        <v/>
      </c>
      <c r="U650" s="35" t="str">
        <f aca="false">IF($E650="","",IFERROR(INDEX(Kontenplan!$C$5:$C$90,MATCH($E650,Kontenplan!$A$5:$A$90,0)),"?"))</f>
        <v/>
      </c>
      <c r="V650" s="35" t="str">
        <f aca="false">IF($F650="","",IF(OR($D650="",$E650="",$T650="?",$U650="?"),"Konto prüfen!",IF($A650="","Datum fehlt",IF(YEAR($A650)&lt;&gt;Einstellungen!$B$7,"anderes Jahr!",IF($G650="","MWST-Code fehlt","OK")))))</f>
        <v/>
      </c>
      <c r="W650" s="35" t="str">
        <f aca="false">IF($F650="","",IF(OR($D650=Kontoauszug!$C$4,$E650=Kontoauszug!$C$4),MAX(W$4:W649)+1,""))</f>
        <v/>
      </c>
    </row>
    <row r="651" customFormat="false" ht="15" hidden="false" customHeight="false" outlineLevel="0" collapsed="false">
      <c r="A651" s="33"/>
      <c r="B651" s="32"/>
      <c r="C651" s="32"/>
      <c r="D651" s="32"/>
      <c r="E651" s="32"/>
      <c r="F651" s="30"/>
      <c r="G651" s="32"/>
      <c r="H651" s="34" t="n">
        <f aca="false">IF($G651="",0,IFERROR(INDEX(Einstellungen!$G$5:$G$11,MATCH($G651,Einstellungen!$E$5:$E$11,0)),0))</f>
        <v>0</v>
      </c>
      <c r="I651" s="35" t="str">
        <f aca="false">IF($G651="","-",IFERROR(INDEX(Einstellungen!$H$5:$H$11,MATCH($G651,Einstellungen!$E$5:$E$11,0)),"-"))</f>
        <v>-</v>
      </c>
      <c r="J651" s="35" t="str">
        <f aca="false">IF(AND(Einstellungen!$B$8="Ja",Einstellungen!$B$9="Effektiv"),$I651,"-")</f>
        <v>-</v>
      </c>
      <c r="K651" s="31" t="n">
        <f aca="false">IF(OR($F651="",$J651="-"),0,ROUND($F651-$F651/(1+$H651),2))</f>
        <v>0</v>
      </c>
      <c r="L651" s="31" t="n">
        <f aca="false">IF($F651="",0,$F651-$K651)</f>
        <v>0</v>
      </c>
      <c r="M651" s="31" t="n">
        <f aca="false">IF($F651="",0,IF($J651="V",$L651,$F651))</f>
        <v>0</v>
      </c>
      <c r="N651" s="31" t="n">
        <f aca="false">IF($F651="",0,IF($J651="U",$L651,$F651))</f>
        <v>0</v>
      </c>
      <c r="O651" s="35" t="str">
        <f aca="false">IF($A651="","",MONTH($A651))</f>
        <v/>
      </c>
      <c r="P651" s="35" t="str">
        <f aca="false">IF($A651="","",ROUNDUP(MONTH($A651)/3,0))</f>
        <v/>
      </c>
      <c r="Q651" s="35" t="str">
        <f aca="false">IF($A651="","",IF(MONTH($A651)&lt;=6,1,2))</f>
        <v/>
      </c>
      <c r="R651" s="35" t="str">
        <f aca="false">IF($E651="","",IFERROR(INDEX(Kontenplan!$F$5:$F$90,MATCH($E651,Kontenplan!$A$5:$A$90,0)),""))</f>
        <v/>
      </c>
      <c r="S651" s="35" t="str">
        <f aca="false">IF($D651="","",IFERROR(INDEX(Kontenplan!$F$5:$F$90,MATCH($D651,Kontenplan!$A$5:$A$90,0)),""))</f>
        <v/>
      </c>
      <c r="T651" s="35" t="str">
        <f aca="false">IF($D651="","",IFERROR(INDEX(Kontenplan!$C$5:$C$90,MATCH($D651,Kontenplan!$A$5:$A$90,0)),"?"))</f>
        <v/>
      </c>
      <c r="U651" s="35" t="str">
        <f aca="false">IF($E651="","",IFERROR(INDEX(Kontenplan!$C$5:$C$90,MATCH($E651,Kontenplan!$A$5:$A$90,0)),"?"))</f>
        <v/>
      </c>
      <c r="V651" s="35" t="str">
        <f aca="false">IF($F651="","",IF(OR($D651="",$E651="",$T651="?",$U651="?"),"Konto prüfen!",IF($A651="","Datum fehlt",IF(YEAR($A651)&lt;&gt;Einstellungen!$B$7,"anderes Jahr!",IF($G651="","MWST-Code fehlt","OK")))))</f>
        <v/>
      </c>
      <c r="W651" s="35" t="str">
        <f aca="false">IF($F651="","",IF(OR($D651=Kontoauszug!$C$4,$E651=Kontoauszug!$C$4),MAX(W$4:W650)+1,""))</f>
        <v/>
      </c>
    </row>
    <row r="652" customFormat="false" ht="15" hidden="false" customHeight="false" outlineLevel="0" collapsed="false">
      <c r="A652" s="33"/>
      <c r="B652" s="32"/>
      <c r="C652" s="32"/>
      <c r="D652" s="32"/>
      <c r="E652" s="32"/>
      <c r="F652" s="30"/>
      <c r="G652" s="32"/>
      <c r="H652" s="34" t="n">
        <f aca="false">IF($G652="",0,IFERROR(INDEX(Einstellungen!$G$5:$G$11,MATCH($G652,Einstellungen!$E$5:$E$11,0)),0))</f>
        <v>0</v>
      </c>
      <c r="I652" s="35" t="str">
        <f aca="false">IF($G652="","-",IFERROR(INDEX(Einstellungen!$H$5:$H$11,MATCH($G652,Einstellungen!$E$5:$E$11,0)),"-"))</f>
        <v>-</v>
      </c>
      <c r="J652" s="35" t="str">
        <f aca="false">IF(AND(Einstellungen!$B$8="Ja",Einstellungen!$B$9="Effektiv"),$I652,"-")</f>
        <v>-</v>
      </c>
      <c r="K652" s="31" t="n">
        <f aca="false">IF(OR($F652="",$J652="-"),0,ROUND($F652-$F652/(1+$H652),2))</f>
        <v>0</v>
      </c>
      <c r="L652" s="31" t="n">
        <f aca="false">IF($F652="",0,$F652-$K652)</f>
        <v>0</v>
      </c>
      <c r="M652" s="31" t="n">
        <f aca="false">IF($F652="",0,IF($J652="V",$L652,$F652))</f>
        <v>0</v>
      </c>
      <c r="N652" s="31" t="n">
        <f aca="false">IF($F652="",0,IF($J652="U",$L652,$F652))</f>
        <v>0</v>
      </c>
      <c r="O652" s="35" t="str">
        <f aca="false">IF($A652="","",MONTH($A652))</f>
        <v/>
      </c>
      <c r="P652" s="35" t="str">
        <f aca="false">IF($A652="","",ROUNDUP(MONTH($A652)/3,0))</f>
        <v/>
      </c>
      <c r="Q652" s="35" t="str">
        <f aca="false">IF($A652="","",IF(MONTH($A652)&lt;=6,1,2))</f>
        <v/>
      </c>
      <c r="R652" s="35" t="str">
        <f aca="false">IF($E652="","",IFERROR(INDEX(Kontenplan!$F$5:$F$90,MATCH($E652,Kontenplan!$A$5:$A$90,0)),""))</f>
        <v/>
      </c>
      <c r="S652" s="35" t="str">
        <f aca="false">IF($D652="","",IFERROR(INDEX(Kontenplan!$F$5:$F$90,MATCH($D652,Kontenplan!$A$5:$A$90,0)),""))</f>
        <v/>
      </c>
      <c r="T652" s="35" t="str">
        <f aca="false">IF($D652="","",IFERROR(INDEX(Kontenplan!$C$5:$C$90,MATCH($D652,Kontenplan!$A$5:$A$90,0)),"?"))</f>
        <v/>
      </c>
      <c r="U652" s="35" t="str">
        <f aca="false">IF($E652="","",IFERROR(INDEX(Kontenplan!$C$5:$C$90,MATCH($E652,Kontenplan!$A$5:$A$90,0)),"?"))</f>
        <v/>
      </c>
      <c r="V652" s="35" t="str">
        <f aca="false">IF($F652="","",IF(OR($D652="",$E652="",$T652="?",$U652="?"),"Konto prüfen!",IF($A652="","Datum fehlt",IF(YEAR($A652)&lt;&gt;Einstellungen!$B$7,"anderes Jahr!",IF($G652="","MWST-Code fehlt","OK")))))</f>
        <v/>
      </c>
      <c r="W652" s="35" t="str">
        <f aca="false">IF($F652="","",IF(OR($D652=Kontoauszug!$C$4,$E652=Kontoauszug!$C$4),MAX(W$4:W651)+1,""))</f>
        <v/>
      </c>
    </row>
    <row r="653" customFormat="false" ht="15" hidden="false" customHeight="false" outlineLevel="0" collapsed="false">
      <c r="A653" s="33"/>
      <c r="B653" s="32"/>
      <c r="C653" s="32"/>
      <c r="D653" s="32"/>
      <c r="E653" s="32"/>
      <c r="F653" s="30"/>
      <c r="G653" s="32"/>
      <c r="H653" s="34" t="n">
        <f aca="false">IF($G653="",0,IFERROR(INDEX(Einstellungen!$G$5:$G$11,MATCH($G653,Einstellungen!$E$5:$E$11,0)),0))</f>
        <v>0</v>
      </c>
      <c r="I653" s="35" t="str">
        <f aca="false">IF($G653="","-",IFERROR(INDEX(Einstellungen!$H$5:$H$11,MATCH($G653,Einstellungen!$E$5:$E$11,0)),"-"))</f>
        <v>-</v>
      </c>
      <c r="J653" s="35" t="str">
        <f aca="false">IF(AND(Einstellungen!$B$8="Ja",Einstellungen!$B$9="Effektiv"),$I653,"-")</f>
        <v>-</v>
      </c>
      <c r="K653" s="31" t="n">
        <f aca="false">IF(OR($F653="",$J653="-"),0,ROUND($F653-$F653/(1+$H653),2))</f>
        <v>0</v>
      </c>
      <c r="L653" s="31" t="n">
        <f aca="false">IF($F653="",0,$F653-$K653)</f>
        <v>0</v>
      </c>
      <c r="M653" s="31" t="n">
        <f aca="false">IF($F653="",0,IF($J653="V",$L653,$F653))</f>
        <v>0</v>
      </c>
      <c r="N653" s="31" t="n">
        <f aca="false">IF($F653="",0,IF($J653="U",$L653,$F653))</f>
        <v>0</v>
      </c>
      <c r="O653" s="35" t="str">
        <f aca="false">IF($A653="","",MONTH($A653))</f>
        <v/>
      </c>
      <c r="P653" s="35" t="str">
        <f aca="false">IF($A653="","",ROUNDUP(MONTH($A653)/3,0))</f>
        <v/>
      </c>
      <c r="Q653" s="35" t="str">
        <f aca="false">IF($A653="","",IF(MONTH($A653)&lt;=6,1,2))</f>
        <v/>
      </c>
      <c r="R653" s="35" t="str">
        <f aca="false">IF($E653="","",IFERROR(INDEX(Kontenplan!$F$5:$F$90,MATCH($E653,Kontenplan!$A$5:$A$90,0)),""))</f>
        <v/>
      </c>
      <c r="S653" s="35" t="str">
        <f aca="false">IF($D653="","",IFERROR(INDEX(Kontenplan!$F$5:$F$90,MATCH($D653,Kontenplan!$A$5:$A$90,0)),""))</f>
        <v/>
      </c>
      <c r="T653" s="35" t="str">
        <f aca="false">IF($D653="","",IFERROR(INDEX(Kontenplan!$C$5:$C$90,MATCH($D653,Kontenplan!$A$5:$A$90,0)),"?"))</f>
        <v/>
      </c>
      <c r="U653" s="35" t="str">
        <f aca="false">IF($E653="","",IFERROR(INDEX(Kontenplan!$C$5:$C$90,MATCH($E653,Kontenplan!$A$5:$A$90,0)),"?"))</f>
        <v/>
      </c>
      <c r="V653" s="35" t="str">
        <f aca="false">IF($F653="","",IF(OR($D653="",$E653="",$T653="?",$U653="?"),"Konto prüfen!",IF($A653="","Datum fehlt",IF(YEAR($A653)&lt;&gt;Einstellungen!$B$7,"anderes Jahr!",IF($G653="","MWST-Code fehlt","OK")))))</f>
        <v/>
      </c>
      <c r="W653" s="35" t="str">
        <f aca="false">IF($F653="","",IF(OR($D653=Kontoauszug!$C$4,$E653=Kontoauszug!$C$4),MAX(W$4:W652)+1,""))</f>
        <v/>
      </c>
    </row>
    <row r="654" customFormat="false" ht="15" hidden="false" customHeight="false" outlineLevel="0" collapsed="false">
      <c r="A654" s="33"/>
      <c r="B654" s="32"/>
      <c r="C654" s="32"/>
      <c r="D654" s="32"/>
      <c r="E654" s="32"/>
      <c r="F654" s="30"/>
      <c r="G654" s="32"/>
      <c r="H654" s="34" t="n">
        <f aca="false">IF($G654="",0,IFERROR(INDEX(Einstellungen!$G$5:$G$11,MATCH($G654,Einstellungen!$E$5:$E$11,0)),0))</f>
        <v>0</v>
      </c>
      <c r="I654" s="35" t="str">
        <f aca="false">IF($G654="","-",IFERROR(INDEX(Einstellungen!$H$5:$H$11,MATCH($G654,Einstellungen!$E$5:$E$11,0)),"-"))</f>
        <v>-</v>
      </c>
      <c r="J654" s="35" t="str">
        <f aca="false">IF(AND(Einstellungen!$B$8="Ja",Einstellungen!$B$9="Effektiv"),$I654,"-")</f>
        <v>-</v>
      </c>
      <c r="K654" s="31" t="n">
        <f aca="false">IF(OR($F654="",$J654="-"),0,ROUND($F654-$F654/(1+$H654),2))</f>
        <v>0</v>
      </c>
      <c r="L654" s="31" t="n">
        <f aca="false">IF($F654="",0,$F654-$K654)</f>
        <v>0</v>
      </c>
      <c r="M654" s="31" t="n">
        <f aca="false">IF($F654="",0,IF($J654="V",$L654,$F654))</f>
        <v>0</v>
      </c>
      <c r="N654" s="31" t="n">
        <f aca="false">IF($F654="",0,IF($J654="U",$L654,$F654))</f>
        <v>0</v>
      </c>
      <c r="O654" s="35" t="str">
        <f aca="false">IF($A654="","",MONTH($A654))</f>
        <v/>
      </c>
      <c r="P654" s="35" t="str">
        <f aca="false">IF($A654="","",ROUNDUP(MONTH($A654)/3,0))</f>
        <v/>
      </c>
      <c r="Q654" s="35" t="str">
        <f aca="false">IF($A654="","",IF(MONTH($A654)&lt;=6,1,2))</f>
        <v/>
      </c>
      <c r="R654" s="35" t="str">
        <f aca="false">IF($E654="","",IFERROR(INDEX(Kontenplan!$F$5:$F$90,MATCH($E654,Kontenplan!$A$5:$A$90,0)),""))</f>
        <v/>
      </c>
      <c r="S654" s="35" t="str">
        <f aca="false">IF($D654="","",IFERROR(INDEX(Kontenplan!$F$5:$F$90,MATCH($D654,Kontenplan!$A$5:$A$90,0)),""))</f>
        <v/>
      </c>
      <c r="T654" s="35" t="str">
        <f aca="false">IF($D654="","",IFERROR(INDEX(Kontenplan!$C$5:$C$90,MATCH($D654,Kontenplan!$A$5:$A$90,0)),"?"))</f>
        <v/>
      </c>
      <c r="U654" s="35" t="str">
        <f aca="false">IF($E654="","",IFERROR(INDEX(Kontenplan!$C$5:$C$90,MATCH($E654,Kontenplan!$A$5:$A$90,0)),"?"))</f>
        <v/>
      </c>
      <c r="V654" s="35" t="str">
        <f aca="false">IF($F654="","",IF(OR($D654="",$E654="",$T654="?",$U654="?"),"Konto prüfen!",IF($A654="","Datum fehlt",IF(YEAR($A654)&lt;&gt;Einstellungen!$B$7,"anderes Jahr!",IF($G654="","MWST-Code fehlt","OK")))))</f>
        <v/>
      </c>
      <c r="W654" s="35" t="str">
        <f aca="false">IF($F654="","",IF(OR($D654=Kontoauszug!$C$4,$E654=Kontoauszug!$C$4),MAX(W$4:W653)+1,""))</f>
        <v/>
      </c>
    </row>
    <row r="655" customFormat="false" ht="15" hidden="false" customHeight="false" outlineLevel="0" collapsed="false">
      <c r="A655" s="33"/>
      <c r="B655" s="32"/>
      <c r="C655" s="32"/>
      <c r="D655" s="32"/>
      <c r="E655" s="32"/>
      <c r="F655" s="30"/>
      <c r="G655" s="32"/>
      <c r="H655" s="34" t="n">
        <f aca="false">IF($G655="",0,IFERROR(INDEX(Einstellungen!$G$5:$G$11,MATCH($G655,Einstellungen!$E$5:$E$11,0)),0))</f>
        <v>0</v>
      </c>
      <c r="I655" s="35" t="str">
        <f aca="false">IF($G655="","-",IFERROR(INDEX(Einstellungen!$H$5:$H$11,MATCH($G655,Einstellungen!$E$5:$E$11,0)),"-"))</f>
        <v>-</v>
      </c>
      <c r="J655" s="35" t="str">
        <f aca="false">IF(AND(Einstellungen!$B$8="Ja",Einstellungen!$B$9="Effektiv"),$I655,"-")</f>
        <v>-</v>
      </c>
      <c r="K655" s="31" t="n">
        <f aca="false">IF(OR($F655="",$J655="-"),0,ROUND($F655-$F655/(1+$H655),2))</f>
        <v>0</v>
      </c>
      <c r="L655" s="31" t="n">
        <f aca="false">IF($F655="",0,$F655-$K655)</f>
        <v>0</v>
      </c>
      <c r="M655" s="31" t="n">
        <f aca="false">IF($F655="",0,IF($J655="V",$L655,$F655))</f>
        <v>0</v>
      </c>
      <c r="N655" s="31" t="n">
        <f aca="false">IF($F655="",0,IF($J655="U",$L655,$F655))</f>
        <v>0</v>
      </c>
      <c r="O655" s="35" t="str">
        <f aca="false">IF($A655="","",MONTH($A655))</f>
        <v/>
      </c>
      <c r="P655" s="35" t="str">
        <f aca="false">IF($A655="","",ROUNDUP(MONTH($A655)/3,0))</f>
        <v/>
      </c>
      <c r="Q655" s="35" t="str">
        <f aca="false">IF($A655="","",IF(MONTH($A655)&lt;=6,1,2))</f>
        <v/>
      </c>
      <c r="R655" s="35" t="str">
        <f aca="false">IF($E655="","",IFERROR(INDEX(Kontenplan!$F$5:$F$90,MATCH($E655,Kontenplan!$A$5:$A$90,0)),""))</f>
        <v/>
      </c>
      <c r="S655" s="35" t="str">
        <f aca="false">IF($D655="","",IFERROR(INDEX(Kontenplan!$F$5:$F$90,MATCH($D655,Kontenplan!$A$5:$A$90,0)),""))</f>
        <v/>
      </c>
      <c r="T655" s="35" t="str">
        <f aca="false">IF($D655="","",IFERROR(INDEX(Kontenplan!$C$5:$C$90,MATCH($D655,Kontenplan!$A$5:$A$90,0)),"?"))</f>
        <v/>
      </c>
      <c r="U655" s="35" t="str">
        <f aca="false">IF($E655="","",IFERROR(INDEX(Kontenplan!$C$5:$C$90,MATCH($E655,Kontenplan!$A$5:$A$90,0)),"?"))</f>
        <v/>
      </c>
      <c r="V655" s="35" t="str">
        <f aca="false">IF($F655="","",IF(OR($D655="",$E655="",$T655="?",$U655="?"),"Konto prüfen!",IF($A655="","Datum fehlt",IF(YEAR($A655)&lt;&gt;Einstellungen!$B$7,"anderes Jahr!",IF($G655="","MWST-Code fehlt","OK")))))</f>
        <v/>
      </c>
      <c r="W655" s="35" t="str">
        <f aca="false">IF($F655="","",IF(OR($D655=Kontoauszug!$C$4,$E655=Kontoauszug!$C$4),MAX(W$4:W654)+1,""))</f>
        <v/>
      </c>
    </row>
    <row r="656" customFormat="false" ht="15" hidden="false" customHeight="false" outlineLevel="0" collapsed="false">
      <c r="A656" s="33"/>
      <c r="B656" s="32"/>
      <c r="C656" s="32"/>
      <c r="D656" s="32"/>
      <c r="E656" s="32"/>
      <c r="F656" s="30"/>
      <c r="G656" s="32"/>
      <c r="H656" s="34" t="n">
        <f aca="false">IF($G656="",0,IFERROR(INDEX(Einstellungen!$G$5:$G$11,MATCH($G656,Einstellungen!$E$5:$E$11,0)),0))</f>
        <v>0</v>
      </c>
      <c r="I656" s="35" t="str">
        <f aca="false">IF($G656="","-",IFERROR(INDEX(Einstellungen!$H$5:$H$11,MATCH($G656,Einstellungen!$E$5:$E$11,0)),"-"))</f>
        <v>-</v>
      </c>
      <c r="J656" s="35" t="str">
        <f aca="false">IF(AND(Einstellungen!$B$8="Ja",Einstellungen!$B$9="Effektiv"),$I656,"-")</f>
        <v>-</v>
      </c>
      <c r="K656" s="31" t="n">
        <f aca="false">IF(OR($F656="",$J656="-"),0,ROUND($F656-$F656/(1+$H656),2))</f>
        <v>0</v>
      </c>
      <c r="L656" s="31" t="n">
        <f aca="false">IF($F656="",0,$F656-$K656)</f>
        <v>0</v>
      </c>
      <c r="M656" s="31" t="n">
        <f aca="false">IF($F656="",0,IF($J656="V",$L656,$F656))</f>
        <v>0</v>
      </c>
      <c r="N656" s="31" t="n">
        <f aca="false">IF($F656="",0,IF($J656="U",$L656,$F656))</f>
        <v>0</v>
      </c>
      <c r="O656" s="35" t="str">
        <f aca="false">IF($A656="","",MONTH($A656))</f>
        <v/>
      </c>
      <c r="P656" s="35" t="str">
        <f aca="false">IF($A656="","",ROUNDUP(MONTH($A656)/3,0))</f>
        <v/>
      </c>
      <c r="Q656" s="35" t="str">
        <f aca="false">IF($A656="","",IF(MONTH($A656)&lt;=6,1,2))</f>
        <v/>
      </c>
      <c r="R656" s="35" t="str">
        <f aca="false">IF($E656="","",IFERROR(INDEX(Kontenplan!$F$5:$F$90,MATCH($E656,Kontenplan!$A$5:$A$90,0)),""))</f>
        <v/>
      </c>
      <c r="S656" s="35" t="str">
        <f aca="false">IF($D656="","",IFERROR(INDEX(Kontenplan!$F$5:$F$90,MATCH($D656,Kontenplan!$A$5:$A$90,0)),""))</f>
        <v/>
      </c>
      <c r="T656" s="35" t="str">
        <f aca="false">IF($D656="","",IFERROR(INDEX(Kontenplan!$C$5:$C$90,MATCH($D656,Kontenplan!$A$5:$A$90,0)),"?"))</f>
        <v/>
      </c>
      <c r="U656" s="35" t="str">
        <f aca="false">IF($E656="","",IFERROR(INDEX(Kontenplan!$C$5:$C$90,MATCH($E656,Kontenplan!$A$5:$A$90,0)),"?"))</f>
        <v/>
      </c>
      <c r="V656" s="35" t="str">
        <f aca="false">IF($F656="","",IF(OR($D656="",$E656="",$T656="?",$U656="?"),"Konto prüfen!",IF($A656="","Datum fehlt",IF(YEAR($A656)&lt;&gt;Einstellungen!$B$7,"anderes Jahr!",IF($G656="","MWST-Code fehlt","OK")))))</f>
        <v/>
      </c>
      <c r="W656" s="35" t="str">
        <f aca="false">IF($F656="","",IF(OR($D656=Kontoauszug!$C$4,$E656=Kontoauszug!$C$4),MAX(W$4:W655)+1,""))</f>
        <v/>
      </c>
    </row>
    <row r="657" customFormat="false" ht="15" hidden="false" customHeight="false" outlineLevel="0" collapsed="false">
      <c r="A657" s="33"/>
      <c r="B657" s="32"/>
      <c r="C657" s="32"/>
      <c r="D657" s="32"/>
      <c r="E657" s="32"/>
      <c r="F657" s="30"/>
      <c r="G657" s="32"/>
      <c r="H657" s="34" t="n">
        <f aca="false">IF($G657="",0,IFERROR(INDEX(Einstellungen!$G$5:$G$11,MATCH($G657,Einstellungen!$E$5:$E$11,0)),0))</f>
        <v>0</v>
      </c>
      <c r="I657" s="35" t="str">
        <f aca="false">IF($G657="","-",IFERROR(INDEX(Einstellungen!$H$5:$H$11,MATCH($G657,Einstellungen!$E$5:$E$11,0)),"-"))</f>
        <v>-</v>
      </c>
      <c r="J657" s="35" t="str">
        <f aca="false">IF(AND(Einstellungen!$B$8="Ja",Einstellungen!$B$9="Effektiv"),$I657,"-")</f>
        <v>-</v>
      </c>
      <c r="K657" s="31" t="n">
        <f aca="false">IF(OR($F657="",$J657="-"),0,ROUND($F657-$F657/(1+$H657),2))</f>
        <v>0</v>
      </c>
      <c r="L657" s="31" t="n">
        <f aca="false">IF($F657="",0,$F657-$K657)</f>
        <v>0</v>
      </c>
      <c r="M657" s="31" t="n">
        <f aca="false">IF($F657="",0,IF($J657="V",$L657,$F657))</f>
        <v>0</v>
      </c>
      <c r="N657" s="31" t="n">
        <f aca="false">IF($F657="",0,IF($J657="U",$L657,$F657))</f>
        <v>0</v>
      </c>
      <c r="O657" s="35" t="str">
        <f aca="false">IF($A657="","",MONTH($A657))</f>
        <v/>
      </c>
      <c r="P657" s="35" t="str">
        <f aca="false">IF($A657="","",ROUNDUP(MONTH($A657)/3,0))</f>
        <v/>
      </c>
      <c r="Q657" s="35" t="str">
        <f aca="false">IF($A657="","",IF(MONTH($A657)&lt;=6,1,2))</f>
        <v/>
      </c>
      <c r="R657" s="35" t="str">
        <f aca="false">IF($E657="","",IFERROR(INDEX(Kontenplan!$F$5:$F$90,MATCH($E657,Kontenplan!$A$5:$A$90,0)),""))</f>
        <v/>
      </c>
      <c r="S657" s="35" t="str">
        <f aca="false">IF($D657="","",IFERROR(INDEX(Kontenplan!$F$5:$F$90,MATCH($D657,Kontenplan!$A$5:$A$90,0)),""))</f>
        <v/>
      </c>
      <c r="T657" s="35" t="str">
        <f aca="false">IF($D657="","",IFERROR(INDEX(Kontenplan!$C$5:$C$90,MATCH($D657,Kontenplan!$A$5:$A$90,0)),"?"))</f>
        <v/>
      </c>
      <c r="U657" s="35" t="str">
        <f aca="false">IF($E657="","",IFERROR(INDEX(Kontenplan!$C$5:$C$90,MATCH($E657,Kontenplan!$A$5:$A$90,0)),"?"))</f>
        <v/>
      </c>
      <c r="V657" s="35" t="str">
        <f aca="false">IF($F657="","",IF(OR($D657="",$E657="",$T657="?",$U657="?"),"Konto prüfen!",IF($A657="","Datum fehlt",IF(YEAR($A657)&lt;&gt;Einstellungen!$B$7,"anderes Jahr!",IF($G657="","MWST-Code fehlt","OK")))))</f>
        <v/>
      </c>
      <c r="W657" s="35" t="str">
        <f aca="false">IF($F657="","",IF(OR($D657=Kontoauszug!$C$4,$E657=Kontoauszug!$C$4),MAX(W$4:W656)+1,""))</f>
        <v/>
      </c>
    </row>
    <row r="658" customFormat="false" ht="15" hidden="false" customHeight="false" outlineLevel="0" collapsed="false">
      <c r="A658" s="33"/>
      <c r="B658" s="32"/>
      <c r="C658" s="32"/>
      <c r="D658" s="32"/>
      <c r="E658" s="32"/>
      <c r="F658" s="30"/>
      <c r="G658" s="32"/>
      <c r="H658" s="34" t="n">
        <f aca="false">IF($G658="",0,IFERROR(INDEX(Einstellungen!$G$5:$G$11,MATCH($G658,Einstellungen!$E$5:$E$11,0)),0))</f>
        <v>0</v>
      </c>
      <c r="I658" s="35" t="str">
        <f aca="false">IF($G658="","-",IFERROR(INDEX(Einstellungen!$H$5:$H$11,MATCH($G658,Einstellungen!$E$5:$E$11,0)),"-"))</f>
        <v>-</v>
      </c>
      <c r="J658" s="35" t="str">
        <f aca="false">IF(AND(Einstellungen!$B$8="Ja",Einstellungen!$B$9="Effektiv"),$I658,"-")</f>
        <v>-</v>
      </c>
      <c r="K658" s="31" t="n">
        <f aca="false">IF(OR($F658="",$J658="-"),0,ROUND($F658-$F658/(1+$H658),2))</f>
        <v>0</v>
      </c>
      <c r="L658" s="31" t="n">
        <f aca="false">IF($F658="",0,$F658-$K658)</f>
        <v>0</v>
      </c>
      <c r="M658" s="31" t="n">
        <f aca="false">IF($F658="",0,IF($J658="V",$L658,$F658))</f>
        <v>0</v>
      </c>
      <c r="N658" s="31" t="n">
        <f aca="false">IF($F658="",0,IF($J658="U",$L658,$F658))</f>
        <v>0</v>
      </c>
      <c r="O658" s="35" t="str">
        <f aca="false">IF($A658="","",MONTH($A658))</f>
        <v/>
      </c>
      <c r="P658" s="35" t="str">
        <f aca="false">IF($A658="","",ROUNDUP(MONTH($A658)/3,0))</f>
        <v/>
      </c>
      <c r="Q658" s="35" t="str">
        <f aca="false">IF($A658="","",IF(MONTH($A658)&lt;=6,1,2))</f>
        <v/>
      </c>
      <c r="R658" s="35" t="str">
        <f aca="false">IF($E658="","",IFERROR(INDEX(Kontenplan!$F$5:$F$90,MATCH($E658,Kontenplan!$A$5:$A$90,0)),""))</f>
        <v/>
      </c>
      <c r="S658" s="35" t="str">
        <f aca="false">IF($D658="","",IFERROR(INDEX(Kontenplan!$F$5:$F$90,MATCH($D658,Kontenplan!$A$5:$A$90,0)),""))</f>
        <v/>
      </c>
      <c r="T658" s="35" t="str">
        <f aca="false">IF($D658="","",IFERROR(INDEX(Kontenplan!$C$5:$C$90,MATCH($D658,Kontenplan!$A$5:$A$90,0)),"?"))</f>
        <v/>
      </c>
      <c r="U658" s="35" t="str">
        <f aca="false">IF($E658="","",IFERROR(INDEX(Kontenplan!$C$5:$C$90,MATCH($E658,Kontenplan!$A$5:$A$90,0)),"?"))</f>
        <v/>
      </c>
      <c r="V658" s="35" t="str">
        <f aca="false">IF($F658="","",IF(OR($D658="",$E658="",$T658="?",$U658="?"),"Konto prüfen!",IF($A658="","Datum fehlt",IF(YEAR($A658)&lt;&gt;Einstellungen!$B$7,"anderes Jahr!",IF($G658="","MWST-Code fehlt","OK")))))</f>
        <v/>
      </c>
      <c r="W658" s="35" t="str">
        <f aca="false">IF($F658="","",IF(OR($D658=Kontoauszug!$C$4,$E658=Kontoauszug!$C$4),MAX(W$4:W657)+1,""))</f>
        <v/>
      </c>
    </row>
    <row r="659" customFormat="false" ht="15" hidden="false" customHeight="false" outlineLevel="0" collapsed="false">
      <c r="A659" s="33"/>
      <c r="B659" s="32"/>
      <c r="C659" s="32"/>
      <c r="D659" s="32"/>
      <c r="E659" s="32"/>
      <c r="F659" s="30"/>
      <c r="G659" s="32"/>
      <c r="H659" s="34" t="n">
        <f aca="false">IF($G659="",0,IFERROR(INDEX(Einstellungen!$G$5:$G$11,MATCH($G659,Einstellungen!$E$5:$E$11,0)),0))</f>
        <v>0</v>
      </c>
      <c r="I659" s="35" t="str">
        <f aca="false">IF($G659="","-",IFERROR(INDEX(Einstellungen!$H$5:$H$11,MATCH($G659,Einstellungen!$E$5:$E$11,0)),"-"))</f>
        <v>-</v>
      </c>
      <c r="J659" s="35" t="str">
        <f aca="false">IF(AND(Einstellungen!$B$8="Ja",Einstellungen!$B$9="Effektiv"),$I659,"-")</f>
        <v>-</v>
      </c>
      <c r="K659" s="31" t="n">
        <f aca="false">IF(OR($F659="",$J659="-"),0,ROUND($F659-$F659/(1+$H659),2))</f>
        <v>0</v>
      </c>
      <c r="L659" s="31" t="n">
        <f aca="false">IF($F659="",0,$F659-$K659)</f>
        <v>0</v>
      </c>
      <c r="M659" s="31" t="n">
        <f aca="false">IF($F659="",0,IF($J659="V",$L659,$F659))</f>
        <v>0</v>
      </c>
      <c r="N659" s="31" t="n">
        <f aca="false">IF($F659="",0,IF($J659="U",$L659,$F659))</f>
        <v>0</v>
      </c>
      <c r="O659" s="35" t="str">
        <f aca="false">IF($A659="","",MONTH($A659))</f>
        <v/>
      </c>
      <c r="P659" s="35" t="str">
        <f aca="false">IF($A659="","",ROUNDUP(MONTH($A659)/3,0))</f>
        <v/>
      </c>
      <c r="Q659" s="35" t="str">
        <f aca="false">IF($A659="","",IF(MONTH($A659)&lt;=6,1,2))</f>
        <v/>
      </c>
      <c r="R659" s="35" t="str">
        <f aca="false">IF($E659="","",IFERROR(INDEX(Kontenplan!$F$5:$F$90,MATCH($E659,Kontenplan!$A$5:$A$90,0)),""))</f>
        <v/>
      </c>
      <c r="S659" s="35" t="str">
        <f aca="false">IF($D659="","",IFERROR(INDEX(Kontenplan!$F$5:$F$90,MATCH($D659,Kontenplan!$A$5:$A$90,0)),""))</f>
        <v/>
      </c>
      <c r="T659" s="35" t="str">
        <f aca="false">IF($D659="","",IFERROR(INDEX(Kontenplan!$C$5:$C$90,MATCH($D659,Kontenplan!$A$5:$A$90,0)),"?"))</f>
        <v/>
      </c>
      <c r="U659" s="35" t="str">
        <f aca="false">IF($E659="","",IFERROR(INDEX(Kontenplan!$C$5:$C$90,MATCH($E659,Kontenplan!$A$5:$A$90,0)),"?"))</f>
        <v/>
      </c>
      <c r="V659" s="35" t="str">
        <f aca="false">IF($F659="","",IF(OR($D659="",$E659="",$T659="?",$U659="?"),"Konto prüfen!",IF($A659="","Datum fehlt",IF(YEAR($A659)&lt;&gt;Einstellungen!$B$7,"anderes Jahr!",IF($G659="","MWST-Code fehlt","OK")))))</f>
        <v/>
      </c>
      <c r="W659" s="35" t="str">
        <f aca="false">IF($F659="","",IF(OR($D659=Kontoauszug!$C$4,$E659=Kontoauszug!$C$4),MAX(W$4:W658)+1,""))</f>
        <v/>
      </c>
    </row>
    <row r="660" customFormat="false" ht="15" hidden="false" customHeight="false" outlineLevel="0" collapsed="false">
      <c r="A660" s="33"/>
      <c r="B660" s="32"/>
      <c r="C660" s="32"/>
      <c r="D660" s="32"/>
      <c r="E660" s="32"/>
      <c r="F660" s="30"/>
      <c r="G660" s="32"/>
      <c r="H660" s="34" t="n">
        <f aca="false">IF($G660="",0,IFERROR(INDEX(Einstellungen!$G$5:$G$11,MATCH($G660,Einstellungen!$E$5:$E$11,0)),0))</f>
        <v>0</v>
      </c>
      <c r="I660" s="35" t="str">
        <f aca="false">IF($G660="","-",IFERROR(INDEX(Einstellungen!$H$5:$H$11,MATCH($G660,Einstellungen!$E$5:$E$11,0)),"-"))</f>
        <v>-</v>
      </c>
      <c r="J660" s="35" t="str">
        <f aca="false">IF(AND(Einstellungen!$B$8="Ja",Einstellungen!$B$9="Effektiv"),$I660,"-")</f>
        <v>-</v>
      </c>
      <c r="K660" s="31" t="n">
        <f aca="false">IF(OR($F660="",$J660="-"),0,ROUND($F660-$F660/(1+$H660),2))</f>
        <v>0</v>
      </c>
      <c r="L660" s="31" t="n">
        <f aca="false">IF($F660="",0,$F660-$K660)</f>
        <v>0</v>
      </c>
      <c r="M660" s="31" t="n">
        <f aca="false">IF($F660="",0,IF($J660="V",$L660,$F660))</f>
        <v>0</v>
      </c>
      <c r="N660" s="31" t="n">
        <f aca="false">IF($F660="",0,IF($J660="U",$L660,$F660))</f>
        <v>0</v>
      </c>
      <c r="O660" s="35" t="str">
        <f aca="false">IF($A660="","",MONTH($A660))</f>
        <v/>
      </c>
      <c r="P660" s="35" t="str">
        <f aca="false">IF($A660="","",ROUNDUP(MONTH($A660)/3,0))</f>
        <v/>
      </c>
      <c r="Q660" s="35" t="str">
        <f aca="false">IF($A660="","",IF(MONTH($A660)&lt;=6,1,2))</f>
        <v/>
      </c>
      <c r="R660" s="35" t="str">
        <f aca="false">IF($E660="","",IFERROR(INDEX(Kontenplan!$F$5:$F$90,MATCH($E660,Kontenplan!$A$5:$A$90,0)),""))</f>
        <v/>
      </c>
      <c r="S660" s="35" t="str">
        <f aca="false">IF($D660="","",IFERROR(INDEX(Kontenplan!$F$5:$F$90,MATCH($D660,Kontenplan!$A$5:$A$90,0)),""))</f>
        <v/>
      </c>
      <c r="T660" s="35" t="str">
        <f aca="false">IF($D660="","",IFERROR(INDEX(Kontenplan!$C$5:$C$90,MATCH($D660,Kontenplan!$A$5:$A$90,0)),"?"))</f>
        <v/>
      </c>
      <c r="U660" s="35" t="str">
        <f aca="false">IF($E660="","",IFERROR(INDEX(Kontenplan!$C$5:$C$90,MATCH($E660,Kontenplan!$A$5:$A$90,0)),"?"))</f>
        <v/>
      </c>
      <c r="V660" s="35" t="str">
        <f aca="false">IF($F660="","",IF(OR($D660="",$E660="",$T660="?",$U660="?"),"Konto prüfen!",IF($A660="","Datum fehlt",IF(YEAR($A660)&lt;&gt;Einstellungen!$B$7,"anderes Jahr!",IF($G660="","MWST-Code fehlt","OK")))))</f>
        <v/>
      </c>
      <c r="W660" s="35" t="str">
        <f aca="false">IF($F660="","",IF(OR($D660=Kontoauszug!$C$4,$E660=Kontoauszug!$C$4),MAX(W$4:W659)+1,""))</f>
        <v/>
      </c>
    </row>
    <row r="661" customFormat="false" ht="15" hidden="false" customHeight="false" outlineLevel="0" collapsed="false">
      <c r="A661" s="33"/>
      <c r="B661" s="32"/>
      <c r="C661" s="32"/>
      <c r="D661" s="32"/>
      <c r="E661" s="32"/>
      <c r="F661" s="30"/>
      <c r="G661" s="32"/>
      <c r="H661" s="34" t="n">
        <f aca="false">IF($G661="",0,IFERROR(INDEX(Einstellungen!$G$5:$G$11,MATCH($G661,Einstellungen!$E$5:$E$11,0)),0))</f>
        <v>0</v>
      </c>
      <c r="I661" s="35" t="str">
        <f aca="false">IF($G661="","-",IFERROR(INDEX(Einstellungen!$H$5:$H$11,MATCH($G661,Einstellungen!$E$5:$E$11,0)),"-"))</f>
        <v>-</v>
      </c>
      <c r="J661" s="35" t="str">
        <f aca="false">IF(AND(Einstellungen!$B$8="Ja",Einstellungen!$B$9="Effektiv"),$I661,"-")</f>
        <v>-</v>
      </c>
      <c r="K661" s="31" t="n">
        <f aca="false">IF(OR($F661="",$J661="-"),0,ROUND($F661-$F661/(1+$H661),2))</f>
        <v>0</v>
      </c>
      <c r="L661" s="31" t="n">
        <f aca="false">IF($F661="",0,$F661-$K661)</f>
        <v>0</v>
      </c>
      <c r="M661" s="31" t="n">
        <f aca="false">IF($F661="",0,IF($J661="V",$L661,$F661))</f>
        <v>0</v>
      </c>
      <c r="N661" s="31" t="n">
        <f aca="false">IF($F661="",0,IF($J661="U",$L661,$F661))</f>
        <v>0</v>
      </c>
      <c r="O661" s="35" t="str">
        <f aca="false">IF($A661="","",MONTH($A661))</f>
        <v/>
      </c>
      <c r="P661" s="35" t="str">
        <f aca="false">IF($A661="","",ROUNDUP(MONTH($A661)/3,0))</f>
        <v/>
      </c>
      <c r="Q661" s="35" t="str">
        <f aca="false">IF($A661="","",IF(MONTH($A661)&lt;=6,1,2))</f>
        <v/>
      </c>
      <c r="R661" s="35" t="str">
        <f aca="false">IF($E661="","",IFERROR(INDEX(Kontenplan!$F$5:$F$90,MATCH($E661,Kontenplan!$A$5:$A$90,0)),""))</f>
        <v/>
      </c>
      <c r="S661" s="35" t="str">
        <f aca="false">IF($D661="","",IFERROR(INDEX(Kontenplan!$F$5:$F$90,MATCH($D661,Kontenplan!$A$5:$A$90,0)),""))</f>
        <v/>
      </c>
      <c r="T661" s="35" t="str">
        <f aca="false">IF($D661="","",IFERROR(INDEX(Kontenplan!$C$5:$C$90,MATCH($D661,Kontenplan!$A$5:$A$90,0)),"?"))</f>
        <v/>
      </c>
      <c r="U661" s="35" t="str">
        <f aca="false">IF($E661="","",IFERROR(INDEX(Kontenplan!$C$5:$C$90,MATCH($E661,Kontenplan!$A$5:$A$90,0)),"?"))</f>
        <v/>
      </c>
      <c r="V661" s="35" t="str">
        <f aca="false">IF($F661="","",IF(OR($D661="",$E661="",$T661="?",$U661="?"),"Konto prüfen!",IF($A661="","Datum fehlt",IF(YEAR($A661)&lt;&gt;Einstellungen!$B$7,"anderes Jahr!",IF($G661="","MWST-Code fehlt","OK")))))</f>
        <v/>
      </c>
      <c r="W661" s="35" t="str">
        <f aca="false">IF($F661="","",IF(OR($D661=Kontoauszug!$C$4,$E661=Kontoauszug!$C$4),MAX(W$4:W660)+1,""))</f>
        <v/>
      </c>
    </row>
    <row r="662" customFormat="false" ht="15" hidden="false" customHeight="false" outlineLevel="0" collapsed="false">
      <c r="A662" s="33"/>
      <c r="B662" s="32"/>
      <c r="C662" s="32"/>
      <c r="D662" s="32"/>
      <c r="E662" s="32"/>
      <c r="F662" s="30"/>
      <c r="G662" s="32"/>
      <c r="H662" s="34" t="n">
        <f aca="false">IF($G662="",0,IFERROR(INDEX(Einstellungen!$G$5:$G$11,MATCH($G662,Einstellungen!$E$5:$E$11,0)),0))</f>
        <v>0</v>
      </c>
      <c r="I662" s="35" t="str">
        <f aca="false">IF($G662="","-",IFERROR(INDEX(Einstellungen!$H$5:$H$11,MATCH($G662,Einstellungen!$E$5:$E$11,0)),"-"))</f>
        <v>-</v>
      </c>
      <c r="J662" s="35" t="str">
        <f aca="false">IF(AND(Einstellungen!$B$8="Ja",Einstellungen!$B$9="Effektiv"),$I662,"-")</f>
        <v>-</v>
      </c>
      <c r="K662" s="31" t="n">
        <f aca="false">IF(OR($F662="",$J662="-"),0,ROUND($F662-$F662/(1+$H662),2))</f>
        <v>0</v>
      </c>
      <c r="L662" s="31" t="n">
        <f aca="false">IF($F662="",0,$F662-$K662)</f>
        <v>0</v>
      </c>
      <c r="M662" s="31" t="n">
        <f aca="false">IF($F662="",0,IF($J662="V",$L662,$F662))</f>
        <v>0</v>
      </c>
      <c r="N662" s="31" t="n">
        <f aca="false">IF($F662="",0,IF($J662="U",$L662,$F662))</f>
        <v>0</v>
      </c>
      <c r="O662" s="35" t="str">
        <f aca="false">IF($A662="","",MONTH($A662))</f>
        <v/>
      </c>
      <c r="P662" s="35" t="str">
        <f aca="false">IF($A662="","",ROUNDUP(MONTH($A662)/3,0))</f>
        <v/>
      </c>
      <c r="Q662" s="35" t="str">
        <f aca="false">IF($A662="","",IF(MONTH($A662)&lt;=6,1,2))</f>
        <v/>
      </c>
      <c r="R662" s="35" t="str">
        <f aca="false">IF($E662="","",IFERROR(INDEX(Kontenplan!$F$5:$F$90,MATCH($E662,Kontenplan!$A$5:$A$90,0)),""))</f>
        <v/>
      </c>
      <c r="S662" s="35" t="str">
        <f aca="false">IF($D662="","",IFERROR(INDEX(Kontenplan!$F$5:$F$90,MATCH($D662,Kontenplan!$A$5:$A$90,0)),""))</f>
        <v/>
      </c>
      <c r="T662" s="35" t="str">
        <f aca="false">IF($D662="","",IFERROR(INDEX(Kontenplan!$C$5:$C$90,MATCH($D662,Kontenplan!$A$5:$A$90,0)),"?"))</f>
        <v/>
      </c>
      <c r="U662" s="35" t="str">
        <f aca="false">IF($E662="","",IFERROR(INDEX(Kontenplan!$C$5:$C$90,MATCH($E662,Kontenplan!$A$5:$A$90,0)),"?"))</f>
        <v/>
      </c>
      <c r="V662" s="35" t="str">
        <f aca="false">IF($F662="","",IF(OR($D662="",$E662="",$T662="?",$U662="?"),"Konto prüfen!",IF($A662="","Datum fehlt",IF(YEAR($A662)&lt;&gt;Einstellungen!$B$7,"anderes Jahr!",IF($G662="","MWST-Code fehlt","OK")))))</f>
        <v/>
      </c>
      <c r="W662" s="35" t="str">
        <f aca="false">IF($F662="","",IF(OR($D662=Kontoauszug!$C$4,$E662=Kontoauszug!$C$4),MAX(W$4:W661)+1,""))</f>
        <v/>
      </c>
    </row>
    <row r="663" customFormat="false" ht="15" hidden="false" customHeight="false" outlineLevel="0" collapsed="false">
      <c r="A663" s="33"/>
      <c r="B663" s="32"/>
      <c r="C663" s="32"/>
      <c r="D663" s="32"/>
      <c r="E663" s="32"/>
      <c r="F663" s="30"/>
      <c r="G663" s="32"/>
      <c r="H663" s="34" t="n">
        <f aca="false">IF($G663="",0,IFERROR(INDEX(Einstellungen!$G$5:$G$11,MATCH($G663,Einstellungen!$E$5:$E$11,0)),0))</f>
        <v>0</v>
      </c>
      <c r="I663" s="35" t="str">
        <f aca="false">IF($G663="","-",IFERROR(INDEX(Einstellungen!$H$5:$H$11,MATCH($G663,Einstellungen!$E$5:$E$11,0)),"-"))</f>
        <v>-</v>
      </c>
      <c r="J663" s="35" t="str">
        <f aca="false">IF(AND(Einstellungen!$B$8="Ja",Einstellungen!$B$9="Effektiv"),$I663,"-")</f>
        <v>-</v>
      </c>
      <c r="K663" s="31" t="n">
        <f aca="false">IF(OR($F663="",$J663="-"),0,ROUND($F663-$F663/(1+$H663),2))</f>
        <v>0</v>
      </c>
      <c r="L663" s="31" t="n">
        <f aca="false">IF($F663="",0,$F663-$K663)</f>
        <v>0</v>
      </c>
      <c r="M663" s="31" t="n">
        <f aca="false">IF($F663="",0,IF($J663="V",$L663,$F663))</f>
        <v>0</v>
      </c>
      <c r="N663" s="31" t="n">
        <f aca="false">IF($F663="",0,IF($J663="U",$L663,$F663))</f>
        <v>0</v>
      </c>
      <c r="O663" s="35" t="str">
        <f aca="false">IF($A663="","",MONTH($A663))</f>
        <v/>
      </c>
      <c r="P663" s="35" t="str">
        <f aca="false">IF($A663="","",ROUNDUP(MONTH($A663)/3,0))</f>
        <v/>
      </c>
      <c r="Q663" s="35" t="str">
        <f aca="false">IF($A663="","",IF(MONTH($A663)&lt;=6,1,2))</f>
        <v/>
      </c>
      <c r="R663" s="35" t="str">
        <f aca="false">IF($E663="","",IFERROR(INDEX(Kontenplan!$F$5:$F$90,MATCH($E663,Kontenplan!$A$5:$A$90,0)),""))</f>
        <v/>
      </c>
      <c r="S663" s="35" t="str">
        <f aca="false">IF($D663="","",IFERROR(INDEX(Kontenplan!$F$5:$F$90,MATCH($D663,Kontenplan!$A$5:$A$90,0)),""))</f>
        <v/>
      </c>
      <c r="T663" s="35" t="str">
        <f aca="false">IF($D663="","",IFERROR(INDEX(Kontenplan!$C$5:$C$90,MATCH($D663,Kontenplan!$A$5:$A$90,0)),"?"))</f>
        <v/>
      </c>
      <c r="U663" s="35" t="str">
        <f aca="false">IF($E663="","",IFERROR(INDEX(Kontenplan!$C$5:$C$90,MATCH($E663,Kontenplan!$A$5:$A$90,0)),"?"))</f>
        <v/>
      </c>
      <c r="V663" s="35" t="str">
        <f aca="false">IF($F663="","",IF(OR($D663="",$E663="",$T663="?",$U663="?"),"Konto prüfen!",IF($A663="","Datum fehlt",IF(YEAR($A663)&lt;&gt;Einstellungen!$B$7,"anderes Jahr!",IF($G663="","MWST-Code fehlt","OK")))))</f>
        <v/>
      </c>
      <c r="W663" s="35" t="str">
        <f aca="false">IF($F663="","",IF(OR($D663=Kontoauszug!$C$4,$E663=Kontoauszug!$C$4),MAX(W$4:W662)+1,""))</f>
        <v/>
      </c>
    </row>
    <row r="664" customFormat="false" ht="15" hidden="false" customHeight="false" outlineLevel="0" collapsed="false">
      <c r="A664" s="33"/>
      <c r="B664" s="32"/>
      <c r="C664" s="32"/>
      <c r="D664" s="32"/>
      <c r="E664" s="32"/>
      <c r="F664" s="30"/>
      <c r="G664" s="32"/>
      <c r="H664" s="34" t="n">
        <f aca="false">IF($G664="",0,IFERROR(INDEX(Einstellungen!$G$5:$G$11,MATCH($G664,Einstellungen!$E$5:$E$11,0)),0))</f>
        <v>0</v>
      </c>
      <c r="I664" s="35" t="str">
        <f aca="false">IF($G664="","-",IFERROR(INDEX(Einstellungen!$H$5:$H$11,MATCH($G664,Einstellungen!$E$5:$E$11,0)),"-"))</f>
        <v>-</v>
      </c>
      <c r="J664" s="35" t="str">
        <f aca="false">IF(AND(Einstellungen!$B$8="Ja",Einstellungen!$B$9="Effektiv"),$I664,"-")</f>
        <v>-</v>
      </c>
      <c r="K664" s="31" t="n">
        <f aca="false">IF(OR($F664="",$J664="-"),0,ROUND($F664-$F664/(1+$H664),2))</f>
        <v>0</v>
      </c>
      <c r="L664" s="31" t="n">
        <f aca="false">IF($F664="",0,$F664-$K664)</f>
        <v>0</v>
      </c>
      <c r="M664" s="31" t="n">
        <f aca="false">IF($F664="",0,IF($J664="V",$L664,$F664))</f>
        <v>0</v>
      </c>
      <c r="N664" s="31" t="n">
        <f aca="false">IF($F664="",0,IF($J664="U",$L664,$F664))</f>
        <v>0</v>
      </c>
      <c r="O664" s="35" t="str">
        <f aca="false">IF($A664="","",MONTH($A664))</f>
        <v/>
      </c>
      <c r="P664" s="35" t="str">
        <f aca="false">IF($A664="","",ROUNDUP(MONTH($A664)/3,0))</f>
        <v/>
      </c>
      <c r="Q664" s="35" t="str">
        <f aca="false">IF($A664="","",IF(MONTH($A664)&lt;=6,1,2))</f>
        <v/>
      </c>
      <c r="R664" s="35" t="str">
        <f aca="false">IF($E664="","",IFERROR(INDEX(Kontenplan!$F$5:$F$90,MATCH($E664,Kontenplan!$A$5:$A$90,0)),""))</f>
        <v/>
      </c>
      <c r="S664" s="35" t="str">
        <f aca="false">IF($D664="","",IFERROR(INDEX(Kontenplan!$F$5:$F$90,MATCH($D664,Kontenplan!$A$5:$A$90,0)),""))</f>
        <v/>
      </c>
      <c r="T664" s="35" t="str">
        <f aca="false">IF($D664="","",IFERROR(INDEX(Kontenplan!$C$5:$C$90,MATCH($D664,Kontenplan!$A$5:$A$90,0)),"?"))</f>
        <v/>
      </c>
      <c r="U664" s="35" t="str">
        <f aca="false">IF($E664="","",IFERROR(INDEX(Kontenplan!$C$5:$C$90,MATCH($E664,Kontenplan!$A$5:$A$90,0)),"?"))</f>
        <v/>
      </c>
      <c r="V664" s="35" t="str">
        <f aca="false">IF($F664="","",IF(OR($D664="",$E664="",$T664="?",$U664="?"),"Konto prüfen!",IF($A664="","Datum fehlt",IF(YEAR($A664)&lt;&gt;Einstellungen!$B$7,"anderes Jahr!",IF($G664="","MWST-Code fehlt","OK")))))</f>
        <v/>
      </c>
      <c r="W664" s="35" t="str">
        <f aca="false">IF($F664="","",IF(OR($D664=Kontoauszug!$C$4,$E664=Kontoauszug!$C$4),MAX(W$4:W663)+1,""))</f>
        <v/>
      </c>
    </row>
    <row r="665" customFormat="false" ht="15" hidden="false" customHeight="false" outlineLevel="0" collapsed="false">
      <c r="A665" s="33"/>
      <c r="B665" s="32"/>
      <c r="C665" s="32"/>
      <c r="D665" s="32"/>
      <c r="E665" s="32"/>
      <c r="F665" s="30"/>
      <c r="G665" s="32"/>
      <c r="H665" s="34" t="n">
        <f aca="false">IF($G665="",0,IFERROR(INDEX(Einstellungen!$G$5:$G$11,MATCH($G665,Einstellungen!$E$5:$E$11,0)),0))</f>
        <v>0</v>
      </c>
      <c r="I665" s="35" t="str">
        <f aca="false">IF($G665="","-",IFERROR(INDEX(Einstellungen!$H$5:$H$11,MATCH($G665,Einstellungen!$E$5:$E$11,0)),"-"))</f>
        <v>-</v>
      </c>
      <c r="J665" s="35" t="str">
        <f aca="false">IF(AND(Einstellungen!$B$8="Ja",Einstellungen!$B$9="Effektiv"),$I665,"-")</f>
        <v>-</v>
      </c>
      <c r="K665" s="31" t="n">
        <f aca="false">IF(OR($F665="",$J665="-"),0,ROUND($F665-$F665/(1+$H665),2))</f>
        <v>0</v>
      </c>
      <c r="L665" s="31" t="n">
        <f aca="false">IF($F665="",0,$F665-$K665)</f>
        <v>0</v>
      </c>
      <c r="M665" s="31" t="n">
        <f aca="false">IF($F665="",0,IF($J665="V",$L665,$F665))</f>
        <v>0</v>
      </c>
      <c r="N665" s="31" t="n">
        <f aca="false">IF($F665="",0,IF($J665="U",$L665,$F665))</f>
        <v>0</v>
      </c>
      <c r="O665" s="35" t="str">
        <f aca="false">IF($A665="","",MONTH($A665))</f>
        <v/>
      </c>
      <c r="P665" s="35" t="str">
        <f aca="false">IF($A665="","",ROUNDUP(MONTH($A665)/3,0))</f>
        <v/>
      </c>
      <c r="Q665" s="35" t="str">
        <f aca="false">IF($A665="","",IF(MONTH($A665)&lt;=6,1,2))</f>
        <v/>
      </c>
      <c r="R665" s="35" t="str">
        <f aca="false">IF($E665="","",IFERROR(INDEX(Kontenplan!$F$5:$F$90,MATCH($E665,Kontenplan!$A$5:$A$90,0)),""))</f>
        <v/>
      </c>
      <c r="S665" s="35" t="str">
        <f aca="false">IF($D665="","",IFERROR(INDEX(Kontenplan!$F$5:$F$90,MATCH($D665,Kontenplan!$A$5:$A$90,0)),""))</f>
        <v/>
      </c>
      <c r="T665" s="35" t="str">
        <f aca="false">IF($D665="","",IFERROR(INDEX(Kontenplan!$C$5:$C$90,MATCH($D665,Kontenplan!$A$5:$A$90,0)),"?"))</f>
        <v/>
      </c>
      <c r="U665" s="35" t="str">
        <f aca="false">IF($E665="","",IFERROR(INDEX(Kontenplan!$C$5:$C$90,MATCH($E665,Kontenplan!$A$5:$A$90,0)),"?"))</f>
        <v/>
      </c>
      <c r="V665" s="35" t="str">
        <f aca="false">IF($F665="","",IF(OR($D665="",$E665="",$T665="?",$U665="?"),"Konto prüfen!",IF($A665="","Datum fehlt",IF(YEAR($A665)&lt;&gt;Einstellungen!$B$7,"anderes Jahr!",IF($G665="","MWST-Code fehlt","OK")))))</f>
        <v/>
      </c>
      <c r="W665" s="35" t="str">
        <f aca="false">IF($F665="","",IF(OR($D665=Kontoauszug!$C$4,$E665=Kontoauszug!$C$4),MAX(W$4:W664)+1,""))</f>
        <v/>
      </c>
    </row>
    <row r="666" customFormat="false" ht="15" hidden="false" customHeight="false" outlineLevel="0" collapsed="false">
      <c r="A666" s="33"/>
      <c r="B666" s="32"/>
      <c r="C666" s="32"/>
      <c r="D666" s="32"/>
      <c r="E666" s="32"/>
      <c r="F666" s="30"/>
      <c r="G666" s="32"/>
      <c r="H666" s="34" t="n">
        <f aca="false">IF($G666="",0,IFERROR(INDEX(Einstellungen!$G$5:$G$11,MATCH($G666,Einstellungen!$E$5:$E$11,0)),0))</f>
        <v>0</v>
      </c>
      <c r="I666" s="35" t="str">
        <f aca="false">IF($G666="","-",IFERROR(INDEX(Einstellungen!$H$5:$H$11,MATCH($G666,Einstellungen!$E$5:$E$11,0)),"-"))</f>
        <v>-</v>
      </c>
      <c r="J666" s="35" t="str">
        <f aca="false">IF(AND(Einstellungen!$B$8="Ja",Einstellungen!$B$9="Effektiv"),$I666,"-")</f>
        <v>-</v>
      </c>
      <c r="K666" s="31" t="n">
        <f aca="false">IF(OR($F666="",$J666="-"),0,ROUND($F666-$F666/(1+$H666),2))</f>
        <v>0</v>
      </c>
      <c r="L666" s="31" t="n">
        <f aca="false">IF($F666="",0,$F666-$K666)</f>
        <v>0</v>
      </c>
      <c r="M666" s="31" t="n">
        <f aca="false">IF($F666="",0,IF($J666="V",$L666,$F666))</f>
        <v>0</v>
      </c>
      <c r="N666" s="31" t="n">
        <f aca="false">IF($F666="",0,IF($J666="U",$L666,$F666))</f>
        <v>0</v>
      </c>
      <c r="O666" s="35" t="str">
        <f aca="false">IF($A666="","",MONTH($A666))</f>
        <v/>
      </c>
      <c r="P666" s="35" t="str">
        <f aca="false">IF($A666="","",ROUNDUP(MONTH($A666)/3,0))</f>
        <v/>
      </c>
      <c r="Q666" s="35" t="str">
        <f aca="false">IF($A666="","",IF(MONTH($A666)&lt;=6,1,2))</f>
        <v/>
      </c>
      <c r="R666" s="35" t="str">
        <f aca="false">IF($E666="","",IFERROR(INDEX(Kontenplan!$F$5:$F$90,MATCH($E666,Kontenplan!$A$5:$A$90,0)),""))</f>
        <v/>
      </c>
      <c r="S666" s="35" t="str">
        <f aca="false">IF($D666="","",IFERROR(INDEX(Kontenplan!$F$5:$F$90,MATCH($D666,Kontenplan!$A$5:$A$90,0)),""))</f>
        <v/>
      </c>
      <c r="T666" s="35" t="str">
        <f aca="false">IF($D666="","",IFERROR(INDEX(Kontenplan!$C$5:$C$90,MATCH($D666,Kontenplan!$A$5:$A$90,0)),"?"))</f>
        <v/>
      </c>
      <c r="U666" s="35" t="str">
        <f aca="false">IF($E666="","",IFERROR(INDEX(Kontenplan!$C$5:$C$90,MATCH($E666,Kontenplan!$A$5:$A$90,0)),"?"))</f>
        <v/>
      </c>
      <c r="V666" s="35" t="str">
        <f aca="false">IF($F666="","",IF(OR($D666="",$E666="",$T666="?",$U666="?"),"Konto prüfen!",IF($A666="","Datum fehlt",IF(YEAR($A666)&lt;&gt;Einstellungen!$B$7,"anderes Jahr!",IF($G666="","MWST-Code fehlt","OK")))))</f>
        <v/>
      </c>
      <c r="W666" s="35" t="str">
        <f aca="false">IF($F666="","",IF(OR($D666=Kontoauszug!$C$4,$E666=Kontoauszug!$C$4),MAX(W$4:W665)+1,""))</f>
        <v/>
      </c>
    </row>
    <row r="667" customFormat="false" ht="15" hidden="false" customHeight="false" outlineLevel="0" collapsed="false">
      <c r="A667" s="33"/>
      <c r="B667" s="32"/>
      <c r="C667" s="32"/>
      <c r="D667" s="32"/>
      <c r="E667" s="32"/>
      <c r="F667" s="30"/>
      <c r="G667" s="32"/>
      <c r="H667" s="34" t="n">
        <f aca="false">IF($G667="",0,IFERROR(INDEX(Einstellungen!$G$5:$G$11,MATCH($G667,Einstellungen!$E$5:$E$11,0)),0))</f>
        <v>0</v>
      </c>
      <c r="I667" s="35" t="str">
        <f aca="false">IF($G667="","-",IFERROR(INDEX(Einstellungen!$H$5:$H$11,MATCH($G667,Einstellungen!$E$5:$E$11,0)),"-"))</f>
        <v>-</v>
      </c>
      <c r="J667" s="35" t="str">
        <f aca="false">IF(AND(Einstellungen!$B$8="Ja",Einstellungen!$B$9="Effektiv"),$I667,"-")</f>
        <v>-</v>
      </c>
      <c r="K667" s="31" t="n">
        <f aca="false">IF(OR($F667="",$J667="-"),0,ROUND($F667-$F667/(1+$H667),2))</f>
        <v>0</v>
      </c>
      <c r="L667" s="31" t="n">
        <f aca="false">IF($F667="",0,$F667-$K667)</f>
        <v>0</v>
      </c>
      <c r="M667" s="31" t="n">
        <f aca="false">IF($F667="",0,IF($J667="V",$L667,$F667))</f>
        <v>0</v>
      </c>
      <c r="N667" s="31" t="n">
        <f aca="false">IF($F667="",0,IF($J667="U",$L667,$F667))</f>
        <v>0</v>
      </c>
      <c r="O667" s="35" t="str">
        <f aca="false">IF($A667="","",MONTH($A667))</f>
        <v/>
      </c>
      <c r="P667" s="35" t="str">
        <f aca="false">IF($A667="","",ROUNDUP(MONTH($A667)/3,0))</f>
        <v/>
      </c>
      <c r="Q667" s="35" t="str">
        <f aca="false">IF($A667="","",IF(MONTH($A667)&lt;=6,1,2))</f>
        <v/>
      </c>
      <c r="R667" s="35" t="str">
        <f aca="false">IF($E667="","",IFERROR(INDEX(Kontenplan!$F$5:$F$90,MATCH($E667,Kontenplan!$A$5:$A$90,0)),""))</f>
        <v/>
      </c>
      <c r="S667" s="35" t="str">
        <f aca="false">IF($D667="","",IFERROR(INDEX(Kontenplan!$F$5:$F$90,MATCH($D667,Kontenplan!$A$5:$A$90,0)),""))</f>
        <v/>
      </c>
      <c r="T667" s="35" t="str">
        <f aca="false">IF($D667="","",IFERROR(INDEX(Kontenplan!$C$5:$C$90,MATCH($D667,Kontenplan!$A$5:$A$90,0)),"?"))</f>
        <v/>
      </c>
      <c r="U667" s="35" t="str">
        <f aca="false">IF($E667="","",IFERROR(INDEX(Kontenplan!$C$5:$C$90,MATCH($E667,Kontenplan!$A$5:$A$90,0)),"?"))</f>
        <v/>
      </c>
      <c r="V667" s="35" t="str">
        <f aca="false">IF($F667="","",IF(OR($D667="",$E667="",$T667="?",$U667="?"),"Konto prüfen!",IF($A667="","Datum fehlt",IF(YEAR($A667)&lt;&gt;Einstellungen!$B$7,"anderes Jahr!",IF($G667="","MWST-Code fehlt","OK")))))</f>
        <v/>
      </c>
      <c r="W667" s="35" t="str">
        <f aca="false">IF($F667="","",IF(OR($D667=Kontoauszug!$C$4,$E667=Kontoauszug!$C$4),MAX(W$4:W666)+1,""))</f>
        <v/>
      </c>
    </row>
    <row r="668" customFormat="false" ht="15" hidden="false" customHeight="false" outlineLevel="0" collapsed="false">
      <c r="A668" s="33"/>
      <c r="B668" s="32"/>
      <c r="C668" s="32"/>
      <c r="D668" s="32"/>
      <c r="E668" s="32"/>
      <c r="F668" s="30"/>
      <c r="G668" s="32"/>
      <c r="H668" s="34" t="n">
        <f aca="false">IF($G668="",0,IFERROR(INDEX(Einstellungen!$G$5:$G$11,MATCH($G668,Einstellungen!$E$5:$E$11,0)),0))</f>
        <v>0</v>
      </c>
      <c r="I668" s="35" t="str">
        <f aca="false">IF($G668="","-",IFERROR(INDEX(Einstellungen!$H$5:$H$11,MATCH($G668,Einstellungen!$E$5:$E$11,0)),"-"))</f>
        <v>-</v>
      </c>
      <c r="J668" s="35" t="str">
        <f aca="false">IF(AND(Einstellungen!$B$8="Ja",Einstellungen!$B$9="Effektiv"),$I668,"-")</f>
        <v>-</v>
      </c>
      <c r="K668" s="31" t="n">
        <f aca="false">IF(OR($F668="",$J668="-"),0,ROUND($F668-$F668/(1+$H668),2))</f>
        <v>0</v>
      </c>
      <c r="L668" s="31" t="n">
        <f aca="false">IF($F668="",0,$F668-$K668)</f>
        <v>0</v>
      </c>
      <c r="M668" s="31" t="n">
        <f aca="false">IF($F668="",0,IF($J668="V",$L668,$F668))</f>
        <v>0</v>
      </c>
      <c r="N668" s="31" t="n">
        <f aca="false">IF($F668="",0,IF($J668="U",$L668,$F668))</f>
        <v>0</v>
      </c>
      <c r="O668" s="35" t="str">
        <f aca="false">IF($A668="","",MONTH($A668))</f>
        <v/>
      </c>
      <c r="P668" s="35" t="str">
        <f aca="false">IF($A668="","",ROUNDUP(MONTH($A668)/3,0))</f>
        <v/>
      </c>
      <c r="Q668" s="35" t="str">
        <f aca="false">IF($A668="","",IF(MONTH($A668)&lt;=6,1,2))</f>
        <v/>
      </c>
      <c r="R668" s="35" t="str">
        <f aca="false">IF($E668="","",IFERROR(INDEX(Kontenplan!$F$5:$F$90,MATCH($E668,Kontenplan!$A$5:$A$90,0)),""))</f>
        <v/>
      </c>
      <c r="S668" s="35" t="str">
        <f aca="false">IF($D668="","",IFERROR(INDEX(Kontenplan!$F$5:$F$90,MATCH($D668,Kontenplan!$A$5:$A$90,0)),""))</f>
        <v/>
      </c>
      <c r="T668" s="35" t="str">
        <f aca="false">IF($D668="","",IFERROR(INDEX(Kontenplan!$C$5:$C$90,MATCH($D668,Kontenplan!$A$5:$A$90,0)),"?"))</f>
        <v/>
      </c>
      <c r="U668" s="35" t="str">
        <f aca="false">IF($E668="","",IFERROR(INDEX(Kontenplan!$C$5:$C$90,MATCH($E668,Kontenplan!$A$5:$A$90,0)),"?"))</f>
        <v/>
      </c>
      <c r="V668" s="35" t="str">
        <f aca="false">IF($F668="","",IF(OR($D668="",$E668="",$T668="?",$U668="?"),"Konto prüfen!",IF($A668="","Datum fehlt",IF(YEAR($A668)&lt;&gt;Einstellungen!$B$7,"anderes Jahr!",IF($G668="","MWST-Code fehlt","OK")))))</f>
        <v/>
      </c>
      <c r="W668" s="35" t="str">
        <f aca="false">IF($F668="","",IF(OR($D668=Kontoauszug!$C$4,$E668=Kontoauszug!$C$4),MAX(W$4:W667)+1,""))</f>
        <v/>
      </c>
    </row>
    <row r="669" customFormat="false" ht="15" hidden="false" customHeight="false" outlineLevel="0" collapsed="false">
      <c r="A669" s="33"/>
      <c r="B669" s="32"/>
      <c r="C669" s="32"/>
      <c r="D669" s="32"/>
      <c r="E669" s="32"/>
      <c r="F669" s="30"/>
      <c r="G669" s="32"/>
      <c r="H669" s="34" t="n">
        <f aca="false">IF($G669="",0,IFERROR(INDEX(Einstellungen!$G$5:$G$11,MATCH($G669,Einstellungen!$E$5:$E$11,0)),0))</f>
        <v>0</v>
      </c>
      <c r="I669" s="35" t="str">
        <f aca="false">IF($G669="","-",IFERROR(INDEX(Einstellungen!$H$5:$H$11,MATCH($G669,Einstellungen!$E$5:$E$11,0)),"-"))</f>
        <v>-</v>
      </c>
      <c r="J669" s="35" t="str">
        <f aca="false">IF(AND(Einstellungen!$B$8="Ja",Einstellungen!$B$9="Effektiv"),$I669,"-")</f>
        <v>-</v>
      </c>
      <c r="K669" s="31" t="n">
        <f aca="false">IF(OR($F669="",$J669="-"),0,ROUND($F669-$F669/(1+$H669),2))</f>
        <v>0</v>
      </c>
      <c r="L669" s="31" t="n">
        <f aca="false">IF($F669="",0,$F669-$K669)</f>
        <v>0</v>
      </c>
      <c r="M669" s="31" t="n">
        <f aca="false">IF($F669="",0,IF($J669="V",$L669,$F669))</f>
        <v>0</v>
      </c>
      <c r="N669" s="31" t="n">
        <f aca="false">IF($F669="",0,IF($J669="U",$L669,$F669))</f>
        <v>0</v>
      </c>
      <c r="O669" s="35" t="str">
        <f aca="false">IF($A669="","",MONTH($A669))</f>
        <v/>
      </c>
      <c r="P669" s="35" t="str">
        <f aca="false">IF($A669="","",ROUNDUP(MONTH($A669)/3,0))</f>
        <v/>
      </c>
      <c r="Q669" s="35" t="str">
        <f aca="false">IF($A669="","",IF(MONTH($A669)&lt;=6,1,2))</f>
        <v/>
      </c>
      <c r="R669" s="35" t="str">
        <f aca="false">IF($E669="","",IFERROR(INDEX(Kontenplan!$F$5:$F$90,MATCH($E669,Kontenplan!$A$5:$A$90,0)),""))</f>
        <v/>
      </c>
      <c r="S669" s="35" t="str">
        <f aca="false">IF($D669="","",IFERROR(INDEX(Kontenplan!$F$5:$F$90,MATCH($D669,Kontenplan!$A$5:$A$90,0)),""))</f>
        <v/>
      </c>
      <c r="T669" s="35" t="str">
        <f aca="false">IF($D669="","",IFERROR(INDEX(Kontenplan!$C$5:$C$90,MATCH($D669,Kontenplan!$A$5:$A$90,0)),"?"))</f>
        <v/>
      </c>
      <c r="U669" s="35" t="str">
        <f aca="false">IF($E669="","",IFERROR(INDEX(Kontenplan!$C$5:$C$90,MATCH($E669,Kontenplan!$A$5:$A$90,0)),"?"))</f>
        <v/>
      </c>
      <c r="V669" s="35" t="str">
        <f aca="false">IF($F669="","",IF(OR($D669="",$E669="",$T669="?",$U669="?"),"Konto prüfen!",IF($A669="","Datum fehlt",IF(YEAR($A669)&lt;&gt;Einstellungen!$B$7,"anderes Jahr!",IF($G669="","MWST-Code fehlt","OK")))))</f>
        <v/>
      </c>
      <c r="W669" s="35" t="str">
        <f aca="false">IF($F669="","",IF(OR($D669=Kontoauszug!$C$4,$E669=Kontoauszug!$C$4),MAX(W$4:W668)+1,""))</f>
        <v/>
      </c>
    </row>
    <row r="670" customFormat="false" ht="15" hidden="false" customHeight="false" outlineLevel="0" collapsed="false">
      <c r="A670" s="33"/>
      <c r="B670" s="32"/>
      <c r="C670" s="32"/>
      <c r="D670" s="32"/>
      <c r="E670" s="32"/>
      <c r="F670" s="30"/>
      <c r="G670" s="32"/>
      <c r="H670" s="34" t="n">
        <f aca="false">IF($G670="",0,IFERROR(INDEX(Einstellungen!$G$5:$G$11,MATCH($G670,Einstellungen!$E$5:$E$11,0)),0))</f>
        <v>0</v>
      </c>
      <c r="I670" s="35" t="str">
        <f aca="false">IF($G670="","-",IFERROR(INDEX(Einstellungen!$H$5:$H$11,MATCH($G670,Einstellungen!$E$5:$E$11,0)),"-"))</f>
        <v>-</v>
      </c>
      <c r="J670" s="35" t="str">
        <f aca="false">IF(AND(Einstellungen!$B$8="Ja",Einstellungen!$B$9="Effektiv"),$I670,"-")</f>
        <v>-</v>
      </c>
      <c r="K670" s="31" t="n">
        <f aca="false">IF(OR($F670="",$J670="-"),0,ROUND($F670-$F670/(1+$H670),2))</f>
        <v>0</v>
      </c>
      <c r="L670" s="31" t="n">
        <f aca="false">IF($F670="",0,$F670-$K670)</f>
        <v>0</v>
      </c>
      <c r="M670" s="31" t="n">
        <f aca="false">IF($F670="",0,IF($J670="V",$L670,$F670))</f>
        <v>0</v>
      </c>
      <c r="N670" s="31" t="n">
        <f aca="false">IF($F670="",0,IF($J670="U",$L670,$F670))</f>
        <v>0</v>
      </c>
      <c r="O670" s="35" t="str">
        <f aca="false">IF($A670="","",MONTH($A670))</f>
        <v/>
      </c>
      <c r="P670" s="35" t="str">
        <f aca="false">IF($A670="","",ROUNDUP(MONTH($A670)/3,0))</f>
        <v/>
      </c>
      <c r="Q670" s="35" t="str">
        <f aca="false">IF($A670="","",IF(MONTH($A670)&lt;=6,1,2))</f>
        <v/>
      </c>
      <c r="R670" s="35" t="str">
        <f aca="false">IF($E670="","",IFERROR(INDEX(Kontenplan!$F$5:$F$90,MATCH($E670,Kontenplan!$A$5:$A$90,0)),""))</f>
        <v/>
      </c>
      <c r="S670" s="35" t="str">
        <f aca="false">IF($D670="","",IFERROR(INDEX(Kontenplan!$F$5:$F$90,MATCH($D670,Kontenplan!$A$5:$A$90,0)),""))</f>
        <v/>
      </c>
      <c r="T670" s="35" t="str">
        <f aca="false">IF($D670="","",IFERROR(INDEX(Kontenplan!$C$5:$C$90,MATCH($D670,Kontenplan!$A$5:$A$90,0)),"?"))</f>
        <v/>
      </c>
      <c r="U670" s="35" t="str">
        <f aca="false">IF($E670="","",IFERROR(INDEX(Kontenplan!$C$5:$C$90,MATCH($E670,Kontenplan!$A$5:$A$90,0)),"?"))</f>
        <v/>
      </c>
      <c r="V670" s="35" t="str">
        <f aca="false">IF($F670="","",IF(OR($D670="",$E670="",$T670="?",$U670="?"),"Konto prüfen!",IF($A670="","Datum fehlt",IF(YEAR($A670)&lt;&gt;Einstellungen!$B$7,"anderes Jahr!",IF($G670="","MWST-Code fehlt","OK")))))</f>
        <v/>
      </c>
      <c r="W670" s="35" t="str">
        <f aca="false">IF($F670="","",IF(OR($D670=Kontoauszug!$C$4,$E670=Kontoauszug!$C$4),MAX(W$4:W669)+1,""))</f>
        <v/>
      </c>
    </row>
    <row r="671" customFormat="false" ht="15" hidden="false" customHeight="false" outlineLevel="0" collapsed="false">
      <c r="A671" s="33"/>
      <c r="B671" s="32"/>
      <c r="C671" s="32"/>
      <c r="D671" s="32"/>
      <c r="E671" s="32"/>
      <c r="F671" s="30"/>
      <c r="G671" s="32"/>
      <c r="H671" s="34" t="n">
        <f aca="false">IF($G671="",0,IFERROR(INDEX(Einstellungen!$G$5:$G$11,MATCH($G671,Einstellungen!$E$5:$E$11,0)),0))</f>
        <v>0</v>
      </c>
      <c r="I671" s="35" t="str">
        <f aca="false">IF($G671="","-",IFERROR(INDEX(Einstellungen!$H$5:$H$11,MATCH($G671,Einstellungen!$E$5:$E$11,0)),"-"))</f>
        <v>-</v>
      </c>
      <c r="J671" s="35" t="str">
        <f aca="false">IF(AND(Einstellungen!$B$8="Ja",Einstellungen!$B$9="Effektiv"),$I671,"-")</f>
        <v>-</v>
      </c>
      <c r="K671" s="31" t="n">
        <f aca="false">IF(OR($F671="",$J671="-"),0,ROUND($F671-$F671/(1+$H671),2))</f>
        <v>0</v>
      </c>
      <c r="L671" s="31" t="n">
        <f aca="false">IF($F671="",0,$F671-$K671)</f>
        <v>0</v>
      </c>
      <c r="M671" s="31" t="n">
        <f aca="false">IF($F671="",0,IF($J671="V",$L671,$F671))</f>
        <v>0</v>
      </c>
      <c r="N671" s="31" t="n">
        <f aca="false">IF($F671="",0,IF($J671="U",$L671,$F671))</f>
        <v>0</v>
      </c>
      <c r="O671" s="35" t="str">
        <f aca="false">IF($A671="","",MONTH($A671))</f>
        <v/>
      </c>
      <c r="P671" s="35" t="str">
        <f aca="false">IF($A671="","",ROUNDUP(MONTH($A671)/3,0))</f>
        <v/>
      </c>
      <c r="Q671" s="35" t="str">
        <f aca="false">IF($A671="","",IF(MONTH($A671)&lt;=6,1,2))</f>
        <v/>
      </c>
      <c r="R671" s="35" t="str">
        <f aca="false">IF($E671="","",IFERROR(INDEX(Kontenplan!$F$5:$F$90,MATCH($E671,Kontenplan!$A$5:$A$90,0)),""))</f>
        <v/>
      </c>
      <c r="S671" s="35" t="str">
        <f aca="false">IF($D671="","",IFERROR(INDEX(Kontenplan!$F$5:$F$90,MATCH($D671,Kontenplan!$A$5:$A$90,0)),""))</f>
        <v/>
      </c>
      <c r="T671" s="35" t="str">
        <f aca="false">IF($D671="","",IFERROR(INDEX(Kontenplan!$C$5:$C$90,MATCH($D671,Kontenplan!$A$5:$A$90,0)),"?"))</f>
        <v/>
      </c>
      <c r="U671" s="35" t="str">
        <f aca="false">IF($E671="","",IFERROR(INDEX(Kontenplan!$C$5:$C$90,MATCH($E671,Kontenplan!$A$5:$A$90,0)),"?"))</f>
        <v/>
      </c>
      <c r="V671" s="35" t="str">
        <f aca="false">IF($F671="","",IF(OR($D671="",$E671="",$T671="?",$U671="?"),"Konto prüfen!",IF($A671="","Datum fehlt",IF(YEAR($A671)&lt;&gt;Einstellungen!$B$7,"anderes Jahr!",IF($G671="","MWST-Code fehlt","OK")))))</f>
        <v/>
      </c>
      <c r="W671" s="35" t="str">
        <f aca="false">IF($F671="","",IF(OR($D671=Kontoauszug!$C$4,$E671=Kontoauszug!$C$4),MAX(W$4:W670)+1,""))</f>
        <v/>
      </c>
    </row>
    <row r="672" customFormat="false" ht="15" hidden="false" customHeight="false" outlineLevel="0" collapsed="false">
      <c r="A672" s="33"/>
      <c r="B672" s="32"/>
      <c r="C672" s="32"/>
      <c r="D672" s="32"/>
      <c r="E672" s="32"/>
      <c r="F672" s="30"/>
      <c r="G672" s="32"/>
      <c r="H672" s="34" t="n">
        <f aca="false">IF($G672="",0,IFERROR(INDEX(Einstellungen!$G$5:$G$11,MATCH($G672,Einstellungen!$E$5:$E$11,0)),0))</f>
        <v>0</v>
      </c>
      <c r="I672" s="35" t="str">
        <f aca="false">IF($G672="","-",IFERROR(INDEX(Einstellungen!$H$5:$H$11,MATCH($G672,Einstellungen!$E$5:$E$11,0)),"-"))</f>
        <v>-</v>
      </c>
      <c r="J672" s="35" t="str">
        <f aca="false">IF(AND(Einstellungen!$B$8="Ja",Einstellungen!$B$9="Effektiv"),$I672,"-")</f>
        <v>-</v>
      </c>
      <c r="K672" s="31" t="n">
        <f aca="false">IF(OR($F672="",$J672="-"),0,ROUND($F672-$F672/(1+$H672),2))</f>
        <v>0</v>
      </c>
      <c r="L672" s="31" t="n">
        <f aca="false">IF($F672="",0,$F672-$K672)</f>
        <v>0</v>
      </c>
      <c r="M672" s="31" t="n">
        <f aca="false">IF($F672="",0,IF($J672="V",$L672,$F672))</f>
        <v>0</v>
      </c>
      <c r="N672" s="31" t="n">
        <f aca="false">IF($F672="",0,IF($J672="U",$L672,$F672))</f>
        <v>0</v>
      </c>
      <c r="O672" s="35" t="str">
        <f aca="false">IF($A672="","",MONTH($A672))</f>
        <v/>
      </c>
      <c r="P672" s="35" t="str">
        <f aca="false">IF($A672="","",ROUNDUP(MONTH($A672)/3,0))</f>
        <v/>
      </c>
      <c r="Q672" s="35" t="str">
        <f aca="false">IF($A672="","",IF(MONTH($A672)&lt;=6,1,2))</f>
        <v/>
      </c>
      <c r="R672" s="35" t="str">
        <f aca="false">IF($E672="","",IFERROR(INDEX(Kontenplan!$F$5:$F$90,MATCH($E672,Kontenplan!$A$5:$A$90,0)),""))</f>
        <v/>
      </c>
      <c r="S672" s="35" t="str">
        <f aca="false">IF($D672="","",IFERROR(INDEX(Kontenplan!$F$5:$F$90,MATCH($D672,Kontenplan!$A$5:$A$90,0)),""))</f>
        <v/>
      </c>
      <c r="T672" s="35" t="str">
        <f aca="false">IF($D672="","",IFERROR(INDEX(Kontenplan!$C$5:$C$90,MATCH($D672,Kontenplan!$A$5:$A$90,0)),"?"))</f>
        <v/>
      </c>
      <c r="U672" s="35" t="str">
        <f aca="false">IF($E672="","",IFERROR(INDEX(Kontenplan!$C$5:$C$90,MATCH($E672,Kontenplan!$A$5:$A$90,0)),"?"))</f>
        <v/>
      </c>
      <c r="V672" s="35" t="str">
        <f aca="false">IF($F672="","",IF(OR($D672="",$E672="",$T672="?",$U672="?"),"Konto prüfen!",IF($A672="","Datum fehlt",IF(YEAR($A672)&lt;&gt;Einstellungen!$B$7,"anderes Jahr!",IF($G672="","MWST-Code fehlt","OK")))))</f>
        <v/>
      </c>
      <c r="W672" s="35" t="str">
        <f aca="false">IF($F672="","",IF(OR($D672=Kontoauszug!$C$4,$E672=Kontoauszug!$C$4),MAX(W$4:W671)+1,""))</f>
        <v/>
      </c>
    </row>
    <row r="673" customFormat="false" ht="15" hidden="false" customHeight="false" outlineLevel="0" collapsed="false">
      <c r="A673" s="33"/>
      <c r="B673" s="32"/>
      <c r="C673" s="32"/>
      <c r="D673" s="32"/>
      <c r="E673" s="32"/>
      <c r="F673" s="30"/>
      <c r="G673" s="32"/>
      <c r="H673" s="34" t="n">
        <f aca="false">IF($G673="",0,IFERROR(INDEX(Einstellungen!$G$5:$G$11,MATCH($G673,Einstellungen!$E$5:$E$11,0)),0))</f>
        <v>0</v>
      </c>
      <c r="I673" s="35" t="str">
        <f aca="false">IF($G673="","-",IFERROR(INDEX(Einstellungen!$H$5:$H$11,MATCH($G673,Einstellungen!$E$5:$E$11,0)),"-"))</f>
        <v>-</v>
      </c>
      <c r="J673" s="35" t="str">
        <f aca="false">IF(AND(Einstellungen!$B$8="Ja",Einstellungen!$B$9="Effektiv"),$I673,"-")</f>
        <v>-</v>
      </c>
      <c r="K673" s="31" t="n">
        <f aca="false">IF(OR($F673="",$J673="-"),0,ROUND($F673-$F673/(1+$H673),2))</f>
        <v>0</v>
      </c>
      <c r="L673" s="31" t="n">
        <f aca="false">IF($F673="",0,$F673-$K673)</f>
        <v>0</v>
      </c>
      <c r="M673" s="31" t="n">
        <f aca="false">IF($F673="",0,IF($J673="V",$L673,$F673))</f>
        <v>0</v>
      </c>
      <c r="N673" s="31" t="n">
        <f aca="false">IF($F673="",0,IF($J673="U",$L673,$F673))</f>
        <v>0</v>
      </c>
      <c r="O673" s="35" t="str">
        <f aca="false">IF($A673="","",MONTH($A673))</f>
        <v/>
      </c>
      <c r="P673" s="35" t="str">
        <f aca="false">IF($A673="","",ROUNDUP(MONTH($A673)/3,0))</f>
        <v/>
      </c>
      <c r="Q673" s="35" t="str">
        <f aca="false">IF($A673="","",IF(MONTH($A673)&lt;=6,1,2))</f>
        <v/>
      </c>
      <c r="R673" s="35" t="str">
        <f aca="false">IF($E673="","",IFERROR(INDEX(Kontenplan!$F$5:$F$90,MATCH($E673,Kontenplan!$A$5:$A$90,0)),""))</f>
        <v/>
      </c>
      <c r="S673" s="35" t="str">
        <f aca="false">IF($D673="","",IFERROR(INDEX(Kontenplan!$F$5:$F$90,MATCH($D673,Kontenplan!$A$5:$A$90,0)),""))</f>
        <v/>
      </c>
      <c r="T673" s="35" t="str">
        <f aca="false">IF($D673="","",IFERROR(INDEX(Kontenplan!$C$5:$C$90,MATCH($D673,Kontenplan!$A$5:$A$90,0)),"?"))</f>
        <v/>
      </c>
      <c r="U673" s="35" t="str">
        <f aca="false">IF($E673="","",IFERROR(INDEX(Kontenplan!$C$5:$C$90,MATCH($E673,Kontenplan!$A$5:$A$90,0)),"?"))</f>
        <v/>
      </c>
      <c r="V673" s="35" t="str">
        <f aca="false">IF($F673="","",IF(OR($D673="",$E673="",$T673="?",$U673="?"),"Konto prüfen!",IF($A673="","Datum fehlt",IF(YEAR($A673)&lt;&gt;Einstellungen!$B$7,"anderes Jahr!",IF($G673="","MWST-Code fehlt","OK")))))</f>
        <v/>
      </c>
      <c r="W673" s="35" t="str">
        <f aca="false">IF($F673="","",IF(OR($D673=Kontoauszug!$C$4,$E673=Kontoauszug!$C$4),MAX(W$4:W672)+1,""))</f>
        <v/>
      </c>
    </row>
    <row r="674" customFormat="false" ht="15" hidden="false" customHeight="false" outlineLevel="0" collapsed="false">
      <c r="A674" s="33"/>
      <c r="B674" s="32"/>
      <c r="C674" s="32"/>
      <c r="D674" s="32"/>
      <c r="E674" s="32"/>
      <c r="F674" s="30"/>
      <c r="G674" s="32"/>
      <c r="H674" s="34" t="n">
        <f aca="false">IF($G674="",0,IFERROR(INDEX(Einstellungen!$G$5:$G$11,MATCH($G674,Einstellungen!$E$5:$E$11,0)),0))</f>
        <v>0</v>
      </c>
      <c r="I674" s="35" t="str">
        <f aca="false">IF($G674="","-",IFERROR(INDEX(Einstellungen!$H$5:$H$11,MATCH($G674,Einstellungen!$E$5:$E$11,0)),"-"))</f>
        <v>-</v>
      </c>
      <c r="J674" s="35" t="str">
        <f aca="false">IF(AND(Einstellungen!$B$8="Ja",Einstellungen!$B$9="Effektiv"),$I674,"-")</f>
        <v>-</v>
      </c>
      <c r="K674" s="31" t="n">
        <f aca="false">IF(OR($F674="",$J674="-"),0,ROUND($F674-$F674/(1+$H674),2))</f>
        <v>0</v>
      </c>
      <c r="L674" s="31" t="n">
        <f aca="false">IF($F674="",0,$F674-$K674)</f>
        <v>0</v>
      </c>
      <c r="M674" s="31" t="n">
        <f aca="false">IF($F674="",0,IF($J674="V",$L674,$F674))</f>
        <v>0</v>
      </c>
      <c r="N674" s="31" t="n">
        <f aca="false">IF($F674="",0,IF($J674="U",$L674,$F674))</f>
        <v>0</v>
      </c>
      <c r="O674" s="35" t="str">
        <f aca="false">IF($A674="","",MONTH($A674))</f>
        <v/>
      </c>
      <c r="P674" s="35" t="str">
        <f aca="false">IF($A674="","",ROUNDUP(MONTH($A674)/3,0))</f>
        <v/>
      </c>
      <c r="Q674" s="35" t="str">
        <f aca="false">IF($A674="","",IF(MONTH($A674)&lt;=6,1,2))</f>
        <v/>
      </c>
      <c r="R674" s="35" t="str">
        <f aca="false">IF($E674="","",IFERROR(INDEX(Kontenplan!$F$5:$F$90,MATCH($E674,Kontenplan!$A$5:$A$90,0)),""))</f>
        <v/>
      </c>
      <c r="S674" s="35" t="str">
        <f aca="false">IF($D674="","",IFERROR(INDEX(Kontenplan!$F$5:$F$90,MATCH($D674,Kontenplan!$A$5:$A$90,0)),""))</f>
        <v/>
      </c>
      <c r="T674" s="35" t="str">
        <f aca="false">IF($D674="","",IFERROR(INDEX(Kontenplan!$C$5:$C$90,MATCH($D674,Kontenplan!$A$5:$A$90,0)),"?"))</f>
        <v/>
      </c>
      <c r="U674" s="35" t="str">
        <f aca="false">IF($E674="","",IFERROR(INDEX(Kontenplan!$C$5:$C$90,MATCH($E674,Kontenplan!$A$5:$A$90,0)),"?"))</f>
        <v/>
      </c>
      <c r="V674" s="35" t="str">
        <f aca="false">IF($F674="","",IF(OR($D674="",$E674="",$T674="?",$U674="?"),"Konto prüfen!",IF($A674="","Datum fehlt",IF(YEAR($A674)&lt;&gt;Einstellungen!$B$7,"anderes Jahr!",IF($G674="","MWST-Code fehlt","OK")))))</f>
        <v/>
      </c>
      <c r="W674" s="35" t="str">
        <f aca="false">IF($F674="","",IF(OR($D674=Kontoauszug!$C$4,$E674=Kontoauszug!$C$4),MAX(W$4:W673)+1,""))</f>
        <v/>
      </c>
    </row>
    <row r="675" customFormat="false" ht="15" hidden="false" customHeight="false" outlineLevel="0" collapsed="false">
      <c r="A675" s="33"/>
      <c r="B675" s="32"/>
      <c r="C675" s="32"/>
      <c r="D675" s="32"/>
      <c r="E675" s="32"/>
      <c r="F675" s="30"/>
      <c r="G675" s="32"/>
      <c r="H675" s="34" t="n">
        <f aca="false">IF($G675="",0,IFERROR(INDEX(Einstellungen!$G$5:$G$11,MATCH($G675,Einstellungen!$E$5:$E$11,0)),0))</f>
        <v>0</v>
      </c>
      <c r="I675" s="35" t="str">
        <f aca="false">IF($G675="","-",IFERROR(INDEX(Einstellungen!$H$5:$H$11,MATCH($G675,Einstellungen!$E$5:$E$11,0)),"-"))</f>
        <v>-</v>
      </c>
      <c r="J675" s="35" t="str">
        <f aca="false">IF(AND(Einstellungen!$B$8="Ja",Einstellungen!$B$9="Effektiv"),$I675,"-")</f>
        <v>-</v>
      </c>
      <c r="K675" s="31" t="n">
        <f aca="false">IF(OR($F675="",$J675="-"),0,ROUND($F675-$F675/(1+$H675),2))</f>
        <v>0</v>
      </c>
      <c r="L675" s="31" t="n">
        <f aca="false">IF($F675="",0,$F675-$K675)</f>
        <v>0</v>
      </c>
      <c r="M675" s="31" t="n">
        <f aca="false">IF($F675="",0,IF($J675="V",$L675,$F675))</f>
        <v>0</v>
      </c>
      <c r="N675" s="31" t="n">
        <f aca="false">IF($F675="",0,IF($J675="U",$L675,$F675))</f>
        <v>0</v>
      </c>
      <c r="O675" s="35" t="str">
        <f aca="false">IF($A675="","",MONTH($A675))</f>
        <v/>
      </c>
      <c r="P675" s="35" t="str">
        <f aca="false">IF($A675="","",ROUNDUP(MONTH($A675)/3,0))</f>
        <v/>
      </c>
      <c r="Q675" s="35" t="str">
        <f aca="false">IF($A675="","",IF(MONTH($A675)&lt;=6,1,2))</f>
        <v/>
      </c>
      <c r="R675" s="35" t="str">
        <f aca="false">IF($E675="","",IFERROR(INDEX(Kontenplan!$F$5:$F$90,MATCH($E675,Kontenplan!$A$5:$A$90,0)),""))</f>
        <v/>
      </c>
      <c r="S675" s="35" t="str">
        <f aca="false">IF($D675="","",IFERROR(INDEX(Kontenplan!$F$5:$F$90,MATCH($D675,Kontenplan!$A$5:$A$90,0)),""))</f>
        <v/>
      </c>
      <c r="T675" s="35" t="str">
        <f aca="false">IF($D675="","",IFERROR(INDEX(Kontenplan!$C$5:$C$90,MATCH($D675,Kontenplan!$A$5:$A$90,0)),"?"))</f>
        <v/>
      </c>
      <c r="U675" s="35" t="str">
        <f aca="false">IF($E675="","",IFERROR(INDEX(Kontenplan!$C$5:$C$90,MATCH($E675,Kontenplan!$A$5:$A$90,0)),"?"))</f>
        <v/>
      </c>
      <c r="V675" s="35" t="str">
        <f aca="false">IF($F675="","",IF(OR($D675="",$E675="",$T675="?",$U675="?"),"Konto prüfen!",IF($A675="","Datum fehlt",IF(YEAR($A675)&lt;&gt;Einstellungen!$B$7,"anderes Jahr!",IF($G675="","MWST-Code fehlt","OK")))))</f>
        <v/>
      </c>
      <c r="W675" s="35" t="str">
        <f aca="false">IF($F675="","",IF(OR($D675=Kontoauszug!$C$4,$E675=Kontoauszug!$C$4),MAX(W$4:W674)+1,""))</f>
        <v/>
      </c>
    </row>
    <row r="676" customFormat="false" ht="15" hidden="false" customHeight="false" outlineLevel="0" collapsed="false">
      <c r="A676" s="33"/>
      <c r="B676" s="32"/>
      <c r="C676" s="32"/>
      <c r="D676" s="32"/>
      <c r="E676" s="32"/>
      <c r="F676" s="30"/>
      <c r="G676" s="32"/>
      <c r="H676" s="34" t="n">
        <f aca="false">IF($G676="",0,IFERROR(INDEX(Einstellungen!$G$5:$G$11,MATCH($G676,Einstellungen!$E$5:$E$11,0)),0))</f>
        <v>0</v>
      </c>
      <c r="I676" s="35" t="str">
        <f aca="false">IF($G676="","-",IFERROR(INDEX(Einstellungen!$H$5:$H$11,MATCH($G676,Einstellungen!$E$5:$E$11,0)),"-"))</f>
        <v>-</v>
      </c>
      <c r="J676" s="35" t="str">
        <f aca="false">IF(AND(Einstellungen!$B$8="Ja",Einstellungen!$B$9="Effektiv"),$I676,"-")</f>
        <v>-</v>
      </c>
      <c r="K676" s="31" t="n">
        <f aca="false">IF(OR($F676="",$J676="-"),0,ROUND($F676-$F676/(1+$H676),2))</f>
        <v>0</v>
      </c>
      <c r="L676" s="31" t="n">
        <f aca="false">IF($F676="",0,$F676-$K676)</f>
        <v>0</v>
      </c>
      <c r="M676" s="31" t="n">
        <f aca="false">IF($F676="",0,IF($J676="V",$L676,$F676))</f>
        <v>0</v>
      </c>
      <c r="N676" s="31" t="n">
        <f aca="false">IF($F676="",0,IF($J676="U",$L676,$F676))</f>
        <v>0</v>
      </c>
      <c r="O676" s="35" t="str">
        <f aca="false">IF($A676="","",MONTH($A676))</f>
        <v/>
      </c>
      <c r="P676" s="35" t="str">
        <f aca="false">IF($A676="","",ROUNDUP(MONTH($A676)/3,0))</f>
        <v/>
      </c>
      <c r="Q676" s="35" t="str">
        <f aca="false">IF($A676="","",IF(MONTH($A676)&lt;=6,1,2))</f>
        <v/>
      </c>
      <c r="R676" s="35" t="str">
        <f aca="false">IF($E676="","",IFERROR(INDEX(Kontenplan!$F$5:$F$90,MATCH($E676,Kontenplan!$A$5:$A$90,0)),""))</f>
        <v/>
      </c>
      <c r="S676" s="35" t="str">
        <f aca="false">IF($D676="","",IFERROR(INDEX(Kontenplan!$F$5:$F$90,MATCH($D676,Kontenplan!$A$5:$A$90,0)),""))</f>
        <v/>
      </c>
      <c r="T676" s="35" t="str">
        <f aca="false">IF($D676="","",IFERROR(INDEX(Kontenplan!$C$5:$C$90,MATCH($D676,Kontenplan!$A$5:$A$90,0)),"?"))</f>
        <v/>
      </c>
      <c r="U676" s="35" t="str">
        <f aca="false">IF($E676="","",IFERROR(INDEX(Kontenplan!$C$5:$C$90,MATCH($E676,Kontenplan!$A$5:$A$90,0)),"?"))</f>
        <v/>
      </c>
      <c r="V676" s="35" t="str">
        <f aca="false">IF($F676="","",IF(OR($D676="",$E676="",$T676="?",$U676="?"),"Konto prüfen!",IF($A676="","Datum fehlt",IF(YEAR($A676)&lt;&gt;Einstellungen!$B$7,"anderes Jahr!",IF($G676="","MWST-Code fehlt","OK")))))</f>
        <v/>
      </c>
      <c r="W676" s="35" t="str">
        <f aca="false">IF($F676="","",IF(OR($D676=Kontoauszug!$C$4,$E676=Kontoauszug!$C$4),MAX(W$4:W675)+1,""))</f>
        <v/>
      </c>
    </row>
    <row r="677" customFormat="false" ht="15" hidden="false" customHeight="false" outlineLevel="0" collapsed="false">
      <c r="A677" s="33"/>
      <c r="B677" s="32"/>
      <c r="C677" s="32"/>
      <c r="D677" s="32"/>
      <c r="E677" s="32"/>
      <c r="F677" s="30"/>
      <c r="G677" s="32"/>
      <c r="H677" s="34" t="n">
        <f aca="false">IF($G677="",0,IFERROR(INDEX(Einstellungen!$G$5:$G$11,MATCH($G677,Einstellungen!$E$5:$E$11,0)),0))</f>
        <v>0</v>
      </c>
      <c r="I677" s="35" t="str">
        <f aca="false">IF($G677="","-",IFERROR(INDEX(Einstellungen!$H$5:$H$11,MATCH($G677,Einstellungen!$E$5:$E$11,0)),"-"))</f>
        <v>-</v>
      </c>
      <c r="J677" s="35" t="str">
        <f aca="false">IF(AND(Einstellungen!$B$8="Ja",Einstellungen!$B$9="Effektiv"),$I677,"-")</f>
        <v>-</v>
      </c>
      <c r="K677" s="31" t="n">
        <f aca="false">IF(OR($F677="",$J677="-"),0,ROUND($F677-$F677/(1+$H677),2))</f>
        <v>0</v>
      </c>
      <c r="L677" s="31" t="n">
        <f aca="false">IF($F677="",0,$F677-$K677)</f>
        <v>0</v>
      </c>
      <c r="M677" s="31" t="n">
        <f aca="false">IF($F677="",0,IF($J677="V",$L677,$F677))</f>
        <v>0</v>
      </c>
      <c r="N677" s="31" t="n">
        <f aca="false">IF($F677="",0,IF($J677="U",$L677,$F677))</f>
        <v>0</v>
      </c>
      <c r="O677" s="35" t="str">
        <f aca="false">IF($A677="","",MONTH($A677))</f>
        <v/>
      </c>
      <c r="P677" s="35" t="str">
        <f aca="false">IF($A677="","",ROUNDUP(MONTH($A677)/3,0))</f>
        <v/>
      </c>
      <c r="Q677" s="35" t="str">
        <f aca="false">IF($A677="","",IF(MONTH($A677)&lt;=6,1,2))</f>
        <v/>
      </c>
      <c r="R677" s="35" t="str">
        <f aca="false">IF($E677="","",IFERROR(INDEX(Kontenplan!$F$5:$F$90,MATCH($E677,Kontenplan!$A$5:$A$90,0)),""))</f>
        <v/>
      </c>
      <c r="S677" s="35" t="str">
        <f aca="false">IF($D677="","",IFERROR(INDEX(Kontenplan!$F$5:$F$90,MATCH($D677,Kontenplan!$A$5:$A$90,0)),""))</f>
        <v/>
      </c>
      <c r="T677" s="35" t="str">
        <f aca="false">IF($D677="","",IFERROR(INDEX(Kontenplan!$C$5:$C$90,MATCH($D677,Kontenplan!$A$5:$A$90,0)),"?"))</f>
        <v/>
      </c>
      <c r="U677" s="35" t="str">
        <f aca="false">IF($E677="","",IFERROR(INDEX(Kontenplan!$C$5:$C$90,MATCH($E677,Kontenplan!$A$5:$A$90,0)),"?"))</f>
        <v/>
      </c>
      <c r="V677" s="35" t="str">
        <f aca="false">IF($F677="","",IF(OR($D677="",$E677="",$T677="?",$U677="?"),"Konto prüfen!",IF($A677="","Datum fehlt",IF(YEAR($A677)&lt;&gt;Einstellungen!$B$7,"anderes Jahr!",IF($G677="","MWST-Code fehlt","OK")))))</f>
        <v/>
      </c>
      <c r="W677" s="35" t="str">
        <f aca="false">IF($F677="","",IF(OR($D677=Kontoauszug!$C$4,$E677=Kontoauszug!$C$4),MAX(W$4:W676)+1,""))</f>
        <v/>
      </c>
    </row>
    <row r="678" customFormat="false" ht="15" hidden="false" customHeight="false" outlineLevel="0" collapsed="false">
      <c r="A678" s="33"/>
      <c r="B678" s="32"/>
      <c r="C678" s="32"/>
      <c r="D678" s="32"/>
      <c r="E678" s="32"/>
      <c r="F678" s="30"/>
      <c r="G678" s="32"/>
      <c r="H678" s="34" t="n">
        <f aca="false">IF($G678="",0,IFERROR(INDEX(Einstellungen!$G$5:$G$11,MATCH($G678,Einstellungen!$E$5:$E$11,0)),0))</f>
        <v>0</v>
      </c>
      <c r="I678" s="35" t="str">
        <f aca="false">IF($G678="","-",IFERROR(INDEX(Einstellungen!$H$5:$H$11,MATCH($G678,Einstellungen!$E$5:$E$11,0)),"-"))</f>
        <v>-</v>
      </c>
      <c r="J678" s="35" t="str">
        <f aca="false">IF(AND(Einstellungen!$B$8="Ja",Einstellungen!$B$9="Effektiv"),$I678,"-")</f>
        <v>-</v>
      </c>
      <c r="K678" s="31" t="n">
        <f aca="false">IF(OR($F678="",$J678="-"),0,ROUND($F678-$F678/(1+$H678),2))</f>
        <v>0</v>
      </c>
      <c r="L678" s="31" t="n">
        <f aca="false">IF($F678="",0,$F678-$K678)</f>
        <v>0</v>
      </c>
      <c r="M678" s="31" t="n">
        <f aca="false">IF($F678="",0,IF($J678="V",$L678,$F678))</f>
        <v>0</v>
      </c>
      <c r="N678" s="31" t="n">
        <f aca="false">IF($F678="",0,IF($J678="U",$L678,$F678))</f>
        <v>0</v>
      </c>
      <c r="O678" s="35" t="str">
        <f aca="false">IF($A678="","",MONTH($A678))</f>
        <v/>
      </c>
      <c r="P678" s="35" t="str">
        <f aca="false">IF($A678="","",ROUNDUP(MONTH($A678)/3,0))</f>
        <v/>
      </c>
      <c r="Q678" s="35" t="str">
        <f aca="false">IF($A678="","",IF(MONTH($A678)&lt;=6,1,2))</f>
        <v/>
      </c>
      <c r="R678" s="35" t="str">
        <f aca="false">IF($E678="","",IFERROR(INDEX(Kontenplan!$F$5:$F$90,MATCH($E678,Kontenplan!$A$5:$A$90,0)),""))</f>
        <v/>
      </c>
      <c r="S678" s="35" t="str">
        <f aca="false">IF($D678="","",IFERROR(INDEX(Kontenplan!$F$5:$F$90,MATCH($D678,Kontenplan!$A$5:$A$90,0)),""))</f>
        <v/>
      </c>
      <c r="T678" s="35" t="str">
        <f aca="false">IF($D678="","",IFERROR(INDEX(Kontenplan!$C$5:$C$90,MATCH($D678,Kontenplan!$A$5:$A$90,0)),"?"))</f>
        <v/>
      </c>
      <c r="U678" s="35" t="str">
        <f aca="false">IF($E678="","",IFERROR(INDEX(Kontenplan!$C$5:$C$90,MATCH($E678,Kontenplan!$A$5:$A$90,0)),"?"))</f>
        <v/>
      </c>
      <c r="V678" s="35" t="str">
        <f aca="false">IF($F678="","",IF(OR($D678="",$E678="",$T678="?",$U678="?"),"Konto prüfen!",IF($A678="","Datum fehlt",IF(YEAR($A678)&lt;&gt;Einstellungen!$B$7,"anderes Jahr!",IF($G678="","MWST-Code fehlt","OK")))))</f>
        <v/>
      </c>
      <c r="W678" s="35" t="str">
        <f aca="false">IF($F678="","",IF(OR($D678=Kontoauszug!$C$4,$E678=Kontoauszug!$C$4),MAX(W$4:W677)+1,""))</f>
        <v/>
      </c>
    </row>
    <row r="679" customFormat="false" ht="15" hidden="false" customHeight="false" outlineLevel="0" collapsed="false">
      <c r="A679" s="33"/>
      <c r="B679" s="32"/>
      <c r="C679" s="32"/>
      <c r="D679" s="32"/>
      <c r="E679" s="32"/>
      <c r="F679" s="30"/>
      <c r="G679" s="32"/>
      <c r="H679" s="34" t="n">
        <f aca="false">IF($G679="",0,IFERROR(INDEX(Einstellungen!$G$5:$G$11,MATCH($G679,Einstellungen!$E$5:$E$11,0)),0))</f>
        <v>0</v>
      </c>
      <c r="I679" s="35" t="str">
        <f aca="false">IF($G679="","-",IFERROR(INDEX(Einstellungen!$H$5:$H$11,MATCH($G679,Einstellungen!$E$5:$E$11,0)),"-"))</f>
        <v>-</v>
      </c>
      <c r="J679" s="35" t="str">
        <f aca="false">IF(AND(Einstellungen!$B$8="Ja",Einstellungen!$B$9="Effektiv"),$I679,"-")</f>
        <v>-</v>
      </c>
      <c r="K679" s="31" t="n">
        <f aca="false">IF(OR($F679="",$J679="-"),0,ROUND($F679-$F679/(1+$H679),2))</f>
        <v>0</v>
      </c>
      <c r="L679" s="31" t="n">
        <f aca="false">IF($F679="",0,$F679-$K679)</f>
        <v>0</v>
      </c>
      <c r="M679" s="31" t="n">
        <f aca="false">IF($F679="",0,IF($J679="V",$L679,$F679))</f>
        <v>0</v>
      </c>
      <c r="N679" s="31" t="n">
        <f aca="false">IF($F679="",0,IF($J679="U",$L679,$F679))</f>
        <v>0</v>
      </c>
      <c r="O679" s="35" t="str">
        <f aca="false">IF($A679="","",MONTH($A679))</f>
        <v/>
      </c>
      <c r="P679" s="35" t="str">
        <f aca="false">IF($A679="","",ROUNDUP(MONTH($A679)/3,0))</f>
        <v/>
      </c>
      <c r="Q679" s="35" t="str">
        <f aca="false">IF($A679="","",IF(MONTH($A679)&lt;=6,1,2))</f>
        <v/>
      </c>
      <c r="R679" s="35" t="str">
        <f aca="false">IF($E679="","",IFERROR(INDEX(Kontenplan!$F$5:$F$90,MATCH($E679,Kontenplan!$A$5:$A$90,0)),""))</f>
        <v/>
      </c>
      <c r="S679" s="35" t="str">
        <f aca="false">IF($D679="","",IFERROR(INDEX(Kontenplan!$F$5:$F$90,MATCH($D679,Kontenplan!$A$5:$A$90,0)),""))</f>
        <v/>
      </c>
      <c r="T679" s="35" t="str">
        <f aca="false">IF($D679="","",IFERROR(INDEX(Kontenplan!$C$5:$C$90,MATCH($D679,Kontenplan!$A$5:$A$90,0)),"?"))</f>
        <v/>
      </c>
      <c r="U679" s="35" t="str">
        <f aca="false">IF($E679="","",IFERROR(INDEX(Kontenplan!$C$5:$C$90,MATCH($E679,Kontenplan!$A$5:$A$90,0)),"?"))</f>
        <v/>
      </c>
      <c r="V679" s="35" t="str">
        <f aca="false">IF($F679="","",IF(OR($D679="",$E679="",$T679="?",$U679="?"),"Konto prüfen!",IF($A679="","Datum fehlt",IF(YEAR($A679)&lt;&gt;Einstellungen!$B$7,"anderes Jahr!",IF($G679="","MWST-Code fehlt","OK")))))</f>
        <v/>
      </c>
      <c r="W679" s="35" t="str">
        <f aca="false">IF($F679="","",IF(OR($D679=Kontoauszug!$C$4,$E679=Kontoauszug!$C$4),MAX(W$4:W678)+1,""))</f>
        <v/>
      </c>
    </row>
    <row r="680" customFormat="false" ht="15" hidden="false" customHeight="false" outlineLevel="0" collapsed="false">
      <c r="A680" s="33"/>
      <c r="B680" s="32"/>
      <c r="C680" s="32"/>
      <c r="D680" s="32"/>
      <c r="E680" s="32"/>
      <c r="F680" s="30"/>
      <c r="G680" s="32"/>
      <c r="H680" s="34" t="n">
        <f aca="false">IF($G680="",0,IFERROR(INDEX(Einstellungen!$G$5:$G$11,MATCH($G680,Einstellungen!$E$5:$E$11,0)),0))</f>
        <v>0</v>
      </c>
      <c r="I680" s="35" t="str">
        <f aca="false">IF($G680="","-",IFERROR(INDEX(Einstellungen!$H$5:$H$11,MATCH($G680,Einstellungen!$E$5:$E$11,0)),"-"))</f>
        <v>-</v>
      </c>
      <c r="J680" s="35" t="str">
        <f aca="false">IF(AND(Einstellungen!$B$8="Ja",Einstellungen!$B$9="Effektiv"),$I680,"-")</f>
        <v>-</v>
      </c>
      <c r="K680" s="31" t="n">
        <f aca="false">IF(OR($F680="",$J680="-"),0,ROUND($F680-$F680/(1+$H680),2))</f>
        <v>0</v>
      </c>
      <c r="L680" s="31" t="n">
        <f aca="false">IF($F680="",0,$F680-$K680)</f>
        <v>0</v>
      </c>
      <c r="M680" s="31" t="n">
        <f aca="false">IF($F680="",0,IF($J680="V",$L680,$F680))</f>
        <v>0</v>
      </c>
      <c r="N680" s="31" t="n">
        <f aca="false">IF($F680="",0,IF($J680="U",$L680,$F680))</f>
        <v>0</v>
      </c>
      <c r="O680" s="35" t="str">
        <f aca="false">IF($A680="","",MONTH($A680))</f>
        <v/>
      </c>
      <c r="P680" s="35" t="str">
        <f aca="false">IF($A680="","",ROUNDUP(MONTH($A680)/3,0))</f>
        <v/>
      </c>
      <c r="Q680" s="35" t="str">
        <f aca="false">IF($A680="","",IF(MONTH($A680)&lt;=6,1,2))</f>
        <v/>
      </c>
      <c r="R680" s="35" t="str">
        <f aca="false">IF($E680="","",IFERROR(INDEX(Kontenplan!$F$5:$F$90,MATCH($E680,Kontenplan!$A$5:$A$90,0)),""))</f>
        <v/>
      </c>
      <c r="S680" s="35" t="str">
        <f aca="false">IF($D680="","",IFERROR(INDEX(Kontenplan!$F$5:$F$90,MATCH($D680,Kontenplan!$A$5:$A$90,0)),""))</f>
        <v/>
      </c>
      <c r="T680" s="35" t="str">
        <f aca="false">IF($D680="","",IFERROR(INDEX(Kontenplan!$C$5:$C$90,MATCH($D680,Kontenplan!$A$5:$A$90,0)),"?"))</f>
        <v/>
      </c>
      <c r="U680" s="35" t="str">
        <f aca="false">IF($E680="","",IFERROR(INDEX(Kontenplan!$C$5:$C$90,MATCH($E680,Kontenplan!$A$5:$A$90,0)),"?"))</f>
        <v/>
      </c>
      <c r="V680" s="35" t="str">
        <f aca="false">IF($F680="","",IF(OR($D680="",$E680="",$T680="?",$U680="?"),"Konto prüfen!",IF($A680="","Datum fehlt",IF(YEAR($A680)&lt;&gt;Einstellungen!$B$7,"anderes Jahr!",IF($G680="","MWST-Code fehlt","OK")))))</f>
        <v/>
      </c>
      <c r="W680" s="35" t="str">
        <f aca="false">IF($F680="","",IF(OR($D680=Kontoauszug!$C$4,$E680=Kontoauszug!$C$4),MAX(W$4:W679)+1,""))</f>
        <v/>
      </c>
    </row>
    <row r="681" customFormat="false" ht="15" hidden="false" customHeight="false" outlineLevel="0" collapsed="false">
      <c r="A681" s="33"/>
      <c r="B681" s="32"/>
      <c r="C681" s="32"/>
      <c r="D681" s="32"/>
      <c r="E681" s="32"/>
      <c r="F681" s="30"/>
      <c r="G681" s="32"/>
      <c r="H681" s="34" t="n">
        <f aca="false">IF($G681="",0,IFERROR(INDEX(Einstellungen!$G$5:$G$11,MATCH($G681,Einstellungen!$E$5:$E$11,0)),0))</f>
        <v>0</v>
      </c>
      <c r="I681" s="35" t="str">
        <f aca="false">IF($G681="","-",IFERROR(INDEX(Einstellungen!$H$5:$H$11,MATCH($G681,Einstellungen!$E$5:$E$11,0)),"-"))</f>
        <v>-</v>
      </c>
      <c r="J681" s="35" t="str">
        <f aca="false">IF(AND(Einstellungen!$B$8="Ja",Einstellungen!$B$9="Effektiv"),$I681,"-")</f>
        <v>-</v>
      </c>
      <c r="K681" s="31" t="n">
        <f aca="false">IF(OR($F681="",$J681="-"),0,ROUND($F681-$F681/(1+$H681),2))</f>
        <v>0</v>
      </c>
      <c r="L681" s="31" t="n">
        <f aca="false">IF($F681="",0,$F681-$K681)</f>
        <v>0</v>
      </c>
      <c r="M681" s="31" t="n">
        <f aca="false">IF($F681="",0,IF($J681="V",$L681,$F681))</f>
        <v>0</v>
      </c>
      <c r="N681" s="31" t="n">
        <f aca="false">IF($F681="",0,IF($J681="U",$L681,$F681))</f>
        <v>0</v>
      </c>
      <c r="O681" s="35" t="str">
        <f aca="false">IF($A681="","",MONTH($A681))</f>
        <v/>
      </c>
      <c r="P681" s="35" t="str">
        <f aca="false">IF($A681="","",ROUNDUP(MONTH($A681)/3,0))</f>
        <v/>
      </c>
      <c r="Q681" s="35" t="str">
        <f aca="false">IF($A681="","",IF(MONTH($A681)&lt;=6,1,2))</f>
        <v/>
      </c>
      <c r="R681" s="35" t="str">
        <f aca="false">IF($E681="","",IFERROR(INDEX(Kontenplan!$F$5:$F$90,MATCH($E681,Kontenplan!$A$5:$A$90,0)),""))</f>
        <v/>
      </c>
      <c r="S681" s="35" t="str">
        <f aca="false">IF($D681="","",IFERROR(INDEX(Kontenplan!$F$5:$F$90,MATCH($D681,Kontenplan!$A$5:$A$90,0)),""))</f>
        <v/>
      </c>
      <c r="T681" s="35" t="str">
        <f aca="false">IF($D681="","",IFERROR(INDEX(Kontenplan!$C$5:$C$90,MATCH($D681,Kontenplan!$A$5:$A$90,0)),"?"))</f>
        <v/>
      </c>
      <c r="U681" s="35" t="str">
        <f aca="false">IF($E681="","",IFERROR(INDEX(Kontenplan!$C$5:$C$90,MATCH($E681,Kontenplan!$A$5:$A$90,0)),"?"))</f>
        <v/>
      </c>
      <c r="V681" s="35" t="str">
        <f aca="false">IF($F681="","",IF(OR($D681="",$E681="",$T681="?",$U681="?"),"Konto prüfen!",IF($A681="","Datum fehlt",IF(YEAR($A681)&lt;&gt;Einstellungen!$B$7,"anderes Jahr!",IF($G681="","MWST-Code fehlt","OK")))))</f>
        <v/>
      </c>
      <c r="W681" s="35" t="str">
        <f aca="false">IF($F681="","",IF(OR($D681=Kontoauszug!$C$4,$E681=Kontoauszug!$C$4),MAX(W$4:W680)+1,""))</f>
        <v/>
      </c>
    </row>
    <row r="682" customFormat="false" ht="15" hidden="false" customHeight="false" outlineLevel="0" collapsed="false">
      <c r="A682" s="33"/>
      <c r="B682" s="32"/>
      <c r="C682" s="32"/>
      <c r="D682" s="32"/>
      <c r="E682" s="32"/>
      <c r="F682" s="30"/>
      <c r="G682" s="32"/>
      <c r="H682" s="34" t="n">
        <f aca="false">IF($G682="",0,IFERROR(INDEX(Einstellungen!$G$5:$G$11,MATCH($G682,Einstellungen!$E$5:$E$11,0)),0))</f>
        <v>0</v>
      </c>
      <c r="I682" s="35" t="str">
        <f aca="false">IF($G682="","-",IFERROR(INDEX(Einstellungen!$H$5:$H$11,MATCH($G682,Einstellungen!$E$5:$E$11,0)),"-"))</f>
        <v>-</v>
      </c>
      <c r="J682" s="35" t="str">
        <f aca="false">IF(AND(Einstellungen!$B$8="Ja",Einstellungen!$B$9="Effektiv"),$I682,"-")</f>
        <v>-</v>
      </c>
      <c r="K682" s="31" t="n">
        <f aca="false">IF(OR($F682="",$J682="-"),0,ROUND($F682-$F682/(1+$H682),2))</f>
        <v>0</v>
      </c>
      <c r="L682" s="31" t="n">
        <f aca="false">IF($F682="",0,$F682-$K682)</f>
        <v>0</v>
      </c>
      <c r="M682" s="31" t="n">
        <f aca="false">IF($F682="",0,IF($J682="V",$L682,$F682))</f>
        <v>0</v>
      </c>
      <c r="N682" s="31" t="n">
        <f aca="false">IF($F682="",0,IF($J682="U",$L682,$F682))</f>
        <v>0</v>
      </c>
      <c r="O682" s="35" t="str">
        <f aca="false">IF($A682="","",MONTH($A682))</f>
        <v/>
      </c>
      <c r="P682" s="35" t="str">
        <f aca="false">IF($A682="","",ROUNDUP(MONTH($A682)/3,0))</f>
        <v/>
      </c>
      <c r="Q682" s="35" t="str">
        <f aca="false">IF($A682="","",IF(MONTH($A682)&lt;=6,1,2))</f>
        <v/>
      </c>
      <c r="R682" s="35" t="str">
        <f aca="false">IF($E682="","",IFERROR(INDEX(Kontenplan!$F$5:$F$90,MATCH($E682,Kontenplan!$A$5:$A$90,0)),""))</f>
        <v/>
      </c>
      <c r="S682" s="35" t="str">
        <f aca="false">IF($D682="","",IFERROR(INDEX(Kontenplan!$F$5:$F$90,MATCH($D682,Kontenplan!$A$5:$A$90,0)),""))</f>
        <v/>
      </c>
      <c r="T682" s="35" t="str">
        <f aca="false">IF($D682="","",IFERROR(INDEX(Kontenplan!$C$5:$C$90,MATCH($D682,Kontenplan!$A$5:$A$90,0)),"?"))</f>
        <v/>
      </c>
      <c r="U682" s="35" t="str">
        <f aca="false">IF($E682="","",IFERROR(INDEX(Kontenplan!$C$5:$C$90,MATCH($E682,Kontenplan!$A$5:$A$90,0)),"?"))</f>
        <v/>
      </c>
      <c r="V682" s="35" t="str">
        <f aca="false">IF($F682="","",IF(OR($D682="",$E682="",$T682="?",$U682="?"),"Konto prüfen!",IF($A682="","Datum fehlt",IF(YEAR($A682)&lt;&gt;Einstellungen!$B$7,"anderes Jahr!",IF($G682="","MWST-Code fehlt","OK")))))</f>
        <v/>
      </c>
      <c r="W682" s="35" t="str">
        <f aca="false">IF($F682="","",IF(OR($D682=Kontoauszug!$C$4,$E682=Kontoauszug!$C$4),MAX(W$4:W681)+1,""))</f>
        <v/>
      </c>
    </row>
    <row r="683" customFormat="false" ht="15" hidden="false" customHeight="false" outlineLevel="0" collapsed="false">
      <c r="A683" s="33"/>
      <c r="B683" s="32"/>
      <c r="C683" s="32"/>
      <c r="D683" s="32"/>
      <c r="E683" s="32"/>
      <c r="F683" s="30"/>
      <c r="G683" s="32"/>
      <c r="H683" s="34" t="n">
        <f aca="false">IF($G683="",0,IFERROR(INDEX(Einstellungen!$G$5:$G$11,MATCH($G683,Einstellungen!$E$5:$E$11,0)),0))</f>
        <v>0</v>
      </c>
      <c r="I683" s="35" t="str">
        <f aca="false">IF($G683="","-",IFERROR(INDEX(Einstellungen!$H$5:$H$11,MATCH($G683,Einstellungen!$E$5:$E$11,0)),"-"))</f>
        <v>-</v>
      </c>
      <c r="J683" s="35" t="str">
        <f aca="false">IF(AND(Einstellungen!$B$8="Ja",Einstellungen!$B$9="Effektiv"),$I683,"-")</f>
        <v>-</v>
      </c>
      <c r="K683" s="31" t="n">
        <f aca="false">IF(OR($F683="",$J683="-"),0,ROUND($F683-$F683/(1+$H683),2))</f>
        <v>0</v>
      </c>
      <c r="L683" s="31" t="n">
        <f aca="false">IF($F683="",0,$F683-$K683)</f>
        <v>0</v>
      </c>
      <c r="M683" s="31" t="n">
        <f aca="false">IF($F683="",0,IF($J683="V",$L683,$F683))</f>
        <v>0</v>
      </c>
      <c r="N683" s="31" t="n">
        <f aca="false">IF($F683="",0,IF($J683="U",$L683,$F683))</f>
        <v>0</v>
      </c>
      <c r="O683" s="35" t="str">
        <f aca="false">IF($A683="","",MONTH($A683))</f>
        <v/>
      </c>
      <c r="P683" s="35" t="str">
        <f aca="false">IF($A683="","",ROUNDUP(MONTH($A683)/3,0))</f>
        <v/>
      </c>
      <c r="Q683" s="35" t="str">
        <f aca="false">IF($A683="","",IF(MONTH($A683)&lt;=6,1,2))</f>
        <v/>
      </c>
      <c r="R683" s="35" t="str">
        <f aca="false">IF($E683="","",IFERROR(INDEX(Kontenplan!$F$5:$F$90,MATCH($E683,Kontenplan!$A$5:$A$90,0)),""))</f>
        <v/>
      </c>
      <c r="S683" s="35" t="str">
        <f aca="false">IF($D683="","",IFERROR(INDEX(Kontenplan!$F$5:$F$90,MATCH($D683,Kontenplan!$A$5:$A$90,0)),""))</f>
        <v/>
      </c>
      <c r="T683" s="35" t="str">
        <f aca="false">IF($D683="","",IFERROR(INDEX(Kontenplan!$C$5:$C$90,MATCH($D683,Kontenplan!$A$5:$A$90,0)),"?"))</f>
        <v/>
      </c>
      <c r="U683" s="35" t="str">
        <f aca="false">IF($E683="","",IFERROR(INDEX(Kontenplan!$C$5:$C$90,MATCH($E683,Kontenplan!$A$5:$A$90,0)),"?"))</f>
        <v/>
      </c>
      <c r="V683" s="35" t="str">
        <f aca="false">IF($F683="","",IF(OR($D683="",$E683="",$T683="?",$U683="?"),"Konto prüfen!",IF($A683="","Datum fehlt",IF(YEAR($A683)&lt;&gt;Einstellungen!$B$7,"anderes Jahr!",IF($G683="","MWST-Code fehlt","OK")))))</f>
        <v/>
      </c>
      <c r="W683" s="35" t="str">
        <f aca="false">IF($F683="","",IF(OR($D683=Kontoauszug!$C$4,$E683=Kontoauszug!$C$4),MAX(W$4:W682)+1,""))</f>
        <v/>
      </c>
    </row>
    <row r="684" customFormat="false" ht="15" hidden="false" customHeight="false" outlineLevel="0" collapsed="false">
      <c r="A684" s="33"/>
      <c r="B684" s="32"/>
      <c r="C684" s="32"/>
      <c r="D684" s="32"/>
      <c r="E684" s="32"/>
      <c r="F684" s="30"/>
      <c r="G684" s="32"/>
      <c r="H684" s="34" t="n">
        <f aca="false">IF($G684="",0,IFERROR(INDEX(Einstellungen!$G$5:$G$11,MATCH($G684,Einstellungen!$E$5:$E$11,0)),0))</f>
        <v>0</v>
      </c>
      <c r="I684" s="35" t="str">
        <f aca="false">IF($G684="","-",IFERROR(INDEX(Einstellungen!$H$5:$H$11,MATCH($G684,Einstellungen!$E$5:$E$11,0)),"-"))</f>
        <v>-</v>
      </c>
      <c r="J684" s="35" t="str">
        <f aca="false">IF(AND(Einstellungen!$B$8="Ja",Einstellungen!$B$9="Effektiv"),$I684,"-")</f>
        <v>-</v>
      </c>
      <c r="K684" s="31" t="n">
        <f aca="false">IF(OR($F684="",$J684="-"),0,ROUND($F684-$F684/(1+$H684),2))</f>
        <v>0</v>
      </c>
      <c r="L684" s="31" t="n">
        <f aca="false">IF($F684="",0,$F684-$K684)</f>
        <v>0</v>
      </c>
      <c r="M684" s="31" t="n">
        <f aca="false">IF($F684="",0,IF($J684="V",$L684,$F684))</f>
        <v>0</v>
      </c>
      <c r="N684" s="31" t="n">
        <f aca="false">IF($F684="",0,IF($J684="U",$L684,$F684))</f>
        <v>0</v>
      </c>
      <c r="O684" s="35" t="str">
        <f aca="false">IF($A684="","",MONTH($A684))</f>
        <v/>
      </c>
      <c r="P684" s="35" t="str">
        <f aca="false">IF($A684="","",ROUNDUP(MONTH($A684)/3,0))</f>
        <v/>
      </c>
      <c r="Q684" s="35" t="str">
        <f aca="false">IF($A684="","",IF(MONTH($A684)&lt;=6,1,2))</f>
        <v/>
      </c>
      <c r="R684" s="35" t="str">
        <f aca="false">IF($E684="","",IFERROR(INDEX(Kontenplan!$F$5:$F$90,MATCH($E684,Kontenplan!$A$5:$A$90,0)),""))</f>
        <v/>
      </c>
      <c r="S684" s="35" t="str">
        <f aca="false">IF($D684="","",IFERROR(INDEX(Kontenplan!$F$5:$F$90,MATCH($D684,Kontenplan!$A$5:$A$90,0)),""))</f>
        <v/>
      </c>
      <c r="T684" s="35" t="str">
        <f aca="false">IF($D684="","",IFERROR(INDEX(Kontenplan!$C$5:$C$90,MATCH($D684,Kontenplan!$A$5:$A$90,0)),"?"))</f>
        <v/>
      </c>
      <c r="U684" s="35" t="str">
        <f aca="false">IF($E684="","",IFERROR(INDEX(Kontenplan!$C$5:$C$90,MATCH($E684,Kontenplan!$A$5:$A$90,0)),"?"))</f>
        <v/>
      </c>
      <c r="V684" s="35" t="str">
        <f aca="false">IF($F684="","",IF(OR($D684="",$E684="",$T684="?",$U684="?"),"Konto prüfen!",IF($A684="","Datum fehlt",IF(YEAR($A684)&lt;&gt;Einstellungen!$B$7,"anderes Jahr!",IF($G684="","MWST-Code fehlt","OK")))))</f>
        <v/>
      </c>
      <c r="W684" s="35" t="str">
        <f aca="false">IF($F684="","",IF(OR($D684=Kontoauszug!$C$4,$E684=Kontoauszug!$C$4),MAX(W$4:W683)+1,""))</f>
        <v/>
      </c>
    </row>
    <row r="685" customFormat="false" ht="15" hidden="false" customHeight="false" outlineLevel="0" collapsed="false">
      <c r="A685" s="33"/>
      <c r="B685" s="32"/>
      <c r="C685" s="32"/>
      <c r="D685" s="32"/>
      <c r="E685" s="32"/>
      <c r="F685" s="30"/>
      <c r="G685" s="32"/>
      <c r="H685" s="34" t="n">
        <f aca="false">IF($G685="",0,IFERROR(INDEX(Einstellungen!$G$5:$G$11,MATCH($G685,Einstellungen!$E$5:$E$11,0)),0))</f>
        <v>0</v>
      </c>
      <c r="I685" s="35" t="str">
        <f aca="false">IF($G685="","-",IFERROR(INDEX(Einstellungen!$H$5:$H$11,MATCH($G685,Einstellungen!$E$5:$E$11,0)),"-"))</f>
        <v>-</v>
      </c>
      <c r="J685" s="35" t="str">
        <f aca="false">IF(AND(Einstellungen!$B$8="Ja",Einstellungen!$B$9="Effektiv"),$I685,"-")</f>
        <v>-</v>
      </c>
      <c r="K685" s="31" t="n">
        <f aca="false">IF(OR($F685="",$J685="-"),0,ROUND($F685-$F685/(1+$H685),2))</f>
        <v>0</v>
      </c>
      <c r="L685" s="31" t="n">
        <f aca="false">IF($F685="",0,$F685-$K685)</f>
        <v>0</v>
      </c>
      <c r="M685" s="31" t="n">
        <f aca="false">IF($F685="",0,IF($J685="V",$L685,$F685))</f>
        <v>0</v>
      </c>
      <c r="N685" s="31" t="n">
        <f aca="false">IF($F685="",0,IF($J685="U",$L685,$F685))</f>
        <v>0</v>
      </c>
      <c r="O685" s="35" t="str">
        <f aca="false">IF($A685="","",MONTH($A685))</f>
        <v/>
      </c>
      <c r="P685" s="35" t="str">
        <f aca="false">IF($A685="","",ROUNDUP(MONTH($A685)/3,0))</f>
        <v/>
      </c>
      <c r="Q685" s="35" t="str">
        <f aca="false">IF($A685="","",IF(MONTH($A685)&lt;=6,1,2))</f>
        <v/>
      </c>
      <c r="R685" s="35" t="str">
        <f aca="false">IF($E685="","",IFERROR(INDEX(Kontenplan!$F$5:$F$90,MATCH($E685,Kontenplan!$A$5:$A$90,0)),""))</f>
        <v/>
      </c>
      <c r="S685" s="35" t="str">
        <f aca="false">IF($D685="","",IFERROR(INDEX(Kontenplan!$F$5:$F$90,MATCH($D685,Kontenplan!$A$5:$A$90,0)),""))</f>
        <v/>
      </c>
      <c r="T685" s="35" t="str">
        <f aca="false">IF($D685="","",IFERROR(INDEX(Kontenplan!$C$5:$C$90,MATCH($D685,Kontenplan!$A$5:$A$90,0)),"?"))</f>
        <v/>
      </c>
      <c r="U685" s="35" t="str">
        <f aca="false">IF($E685="","",IFERROR(INDEX(Kontenplan!$C$5:$C$90,MATCH($E685,Kontenplan!$A$5:$A$90,0)),"?"))</f>
        <v/>
      </c>
      <c r="V685" s="35" t="str">
        <f aca="false">IF($F685="","",IF(OR($D685="",$E685="",$T685="?",$U685="?"),"Konto prüfen!",IF($A685="","Datum fehlt",IF(YEAR($A685)&lt;&gt;Einstellungen!$B$7,"anderes Jahr!",IF($G685="","MWST-Code fehlt","OK")))))</f>
        <v/>
      </c>
      <c r="W685" s="35" t="str">
        <f aca="false">IF($F685="","",IF(OR($D685=Kontoauszug!$C$4,$E685=Kontoauszug!$C$4),MAX(W$4:W684)+1,""))</f>
        <v/>
      </c>
    </row>
    <row r="686" customFormat="false" ht="15" hidden="false" customHeight="false" outlineLevel="0" collapsed="false">
      <c r="A686" s="33"/>
      <c r="B686" s="32"/>
      <c r="C686" s="32"/>
      <c r="D686" s="32"/>
      <c r="E686" s="32"/>
      <c r="F686" s="30"/>
      <c r="G686" s="32"/>
      <c r="H686" s="34" t="n">
        <f aca="false">IF($G686="",0,IFERROR(INDEX(Einstellungen!$G$5:$G$11,MATCH($G686,Einstellungen!$E$5:$E$11,0)),0))</f>
        <v>0</v>
      </c>
      <c r="I686" s="35" t="str">
        <f aca="false">IF($G686="","-",IFERROR(INDEX(Einstellungen!$H$5:$H$11,MATCH($G686,Einstellungen!$E$5:$E$11,0)),"-"))</f>
        <v>-</v>
      </c>
      <c r="J686" s="35" t="str">
        <f aca="false">IF(AND(Einstellungen!$B$8="Ja",Einstellungen!$B$9="Effektiv"),$I686,"-")</f>
        <v>-</v>
      </c>
      <c r="K686" s="31" t="n">
        <f aca="false">IF(OR($F686="",$J686="-"),0,ROUND($F686-$F686/(1+$H686),2))</f>
        <v>0</v>
      </c>
      <c r="L686" s="31" t="n">
        <f aca="false">IF($F686="",0,$F686-$K686)</f>
        <v>0</v>
      </c>
      <c r="M686" s="31" t="n">
        <f aca="false">IF($F686="",0,IF($J686="V",$L686,$F686))</f>
        <v>0</v>
      </c>
      <c r="N686" s="31" t="n">
        <f aca="false">IF($F686="",0,IF($J686="U",$L686,$F686))</f>
        <v>0</v>
      </c>
      <c r="O686" s="35" t="str">
        <f aca="false">IF($A686="","",MONTH($A686))</f>
        <v/>
      </c>
      <c r="P686" s="35" t="str">
        <f aca="false">IF($A686="","",ROUNDUP(MONTH($A686)/3,0))</f>
        <v/>
      </c>
      <c r="Q686" s="35" t="str">
        <f aca="false">IF($A686="","",IF(MONTH($A686)&lt;=6,1,2))</f>
        <v/>
      </c>
      <c r="R686" s="35" t="str">
        <f aca="false">IF($E686="","",IFERROR(INDEX(Kontenplan!$F$5:$F$90,MATCH($E686,Kontenplan!$A$5:$A$90,0)),""))</f>
        <v/>
      </c>
      <c r="S686" s="35" t="str">
        <f aca="false">IF($D686="","",IFERROR(INDEX(Kontenplan!$F$5:$F$90,MATCH($D686,Kontenplan!$A$5:$A$90,0)),""))</f>
        <v/>
      </c>
      <c r="T686" s="35" t="str">
        <f aca="false">IF($D686="","",IFERROR(INDEX(Kontenplan!$C$5:$C$90,MATCH($D686,Kontenplan!$A$5:$A$90,0)),"?"))</f>
        <v/>
      </c>
      <c r="U686" s="35" t="str">
        <f aca="false">IF($E686="","",IFERROR(INDEX(Kontenplan!$C$5:$C$90,MATCH($E686,Kontenplan!$A$5:$A$90,0)),"?"))</f>
        <v/>
      </c>
      <c r="V686" s="35" t="str">
        <f aca="false">IF($F686="","",IF(OR($D686="",$E686="",$T686="?",$U686="?"),"Konto prüfen!",IF($A686="","Datum fehlt",IF(YEAR($A686)&lt;&gt;Einstellungen!$B$7,"anderes Jahr!",IF($G686="","MWST-Code fehlt","OK")))))</f>
        <v/>
      </c>
      <c r="W686" s="35" t="str">
        <f aca="false">IF($F686="","",IF(OR($D686=Kontoauszug!$C$4,$E686=Kontoauszug!$C$4),MAX(W$4:W685)+1,""))</f>
        <v/>
      </c>
    </row>
    <row r="687" customFormat="false" ht="15" hidden="false" customHeight="false" outlineLevel="0" collapsed="false">
      <c r="A687" s="33"/>
      <c r="B687" s="32"/>
      <c r="C687" s="32"/>
      <c r="D687" s="32"/>
      <c r="E687" s="32"/>
      <c r="F687" s="30"/>
      <c r="G687" s="32"/>
      <c r="H687" s="34" t="n">
        <f aca="false">IF($G687="",0,IFERROR(INDEX(Einstellungen!$G$5:$G$11,MATCH($G687,Einstellungen!$E$5:$E$11,0)),0))</f>
        <v>0</v>
      </c>
      <c r="I687" s="35" t="str">
        <f aca="false">IF($G687="","-",IFERROR(INDEX(Einstellungen!$H$5:$H$11,MATCH($G687,Einstellungen!$E$5:$E$11,0)),"-"))</f>
        <v>-</v>
      </c>
      <c r="J687" s="35" t="str">
        <f aca="false">IF(AND(Einstellungen!$B$8="Ja",Einstellungen!$B$9="Effektiv"),$I687,"-")</f>
        <v>-</v>
      </c>
      <c r="K687" s="31" t="n">
        <f aca="false">IF(OR($F687="",$J687="-"),0,ROUND($F687-$F687/(1+$H687),2))</f>
        <v>0</v>
      </c>
      <c r="L687" s="31" t="n">
        <f aca="false">IF($F687="",0,$F687-$K687)</f>
        <v>0</v>
      </c>
      <c r="M687" s="31" t="n">
        <f aca="false">IF($F687="",0,IF($J687="V",$L687,$F687))</f>
        <v>0</v>
      </c>
      <c r="N687" s="31" t="n">
        <f aca="false">IF($F687="",0,IF($J687="U",$L687,$F687))</f>
        <v>0</v>
      </c>
      <c r="O687" s="35" t="str">
        <f aca="false">IF($A687="","",MONTH($A687))</f>
        <v/>
      </c>
      <c r="P687" s="35" t="str">
        <f aca="false">IF($A687="","",ROUNDUP(MONTH($A687)/3,0))</f>
        <v/>
      </c>
      <c r="Q687" s="35" t="str">
        <f aca="false">IF($A687="","",IF(MONTH($A687)&lt;=6,1,2))</f>
        <v/>
      </c>
      <c r="R687" s="35" t="str">
        <f aca="false">IF($E687="","",IFERROR(INDEX(Kontenplan!$F$5:$F$90,MATCH($E687,Kontenplan!$A$5:$A$90,0)),""))</f>
        <v/>
      </c>
      <c r="S687" s="35" t="str">
        <f aca="false">IF($D687="","",IFERROR(INDEX(Kontenplan!$F$5:$F$90,MATCH($D687,Kontenplan!$A$5:$A$90,0)),""))</f>
        <v/>
      </c>
      <c r="T687" s="35" t="str">
        <f aca="false">IF($D687="","",IFERROR(INDEX(Kontenplan!$C$5:$C$90,MATCH($D687,Kontenplan!$A$5:$A$90,0)),"?"))</f>
        <v/>
      </c>
      <c r="U687" s="35" t="str">
        <f aca="false">IF($E687="","",IFERROR(INDEX(Kontenplan!$C$5:$C$90,MATCH($E687,Kontenplan!$A$5:$A$90,0)),"?"))</f>
        <v/>
      </c>
      <c r="V687" s="35" t="str">
        <f aca="false">IF($F687="","",IF(OR($D687="",$E687="",$T687="?",$U687="?"),"Konto prüfen!",IF($A687="","Datum fehlt",IF(YEAR($A687)&lt;&gt;Einstellungen!$B$7,"anderes Jahr!",IF($G687="","MWST-Code fehlt","OK")))))</f>
        <v/>
      </c>
      <c r="W687" s="35" t="str">
        <f aca="false">IF($F687="","",IF(OR($D687=Kontoauszug!$C$4,$E687=Kontoauszug!$C$4),MAX(W$4:W686)+1,""))</f>
        <v/>
      </c>
    </row>
    <row r="688" customFormat="false" ht="15" hidden="false" customHeight="false" outlineLevel="0" collapsed="false">
      <c r="A688" s="33"/>
      <c r="B688" s="32"/>
      <c r="C688" s="32"/>
      <c r="D688" s="32"/>
      <c r="E688" s="32"/>
      <c r="F688" s="30"/>
      <c r="G688" s="32"/>
      <c r="H688" s="34" t="n">
        <f aca="false">IF($G688="",0,IFERROR(INDEX(Einstellungen!$G$5:$G$11,MATCH($G688,Einstellungen!$E$5:$E$11,0)),0))</f>
        <v>0</v>
      </c>
      <c r="I688" s="35" t="str">
        <f aca="false">IF($G688="","-",IFERROR(INDEX(Einstellungen!$H$5:$H$11,MATCH($G688,Einstellungen!$E$5:$E$11,0)),"-"))</f>
        <v>-</v>
      </c>
      <c r="J688" s="35" t="str">
        <f aca="false">IF(AND(Einstellungen!$B$8="Ja",Einstellungen!$B$9="Effektiv"),$I688,"-")</f>
        <v>-</v>
      </c>
      <c r="K688" s="31" t="n">
        <f aca="false">IF(OR($F688="",$J688="-"),0,ROUND($F688-$F688/(1+$H688),2))</f>
        <v>0</v>
      </c>
      <c r="L688" s="31" t="n">
        <f aca="false">IF($F688="",0,$F688-$K688)</f>
        <v>0</v>
      </c>
      <c r="M688" s="31" t="n">
        <f aca="false">IF($F688="",0,IF($J688="V",$L688,$F688))</f>
        <v>0</v>
      </c>
      <c r="N688" s="31" t="n">
        <f aca="false">IF($F688="",0,IF($J688="U",$L688,$F688))</f>
        <v>0</v>
      </c>
      <c r="O688" s="35" t="str">
        <f aca="false">IF($A688="","",MONTH($A688))</f>
        <v/>
      </c>
      <c r="P688" s="35" t="str">
        <f aca="false">IF($A688="","",ROUNDUP(MONTH($A688)/3,0))</f>
        <v/>
      </c>
      <c r="Q688" s="35" t="str">
        <f aca="false">IF($A688="","",IF(MONTH($A688)&lt;=6,1,2))</f>
        <v/>
      </c>
      <c r="R688" s="35" t="str">
        <f aca="false">IF($E688="","",IFERROR(INDEX(Kontenplan!$F$5:$F$90,MATCH($E688,Kontenplan!$A$5:$A$90,0)),""))</f>
        <v/>
      </c>
      <c r="S688" s="35" t="str">
        <f aca="false">IF($D688="","",IFERROR(INDEX(Kontenplan!$F$5:$F$90,MATCH($D688,Kontenplan!$A$5:$A$90,0)),""))</f>
        <v/>
      </c>
      <c r="T688" s="35" t="str">
        <f aca="false">IF($D688="","",IFERROR(INDEX(Kontenplan!$C$5:$C$90,MATCH($D688,Kontenplan!$A$5:$A$90,0)),"?"))</f>
        <v/>
      </c>
      <c r="U688" s="35" t="str">
        <f aca="false">IF($E688="","",IFERROR(INDEX(Kontenplan!$C$5:$C$90,MATCH($E688,Kontenplan!$A$5:$A$90,0)),"?"))</f>
        <v/>
      </c>
      <c r="V688" s="35" t="str">
        <f aca="false">IF($F688="","",IF(OR($D688="",$E688="",$T688="?",$U688="?"),"Konto prüfen!",IF($A688="","Datum fehlt",IF(YEAR($A688)&lt;&gt;Einstellungen!$B$7,"anderes Jahr!",IF($G688="","MWST-Code fehlt","OK")))))</f>
        <v/>
      </c>
      <c r="W688" s="35" t="str">
        <f aca="false">IF($F688="","",IF(OR($D688=Kontoauszug!$C$4,$E688=Kontoauszug!$C$4),MAX(W$4:W687)+1,""))</f>
        <v/>
      </c>
    </row>
    <row r="689" customFormat="false" ht="15" hidden="false" customHeight="false" outlineLevel="0" collapsed="false">
      <c r="A689" s="33"/>
      <c r="B689" s="32"/>
      <c r="C689" s="32"/>
      <c r="D689" s="32"/>
      <c r="E689" s="32"/>
      <c r="F689" s="30"/>
      <c r="G689" s="32"/>
      <c r="H689" s="34" t="n">
        <f aca="false">IF($G689="",0,IFERROR(INDEX(Einstellungen!$G$5:$G$11,MATCH($G689,Einstellungen!$E$5:$E$11,0)),0))</f>
        <v>0</v>
      </c>
      <c r="I689" s="35" t="str">
        <f aca="false">IF($G689="","-",IFERROR(INDEX(Einstellungen!$H$5:$H$11,MATCH($G689,Einstellungen!$E$5:$E$11,0)),"-"))</f>
        <v>-</v>
      </c>
      <c r="J689" s="35" t="str">
        <f aca="false">IF(AND(Einstellungen!$B$8="Ja",Einstellungen!$B$9="Effektiv"),$I689,"-")</f>
        <v>-</v>
      </c>
      <c r="K689" s="31" t="n">
        <f aca="false">IF(OR($F689="",$J689="-"),0,ROUND($F689-$F689/(1+$H689),2))</f>
        <v>0</v>
      </c>
      <c r="L689" s="31" t="n">
        <f aca="false">IF($F689="",0,$F689-$K689)</f>
        <v>0</v>
      </c>
      <c r="M689" s="31" t="n">
        <f aca="false">IF($F689="",0,IF($J689="V",$L689,$F689))</f>
        <v>0</v>
      </c>
      <c r="N689" s="31" t="n">
        <f aca="false">IF($F689="",0,IF($J689="U",$L689,$F689))</f>
        <v>0</v>
      </c>
      <c r="O689" s="35" t="str">
        <f aca="false">IF($A689="","",MONTH($A689))</f>
        <v/>
      </c>
      <c r="P689" s="35" t="str">
        <f aca="false">IF($A689="","",ROUNDUP(MONTH($A689)/3,0))</f>
        <v/>
      </c>
      <c r="Q689" s="35" t="str">
        <f aca="false">IF($A689="","",IF(MONTH($A689)&lt;=6,1,2))</f>
        <v/>
      </c>
      <c r="R689" s="35" t="str">
        <f aca="false">IF($E689="","",IFERROR(INDEX(Kontenplan!$F$5:$F$90,MATCH($E689,Kontenplan!$A$5:$A$90,0)),""))</f>
        <v/>
      </c>
      <c r="S689" s="35" t="str">
        <f aca="false">IF($D689="","",IFERROR(INDEX(Kontenplan!$F$5:$F$90,MATCH($D689,Kontenplan!$A$5:$A$90,0)),""))</f>
        <v/>
      </c>
      <c r="T689" s="35" t="str">
        <f aca="false">IF($D689="","",IFERROR(INDEX(Kontenplan!$C$5:$C$90,MATCH($D689,Kontenplan!$A$5:$A$90,0)),"?"))</f>
        <v/>
      </c>
      <c r="U689" s="35" t="str">
        <f aca="false">IF($E689="","",IFERROR(INDEX(Kontenplan!$C$5:$C$90,MATCH($E689,Kontenplan!$A$5:$A$90,0)),"?"))</f>
        <v/>
      </c>
      <c r="V689" s="35" t="str">
        <f aca="false">IF($F689="","",IF(OR($D689="",$E689="",$T689="?",$U689="?"),"Konto prüfen!",IF($A689="","Datum fehlt",IF(YEAR($A689)&lt;&gt;Einstellungen!$B$7,"anderes Jahr!",IF($G689="","MWST-Code fehlt","OK")))))</f>
        <v/>
      </c>
      <c r="W689" s="35" t="str">
        <f aca="false">IF($F689="","",IF(OR($D689=Kontoauszug!$C$4,$E689=Kontoauszug!$C$4),MAX(W$4:W688)+1,""))</f>
        <v/>
      </c>
    </row>
    <row r="690" customFormat="false" ht="15" hidden="false" customHeight="false" outlineLevel="0" collapsed="false">
      <c r="A690" s="33"/>
      <c r="B690" s="32"/>
      <c r="C690" s="32"/>
      <c r="D690" s="32"/>
      <c r="E690" s="32"/>
      <c r="F690" s="30"/>
      <c r="G690" s="32"/>
      <c r="H690" s="34" t="n">
        <f aca="false">IF($G690="",0,IFERROR(INDEX(Einstellungen!$G$5:$G$11,MATCH($G690,Einstellungen!$E$5:$E$11,0)),0))</f>
        <v>0</v>
      </c>
      <c r="I690" s="35" t="str">
        <f aca="false">IF($G690="","-",IFERROR(INDEX(Einstellungen!$H$5:$H$11,MATCH($G690,Einstellungen!$E$5:$E$11,0)),"-"))</f>
        <v>-</v>
      </c>
      <c r="J690" s="35" t="str">
        <f aca="false">IF(AND(Einstellungen!$B$8="Ja",Einstellungen!$B$9="Effektiv"),$I690,"-")</f>
        <v>-</v>
      </c>
      <c r="K690" s="31" t="n">
        <f aca="false">IF(OR($F690="",$J690="-"),0,ROUND($F690-$F690/(1+$H690),2))</f>
        <v>0</v>
      </c>
      <c r="L690" s="31" t="n">
        <f aca="false">IF($F690="",0,$F690-$K690)</f>
        <v>0</v>
      </c>
      <c r="M690" s="31" t="n">
        <f aca="false">IF($F690="",0,IF($J690="V",$L690,$F690))</f>
        <v>0</v>
      </c>
      <c r="N690" s="31" t="n">
        <f aca="false">IF($F690="",0,IF($J690="U",$L690,$F690))</f>
        <v>0</v>
      </c>
      <c r="O690" s="35" t="str">
        <f aca="false">IF($A690="","",MONTH($A690))</f>
        <v/>
      </c>
      <c r="P690" s="35" t="str">
        <f aca="false">IF($A690="","",ROUNDUP(MONTH($A690)/3,0))</f>
        <v/>
      </c>
      <c r="Q690" s="35" t="str">
        <f aca="false">IF($A690="","",IF(MONTH($A690)&lt;=6,1,2))</f>
        <v/>
      </c>
      <c r="R690" s="35" t="str">
        <f aca="false">IF($E690="","",IFERROR(INDEX(Kontenplan!$F$5:$F$90,MATCH($E690,Kontenplan!$A$5:$A$90,0)),""))</f>
        <v/>
      </c>
      <c r="S690" s="35" t="str">
        <f aca="false">IF($D690="","",IFERROR(INDEX(Kontenplan!$F$5:$F$90,MATCH($D690,Kontenplan!$A$5:$A$90,0)),""))</f>
        <v/>
      </c>
      <c r="T690" s="35" t="str">
        <f aca="false">IF($D690="","",IFERROR(INDEX(Kontenplan!$C$5:$C$90,MATCH($D690,Kontenplan!$A$5:$A$90,0)),"?"))</f>
        <v/>
      </c>
      <c r="U690" s="35" t="str">
        <f aca="false">IF($E690="","",IFERROR(INDEX(Kontenplan!$C$5:$C$90,MATCH($E690,Kontenplan!$A$5:$A$90,0)),"?"))</f>
        <v/>
      </c>
      <c r="V690" s="35" t="str">
        <f aca="false">IF($F690="","",IF(OR($D690="",$E690="",$T690="?",$U690="?"),"Konto prüfen!",IF($A690="","Datum fehlt",IF(YEAR($A690)&lt;&gt;Einstellungen!$B$7,"anderes Jahr!",IF($G690="","MWST-Code fehlt","OK")))))</f>
        <v/>
      </c>
      <c r="W690" s="35" t="str">
        <f aca="false">IF($F690="","",IF(OR($D690=Kontoauszug!$C$4,$E690=Kontoauszug!$C$4),MAX(W$4:W689)+1,""))</f>
        <v/>
      </c>
    </row>
    <row r="691" customFormat="false" ht="15" hidden="false" customHeight="false" outlineLevel="0" collapsed="false">
      <c r="A691" s="33"/>
      <c r="B691" s="32"/>
      <c r="C691" s="32"/>
      <c r="D691" s="32"/>
      <c r="E691" s="32"/>
      <c r="F691" s="30"/>
      <c r="G691" s="32"/>
      <c r="H691" s="34" t="n">
        <f aca="false">IF($G691="",0,IFERROR(INDEX(Einstellungen!$G$5:$G$11,MATCH($G691,Einstellungen!$E$5:$E$11,0)),0))</f>
        <v>0</v>
      </c>
      <c r="I691" s="35" t="str">
        <f aca="false">IF($G691="","-",IFERROR(INDEX(Einstellungen!$H$5:$H$11,MATCH($G691,Einstellungen!$E$5:$E$11,0)),"-"))</f>
        <v>-</v>
      </c>
      <c r="J691" s="35" t="str">
        <f aca="false">IF(AND(Einstellungen!$B$8="Ja",Einstellungen!$B$9="Effektiv"),$I691,"-")</f>
        <v>-</v>
      </c>
      <c r="K691" s="31" t="n">
        <f aca="false">IF(OR($F691="",$J691="-"),0,ROUND($F691-$F691/(1+$H691),2))</f>
        <v>0</v>
      </c>
      <c r="L691" s="31" t="n">
        <f aca="false">IF($F691="",0,$F691-$K691)</f>
        <v>0</v>
      </c>
      <c r="M691" s="31" t="n">
        <f aca="false">IF($F691="",0,IF($J691="V",$L691,$F691))</f>
        <v>0</v>
      </c>
      <c r="N691" s="31" t="n">
        <f aca="false">IF($F691="",0,IF($J691="U",$L691,$F691))</f>
        <v>0</v>
      </c>
      <c r="O691" s="35" t="str">
        <f aca="false">IF($A691="","",MONTH($A691))</f>
        <v/>
      </c>
      <c r="P691" s="35" t="str">
        <f aca="false">IF($A691="","",ROUNDUP(MONTH($A691)/3,0))</f>
        <v/>
      </c>
      <c r="Q691" s="35" t="str">
        <f aca="false">IF($A691="","",IF(MONTH($A691)&lt;=6,1,2))</f>
        <v/>
      </c>
      <c r="R691" s="35" t="str">
        <f aca="false">IF($E691="","",IFERROR(INDEX(Kontenplan!$F$5:$F$90,MATCH($E691,Kontenplan!$A$5:$A$90,0)),""))</f>
        <v/>
      </c>
      <c r="S691" s="35" t="str">
        <f aca="false">IF($D691="","",IFERROR(INDEX(Kontenplan!$F$5:$F$90,MATCH($D691,Kontenplan!$A$5:$A$90,0)),""))</f>
        <v/>
      </c>
      <c r="T691" s="35" t="str">
        <f aca="false">IF($D691="","",IFERROR(INDEX(Kontenplan!$C$5:$C$90,MATCH($D691,Kontenplan!$A$5:$A$90,0)),"?"))</f>
        <v/>
      </c>
      <c r="U691" s="35" t="str">
        <f aca="false">IF($E691="","",IFERROR(INDEX(Kontenplan!$C$5:$C$90,MATCH($E691,Kontenplan!$A$5:$A$90,0)),"?"))</f>
        <v/>
      </c>
      <c r="V691" s="35" t="str">
        <f aca="false">IF($F691="","",IF(OR($D691="",$E691="",$T691="?",$U691="?"),"Konto prüfen!",IF($A691="","Datum fehlt",IF(YEAR($A691)&lt;&gt;Einstellungen!$B$7,"anderes Jahr!",IF($G691="","MWST-Code fehlt","OK")))))</f>
        <v/>
      </c>
      <c r="W691" s="35" t="str">
        <f aca="false">IF($F691="","",IF(OR($D691=Kontoauszug!$C$4,$E691=Kontoauszug!$C$4),MAX(W$4:W690)+1,""))</f>
        <v/>
      </c>
    </row>
    <row r="692" customFormat="false" ht="15" hidden="false" customHeight="false" outlineLevel="0" collapsed="false">
      <c r="A692" s="33"/>
      <c r="B692" s="32"/>
      <c r="C692" s="32"/>
      <c r="D692" s="32"/>
      <c r="E692" s="32"/>
      <c r="F692" s="30"/>
      <c r="G692" s="32"/>
      <c r="H692" s="34" t="n">
        <f aca="false">IF($G692="",0,IFERROR(INDEX(Einstellungen!$G$5:$G$11,MATCH($G692,Einstellungen!$E$5:$E$11,0)),0))</f>
        <v>0</v>
      </c>
      <c r="I692" s="35" t="str">
        <f aca="false">IF($G692="","-",IFERROR(INDEX(Einstellungen!$H$5:$H$11,MATCH($G692,Einstellungen!$E$5:$E$11,0)),"-"))</f>
        <v>-</v>
      </c>
      <c r="J692" s="35" t="str">
        <f aca="false">IF(AND(Einstellungen!$B$8="Ja",Einstellungen!$B$9="Effektiv"),$I692,"-")</f>
        <v>-</v>
      </c>
      <c r="K692" s="31" t="n">
        <f aca="false">IF(OR($F692="",$J692="-"),0,ROUND($F692-$F692/(1+$H692),2))</f>
        <v>0</v>
      </c>
      <c r="L692" s="31" t="n">
        <f aca="false">IF($F692="",0,$F692-$K692)</f>
        <v>0</v>
      </c>
      <c r="M692" s="31" t="n">
        <f aca="false">IF($F692="",0,IF($J692="V",$L692,$F692))</f>
        <v>0</v>
      </c>
      <c r="N692" s="31" t="n">
        <f aca="false">IF($F692="",0,IF($J692="U",$L692,$F692))</f>
        <v>0</v>
      </c>
      <c r="O692" s="35" t="str">
        <f aca="false">IF($A692="","",MONTH($A692))</f>
        <v/>
      </c>
      <c r="P692" s="35" t="str">
        <f aca="false">IF($A692="","",ROUNDUP(MONTH($A692)/3,0))</f>
        <v/>
      </c>
      <c r="Q692" s="35" t="str">
        <f aca="false">IF($A692="","",IF(MONTH($A692)&lt;=6,1,2))</f>
        <v/>
      </c>
      <c r="R692" s="35" t="str">
        <f aca="false">IF($E692="","",IFERROR(INDEX(Kontenplan!$F$5:$F$90,MATCH($E692,Kontenplan!$A$5:$A$90,0)),""))</f>
        <v/>
      </c>
      <c r="S692" s="35" t="str">
        <f aca="false">IF($D692="","",IFERROR(INDEX(Kontenplan!$F$5:$F$90,MATCH($D692,Kontenplan!$A$5:$A$90,0)),""))</f>
        <v/>
      </c>
      <c r="T692" s="35" t="str">
        <f aca="false">IF($D692="","",IFERROR(INDEX(Kontenplan!$C$5:$C$90,MATCH($D692,Kontenplan!$A$5:$A$90,0)),"?"))</f>
        <v/>
      </c>
      <c r="U692" s="35" t="str">
        <f aca="false">IF($E692="","",IFERROR(INDEX(Kontenplan!$C$5:$C$90,MATCH($E692,Kontenplan!$A$5:$A$90,0)),"?"))</f>
        <v/>
      </c>
      <c r="V692" s="35" t="str">
        <f aca="false">IF($F692="","",IF(OR($D692="",$E692="",$T692="?",$U692="?"),"Konto prüfen!",IF($A692="","Datum fehlt",IF(YEAR($A692)&lt;&gt;Einstellungen!$B$7,"anderes Jahr!",IF($G692="","MWST-Code fehlt","OK")))))</f>
        <v/>
      </c>
      <c r="W692" s="35" t="str">
        <f aca="false">IF($F692="","",IF(OR($D692=Kontoauszug!$C$4,$E692=Kontoauszug!$C$4),MAX(W$4:W691)+1,""))</f>
        <v/>
      </c>
    </row>
    <row r="693" customFormat="false" ht="15" hidden="false" customHeight="false" outlineLevel="0" collapsed="false">
      <c r="A693" s="33"/>
      <c r="B693" s="32"/>
      <c r="C693" s="32"/>
      <c r="D693" s="32"/>
      <c r="E693" s="32"/>
      <c r="F693" s="30"/>
      <c r="G693" s="32"/>
      <c r="H693" s="34" t="n">
        <f aca="false">IF($G693="",0,IFERROR(INDEX(Einstellungen!$G$5:$G$11,MATCH($G693,Einstellungen!$E$5:$E$11,0)),0))</f>
        <v>0</v>
      </c>
      <c r="I693" s="35" t="str">
        <f aca="false">IF($G693="","-",IFERROR(INDEX(Einstellungen!$H$5:$H$11,MATCH($G693,Einstellungen!$E$5:$E$11,0)),"-"))</f>
        <v>-</v>
      </c>
      <c r="J693" s="35" t="str">
        <f aca="false">IF(AND(Einstellungen!$B$8="Ja",Einstellungen!$B$9="Effektiv"),$I693,"-")</f>
        <v>-</v>
      </c>
      <c r="K693" s="31" t="n">
        <f aca="false">IF(OR($F693="",$J693="-"),0,ROUND($F693-$F693/(1+$H693),2))</f>
        <v>0</v>
      </c>
      <c r="L693" s="31" t="n">
        <f aca="false">IF($F693="",0,$F693-$K693)</f>
        <v>0</v>
      </c>
      <c r="M693" s="31" t="n">
        <f aca="false">IF($F693="",0,IF($J693="V",$L693,$F693))</f>
        <v>0</v>
      </c>
      <c r="N693" s="31" t="n">
        <f aca="false">IF($F693="",0,IF($J693="U",$L693,$F693))</f>
        <v>0</v>
      </c>
      <c r="O693" s="35" t="str">
        <f aca="false">IF($A693="","",MONTH($A693))</f>
        <v/>
      </c>
      <c r="P693" s="35" t="str">
        <f aca="false">IF($A693="","",ROUNDUP(MONTH($A693)/3,0))</f>
        <v/>
      </c>
      <c r="Q693" s="35" t="str">
        <f aca="false">IF($A693="","",IF(MONTH($A693)&lt;=6,1,2))</f>
        <v/>
      </c>
      <c r="R693" s="35" t="str">
        <f aca="false">IF($E693="","",IFERROR(INDEX(Kontenplan!$F$5:$F$90,MATCH($E693,Kontenplan!$A$5:$A$90,0)),""))</f>
        <v/>
      </c>
      <c r="S693" s="35" t="str">
        <f aca="false">IF($D693="","",IFERROR(INDEX(Kontenplan!$F$5:$F$90,MATCH($D693,Kontenplan!$A$5:$A$90,0)),""))</f>
        <v/>
      </c>
      <c r="T693" s="35" t="str">
        <f aca="false">IF($D693="","",IFERROR(INDEX(Kontenplan!$C$5:$C$90,MATCH($D693,Kontenplan!$A$5:$A$90,0)),"?"))</f>
        <v/>
      </c>
      <c r="U693" s="35" t="str">
        <f aca="false">IF($E693="","",IFERROR(INDEX(Kontenplan!$C$5:$C$90,MATCH($E693,Kontenplan!$A$5:$A$90,0)),"?"))</f>
        <v/>
      </c>
      <c r="V693" s="35" t="str">
        <f aca="false">IF($F693="","",IF(OR($D693="",$E693="",$T693="?",$U693="?"),"Konto prüfen!",IF($A693="","Datum fehlt",IF(YEAR($A693)&lt;&gt;Einstellungen!$B$7,"anderes Jahr!",IF($G693="","MWST-Code fehlt","OK")))))</f>
        <v/>
      </c>
      <c r="W693" s="35" t="str">
        <f aca="false">IF($F693="","",IF(OR($D693=Kontoauszug!$C$4,$E693=Kontoauszug!$C$4),MAX(W$4:W692)+1,""))</f>
        <v/>
      </c>
    </row>
    <row r="694" customFormat="false" ht="15" hidden="false" customHeight="false" outlineLevel="0" collapsed="false">
      <c r="A694" s="33"/>
      <c r="B694" s="32"/>
      <c r="C694" s="32"/>
      <c r="D694" s="32"/>
      <c r="E694" s="32"/>
      <c r="F694" s="30"/>
      <c r="G694" s="32"/>
      <c r="H694" s="34" t="n">
        <f aca="false">IF($G694="",0,IFERROR(INDEX(Einstellungen!$G$5:$G$11,MATCH($G694,Einstellungen!$E$5:$E$11,0)),0))</f>
        <v>0</v>
      </c>
      <c r="I694" s="35" t="str">
        <f aca="false">IF($G694="","-",IFERROR(INDEX(Einstellungen!$H$5:$H$11,MATCH($G694,Einstellungen!$E$5:$E$11,0)),"-"))</f>
        <v>-</v>
      </c>
      <c r="J694" s="35" t="str">
        <f aca="false">IF(AND(Einstellungen!$B$8="Ja",Einstellungen!$B$9="Effektiv"),$I694,"-")</f>
        <v>-</v>
      </c>
      <c r="K694" s="31" t="n">
        <f aca="false">IF(OR($F694="",$J694="-"),0,ROUND($F694-$F694/(1+$H694),2))</f>
        <v>0</v>
      </c>
      <c r="L694" s="31" t="n">
        <f aca="false">IF($F694="",0,$F694-$K694)</f>
        <v>0</v>
      </c>
      <c r="M694" s="31" t="n">
        <f aca="false">IF($F694="",0,IF($J694="V",$L694,$F694))</f>
        <v>0</v>
      </c>
      <c r="N694" s="31" t="n">
        <f aca="false">IF($F694="",0,IF($J694="U",$L694,$F694))</f>
        <v>0</v>
      </c>
      <c r="O694" s="35" t="str">
        <f aca="false">IF($A694="","",MONTH($A694))</f>
        <v/>
      </c>
      <c r="P694" s="35" t="str">
        <f aca="false">IF($A694="","",ROUNDUP(MONTH($A694)/3,0))</f>
        <v/>
      </c>
      <c r="Q694" s="35" t="str">
        <f aca="false">IF($A694="","",IF(MONTH($A694)&lt;=6,1,2))</f>
        <v/>
      </c>
      <c r="R694" s="35" t="str">
        <f aca="false">IF($E694="","",IFERROR(INDEX(Kontenplan!$F$5:$F$90,MATCH($E694,Kontenplan!$A$5:$A$90,0)),""))</f>
        <v/>
      </c>
      <c r="S694" s="35" t="str">
        <f aca="false">IF($D694="","",IFERROR(INDEX(Kontenplan!$F$5:$F$90,MATCH($D694,Kontenplan!$A$5:$A$90,0)),""))</f>
        <v/>
      </c>
      <c r="T694" s="35" t="str">
        <f aca="false">IF($D694="","",IFERROR(INDEX(Kontenplan!$C$5:$C$90,MATCH($D694,Kontenplan!$A$5:$A$90,0)),"?"))</f>
        <v/>
      </c>
      <c r="U694" s="35" t="str">
        <f aca="false">IF($E694="","",IFERROR(INDEX(Kontenplan!$C$5:$C$90,MATCH($E694,Kontenplan!$A$5:$A$90,0)),"?"))</f>
        <v/>
      </c>
      <c r="V694" s="35" t="str">
        <f aca="false">IF($F694="","",IF(OR($D694="",$E694="",$T694="?",$U694="?"),"Konto prüfen!",IF($A694="","Datum fehlt",IF(YEAR($A694)&lt;&gt;Einstellungen!$B$7,"anderes Jahr!",IF($G694="","MWST-Code fehlt","OK")))))</f>
        <v/>
      </c>
      <c r="W694" s="35" t="str">
        <f aca="false">IF($F694="","",IF(OR($D694=Kontoauszug!$C$4,$E694=Kontoauszug!$C$4),MAX(W$4:W693)+1,""))</f>
        <v/>
      </c>
    </row>
    <row r="695" customFormat="false" ht="15" hidden="false" customHeight="false" outlineLevel="0" collapsed="false">
      <c r="A695" s="33"/>
      <c r="B695" s="32"/>
      <c r="C695" s="32"/>
      <c r="D695" s="32"/>
      <c r="E695" s="32"/>
      <c r="F695" s="30"/>
      <c r="G695" s="32"/>
      <c r="H695" s="34" t="n">
        <f aca="false">IF($G695="",0,IFERROR(INDEX(Einstellungen!$G$5:$G$11,MATCH($G695,Einstellungen!$E$5:$E$11,0)),0))</f>
        <v>0</v>
      </c>
      <c r="I695" s="35" t="str">
        <f aca="false">IF($G695="","-",IFERROR(INDEX(Einstellungen!$H$5:$H$11,MATCH($G695,Einstellungen!$E$5:$E$11,0)),"-"))</f>
        <v>-</v>
      </c>
      <c r="J695" s="35" t="str">
        <f aca="false">IF(AND(Einstellungen!$B$8="Ja",Einstellungen!$B$9="Effektiv"),$I695,"-")</f>
        <v>-</v>
      </c>
      <c r="K695" s="31" t="n">
        <f aca="false">IF(OR($F695="",$J695="-"),0,ROUND($F695-$F695/(1+$H695),2))</f>
        <v>0</v>
      </c>
      <c r="L695" s="31" t="n">
        <f aca="false">IF($F695="",0,$F695-$K695)</f>
        <v>0</v>
      </c>
      <c r="M695" s="31" t="n">
        <f aca="false">IF($F695="",0,IF($J695="V",$L695,$F695))</f>
        <v>0</v>
      </c>
      <c r="N695" s="31" t="n">
        <f aca="false">IF($F695="",0,IF($J695="U",$L695,$F695))</f>
        <v>0</v>
      </c>
      <c r="O695" s="35" t="str">
        <f aca="false">IF($A695="","",MONTH($A695))</f>
        <v/>
      </c>
      <c r="P695" s="35" t="str">
        <f aca="false">IF($A695="","",ROUNDUP(MONTH($A695)/3,0))</f>
        <v/>
      </c>
      <c r="Q695" s="35" t="str">
        <f aca="false">IF($A695="","",IF(MONTH($A695)&lt;=6,1,2))</f>
        <v/>
      </c>
      <c r="R695" s="35" t="str">
        <f aca="false">IF($E695="","",IFERROR(INDEX(Kontenplan!$F$5:$F$90,MATCH($E695,Kontenplan!$A$5:$A$90,0)),""))</f>
        <v/>
      </c>
      <c r="S695" s="35" t="str">
        <f aca="false">IF($D695="","",IFERROR(INDEX(Kontenplan!$F$5:$F$90,MATCH($D695,Kontenplan!$A$5:$A$90,0)),""))</f>
        <v/>
      </c>
      <c r="T695" s="35" t="str">
        <f aca="false">IF($D695="","",IFERROR(INDEX(Kontenplan!$C$5:$C$90,MATCH($D695,Kontenplan!$A$5:$A$90,0)),"?"))</f>
        <v/>
      </c>
      <c r="U695" s="35" t="str">
        <f aca="false">IF($E695="","",IFERROR(INDEX(Kontenplan!$C$5:$C$90,MATCH($E695,Kontenplan!$A$5:$A$90,0)),"?"))</f>
        <v/>
      </c>
      <c r="V695" s="35" t="str">
        <f aca="false">IF($F695="","",IF(OR($D695="",$E695="",$T695="?",$U695="?"),"Konto prüfen!",IF($A695="","Datum fehlt",IF(YEAR($A695)&lt;&gt;Einstellungen!$B$7,"anderes Jahr!",IF($G695="","MWST-Code fehlt","OK")))))</f>
        <v/>
      </c>
      <c r="W695" s="35" t="str">
        <f aca="false">IF($F695="","",IF(OR($D695=Kontoauszug!$C$4,$E695=Kontoauszug!$C$4),MAX(W$4:W694)+1,""))</f>
        <v/>
      </c>
    </row>
    <row r="696" customFormat="false" ht="15" hidden="false" customHeight="false" outlineLevel="0" collapsed="false">
      <c r="A696" s="33"/>
      <c r="B696" s="32"/>
      <c r="C696" s="32"/>
      <c r="D696" s="32"/>
      <c r="E696" s="32"/>
      <c r="F696" s="30"/>
      <c r="G696" s="32"/>
      <c r="H696" s="34" t="n">
        <f aca="false">IF($G696="",0,IFERROR(INDEX(Einstellungen!$G$5:$G$11,MATCH($G696,Einstellungen!$E$5:$E$11,0)),0))</f>
        <v>0</v>
      </c>
      <c r="I696" s="35" t="str">
        <f aca="false">IF($G696="","-",IFERROR(INDEX(Einstellungen!$H$5:$H$11,MATCH($G696,Einstellungen!$E$5:$E$11,0)),"-"))</f>
        <v>-</v>
      </c>
      <c r="J696" s="35" t="str">
        <f aca="false">IF(AND(Einstellungen!$B$8="Ja",Einstellungen!$B$9="Effektiv"),$I696,"-")</f>
        <v>-</v>
      </c>
      <c r="K696" s="31" t="n">
        <f aca="false">IF(OR($F696="",$J696="-"),0,ROUND($F696-$F696/(1+$H696),2))</f>
        <v>0</v>
      </c>
      <c r="L696" s="31" t="n">
        <f aca="false">IF($F696="",0,$F696-$K696)</f>
        <v>0</v>
      </c>
      <c r="M696" s="31" t="n">
        <f aca="false">IF($F696="",0,IF($J696="V",$L696,$F696))</f>
        <v>0</v>
      </c>
      <c r="N696" s="31" t="n">
        <f aca="false">IF($F696="",0,IF($J696="U",$L696,$F696))</f>
        <v>0</v>
      </c>
      <c r="O696" s="35" t="str">
        <f aca="false">IF($A696="","",MONTH($A696))</f>
        <v/>
      </c>
      <c r="P696" s="35" t="str">
        <f aca="false">IF($A696="","",ROUNDUP(MONTH($A696)/3,0))</f>
        <v/>
      </c>
      <c r="Q696" s="35" t="str">
        <f aca="false">IF($A696="","",IF(MONTH($A696)&lt;=6,1,2))</f>
        <v/>
      </c>
      <c r="R696" s="35" t="str">
        <f aca="false">IF($E696="","",IFERROR(INDEX(Kontenplan!$F$5:$F$90,MATCH($E696,Kontenplan!$A$5:$A$90,0)),""))</f>
        <v/>
      </c>
      <c r="S696" s="35" t="str">
        <f aca="false">IF($D696="","",IFERROR(INDEX(Kontenplan!$F$5:$F$90,MATCH($D696,Kontenplan!$A$5:$A$90,0)),""))</f>
        <v/>
      </c>
      <c r="T696" s="35" t="str">
        <f aca="false">IF($D696="","",IFERROR(INDEX(Kontenplan!$C$5:$C$90,MATCH($D696,Kontenplan!$A$5:$A$90,0)),"?"))</f>
        <v/>
      </c>
      <c r="U696" s="35" t="str">
        <f aca="false">IF($E696="","",IFERROR(INDEX(Kontenplan!$C$5:$C$90,MATCH($E696,Kontenplan!$A$5:$A$90,0)),"?"))</f>
        <v/>
      </c>
      <c r="V696" s="35" t="str">
        <f aca="false">IF($F696="","",IF(OR($D696="",$E696="",$T696="?",$U696="?"),"Konto prüfen!",IF($A696="","Datum fehlt",IF(YEAR($A696)&lt;&gt;Einstellungen!$B$7,"anderes Jahr!",IF($G696="","MWST-Code fehlt","OK")))))</f>
        <v/>
      </c>
      <c r="W696" s="35" t="str">
        <f aca="false">IF($F696="","",IF(OR($D696=Kontoauszug!$C$4,$E696=Kontoauszug!$C$4),MAX(W$4:W695)+1,""))</f>
        <v/>
      </c>
    </row>
    <row r="697" customFormat="false" ht="15" hidden="false" customHeight="false" outlineLevel="0" collapsed="false">
      <c r="A697" s="33"/>
      <c r="B697" s="32"/>
      <c r="C697" s="32"/>
      <c r="D697" s="32"/>
      <c r="E697" s="32"/>
      <c r="F697" s="30"/>
      <c r="G697" s="32"/>
      <c r="H697" s="34" t="n">
        <f aca="false">IF($G697="",0,IFERROR(INDEX(Einstellungen!$G$5:$G$11,MATCH($G697,Einstellungen!$E$5:$E$11,0)),0))</f>
        <v>0</v>
      </c>
      <c r="I697" s="35" t="str">
        <f aca="false">IF($G697="","-",IFERROR(INDEX(Einstellungen!$H$5:$H$11,MATCH($G697,Einstellungen!$E$5:$E$11,0)),"-"))</f>
        <v>-</v>
      </c>
      <c r="J697" s="35" t="str">
        <f aca="false">IF(AND(Einstellungen!$B$8="Ja",Einstellungen!$B$9="Effektiv"),$I697,"-")</f>
        <v>-</v>
      </c>
      <c r="K697" s="31" t="n">
        <f aca="false">IF(OR($F697="",$J697="-"),0,ROUND($F697-$F697/(1+$H697),2))</f>
        <v>0</v>
      </c>
      <c r="L697" s="31" t="n">
        <f aca="false">IF($F697="",0,$F697-$K697)</f>
        <v>0</v>
      </c>
      <c r="M697" s="31" t="n">
        <f aca="false">IF($F697="",0,IF($J697="V",$L697,$F697))</f>
        <v>0</v>
      </c>
      <c r="N697" s="31" t="n">
        <f aca="false">IF($F697="",0,IF($J697="U",$L697,$F697))</f>
        <v>0</v>
      </c>
      <c r="O697" s="35" t="str">
        <f aca="false">IF($A697="","",MONTH($A697))</f>
        <v/>
      </c>
      <c r="P697" s="35" t="str">
        <f aca="false">IF($A697="","",ROUNDUP(MONTH($A697)/3,0))</f>
        <v/>
      </c>
      <c r="Q697" s="35" t="str">
        <f aca="false">IF($A697="","",IF(MONTH($A697)&lt;=6,1,2))</f>
        <v/>
      </c>
      <c r="R697" s="35" t="str">
        <f aca="false">IF($E697="","",IFERROR(INDEX(Kontenplan!$F$5:$F$90,MATCH($E697,Kontenplan!$A$5:$A$90,0)),""))</f>
        <v/>
      </c>
      <c r="S697" s="35" t="str">
        <f aca="false">IF($D697="","",IFERROR(INDEX(Kontenplan!$F$5:$F$90,MATCH($D697,Kontenplan!$A$5:$A$90,0)),""))</f>
        <v/>
      </c>
      <c r="T697" s="35" t="str">
        <f aca="false">IF($D697="","",IFERROR(INDEX(Kontenplan!$C$5:$C$90,MATCH($D697,Kontenplan!$A$5:$A$90,0)),"?"))</f>
        <v/>
      </c>
      <c r="U697" s="35" t="str">
        <f aca="false">IF($E697="","",IFERROR(INDEX(Kontenplan!$C$5:$C$90,MATCH($E697,Kontenplan!$A$5:$A$90,0)),"?"))</f>
        <v/>
      </c>
      <c r="V697" s="35" t="str">
        <f aca="false">IF($F697="","",IF(OR($D697="",$E697="",$T697="?",$U697="?"),"Konto prüfen!",IF($A697="","Datum fehlt",IF(YEAR($A697)&lt;&gt;Einstellungen!$B$7,"anderes Jahr!",IF($G697="","MWST-Code fehlt","OK")))))</f>
        <v/>
      </c>
      <c r="W697" s="35" t="str">
        <f aca="false">IF($F697="","",IF(OR($D697=Kontoauszug!$C$4,$E697=Kontoauszug!$C$4),MAX(W$4:W696)+1,""))</f>
        <v/>
      </c>
    </row>
    <row r="698" customFormat="false" ht="15" hidden="false" customHeight="false" outlineLevel="0" collapsed="false">
      <c r="A698" s="33"/>
      <c r="B698" s="32"/>
      <c r="C698" s="32"/>
      <c r="D698" s="32"/>
      <c r="E698" s="32"/>
      <c r="F698" s="30"/>
      <c r="G698" s="32"/>
      <c r="H698" s="34" t="n">
        <f aca="false">IF($G698="",0,IFERROR(INDEX(Einstellungen!$G$5:$G$11,MATCH($G698,Einstellungen!$E$5:$E$11,0)),0))</f>
        <v>0</v>
      </c>
      <c r="I698" s="35" t="str">
        <f aca="false">IF($G698="","-",IFERROR(INDEX(Einstellungen!$H$5:$H$11,MATCH($G698,Einstellungen!$E$5:$E$11,0)),"-"))</f>
        <v>-</v>
      </c>
      <c r="J698" s="35" t="str">
        <f aca="false">IF(AND(Einstellungen!$B$8="Ja",Einstellungen!$B$9="Effektiv"),$I698,"-")</f>
        <v>-</v>
      </c>
      <c r="K698" s="31" t="n">
        <f aca="false">IF(OR($F698="",$J698="-"),0,ROUND($F698-$F698/(1+$H698),2))</f>
        <v>0</v>
      </c>
      <c r="L698" s="31" t="n">
        <f aca="false">IF($F698="",0,$F698-$K698)</f>
        <v>0</v>
      </c>
      <c r="M698" s="31" t="n">
        <f aca="false">IF($F698="",0,IF($J698="V",$L698,$F698))</f>
        <v>0</v>
      </c>
      <c r="N698" s="31" t="n">
        <f aca="false">IF($F698="",0,IF($J698="U",$L698,$F698))</f>
        <v>0</v>
      </c>
      <c r="O698" s="35" t="str">
        <f aca="false">IF($A698="","",MONTH($A698))</f>
        <v/>
      </c>
      <c r="P698" s="35" t="str">
        <f aca="false">IF($A698="","",ROUNDUP(MONTH($A698)/3,0))</f>
        <v/>
      </c>
      <c r="Q698" s="35" t="str">
        <f aca="false">IF($A698="","",IF(MONTH($A698)&lt;=6,1,2))</f>
        <v/>
      </c>
      <c r="R698" s="35" t="str">
        <f aca="false">IF($E698="","",IFERROR(INDEX(Kontenplan!$F$5:$F$90,MATCH($E698,Kontenplan!$A$5:$A$90,0)),""))</f>
        <v/>
      </c>
      <c r="S698" s="35" t="str">
        <f aca="false">IF($D698="","",IFERROR(INDEX(Kontenplan!$F$5:$F$90,MATCH($D698,Kontenplan!$A$5:$A$90,0)),""))</f>
        <v/>
      </c>
      <c r="T698" s="35" t="str">
        <f aca="false">IF($D698="","",IFERROR(INDEX(Kontenplan!$C$5:$C$90,MATCH($D698,Kontenplan!$A$5:$A$90,0)),"?"))</f>
        <v/>
      </c>
      <c r="U698" s="35" t="str">
        <f aca="false">IF($E698="","",IFERROR(INDEX(Kontenplan!$C$5:$C$90,MATCH($E698,Kontenplan!$A$5:$A$90,0)),"?"))</f>
        <v/>
      </c>
      <c r="V698" s="35" t="str">
        <f aca="false">IF($F698="","",IF(OR($D698="",$E698="",$T698="?",$U698="?"),"Konto prüfen!",IF($A698="","Datum fehlt",IF(YEAR($A698)&lt;&gt;Einstellungen!$B$7,"anderes Jahr!",IF($G698="","MWST-Code fehlt","OK")))))</f>
        <v/>
      </c>
      <c r="W698" s="35" t="str">
        <f aca="false">IF($F698="","",IF(OR($D698=Kontoauszug!$C$4,$E698=Kontoauszug!$C$4),MAX(W$4:W697)+1,""))</f>
        <v/>
      </c>
    </row>
    <row r="699" customFormat="false" ht="15" hidden="false" customHeight="false" outlineLevel="0" collapsed="false">
      <c r="A699" s="33"/>
      <c r="B699" s="32"/>
      <c r="C699" s="32"/>
      <c r="D699" s="32"/>
      <c r="E699" s="32"/>
      <c r="F699" s="30"/>
      <c r="G699" s="32"/>
      <c r="H699" s="34" t="n">
        <f aca="false">IF($G699="",0,IFERROR(INDEX(Einstellungen!$G$5:$G$11,MATCH($G699,Einstellungen!$E$5:$E$11,0)),0))</f>
        <v>0</v>
      </c>
      <c r="I699" s="35" t="str">
        <f aca="false">IF($G699="","-",IFERROR(INDEX(Einstellungen!$H$5:$H$11,MATCH($G699,Einstellungen!$E$5:$E$11,0)),"-"))</f>
        <v>-</v>
      </c>
      <c r="J699" s="35" t="str">
        <f aca="false">IF(AND(Einstellungen!$B$8="Ja",Einstellungen!$B$9="Effektiv"),$I699,"-")</f>
        <v>-</v>
      </c>
      <c r="K699" s="31" t="n">
        <f aca="false">IF(OR($F699="",$J699="-"),0,ROUND($F699-$F699/(1+$H699),2))</f>
        <v>0</v>
      </c>
      <c r="L699" s="31" t="n">
        <f aca="false">IF($F699="",0,$F699-$K699)</f>
        <v>0</v>
      </c>
      <c r="M699" s="31" t="n">
        <f aca="false">IF($F699="",0,IF($J699="V",$L699,$F699))</f>
        <v>0</v>
      </c>
      <c r="N699" s="31" t="n">
        <f aca="false">IF($F699="",0,IF($J699="U",$L699,$F699))</f>
        <v>0</v>
      </c>
      <c r="O699" s="35" t="str">
        <f aca="false">IF($A699="","",MONTH($A699))</f>
        <v/>
      </c>
      <c r="P699" s="35" t="str">
        <f aca="false">IF($A699="","",ROUNDUP(MONTH($A699)/3,0))</f>
        <v/>
      </c>
      <c r="Q699" s="35" t="str">
        <f aca="false">IF($A699="","",IF(MONTH($A699)&lt;=6,1,2))</f>
        <v/>
      </c>
      <c r="R699" s="35" t="str">
        <f aca="false">IF($E699="","",IFERROR(INDEX(Kontenplan!$F$5:$F$90,MATCH($E699,Kontenplan!$A$5:$A$90,0)),""))</f>
        <v/>
      </c>
      <c r="S699" s="35" t="str">
        <f aca="false">IF($D699="","",IFERROR(INDEX(Kontenplan!$F$5:$F$90,MATCH($D699,Kontenplan!$A$5:$A$90,0)),""))</f>
        <v/>
      </c>
      <c r="T699" s="35" t="str">
        <f aca="false">IF($D699="","",IFERROR(INDEX(Kontenplan!$C$5:$C$90,MATCH($D699,Kontenplan!$A$5:$A$90,0)),"?"))</f>
        <v/>
      </c>
      <c r="U699" s="35" t="str">
        <f aca="false">IF($E699="","",IFERROR(INDEX(Kontenplan!$C$5:$C$90,MATCH($E699,Kontenplan!$A$5:$A$90,0)),"?"))</f>
        <v/>
      </c>
      <c r="V699" s="35" t="str">
        <f aca="false">IF($F699="","",IF(OR($D699="",$E699="",$T699="?",$U699="?"),"Konto prüfen!",IF($A699="","Datum fehlt",IF(YEAR($A699)&lt;&gt;Einstellungen!$B$7,"anderes Jahr!",IF($G699="","MWST-Code fehlt","OK")))))</f>
        <v/>
      </c>
      <c r="W699" s="35" t="str">
        <f aca="false">IF($F699="","",IF(OR($D699=Kontoauszug!$C$4,$E699=Kontoauszug!$C$4),MAX(W$4:W698)+1,""))</f>
        <v/>
      </c>
    </row>
    <row r="700" customFormat="false" ht="15" hidden="false" customHeight="false" outlineLevel="0" collapsed="false">
      <c r="A700" s="33"/>
      <c r="B700" s="32"/>
      <c r="C700" s="32"/>
      <c r="D700" s="32"/>
      <c r="E700" s="32"/>
      <c r="F700" s="30"/>
      <c r="G700" s="32"/>
      <c r="H700" s="34" t="n">
        <f aca="false">IF($G700="",0,IFERROR(INDEX(Einstellungen!$G$5:$G$11,MATCH($G700,Einstellungen!$E$5:$E$11,0)),0))</f>
        <v>0</v>
      </c>
      <c r="I700" s="35" t="str">
        <f aca="false">IF($G700="","-",IFERROR(INDEX(Einstellungen!$H$5:$H$11,MATCH($G700,Einstellungen!$E$5:$E$11,0)),"-"))</f>
        <v>-</v>
      </c>
      <c r="J700" s="35" t="str">
        <f aca="false">IF(AND(Einstellungen!$B$8="Ja",Einstellungen!$B$9="Effektiv"),$I700,"-")</f>
        <v>-</v>
      </c>
      <c r="K700" s="31" t="n">
        <f aca="false">IF(OR($F700="",$J700="-"),0,ROUND($F700-$F700/(1+$H700),2))</f>
        <v>0</v>
      </c>
      <c r="L700" s="31" t="n">
        <f aca="false">IF($F700="",0,$F700-$K700)</f>
        <v>0</v>
      </c>
      <c r="M700" s="31" t="n">
        <f aca="false">IF($F700="",0,IF($J700="V",$L700,$F700))</f>
        <v>0</v>
      </c>
      <c r="N700" s="31" t="n">
        <f aca="false">IF($F700="",0,IF($J700="U",$L700,$F700))</f>
        <v>0</v>
      </c>
      <c r="O700" s="35" t="str">
        <f aca="false">IF($A700="","",MONTH($A700))</f>
        <v/>
      </c>
      <c r="P700" s="35" t="str">
        <f aca="false">IF($A700="","",ROUNDUP(MONTH($A700)/3,0))</f>
        <v/>
      </c>
      <c r="Q700" s="35" t="str">
        <f aca="false">IF($A700="","",IF(MONTH($A700)&lt;=6,1,2))</f>
        <v/>
      </c>
      <c r="R700" s="35" t="str">
        <f aca="false">IF($E700="","",IFERROR(INDEX(Kontenplan!$F$5:$F$90,MATCH($E700,Kontenplan!$A$5:$A$90,0)),""))</f>
        <v/>
      </c>
      <c r="S700" s="35" t="str">
        <f aca="false">IF($D700="","",IFERROR(INDEX(Kontenplan!$F$5:$F$90,MATCH($D700,Kontenplan!$A$5:$A$90,0)),""))</f>
        <v/>
      </c>
      <c r="T700" s="35" t="str">
        <f aca="false">IF($D700="","",IFERROR(INDEX(Kontenplan!$C$5:$C$90,MATCH($D700,Kontenplan!$A$5:$A$90,0)),"?"))</f>
        <v/>
      </c>
      <c r="U700" s="35" t="str">
        <f aca="false">IF($E700="","",IFERROR(INDEX(Kontenplan!$C$5:$C$90,MATCH($E700,Kontenplan!$A$5:$A$90,0)),"?"))</f>
        <v/>
      </c>
      <c r="V700" s="35" t="str">
        <f aca="false">IF($F700="","",IF(OR($D700="",$E700="",$T700="?",$U700="?"),"Konto prüfen!",IF($A700="","Datum fehlt",IF(YEAR($A700)&lt;&gt;Einstellungen!$B$7,"anderes Jahr!",IF($G700="","MWST-Code fehlt","OK")))))</f>
        <v/>
      </c>
      <c r="W700" s="35" t="str">
        <f aca="false">IF($F700="","",IF(OR($D700=Kontoauszug!$C$4,$E700=Kontoauszug!$C$4),MAX(W$4:W699)+1,""))</f>
        <v/>
      </c>
    </row>
    <row r="701" customFormat="false" ht="15" hidden="false" customHeight="false" outlineLevel="0" collapsed="false">
      <c r="A701" s="33"/>
      <c r="B701" s="32"/>
      <c r="C701" s="32"/>
      <c r="D701" s="32"/>
      <c r="E701" s="32"/>
      <c r="F701" s="30"/>
      <c r="G701" s="32"/>
      <c r="H701" s="34" t="n">
        <f aca="false">IF($G701="",0,IFERROR(INDEX(Einstellungen!$G$5:$G$11,MATCH($G701,Einstellungen!$E$5:$E$11,0)),0))</f>
        <v>0</v>
      </c>
      <c r="I701" s="35" t="str">
        <f aca="false">IF($G701="","-",IFERROR(INDEX(Einstellungen!$H$5:$H$11,MATCH($G701,Einstellungen!$E$5:$E$11,0)),"-"))</f>
        <v>-</v>
      </c>
      <c r="J701" s="35" t="str">
        <f aca="false">IF(AND(Einstellungen!$B$8="Ja",Einstellungen!$B$9="Effektiv"),$I701,"-")</f>
        <v>-</v>
      </c>
      <c r="K701" s="31" t="n">
        <f aca="false">IF(OR($F701="",$J701="-"),0,ROUND($F701-$F701/(1+$H701),2))</f>
        <v>0</v>
      </c>
      <c r="L701" s="31" t="n">
        <f aca="false">IF($F701="",0,$F701-$K701)</f>
        <v>0</v>
      </c>
      <c r="M701" s="31" t="n">
        <f aca="false">IF($F701="",0,IF($J701="V",$L701,$F701))</f>
        <v>0</v>
      </c>
      <c r="N701" s="31" t="n">
        <f aca="false">IF($F701="",0,IF($J701="U",$L701,$F701))</f>
        <v>0</v>
      </c>
      <c r="O701" s="35" t="str">
        <f aca="false">IF($A701="","",MONTH($A701))</f>
        <v/>
      </c>
      <c r="P701" s="35" t="str">
        <f aca="false">IF($A701="","",ROUNDUP(MONTH($A701)/3,0))</f>
        <v/>
      </c>
      <c r="Q701" s="35" t="str">
        <f aca="false">IF($A701="","",IF(MONTH($A701)&lt;=6,1,2))</f>
        <v/>
      </c>
      <c r="R701" s="35" t="str">
        <f aca="false">IF($E701="","",IFERROR(INDEX(Kontenplan!$F$5:$F$90,MATCH($E701,Kontenplan!$A$5:$A$90,0)),""))</f>
        <v/>
      </c>
      <c r="S701" s="35" t="str">
        <f aca="false">IF($D701="","",IFERROR(INDEX(Kontenplan!$F$5:$F$90,MATCH($D701,Kontenplan!$A$5:$A$90,0)),""))</f>
        <v/>
      </c>
      <c r="T701" s="35" t="str">
        <f aca="false">IF($D701="","",IFERROR(INDEX(Kontenplan!$C$5:$C$90,MATCH($D701,Kontenplan!$A$5:$A$90,0)),"?"))</f>
        <v/>
      </c>
      <c r="U701" s="35" t="str">
        <f aca="false">IF($E701="","",IFERROR(INDEX(Kontenplan!$C$5:$C$90,MATCH($E701,Kontenplan!$A$5:$A$90,0)),"?"))</f>
        <v/>
      </c>
      <c r="V701" s="35" t="str">
        <f aca="false">IF($F701="","",IF(OR($D701="",$E701="",$T701="?",$U701="?"),"Konto prüfen!",IF($A701="","Datum fehlt",IF(YEAR($A701)&lt;&gt;Einstellungen!$B$7,"anderes Jahr!",IF($G701="","MWST-Code fehlt","OK")))))</f>
        <v/>
      </c>
      <c r="W701" s="35" t="str">
        <f aca="false">IF($F701="","",IF(OR($D701=Kontoauszug!$C$4,$E701=Kontoauszug!$C$4),MAX(W$4:W700)+1,""))</f>
        <v/>
      </c>
    </row>
    <row r="702" customFormat="false" ht="15" hidden="false" customHeight="false" outlineLevel="0" collapsed="false">
      <c r="A702" s="33"/>
      <c r="B702" s="32"/>
      <c r="C702" s="32"/>
      <c r="D702" s="32"/>
      <c r="E702" s="32"/>
      <c r="F702" s="30"/>
      <c r="G702" s="32"/>
      <c r="H702" s="34" t="n">
        <f aca="false">IF($G702="",0,IFERROR(INDEX(Einstellungen!$G$5:$G$11,MATCH($G702,Einstellungen!$E$5:$E$11,0)),0))</f>
        <v>0</v>
      </c>
      <c r="I702" s="35" t="str">
        <f aca="false">IF($G702="","-",IFERROR(INDEX(Einstellungen!$H$5:$H$11,MATCH($G702,Einstellungen!$E$5:$E$11,0)),"-"))</f>
        <v>-</v>
      </c>
      <c r="J702" s="35" t="str">
        <f aca="false">IF(AND(Einstellungen!$B$8="Ja",Einstellungen!$B$9="Effektiv"),$I702,"-")</f>
        <v>-</v>
      </c>
      <c r="K702" s="31" t="n">
        <f aca="false">IF(OR($F702="",$J702="-"),0,ROUND($F702-$F702/(1+$H702),2))</f>
        <v>0</v>
      </c>
      <c r="L702" s="31" t="n">
        <f aca="false">IF($F702="",0,$F702-$K702)</f>
        <v>0</v>
      </c>
      <c r="M702" s="31" t="n">
        <f aca="false">IF($F702="",0,IF($J702="V",$L702,$F702))</f>
        <v>0</v>
      </c>
      <c r="N702" s="31" t="n">
        <f aca="false">IF($F702="",0,IF($J702="U",$L702,$F702))</f>
        <v>0</v>
      </c>
      <c r="O702" s="35" t="str">
        <f aca="false">IF($A702="","",MONTH($A702))</f>
        <v/>
      </c>
      <c r="P702" s="35" t="str">
        <f aca="false">IF($A702="","",ROUNDUP(MONTH($A702)/3,0))</f>
        <v/>
      </c>
      <c r="Q702" s="35" t="str">
        <f aca="false">IF($A702="","",IF(MONTH($A702)&lt;=6,1,2))</f>
        <v/>
      </c>
      <c r="R702" s="35" t="str">
        <f aca="false">IF($E702="","",IFERROR(INDEX(Kontenplan!$F$5:$F$90,MATCH($E702,Kontenplan!$A$5:$A$90,0)),""))</f>
        <v/>
      </c>
      <c r="S702" s="35" t="str">
        <f aca="false">IF($D702="","",IFERROR(INDEX(Kontenplan!$F$5:$F$90,MATCH($D702,Kontenplan!$A$5:$A$90,0)),""))</f>
        <v/>
      </c>
      <c r="T702" s="35" t="str">
        <f aca="false">IF($D702="","",IFERROR(INDEX(Kontenplan!$C$5:$C$90,MATCH($D702,Kontenplan!$A$5:$A$90,0)),"?"))</f>
        <v/>
      </c>
      <c r="U702" s="35" t="str">
        <f aca="false">IF($E702="","",IFERROR(INDEX(Kontenplan!$C$5:$C$90,MATCH($E702,Kontenplan!$A$5:$A$90,0)),"?"))</f>
        <v/>
      </c>
      <c r="V702" s="35" t="str">
        <f aca="false">IF($F702="","",IF(OR($D702="",$E702="",$T702="?",$U702="?"),"Konto prüfen!",IF($A702="","Datum fehlt",IF(YEAR($A702)&lt;&gt;Einstellungen!$B$7,"anderes Jahr!",IF($G702="","MWST-Code fehlt","OK")))))</f>
        <v/>
      </c>
      <c r="W702" s="35" t="str">
        <f aca="false">IF($F702="","",IF(OR($D702=Kontoauszug!$C$4,$E702=Kontoauszug!$C$4),MAX(W$4:W701)+1,""))</f>
        <v/>
      </c>
    </row>
    <row r="703" customFormat="false" ht="15" hidden="false" customHeight="false" outlineLevel="0" collapsed="false">
      <c r="A703" s="33"/>
      <c r="B703" s="32"/>
      <c r="C703" s="32"/>
      <c r="D703" s="32"/>
      <c r="E703" s="32"/>
      <c r="F703" s="30"/>
      <c r="G703" s="32"/>
      <c r="H703" s="34" t="n">
        <f aca="false">IF($G703="",0,IFERROR(INDEX(Einstellungen!$G$5:$G$11,MATCH($G703,Einstellungen!$E$5:$E$11,0)),0))</f>
        <v>0</v>
      </c>
      <c r="I703" s="35" t="str">
        <f aca="false">IF($G703="","-",IFERROR(INDEX(Einstellungen!$H$5:$H$11,MATCH($G703,Einstellungen!$E$5:$E$11,0)),"-"))</f>
        <v>-</v>
      </c>
      <c r="J703" s="35" t="str">
        <f aca="false">IF(AND(Einstellungen!$B$8="Ja",Einstellungen!$B$9="Effektiv"),$I703,"-")</f>
        <v>-</v>
      </c>
      <c r="K703" s="31" t="n">
        <f aca="false">IF(OR($F703="",$J703="-"),0,ROUND($F703-$F703/(1+$H703),2))</f>
        <v>0</v>
      </c>
      <c r="L703" s="31" t="n">
        <f aca="false">IF($F703="",0,$F703-$K703)</f>
        <v>0</v>
      </c>
      <c r="M703" s="31" t="n">
        <f aca="false">IF($F703="",0,IF($J703="V",$L703,$F703))</f>
        <v>0</v>
      </c>
      <c r="N703" s="31" t="n">
        <f aca="false">IF($F703="",0,IF($J703="U",$L703,$F703))</f>
        <v>0</v>
      </c>
      <c r="O703" s="35" t="str">
        <f aca="false">IF($A703="","",MONTH($A703))</f>
        <v/>
      </c>
      <c r="P703" s="35" t="str">
        <f aca="false">IF($A703="","",ROUNDUP(MONTH($A703)/3,0))</f>
        <v/>
      </c>
      <c r="Q703" s="35" t="str">
        <f aca="false">IF($A703="","",IF(MONTH($A703)&lt;=6,1,2))</f>
        <v/>
      </c>
      <c r="R703" s="35" t="str">
        <f aca="false">IF($E703="","",IFERROR(INDEX(Kontenplan!$F$5:$F$90,MATCH($E703,Kontenplan!$A$5:$A$90,0)),""))</f>
        <v/>
      </c>
      <c r="S703" s="35" t="str">
        <f aca="false">IF($D703="","",IFERROR(INDEX(Kontenplan!$F$5:$F$90,MATCH($D703,Kontenplan!$A$5:$A$90,0)),""))</f>
        <v/>
      </c>
      <c r="T703" s="35" t="str">
        <f aca="false">IF($D703="","",IFERROR(INDEX(Kontenplan!$C$5:$C$90,MATCH($D703,Kontenplan!$A$5:$A$90,0)),"?"))</f>
        <v/>
      </c>
      <c r="U703" s="35" t="str">
        <f aca="false">IF($E703="","",IFERROR(INDEX(Kontenplan!$C$5:$C$90,MATCH($E703,Kontenplan!$A$5:$A$90,0)),"?"))</f>
        <v/>
      </c>
      <c r="V703" s="35" t="str">
        <f aca="false">IF($F703="","",IF(OR($D703="",$E703="",$T703="?",$U703="?"),"Konto prüfen!",IF($A703="","Datum fehlt",IF(YEAR($A703)&lt;&gt;Einstellungen!$B$7,"anderes Jahr!",IF($G703="","MWST-Code fehlt","OK")))))</f>
        <v/>
      </c>
      <c r="W703" s="35" t="str">
        <f aca="false">IF($F703="","",IF(OR($D703=Kontoauszug!$C$4,$E703=Kontoauszug!$C$4),MAX(W$4:W702)+1,""))</f>
        <v/>
      </c>
    </row>
    <row r="704" customFormat="false" ht="15" hidden="false" customHeight="false" outlineLevel="0" collapsed="false">
      <c r="A704" s="33"/>
      <c r="B704" s="32"/>
      <c r="C704" s="32"/>
      <c r="D704" s="32"/>
      <c r="E704" s="32"/>
      <c r="F704" s="30"/>
      <c r="G704" s="32"/>
      <c r="H704" s="34" t="n">
        <f aca="false">IF($G704="",0,IFERROR(INDEX(Einstellungen!$G$5:$G$11,MATCH($G704,Einstellungen!$E$5:$E$11,0)),0))</f>
        <v>0</v>
      </c>
      <c r="I704" s="35" t="str">
        <f aca="false">IF($G704="","-",IFERROR(INDEX(Einstellungen!$H$5:$H$11,MATCH($G704,Einstellungen!$E$5:$E$11,0)),"-"))</f>
        <v>-</v>
      </c>
      <c r="J704" s="35" t="str">
        <f aca="false">IF(AND(Einstellungen!$B$8="Ja",Einstellungen!$B$9="Effektiv"),$I704,"-")</f>
        <v>-</v>
      </c>
      <c r="K704" s="31" t="n">
        <f aca="false">IF(OR($F704="",$J704="-"),0,ROUND($F704-$F704/(1+$H704),2))</f>
        <v>0</v>
      </c>
      <c r="L704" s="31" t="n">
        <f aca="false">IF($F704="",0,$F704-$K704)</f>
        <v>0</v>
      </c>
      <c r="M704" s="31" t="n">
        <f aca="false">IF($F704="",0,IF($J704="V",$L704,$F704))</f>
        <v>0</v>
      </c>
      <c r="N704" s="31" t="n">
        <f aca="false">IF($F704="",0,IF($J704="U",$L704,$F704))</f>
        <v>0</v>
      </c>
      <c r="O704" s="35" t="str">
        <f aca="false">IF($A704="","",MONTH($A704))</f>
        <v/>
      </c>
      <c r="P704" s="35" t="str">
        <f aca="false">IF($A704="","",ROUNDUP(MONTH($A704)/3,0))</f>
        <v/>
      </c>
      <c r="Q704" s="35" t="str">
        <f aca="false">IF($A704="","",IF(MONTH($A704)&lt;=6,1,2))</f>
        <v/>
      </c>
      <c r="R704" s="35" t="str">
        <f aca="false">IF($E704="","",IFERROR(INDEX(Kontenplan!$F$5:$F$90,MATCH($E704,Kontenplan!$A$5:$A$90,0)),""))</f>
        <v/>
      </c>
      <c r="S704" s="35" t="str">
        <f aca="false">IF($D704="","",IFERROR(INDEX(Kontenplan!$F$5:$F$90,MATCH($D704,Kontenplan!$A$5:$A$90,0)),""))</f>
        <v/>
      </c>
      <c r="T704" s="35" t="str">
        <f aca="false">IF($D704="","",IFERROR(INDEX(Kontenplan!$C$5:$C$90,MATCH($D704,Kontenplan!$A$5:$A$90,0)),"?"))</f>
        <v/>
      </c>
      <c r="U704" s="35" t="str">
        <f aca="false">IF($E704="","",IFERROR(INDEX(Kontenplan!$C$5:$C$90,MATCH($E704,Kontenplan!$A$5:$A$90,0)),"?"))</f>
        <v/>
      </c>
      <c r="V704" s="35" t="str">
        <f aca="false">IF($F704="","",IF(OR($D704="",$E704="",$T704="?",$U704="?"),"Konto prüfen!",IF($A704="","Datum fehlt",IF(YEAR($A704)&lt;&gt;Einstellungen!$B$7,"anderes Jahr!",IF($G704="","MWST-Code fehlt","OK")))))</f>
        <v/>
      </c>
      <c r="W704" s="35" t="str">
        <f aca="false">IF($F704="","",IF(OR($D704=Kontoauszug!$C$4,$E704=Kontoauszug!$C$4),MAX(W$4:W703)+1,""))</f>
        <v/>
      </c>
    </row>
    <row r="705" customFormat="false" ht="15" hidden="false" customHeight="false" outlineLevel="0" collapsed="false">
      <c r="A705" s="33"/>
      <c r="B705" s="32"/>
      <c r="C705" s="32"/>
      <c r="D705" s="32"/>
      <c r="E705" s="32"/>
      <c r="F705" s="30"/>
      <c r="G705" s="32"/>
      <c r="H705" s="34" t="n">
        <f aca="false">IF($G705="",0,IFERROR(INDEX(Einstellungen!$G$5:$G$11,MATCH($G705,Einstellungen!$E$5:$E$11,0)),0))</f>
        <v>0</v>
      </c>
      <c r="I705" s="35" t="str">
        <f aca="false">IF($G705="","-",IFERROR(INDEX(Einstellungen!$H$5:$H$11,MATCH($G705,Einstellungen!$E$5:$E$11,0)),"-"))</f>
        <v>-</v>
      </c>
      <c r="J705" s="35" t="str">
        <f aca="false">IF(AND(Einstellungen!$B$8="Ja",Einstellungen!$B$9="Effektiv"),$I705,"-")</f>
        <v>-</v>
      </c>
      <c r="K705" s="31" t="n">
        <f aca="false">IF(OR($F705="",$J705="-"),0,ROUND($F705-$F705/(1+$H705),2))</f>
        <v>0</v>
      </c>
      <c r="L705" s="31" t="n">
        <f aca="false">IF($F705="",0,$F705-$K705)</f>
        <v>0</v>
      </c>
      <c r="M705" s="31" t="n">
        <f aca="false">IF($F705="",0,IF($J705="V",$L705,$F705))</f>
        <v>0</v>
      </c>
      <c r="N705" s="31" t="n">
        <f aca="false">IF($F705="",0,IF($J705="U",$L705,$F705))</f>
        <v>0</v>
      </c>
      <c r="O705" s="35" t="str">
        <f aca="false">IF($A705="","",MONTH($A705))</f>
        <v/>
      </c>
      <c r="P705" s="35" t="str">
        <f aca="false">IF($A705="","",ROUNDUP(MONTH($A705)/3,0))</f>
        <v/>
      </c>
      <c r="Q705" s="35" t="str">
        <f aca="false">IF($A705="","",IF(MONTH($A705)&lt;=6,1,2))</f>
        <v/>
      </c>
      <c r="R705" s="35" t="str">
        <f aca="false">IF($E705="","",IFERROR(INDEX(Kontenplan!$F$5:$F$90,MATCH($E705,Kontenplan!$A$5:$A$90,0)),""))</f>
        <v/>
      </c>
      <c r="S705" s="35" t="str">
        <f aca="false">IF($D705="","",IFERROR(INDEX(Kontenplan!$F$5:$F$90,MATCH($D705,Kontenplan!$A$5:$A$90,0)),""))</f>
        <v/>
      </c>
      <c r="T705" s="35" t="str">
        <f aca="false">IF($D705="","",IFERROR(INDEX(Kontenplan!$C$5:$C$90,MATCH($D705,Kontenplan!$A$5:$A$90,0)),"?"))</f>
        <v/>
      </c>
      <c r="U705" s="35" t="str">
        <f aca="false">IF($E705="","",IFERROR(INDEX(Kontenplan!$C$5:$C$90,MATCH($E705,Kontenplan!$A$5:$A$90,0)),"?"))</f>
        <v/>
      </c>
      <c r="V705" s="35" t="str">
        <f aca="false">IF($F705="","",IF(OR($D705="",$E705="",$T705="?",$U705="?"),"Konto prüfen!",IF($A705="","Datum fehlt",IF(YEAR($A705)&lt;&gt;Einstellungen!$B$7,"anderes Jahr!",IF($G705="","MWST-Code fehlt","OK")))))</f>
        <v/>
      </c>
      <c r="W705" s="35" t="str">
        <f aca="false">IF($F705="","",IF(OR($D705=Kontoauszug!$C$4,$E705=Kontoauszug!$C$4),MAX(W$4:W704)+1,""))</f>
        <v/>
      </c>
    </row>
    <row r="706" customFormat="false" ht="15" hidden="false" customHeight="false" outlineLevel="0" collapsed="false">
      <c r="A706" s="33"/>
      <c r="B706" s="32"/>
      <c r="C706" s="32"/>
      <c r="D706" s="32"/>
      <c r="E706" s="32"/>
      <c r="F706" s="30"/>
      <c r="G706" s="32"/>
      <c r="H706" s="34" t="n">
        <f aca="false">IF($G706="",0,IFERROR(INDEX(Einstellungen!$G$5:$G$11,MATCH($G706,Einstellungen!$E$5:$E$11,0)),0))</f>
        <v>0</v>
      </c>
      <c r="I706" s="35" t="str">
        <f aca="false">IF($G706="","-",IFERROR(INDEX(Einstellungen!$H$5:$H$11,MATCH($G706,Einstellungen!$E$5:$E$11,0)),"-"))</f>
        <v>-</v>
      </c>
      <c r="J706" s="35" t="str">
        <f aca="false">IF(AND(Einstellungen!$B$8="Ja",Einstellungen!$B$9="Effektiv"),$I706,"-")</f>
        <v>-</v>
      </c>
      <c r="K706" s="31" t="n">
        <f aca="false">IF(OR($F706="",$J706="-"),0,ROUND($F706-$F706/(1+$H706),2))</f>
        <v>0</v>
      </c>
      <c r="L706" s="31" t="n">
        <f aca="false">IF($F706="",0,$F706-$K706)</f>
        <v>0</v>
      </c>
      <c r="M706" s="31" t="n">
        <f aca="false">IF($F706="",0,IF($J706="V",$L706,$F706))</f>
        <v>0</v>
      </c>
      <c r="N706" s="31" t="n">
        <f aca="false">IF($F706="",0,IF($J706="U",$L706,$F706))</f>
        <v>0</v>
      </c>
      <c r="O706" s="35" t="str">
        <f aca="false">IF($A706="","",MONTH($A706))</f>
        <v/>
      </c>
      <c r="P706" s="35" t="str">
        <f aca="false">IF($A706="","",ROUNDUP(MONTH($A706)/3,0))</f>
        <v/>
      </c>
      <c r="Q706" s="35" t="str">
        <f aca="false">IF($A706="","",IF(MONTH($A706)&lt;=6,1,2))</f>
        <v/>
      </c>
      <c r="R706" s="35" t="str">
        <f aca="false">IF($E706="","",IFERROR(INDEX(Kontenplan!$F$5:$F$90,MATCH($E706,Kontenplan!$A$5:$A$90,0)),""))</f>
        <v/>
      </c>
      <c r="S706" s="35" t="str">
        <f aca="false">IF($D706="","",IFERROR(INDEX(Kontenplan!$F$5:$F$90,MATCH($D706,Kontenplan!$A$5:$A$90,0)),""))</f>
        <v/>
      </c>
      <c r="T706" s="35" t="str">
        <f aca="false">IF($D706="","",IFERROR(INDEX(Kontenplan!$C$5:$C$90,MATCH($D706,Kontenplan!$A$5:$A$90,0)),"?"))</f>
        <v/>
      </c>
      <c r="U706" s="35" t="str">
        <f aca="false">IF($E706="","",IFERROR(INDEX(Kontenplan!$C$5:$C$90,MATCH($E706,Kontenplan!$A$5:$A$90,0)),"?"))</f>
        <v/>
      </c>
      <c r="V706" s="35" t="str">
        <f aca="false">IF($F706="","",IF(OR($D706="",$E706="",$T706="?",$U706="?"),"Konto prüfen!",IF($A706="","Datum fehlt",IF(YEAR($A706)&lt;&gt;Einstellungen!$B$7,"anderes Jahr!",IF($G706="","MWST-Code fehlt","OK")))))</f>
        <v/>
      </c>
      <c r="W706" s="35" t="str">
        <f aca="false">IF($F706="","",IF(OR($D706=Kontoauszug!$C$4,$E706=Kontoauszug!$C$4),MAX(W$4:W705)+1,""))</f>
        <v/>
      </c>
    </row>
    <row r="707" customFormat="false" ht="15" hidden="false" customHeight="false" outlineLevel="0" collapsed="false">
      <c r="A707" s="33"/>
      <c r="B707" s="32"/>
      <c r="C707" s="32"/>
      <c r="D707" s="32"/>
      <c r="E707" s="32"/>
      <c r="F707" s="30"/>
      <c r="G707" s="32"/>
      <c r="H707" s="34" t="n">
        <f aca="false">IF($G707="",0,IFERROR(INDEX(Einstellungen!$G$5:$G$11,MATCH($G707,Einstellungen!$E$5:$E$11,0)),0))</f>
        <v>0</v>
      </c>
      <c r="I707" s="35" t="str">
        <f aca="false">IF($G707="","-",IFERROR(INDEX(Einstellungen!$H$5:$H$11,MATCH($G707,Einstellungen!$E$5:$E$11,0)),"-"))</f>
        <v>-</v>
      </c>
      <c r="J707" s="35" t="str">
        <f aca="false">IF(AND(Einstellungen!$B$8="Ja",Einstellungen!$B$9="Effektiv"),$I707,"-")</f>
        <v>-</v>
      </c>
      <c r="K707" s="31" t="n">
        <f aca="false">IF(OR($F707="",$J707="-"),0,ROUND($F707-$F707/(1+$H707),2))</f>
        <v>0</v>
      </c>
      <c r="L707" s="31" t="n">
        <f aca="false">IF($F707="",0,$F707-$K707)</f>
        <v>0</v>
      </c>
      <c r="M707" s="31" t="n">
        <f aca="false">IF($F707="",0,IF($J707="V",$L707,$F707))</f>
        <v>0</v>
      </c>
      <c r="N707" s="31" t="n">
        <f aca="false">IF($F707="",0,IF($J707="U",$L707,$F707))</f>
        <v>0</v>
      </c>
      <c r="O707" s="35" t="str">
        <f aca="false">IF($A707="","",MONTH($A707))</f>
        <v/>
      </c>
      <c r="P707" s="35" t="str">
        <f aca="false">IF($A707="","",ROUNDUP(MONTH($A707)/3,0))</f>
        <v/>
      </c>
      <c r="Q707" s="35" t="str">
        <f aca="false">IF($A707="","",IF(MONTH($A707)&lt;=6,1,2))</f>
        <v/>
      </c>
      <c r="R707" s="35" t="str">
        <f aca="false">IF($E707="","",IFERROR(INDEX(Kontenplan!$F$5:$F$90,MATCH($E707,Kontenplan!$A$5:$A$90,0)),""))</f>
        <v/>
      </c>
      <c r="S707" s="35" t="str">
        <f aca="false">IF($D707="","",IFERROR(INDEX(Kontenplan!$F$5:$F$90,MATCH($D707,Kontenplan!$A$5:$A$90,0)),""))</f>
        <v/>
      </c>
      <c r="T707" s="35" t="str">
        <f aca="false">IF($D707="","",IFERROR(INDEX(Kontenplan!$C$5:$C$90,MATCH($D707,Kontenplan!$A$5:$A$90,0)),"?"))</f>
        <v/>
      </c>
      <c r="U707" s="35" t="str">
        <f aca="false">IF($E707="","",IFERROR(INDEX(Kontenplan!$C$5:$C$90,MATCH($E707,Kontenplan!$A$5:$A$90,0)),"?"))</f>
        <v/>
      </c>
      <c r="V707" s="35" t="str">
        <f aca="false">IF($F707="","",IF(OR($D707="",$E707="",$T707="?",$U707="?"),"Konto prüfen!",IF($A707="","Datum fehlt",IF(YEAR($A707)&lt;&gt;Einstellungen!$B$7,"anderes Jahr!",IF($G707="","MWST-Code fehlt","OK")))))</f>
        <v/>
      </c>
      <c r="W707" s="35" t="str">
        <f aca="false">IF($F707="","",IF(OR($D707=Kontoauszug!$C$4,$E707=Kontoauszug!$C$4),MAX(W$4:W706)+1,""))</f>
        <v/>
      </c>
    </row>
    <row r="708" customFormat="false" ht="15" hidden="false" customHeight="false" outlineLevel="0" collapsed="false">
      <c r="A708" s="33"/>
      <c r="B708" s="32"/>
      <c r="C708" s="32"/>
      <c r="D708" s="32"/>
      <c r="E708" s="32"/>
      <c r="F708" s="30"/>
      <c r="G708" s="32"/>
      <c r="H708" s="34" t="n">
        <f aca="false">IF($G708="",0,IFERROR(INDEX(Einstellungen!$G$5:$G$11,MATCH($G708,Einstellungen!$E$5:$E$11,0)),0))</f>
        <v>0</v>
      </c>
      <c r="I708" s="35" t="str">
        <f aca="false">IF($G708="","-",IFERROR(INDEX(Einstellungen!$H$5:$H$11,MATCH($G708,Einstellungen!$E$5:$E$11,0)),"-"))</f>
        <v>-</v>
      </c>
      <c r="J708" s="35" t="str">
        <f aca="false">IF(AND(Einstellungen!$B$8="Ja",Einstellungen!$B$9="Effektiv"),$I708,"-")</f>
        <v>-</v>
      </c>
      <c r="K708" s="31" t="n">
        <f aca="false">IF(OR($F708="",$J708="-"),0,ROUND($F708-$F708/(1+$H708),2))</f>
        <v>0</v>
      </c>
      <c r="L708" s="31" t="n">
        <f aca="false">IF($F708="",0,$F708-$K708)</f>
        <v>0</v>
      </c>
      <c r="M708" s="31" t="n">
        <f aca="false">IF($F708="",0,IF($J708="V",$L708,$F708))</f>
        <v>0</v>
      </c>
      <c r="N708" s="31" t="n">
        <f aca="false">IF($F708="",0,IF($J708="U",$L708,$F708))</f>
        <v>0</v>
      </c>
      <c r="O708" s="35" t="str">
        <f aca="false">IF($A708="","",MONTH($A708))</f>
        <v/>
      </c>
      <c r="P708" s="35" t="str">
        <f aca="false">IF($A708="","",ROUNDUP(MONTH($A708)/3,0))</f>
        <v/>
      </c>
      <c r="Q708" s="35" t="str">
        <f aca="false">IF($A708="","",IF(MONTH($A708)&lt;=6,1,2))</f>
        <v/>
      </c>
      <c r="R708" s="35" t="str">
        <f aca="false">IF($E708="","",IFERROR(INDEX(Kontenplan!$F$5:$F$90,MATCH($E708,Kontenplan!$A$5:$A$90,0)),""))</f>
        <v/>
      </c>
      <c r="S708" s="35" t="str">
        <f aca="false">IF($D708="","",IFERROR(INDEX(Kontenplan!$F$5:$F$90,MATCH($D708,Kontenplan!$A$5:$A$90,0)),""))</f>
        <v/>
      </c>
      <c r="T708" s="35" t="str">
        <f aca="false">IF($D708="","",IFERROR(INDEX(Kontenplan!$C$5:$C$90,MATCH($D708,Kontenplan!$A$5:$A$90,0)),"?"))</f>
        <v/>
      </c>
      <c r="U708" s="35" t="str">
        <f aca="false">IF($E708="","",IFERROR(INDEX(Kontenplan!$C$5:$C$90,MATCH($E708,Kontenplan!$A$5:$A$90,0)),"?"))</f>
        <v/>
      </c>
      <c r="V708" s="35" t="str">
        <f aca="false">IF($F708="","",IF(OR($D708="",$E708="",$T708="?",$U708="?"),"Konto prüfen!",IF($A708="","Datum fehlt",IF(YEAR($A708)&lt;&gt;Einstellungen!$B$7,"anderes Jahr!",IF($G708="","MWST-Code fehlt","OK")))))</f>
        <v/>
      </c>
      <c r="W708" s="35" t="str">
        <f aca="false">IF($F708="","",IF(OR($D708=Kontoauszug!$C$4,$E708=Kontoauszug!$C$4),MAX(W$4:W707)+1,""))</f>
        <v/>
      </c>
    </row>
    <row r="709" customFormat="false" ht="15" hidden="false" customHeight="false" outlineLevel="0" collapsed="false">
      <c r="A709" s="33"/>
      <c r="B709" s="32"/>
      <c r="C709" s="32"/>
      <c r="D709" s="32"/>
      <c r="E709" s="32"/>
      <c r="F709" s="30"/>
      <c r="G709" s="32"/>
      <c r="H709" s="34" t="n">
        <f aca="false">IF($G709="",0,IFERROR(INDEX(Einstellungen!$G$5:$G$11,MATCH($G709,Einstellungen!$E$5:$E$11,0)),0))</f>
        <v>0</v>
      </c>
      <c r="I709" s="35" t="str">
        <f aca="false">IF($G709="","-",IFERROR(INDEX(Einstellungen!$H$5:$H$11,MATCH($G709,Einstellungen!$E$5:$E$11,0)),"-"))</f>
        <v>-</v>
      </c>
      <c r="J709" s="35" t="str">
        <f aca="false">IF(AND(Einstellungen!$B$8="Ja",Einstellungen!$B$9="Effektiv"),$I709,"-")</f>
        <v>-</v>
      </c>
      <c r="K709" s="31" t="n">
        <f aca="false">IF(OR($F709="",$J709="-"),0,ROUND($F709-$F709/(1+$H709),2))</f>
        <v>0</v>
      </c>
      <c r="L709" s="31" t="n">
        <f aca="false">IF($F709="",0,$F709-$K709)</f>
        <v>0</v>
      </c>
      <c r="M709" s="31" t="n">
        <f aca="false">IF($F709="",0,IF($J709="V",$L709,$F709))</f>
        <v>0</v>
      </c>
      <c r="N709" s="31" t="n">
        <f aca="false">IF($F709="",0,IF($J709="U",$L709,$F709))</f>
        <v>0</v>
      </c>
      <c r="O709" s="35" t="str">
        <f aca="false">IF($A709="","",MONTH($A709))</f>
        <v/>
      </c>
      <c r="P709" s="35" t="str">
        <f aca="false">IF($A709="","",ROUNDUP(MONTH($A709)/3,0))</f>
        <v/>
      </c>
      <c r="Q709" s="35" t="str">
        <f aca="false">IF($A709="","",IF(MONTH($A709)&lt;=6,1,2))</f>
        <v/>
      </c>
      <c r="R709" s="35" t="str">
        <f aca="false">IF($E709="","",IFERROR(INDEX(Kontenplan!$F$5:$F$90,MATCH($E709,Kontenplan!$A$5:$A$90,0)),""))</f>
        <v/>
      </c>
      <c r="S709" s="35" t="str">
        <f aca="false">IF($D709="","",IFERROR(INDEX(Kontenplan!$F$5:$F$90,MATCH($D709,Kontenplan!$A$5:$A$90,0)),""))</f>
        <v/>
      </c>
      <c r="T709" s="35" t="str">
        <f aca="false">IF($D709="","",IFERROR(INDEX(Kontenplan!$C$5:$C$90,MATCH($D709,Kontenplan!$A$5:$A$90,0)),"?"))</f>
        <v/>
      </c>
      <c r="U709" s="35" t="str">
        <f aca="false">IF($E709="","",IFERROR(INDEX(Kontenplan!$C$5:$C$90,MATCH($E709,Kontenplan!$A$5:$A$90,0)),"?"))</f>
        <v/>
      </c>
      <c r="V709" s="35" t="str">
        <f aca="false">IF($F709="","",IF(OR($D709="",$E709="",$T709="?",$U709="?"),"Konto prüfen!",IF($A709="","Datum fehlt",IF(YEAR($A709)&lt;&gt;Einstellungen!$B$7,"anderes Jahr!",IF($G709="","MWST-Code fehlt","OK")))))</f>
        <v/>
      </c>
      <c r="W709" s="35" t="str">
        <f aca="false">IF($F709="","",IF(OR($D709=Kontoauszug!$C$4,$E709=Kontoauszug!$C$4),MAX(W$4:W708)+1,""))</f>
        <v/>
      </c>
    </row>
    <row r="710" customFormat="false" ht="15" hidden="false" customHeight="false" outlineLevel="0" collapsed="false">
      <c r="A710" s="33"/>
      <c r="B710" s="32"/>
      <c r="C710" s="32"/>
      <c r="D710" s="32"/>
      <c r="E710" s="32"/>
      <c r="F710" s="30"/>
      <c r="G710" s="32"/>
      <c r="H710" s="34" t="n">
        <f aca="false">IF($G710="",0,IFERROR(INDEX(Einstellungen!$G$5:$G$11,MATCH($G710,Einstellungen!$E$5:$E$11,0)),0))</f>
        <v>0</v>
      </c>
      <c r="I710" s="35" t="str">
        <f aca="false">IF($G710="","-",IFERROR(INDEX(Einstellungen!$H$5:$H$11,MATCH($G710,Einstellungen!$E$5:$E$11,0)),"-"))</f>
        <v>-</v>
      </c>
      <c r="J710" s="35" t="str">
        <f aca="false">IF(AND(Einstellungen!$B$8="Ja",Einstellungen!$B$9="Effektiv"),$I710,"-")</f>
        <v>-</v>
      </c>
      <c r="K710" s="31" t="n">
        <f aca="false">IF(OR($F710="",$J710="-"),0,ROUND($F710-$F710/(1+$H710),2))</f>
        <v>0</v>
      </c>
      <c r="L710" s="31" t="n">
        <f aca="false">IF($F710="",0,$F710-$K710)</f>
        <v>0</v>
      </c>
      <c r="M710" s="31" t="n">
        <f aca="false">IF($F710="",0,IF($J710="V",$L710,$F710))</f>
        <v>0</v>
      </c>
      <c r="N710" s="31" t="n">
        <f aca="false">IF($F710="",0,IF($J710="U",$L710,$F710))</f>
        <v>0</v>
      </c>
      <c r="O710" s="35" t="str">
        <f aca="false">IF($A710="","",MONTH($A710))</f>
        <v/>
      </c>
      <c r="P710" s="35" t="str">
        <f aca="false">IF($A710="","",ROUNDUP(MONTH($A710)/3,0))</f>
        <v/>
      </c>
      <c r="Q710" s="35" t="str">
        <f aca="false">IF($A710="","",IF(MONTH($A710)&lt;=6,1,2))</f>
        <v/>
      </c>
      <c r="R710" s="35" t="str">
        <f aca="false">IF($E710="","",IFERROR(INDEX(Kontenplan!$F$5:$F$90,MATCH($E710,Kontenplan!$A$5:$A$90,0)),""))</f>
        <v/>
      </c>
      <c r="S710" s="35" t="str">
        <f aca="false">IF($D710="","",IFERROR(INDEX(Kontenplan!$F$5:$F$90,MATCH($D710,Kontenplan!$A$5:$A$90,0)),""))</f>
        <v/>
      </c>
      <c r="T710" s="35" t="str">
        <f aca="false">IF($D710="","",IFERROR(INDEX(Kontenplan!$C$5:$C$90,MATCH($D710,Kontenplan!$A$5:$A$90,0)),"?"))</f>
        <v/>
      </c>
      <c r="U710" s="35" t="str">
        <f aca="false">IF($E710="","",IFERROR(INDEX(Kontenplan!$C$5:$C$90,MATCH($E710,Kontenplan!$A$5:$A$90,0)),"?"))</f>
        <v/>
      </c>
      <c r="V710" s="35" t="str">
        <f aca="false">IF($F710="","",IF(OR($D710="",$E710="",$T710="?",$U710="?"),"Konto prüfen!",IF($A710="","Datum fehlt",IF(YEAR($A710)&lt;&gt;Einstellungen!$B$7,"anderes Jahr!",IF($G710="","MWST-Code fehlt","OK")))))</f>
        <v/>
      </c>
      <c r="W710" s="35" t="str">
        <f aca="false">IF($F710="","",IF(OR($D710=Kontoauszug!$C$4,$E710=Kontoauszug!$C$4),MAX(W$4:W709)+1,""))</f>
        <v/>
      </c>
    </row>
    <row r="711" customFormat="false" ht="15" hidden="false" customHeight="false" outlineLevel="0" collapsed="false">
      <c r="A711" s="33"/>
      <c r="B711" s="32"/>
      <c r="C711" s="32"/>
      <c r="D711" s="32"/>
      <c r="E711" s="32"/>
      <c r="F711" s="30"/>
      <c r="G711" s="32"/>
      <c r="H711" s="34" t="n">
        <f aca="false">IF($G711="",0,IFERROR(INDEX(Einstellungen!$G$5:$G$11,MATCH($G711,Einstellungen!$E$5:$E$11,0)),0))</f>
        <v>0</v>
      </c>
      <c r="I711" s="35" t="str">
        <f aca="false">IF($G711="","-",IFERROR(INDEX(Einstellungen!$H$5:$H$11,MATCH($G711,Einstellungen!$E$5:$E$11,0)),"-"))</f>
        <v>-</v>
      </c>
      <c r="J711" s="35" t="str">
        <f aca="false">IF(AND(Einstellungen!$B$8="Ja",Einstellungen!$B$9="Effektiv"),$I711,"-")</f>
        <v>-</v>
      </c>
      <c r="K711" s="31" t="n">
        <f aca="false">IF(OR($F711="",$J711="-"),0,ROUND($F711-$F711/(1+$H711),2))</f>
        <v>0</v>
      </c>
      <c r="L711" s="31" t="n">
        <f aca="false">IF($F711="",0,$F711-$K711)</f>
        <v>0</v>
      </c>
      <c r="M711" s="31" t="n">
        <f aca="false">IF($F711="",0,IF($J711="V",$L711,$F711))</f>
        <v>0</v>
      </c>
      <c r="N711" s="31" t="n">
        <f aca="false">IF($F711="",0,IF($J711="U",$L711,$F711))</f>
        <v>0</v>
      </c>
      <c r="O711" s="35" t="str">
        <f aca="false">IF($A711="","",MONTH($A711))</f>
        <v/>
      </c>
      <c r="P711" s="35" t="str">
        <f aca="false">IF($A711="","",ROUNDUP(MONTH($A711)/3,0))</f>
        <v/>
      </c>
      <c r="Q711" s="35" t="str">
        <f aca="false">IF($A711="","",IF(MONTH($A711)&lt;=6,1,2))</f>
        <v/>
      </c>
      <c r="R711" s="35" t="str">
        <f aca="false">IF($E711="","",IFERROR(INDEX(Kontenplan!$F$5:$F$90,MATCH($E711,Kontenplan!$A$5:$A$90,0)),""))</f>
        <v/>
      </c>
      <c r="S711" s="35" t="str">
        <f aca="false">IF($D711="","",IFERROR(INDEX(Kontenplan!$F$5:$F$90,MATCH($D711,Kontenplan!$A$5:$A$90,0)),""))</f>
        <v/>
      </c>
      <c r="T711" s="35" t="str">
        <f aca="false">IF($D711="","",IFERROR(INDEX(Kontenplan!$C$5:$C$90,MATCH($D711,Kontenplan!$A$5:$A$90,0)),"?"))</f>
        <v/>
      </c>
      <c r="U711" s="35" t="str">
        <f aca="false">IF($E711="","",IFERROR(INDEX(Kontenplan!$C$5:$C$90,MATCH($E711,Kontenplan!$A$5:$A$90,0)),"?"))</f>
        <v/>
      </c>
      <c r="V711" s="35" t="str">
        <f aca="false">IF($F711="","",IF(OR($D711="",$E711="",$T711="?",$U711="?"),"Konto prüfen!",IF($A711="","Datum fehlt",IF(YEAR($A711)&lt;&gt;Einstellungen!$B$7,"anderes Jahr!",IF($G711="","MWST-Code fehlt","OK")))))</f>
        <v/>
      </c>
      <c r="W711" s="35" t="str">
        <f aca="false">IF($F711="","",IF(OR($D711=Kontoauszug!$C$4,$E711=Kontoauszug!$C$4),MAX(W$4:W710)+1,""))</f>
        <v/>
      </c>
    </row>
    <row r="712" customFormat="false" ht="15" hidden="false" customHeight="false" outlineLevel="0" collapsed="false">
      <c r="A712" s="33"/>
      <c r="B712" s="32"/>
      <c r="C712" s="32"/>
      <c r="D712" s="32"/>
      <c r="E712" s="32"/>
      <c r="F712" s="30"/>
      <c r="G712" s="32"/>
      <c r="H712" s="34" t="n">
        <f aca="false">IF($G712="",0,IFERROR(INDEX(Einstellungen!$G$5:$G$11,MATCH($G712,Einstellungen!$E$5:$E$11,0)),0))</f>
        <v>0</v>
      </c>
      <c r="I712" s="35" t="str">
        <f aca="false">IF($G712="","-",IFERROR(INDEX(Einstellungen!$H$5:$H$11,MATCH($G712,Einstellungen!$E$5:$E$11,0)),"-"))</f>
        <v>-</v>
      </c>
      <c r="J712" s="35" t="str">
        <f aca="false">IF(AND(Einstellungen!$B$8="Ja",Einstellungen!$B$9="Effektiv"),$I712,"-")</f>
        <v>-</v>
      </c>
      <c r="K712" s="31" t="n">
        <f aca="false">IF(OR($F712="",$J712="-"),0,ROUND($F712-$F712/(1+$H712),2))</f>
        <v>0</v>
      </c>
      <c r="L712" s="31" t="n">
        <f aca="false">IF($F712="",0,$F712-$K712)</f>
        <v>0</v>
      </c>
      <c r="M712" s="31" t="n">
        <f aca="false">IF($F712="",0,IF($J712="V",$L712,$F712))</f>
        <v>0</v>
      </c>
      <c r="N712" s="31" t="n">
        <f aca="false">IF($F712="",0,IF($J712="U",$L712,$F712))</f>
        <v>0</v>
      </c>
      <c r="O712" s="35" t="str">
        <f aca="false">IF($A712="","",MONTH($A712))</f>
        <v/>
      </c>
      <c r="P712" s="35" t="str">
        <f aca="false">IF($A712="","",ROUNDUP(MONTH($A712)/3,0))</f>
        <v/>
      </c>
      <c r="Q712" s="35" t="str">
        <f aca="false">IF($A712="","",IF(MONTH($A712)&lt;=6,1,2))</f>
        <v/>
      </c>
      <c r="R712" s="35" t="str">
        <f aca="false">IF($E712="","",IFERROR(INDEX(Kontenplan!$F$5:$F$90,MATCH($E712,Kontenplan!$A$5:$A$90,0)),""))</f>
        <v/>
      </c>
      <c r="S712" s="35" t="str">
        <f aca="false">IF($D712="","",IFERROR(INDEX(Kontenplan!$F$5:$F$90,MATCH($D712,Kontenplan!$A$5:$A$90,0)),""))</f>
        <v/>
      </c>
      <c r="T712" s="35" t="str">
        <f aca="false">IF($D712="","",IFERROR(INDEX(Kontenplan!$C$5:$C$90,MATCH($D712,Kontenplan!$A$5:$A$90,0)),"?"))</f>
        <v/>
      </c>
      <c r="U712" s="35" t="str">
        <f aca="false">IF($E712="","",IFERROR(INDEX(Kontenplan!$C$5:$C$90,MATCH($E712,Kontenplan!$A$5:$A$90,0)),"?"))</f>
        <v/>
      </c>
      <c r="V712" s="35" t="str">
        <f aca="false">IF($F712="","",IF(OR($D712="",$E712="",$T712="?",$U712="?"),"Konto prüfen!",IF($A712="","Datum fehlt",IF(YEAR($A712)&lt;&gt;Einstellungen!$B$7,"anderes Jahr!",IF($G712="","MWST-Code fehlt","OK")))))</f>
        <v/>
      </c>
      <c r="W712" s="35" t="str">
        <f aca="false">IF($F712="","",IF(OR($D712=Kontoauszug!$C$4,$E712=Kontoauszug!$C$4),MAX(W$4:W711)+1,""))</f>
        <v/>
      </c>
    </row>
    <row r="713" customFormat="false" ht="15" hidden="false" customHeight="false" outlineLevel="0" collapsed="false">
      <c r="A713" s="33"/>
      <c r="B713" s="32"/>
      <c r="C713" s="32"/>
      <c r="D713" s="32"/>
      <c r="E713" s="32"/>
      <c r="F713" s="30"/>
      <c r="G713" s="32"/>
      <c r="H713" s="34" t="n">
        <f aca="false">IF($G713="",0,IFERROR(INDEX(Einstellungen!$G$5:$G$11,MATCH($G713,Einstellungen!$E$5:$E$11,0)),0))</f>
        <v>0</v>
      </c>
      <c r="I713" s="35" t="str">
        <f aca="false">IF($G713="","-",IFERROR(INDEX(Einstellungen!$H$5:$H$11,MATCH($G713,Einstellungen!$E$5:$E$11,0)),"-"))</f>
        <v>-</v>
      </c>
      <c r="J713" s="35" t="str">
        <f aca="false">IF(AND(Einstellungen!$B$8="Ja",Einstellungen!$B$9="Effektiv"),$I713,"-")</f>
        <v>-</v>
      </c>
      <c r="K713" s="31" t="n">
        <f aca="false">IF(OR($F713="",$J713="-"),0,ROUND($F713-$F713/(1+$H713),2))</f>
        <v>0</v>
      </c>
      <c r="L713" s="31" t="n">
        <f aca="false">IF($F713="",0,$F713-$K713)</f>
        <v>0</v>
      </c>
      <c r="M713" s="31" t="n">
        <f aca="false">IF($F713="",0,IF($J713="V",$L713,$F713))</f>
        <v>0</v>
      </c>
      <c r="N713" s="31" t="n">
        <f aca="false">IF($F713="",0,IF($J713="U",$L713,$F713))</f>
        <v>0</v>
      </c>
      <c r="O713" s="35" t="str">
        <f aca="false">IF($A713="","",MONTH($A713))</f>
        <v/>
      </c>
      <c r="P713" s="35" t="str">
        <f aca="false">IF($A713="","",ROUNDUP(MONTH($A713)/3,0))</f>
        <v/>
      </c>
      <c r="Q713" s="35" t="str">
        <f aca="false">IF($A713="","",IF(MONTH($A713)&lt;=6,1,2))</f>
        <v/>
      </c>
      <c r="R713" s="35" t="str">
        <f aca="false">IF($E713="","",IFERROR(INDEX(Kontenplan!$F$5:$F$90,MATCH($E713,Kontenplan!$A$5:$A$90,0)),""))</f>
        <v/>
      </c>
      <c r="S713" s="35" t="str">
        <f aca="false">IF($D713="","",IFERROR(INDEX(Kontenplan!$F$5:$F$90,MATCH($D713,Kontenplan!$A$5:$A$90,0)),""))</f>
        <v/>
      </c>
      <c r="T713" s="35" t="str">
        <f aca="false">IF($D713="","",IFERROR(INDEX(Kontenplan!$C$5:$C$90,MATCH($D713,Kontenplan!$A$5:$A$90,0)),"?"))</f>
        <v/>
      </c>
      <c r="U713" s="35" t="str">
        <f aca="false">IF($E713="","",IFERROR(INDEX(Kontenplan!$C$5:$C$90,MATCH($E713,Kontenplan!$A$5:$A$90,0)),"?"))</f>
        <v/>
      </c>
      <c r="V713" s="35" t="str">
        <f aca="false">IF($F713="","",IF(OR($D713="",$E713="",$T713="?",$U713="?"),"Konto prüfen!",IF($A713="","Datum fehlt",IF(YEAR($A713)&lt;&gt;Einstellungen!$B$7,"anderes Jahr!",IF($G713="","MWST-Code fehlt","OK")))))</f>
        <v/>
      </c>
      <c r="W713" s="35" t="str">
        <f aca="false">IF($F713="","",IF(OR($D713=Kontoauszug!$C$4,$E713=Kontoauszug!$C$4),MAX(W$4:W712)+1,""))</f>
        <v/>
      </c>
    </row>
    <row r="714" customFormat="false" ht="15" hidden="false" customHeight="false" outlineLevel="0" collapsed="false">
      <c r="A714" s="33"/>
      <c r="B714" s="32"/>
      <c r="C714" s="32"/>
      <c r="D714" s="32"/>
      <c r="E714" s="32"/>
      <c r="F714" s="30"/>
      <c r="G714" s="32"/>
      <c r="H714" s="34" t="n">
        <f aca="false">IF($G714="",0,IFERROR(INDEX(Einstellungen!$G$5:$G$11,MATCH($G714,Einstellungen!$E$5:$E$11,0)),0))</f>
        <v>0</v>
      </c>
      <c r="I714" s="35" t="str">
        <f aca="false">IF($G714="","-",IFERROR(INDEX(Einstellungen!$H$5:$H$11,MATCH($G714,Einstellungen!$E$5:$E$11,0)),"-"))</f>
        <v>-</v>
      </c>
      <c r="J714" s="35" t="str">
        <f aca="false">IF(AND(Einstellungen!$B$8="Ja",Einstellungen!$B$9="Effektiv"),$I714,"-")</f>
        <v>-</v>
      </c>
      <c r="K714" s="31" t="n">
        <f aca="false">IF(OR($F714="",$J714="-"),0,ROUND($F714-$F714/(1+$H714),2))</f>
        <v>0</v>
      </c>
      <c r="L714" s="31" t="n">
        <f aca="false">IF($F714="",0,$F714-$K714)</f>
        <v>0</v>
      </c>
      <c r="M714" s="31" t="n">
        <f aca="false">IF($F714="",0,IF($J714="V",$L714,$F714))</f>
        <v>0</v>
      </c>
      <c r="N714" s="31" t="n">
        <f aca="false">IF($F714="",0,IF($J714="U",$L714,$F714))</f>
        <v>0</v>
      </c>
      <c r="O714" s="35" t="str">
        <f aca="false">IF($A714="","",MONTH($A714))</f>
        <v/>
      </c>
      <c r="P714" s="35" t="str">
        <f aca="false">IF($A714="","",ROUNDUP(MONTH($A714)/3,0))</f>
        <v/>
      </c>
      <c r="Q714" s="35" t="str">
        <f aca="false">IF($A714="","",IF(MONTH($A714)&lt;=6,1,2))</f>
        <v/>
      </c>
      <c r="R714" s="35" t="str">
        <f aca="false">IF($E714="","",IFERROR(INDEX(Kontenplan!$F$5:$F$90,MATCH($E714,Kontenplan!$A$5:$A$90,0)),""))</f>
        <v/>
      </c>
      <c r="S714" s="35" t="str">
        <f aca="false">IF($D714="","",IFERROR(INDEX(Kontenplan!$F$5:$F$90,MATCH($D714,Kontenplan!$A$5:$A$90,0)),""))</f>
        <v/>
      </c>
      <c r="T714" s="35" t="str">
        <f aca="false">IF($D714="","",IFERROR(INDEX(Kontenplan!$C$5:$C$90,MATCH($D714,Kontenplan!$A$5:$A$90,0)),"?"))</f>
        <v/>
      </c>
      <c r="U714" s="35" t="str">
        <f aca="false">IF($E714="","",IFERROR(INDEX(Kontenplan!$C$5:$C$90,MATCH($E714,Kontenplan!$A$5:$A$90,0)),"?"))</f>
        <v/>
      </c>
      <c r="V714" s="35" t="str">
        <f aca="false">IF($F714="","",IF(OR($D714="",$E714="",$T714="?",$U714="?"),"Konto prüfen!",IF($A714="","Datum fehlt",IF(YEAR($A714)&lt;&gt;Einstellungen!$B$7,"anderes Jahr!",IF($G714="","MWST-Code fehlt","OK")))))</f>
        <v/>
      </c>
      <c r="W714" s="35" t="str">
        <f aca="false">IF($F714="","",IF(OR($D714=Kontoauszug!$C$4,$E714=Kontoauszug!$C$4),MAX(W$4:W713)+1,""))</f>
        <v/>
      </c>
    </row>
    <row r="715" customFormat="false" ht="15" hidden="false" customHeight="false" outlineLevel="0" collapsed="false">
      <c r="A715" s="33"/>
      <c r="B715" s="32"/>
      <c r="C715" s="32"/>
      <c r="D715" s="32"/>
      <c r="E715" s="32"/>
      <c r="F715" s="30"/>
      <c r="G715" s="32"/>
      <c r="H715" s="34" t="n">
        <f aca="false">IF($G715="",0,IFERROR(INDEX(Einstellungen!$G$5:$G$11,MATCH($G715,Einstellungen!$E$5:$E$11,0)),0))</f>
        <v>0</v>
      </c>
      <c r="I715" s="35" t="str">
        <f aca="false">IF($G715="","-",IFERROR(INDEX(Einstellungen!$H$5:$H$11,MATCH($G715,Einstellungen!$E$5:$E$11,0)),"-"))</f>
        <v>-</v>
      </c>
      <c r="J715" s="35" t="str">
        <f aca="false">IF(AND(Einstellungen!$B$8="Ja",Einstellungen!$B$9="Effektiv"),$I715,"-")</f>
        <v>-</v>
      </c>
      <c r="K715" s="31" t="n">
        <f aca="false">IF(OR($F715="",$J715="-"),0,ROUND($F715-$F715/(1+$H715),2))</f>
        <v>0</v>
      </c>
      <c r="L715" s="31" t="n">
        <f aca="false">IF($F715="",0,$F715-$K715)</f>
        <v>0</v>
      </c>
      <c r="M715" s="31" t="n">
        <f aca="false">IF($F715="",0,IF($J715="V",$L715,$F715))</f>
        <v>0</v>
      </c>
      <c r="N715" s="31" t="n">
        <f aca="false">IF($F715="",0,IF($J715="U",$L715,$F715))</f>
        <v>0</v>
      </c>
      <c r="O715" s="35" t="str">
        <f aca="false">IF($A715="","",MONTH($A715))</f>
        <v/>
      </c>
      <c r="P715" s="35" t="str">
        <f aca="false">IF($A715="","",ROUNDUP(MONTH($A715)/3,0))</f>
        <v/>
      </c>
      <c r="Q715" s="35" t="str">
        <f aca="false">IF($A715="","",IF(MONTH($A715)&lt;=6,1,2))</f>
        <v/>
      </c>
      <c r="R715" s="35" t="str">
        <f aca="false">IF($E715="","",IFERROR(INDEX(Kontenplan!$F$5:$F$90,MATCH($E715,Kontenplan!$A$5:$A$90,0)),""))</f>
        <v/>
      </c>
      <c r="S715" s="35" t="str">
        <f aca="false">IF($D715="","",IFERROR(INDEX(Kontenplan!$F$5:$F$90,MATCH($D715,Kontenplan!$A$5:$A$90,0)),""))</f>
        <v/>
      </c>
      <c r="T715" s="35" t="str">
        <f aca="false">IF($D715="","",IFERROR(INDEX(Kontenplan!$C$5:$C$90,MATCH($D715,Kontenplan!$A$5:$A$90,0)),"?"))</f>
        <v/>
      </c>
      <c r="U715" s="35" t="str">
        <f aca="false">IF($E715="","",IFERROR(INDEX(Kontenplan!$C$5:$C$90,MATCH($E715,Kontenplan!$A$5:$A$90,0)),"?"))</f>
        <v/>
      </c>
      <c r="V715" s="35" t="str">
        <f aca="false">IF($F715="","",IF(OR($D715="",$E715="",$T715="?",$U715="?"),"Konto prüfen!",IF($A715="","Datum fehlt",IF(YEAR($A715)&lt;&gt;Einstellungen!$B$7,"anderes Jahr!",IF($G715="","MWST-Code fehlt","OK")))))</f>
        <v/>
      </c>
      <c r="W715" s="35" t="str">
        <f aca="false">IF($F715="","",IF(OR($D715=Kontoauszug!$C$4,$E715=Kontoauszug!$C$4),MAX(W$4:W714)+1,""))</f>
        <v/>
      </c>
    </row>
    <row r="716" customFormat="false" ht="15" hidden="false" customHeight="false" outlineLevel="0" collapsed="false">
      <c r="A716" s="33"/>
      <c r="B716" s="32"/>
      <c r="C716" s="32"/>
      <c r="D716" s="32"/>
      <c r="E716" s="32"/>
      <c r="F716" s="30"/>
      <c r="G716" s="32"/>
      <c r="H716" s="34" t="n">
        <f aca="false">IF($G716="",0,IFERROR(INDEX(Einstellungen!$G$5:$G$11,MATCH($G716,Einstellungen!$E$5:$E$11,0)),0))</f>
        <v>0</v>
      </c>
      <c r="I716" s="35" t="str">
        <f aca="false">IF($G716="","-",IFERROR(INDEX(Einstellungen!$H$5:$H$11,MATCH($G716,Einstellungen!$E$5:$E$11,0)),"-"))</f>
        <v>-</v>
      </c>
      <c r="J716" s="35" t="str">
        <f aca="false">IF(AND(Einstellungen!$B$8="Ja",Einstellungen!$B$9="Effektiv"),$I716,"-")</f>
        <v>-</v>
      </c>
      <c r="K716" s="31" t="n">
        <f aca="false">IF(OR($F716="",$J716="-"),0,ROUND($F716-$F716/(1+$H716),2))</f>
        <v>0</v>
      </c>
      <c r="L716" s="31" t="n">
        <f aca="false">IF($F716="",0,$F716-$K716)</f>
        <v>0</v>
      </c>
      <c r="M716" s="31" t="n">
        <f aca="false">IF($F716="",0,IF($J716="V",$L716,$F716))</f>
        <v>0</v>
      </c>
      <c r="N716" s="31" t="n">
        <f aca="false">IF($F716="",0,IF($J716="U",$L716,$F716))</f>
        <v>0</v>
      </c>
      <c r="O716" s="35" t="str">
        <f aca="false">IF($A716="","",MONTH($A716))</f>
        <v/>
      </c>
      <c r="P716" s="35" t="str">
        <f aca="false">IF($A716="","",ROUNDUP(MONTH($A716)/3,0))</f>
        <v/>
      </c>
      <c r="Q716" s="35" t="str">
        <f aca="false">IF($A716="","",IF(MONTH($A716)&lt;=6,1,2))</f>
        <v/>
      </c>
      <c r="R716" s="35" t="str">
        <f aca="false">IF($E716="","",IFERROR(INDEX(Kontenplan!$F$5:$F$90,MATCH($E716,Kontenplan!$A$5:$A$90,0)),""))</f>
        <v/>
      </c>
      <c r="S716" s="35" t="str">
        <f aca="false">IF($D716="","",IFERROR(INDEX(Kontenplan!$F$5:$F$90,MATCH($D716,Kontenplan!$A$5:$A$90,0)),""))</f>
        <v/>
      </c>
      <c r="T716" s="35" t="str">
        <f aca="false">IF($D716="","",IFERROR(INDEX(Kontenplan!$C$5:$C$90,MATCH($D716,Kontenplan!$A$5:$A$90,0)),"?"))</f>
        <v/>
      </c>
      <c r="U716" s="35" t="str">
        <f aca="false">IF($E716="","",IFERROR(INDEX(Kontenplan!$C$5:$C$90,MATCH($E716,Kontenplan!$A$5:$A$90,0)),"?"))</f>
        <v/>
      </c>
      <c r="V716" s="35" t="str">
        <f aca="false">IF($F716="","",IF(OR($D716="",$E716="",$T716="?",$U716="?"),"Konto prüfen!",IF($A716="","Datum fehlt",IF(YEAR($A716)&lt;&gt;Einstellungen!$B$7,"anderes Jahr!",IF($G716="","MWST-Code fehlt","OK")))))</f>
        <v/>
      </c>
      <c r="W716" s="35" t="str">
        <f aca="false">IF($F716="","",IF(OR($D716=Kontoauszug!$C$4,$E716=Kontoauszug!$C$4),MAX(W$4:W715)+1,""))</f>
        <v/>
      </c>
    </row>
    <row r="717" customFormat="false" ht="15" hidden="false" customHeight="false" outlineLevel="0" collapsed="false">
      <c r="A717" s="33"/>
      <c r="B717" s="32"/>
      <c r="C717" s="32"/>
      <c r="D717" s="32"/>
      <c r="E717" s="32"/>
      <c r="F717" s="30"/>
      <c r="G717" s="32"/>
      <c r="H717" s="34" t="n">
        <f aca="false">IF($G717="",0,IFERROR(INDEX(Einstellungen!$G$5:$G$11,MATCH($G717,Einstellungen!$E$5:$E$11,0)),0))</f>
        <v>0</v>
      </c>
      <c r="I717" s="35" t="str">
        <f aca="false">IF($G717="","-",IFERROR(INDEX(Einstellungen!$H$5:$H$11,MATCH($G717,Einstellungen!$E$5:$E$11,0)),"-"))</f>
        <v>-</v>
      </c>
      <c r="J717" s="35" t="str">
        <f aca="false">IF(AND(Einstellungen!$B$8="Ja",Einstellungen!$B$9="Effektiv"),$I717,"-")</f>
        <v>-</v>
      </c>
      <c r="K717" s="31" t="n">
        <f aca="false">IF(OR($F717="",$J717="-"),0,ROUND($F717-$F717/(1+$H717),2))</f>
        <v>0</v>
      </c>
      <c r="L717" s="31" t="n">
        <f aca="false">IF($F717="",0,$F717-$K717)</f>
        <v>0</v>
      </c>
      <c r="M717" s="31" t="n">
        <f aca="false">IF($F717="",0,IF($J717="V",$L717,$F717))</f>
        <v>0</v>
      </c>
      <c r="N717" s="31" t="n">
        <f aca="false">IF($F717="",0,IF($J717="U",$L717,$F717))</f>
        <v>0</v>
      </c>
      <c r="O717" s="35" t="str">
        <f aca="false">IF($A717="","",MONTH($A717))</f>
        <v/>
      </c>
      <c r="P717" s="35" t="str">
        <f aca="false">IF($A717="","",ROUNDUP(MONTH($A717)/3,0))</f>
        <v/>
      </c>
      <c r="Q717" s="35" t="str">
        <f aca="false">IF($A717="","",IF(MONTH($A717)&lt;=6,1,2))</f>
        <v/>
      </c>
      <c r="R717" s="35" t="str">
        <f aca="false">IF($E717="","",IFERROR(INDEX(Kontenplan!$F$5:$F$90,MATCH($E717,Kontenplan!$A$5:$A$90,0)),""))</f>
        <v/>
      </c>
      <c r="S717" s="35" t="str">
        <f aca="false">IF($D717="","",IFERROR(INDEX(Kontenplan!$F$5:$F$90,MATCH($D717,Kontenplan!$A$5:$A$90,0)),""))</f>
        <v/>
      </c>
      <c r="T717" s="35" t="str">
        <f aca="false">IF($D717="","",IFERROR(INDEX(Kontenplan!$C$5:$C$90,MATCH($D717,Kontenplan!$A$5:$A$90,0)),"?"))</f>
        <v/>
      </c>
      <c r="U717" s="35" t="str">
        <f aca="false">IF($E717="","",IFERROR(INDEX(Kontenplan!$C$5:$C$90,MATCH($E717,Kontenplan!$A$5:$A$90,0)),"?"))</f>
        <v/>
      </c>
      <c r="V717" s="35" t="str">
        <f aca="false">IF($F717="","",IF(OR($D717="",$E717="",$T717="?",$U717="?"),"Konto prüfen!",IF($A717="","Datum fehlt",IF(YEAR($A717)&lt;&gt;Einstellungen!$B$7,"anderes Jahr!",IF($G717="","MWST-Code fehlt","OK")))))</f>
        <v/>
      </c>
      <c r="W717" s="35" t="str">
        <f aca="false">IF($F717="","",IF(OR($D717=Kontoauszug!$C$4,$E717=Kontoauszug!$C$4),MAX(W$4:W716)+1,""))</f>
        <v/>
      </c>
    </row>
    <row r="718" customFormat="false" ht="15" hidden="false" customHeight="false" outlineLevel="0" collapsed="false">
      <c r="A718" s="33"/>
      <c r="B718" s="32"/>
      <c r="C718" s="32"/>
      <c r="D718" s="32"/>
      <c r="E718" s="32"/>
      <c r="F718" s="30"/>
      <c r="G718" s="32"/>
      <c r="H718" s="34" t="n">
        <f aca="false">IF($G718="",0,IFERROR(INDEX(Einstellungen!$G$5:$G$11,MATCH($G718,Einstellungen!$E$5:$E$11,0)),0))</f>
        <v>0</v>
      </c>
      <c r="I718" s="35" t="str">
        <f aca="false">IF($G718="","-",IFERROR(INDEX(Einstellungen!$H$5:$H$11,MATCH($G718,Einstellungen!$E$5:$E$11,0)),"-"))</f>
        <v>-</v>
      </c>
      <c r="J718" s="35" t="str">
        <f aca="false">IF(AND(Einstellungen!$B$8="Ja",Einstellungen!$B$9="Effektiv"),$I718,"-")</f>
        <v>-</v>
      </c>
      <c r="K718" s="31" t="n">
        <f aca="false">IF(OR($F718="",$J718="-"),0,ROUND($F718-$F718/(1+$H718),2))</f>
        <v>0</v>
      </c>
      <c r="L718" s="31" t="n">
        <f aca="false">IF($F718="",0,$F718-$K718)</f>
        <v>0</v>
      </c>
      <c r="M718" s="31" t="n">
        <f aca="false">IF($F718="",0,IF($J718="V",$L718,$F718))</f>
        <v>0</v>
      </c>
      <c r="N718" s="31" t="n">
        <f aca="false">IF($F718="",0,IF($J718="U",$L718,$F718))</f>
        <v>0</v>
      </c>
      <c r="O718" s="35" t="str">
        <f aca="false">IF($A718="","",MONTH($A718))</f>
        <v/>
      </c>
      <c r="P718" s="35" t="str">
        <f aca="false">IF($A718="","",ROUNDUP(MONTH($A718)/3,0))</f>
        <v/>
      </c>
      <c r="Q718" s="35" t="str">
        <f aca="false">IF($A718="","",IF(MONTH($A718)&lt;=6,1,2))</f>
        <v/>
      </c>
      <c r="R718" s="35" t="str">
        <f aca="false">IF($E718="","",IFERROR(INDEX(Kontenplan!$F$5:$F$90,MATCH($E718,Kontenplan!$A$5:$A$90,0)),""))</f>
        <v/>
      </c>
      <c r="S718" s="35" t="str">
        <f aca="false">IF($D718="","",IFERROR(INDEX(Kontenplan!$F$5:$F$90,MATCH($D718,Kontenplan!$A$5:$A$90,0)),""))</f>
        <v/>
      </c>
      <c r="T718" s="35" t="str">
        <f aca="false">IF($D718="","",IFERROR(INDEX(Kontenplan!$C$5:$C$90,MATCH($D718,Kontenplan!$A$5:$A$90,0)),"?"))</f>
        <v/>
      </c>
      <c r="U718" s="35" t="str">
        <f aca="false">IF($E718="","",IFERROR(INDEX(Kontenplan!$C$5:$C$90,MATCH($E718,Kontenplan!$A$5:$A$90,0)),"?"))</f>
        <v/>
      </c>
      <c r="V718" s="35" t="str">
        <f aca="false">IF($F718="","",IF(OR($D718="",$E718="",$T718="?",$U718="?"),"Konto prüfen!",IF($A718="","Datum fehlt",IF(YEAR($A718)&lt;&gt;Einstellungen!$B$7,"anderes Jahr!",IF($G718="","MWST-Code fehlt","OK")))))</f>
        <v/>
      </c>
      <c r="W718" s="35" t="str">
        <f aca="false">IF($F718="","",IF(OR($D718=Kontoauszug!$C$4,$E718=Kontoauszug!$C$4),MAX(W$4:W717)+1,""))</f>
        <v/>
      </c>
    </row>
    <row r="719" customFormat="false" ht="15" hidden="false" customHeight="false" outlineLevel="0" collapsed="false">
      <c r="A719" s="33"/>
      <c r="B719" s="32"/>
      <c r="C719" s="32"/>
      <c r="D719" s="32"/>
      <c r="E719" s="32"/>
      <c r="F719" s="30"/>
      <c r="G719" s="32"/>
      <c r="H719" s="34" t="n">
        <f aca="false">IF($G719="",0,IFERROR(INDEX(Einstellungen!$G$5:$G$11,MATCH($G719,Einstellungen!$E$5:$E$11,0)),0))</f>
        <v>0</v>
      </c>
      <c r="I719" s="35" t="str">
        <f aca="false">IF($G719="","-",IFERROR(INDEX(Einstellungen!$H$5:$H$11,MATCH($G719,Einstellungen!$E$5:$E$11,0)),"-"))</f>
        <v>-</v>
      </c>
      <c r="J719" s="35" t="str">
        <f aca="false">IF(AND(Einstellungen!$B$8="Ja",Einstellungen!$B$9="Effektiv"),$I719,"-")</f>
        <v>-</v>
      </c>
      <c r="K719" s="31" t="n">
        <f aca="false">IF(OR($F719="",$J719="-"),0,ROUND($F719-$F719/(1+$H719),2))</f>
        <v>0</v>
      </c>
      <c r="L719" s="31" t="n">
        <f aca="false">IF($F719="",0,$F719-$K719)</f>
        <v>0</v>
      </c>
      <c r="M719" s="31" t="n">
        <f aca="false">IF($F719="",0,IF($J719="V",$L719,$F719))</f>
        <v>0</v>
      </c>
      <c r="N719" s="31" t="n">
        <f aca="false">IF($F719="",0,IF($J719="U",$L719,$F719))</f>
        <v>0</v>
      </c>
      <c r="O719" s="35" t="str">
        <f aca="false">IF($A719="","",MONTH($A719))</f>
        <v/>
      </c>
      <c r="P719" s="35" t="str">
        <f aca="false">IF($A719="","",ROUNDUP(MONTH($A719)/3,0))</f>
        <v/>
      </c>
      <c r="Q719" s="35" t="str">
        <f aca="false">IF($A719="","",IF(MONTH($A719)&lt;=6,1,2))</f>
        <v/>
      </c>
      <c r="R719" s="35" t="str">
        <f aca="false">IF($E719="","",IFERROR(INDEX(Kontenplan!$F$5:$F$90,MATCH($E719,Kontenplan!$A$5:$A$90,0)),""))</f>
        <v/>
      </c>
      <c r="S719" s="35" t="str">
        <f aca="false">IF($D719="","",IFERROR(INDEX(Kontenplan!$F$5:$F$90,MATCH($D719,Kontenplan!$A$5:$A$90,0)),""))</f>
        <v/>
      </c>
      <c r="T719" s="35" t="str">
        <f aca="false">IF($D719="","",IFERROR(INDEX(Kontenplan!$C$5:$C$90,MATCH($D719,Kontenplan!$A$5:$A$90,0)),"?"))</f>
        <v/>
      </c>
      <c r="U719" s="35" t="str">
        <f aca="false">IF($E719="","",IFERROR(INDEX(Kontenplan!$C$5:$C$90,MATCH($E719,Kontenplan!$A$5:$A$90,0)),"?"))</f>
        <v/>
      </c>
      <c r="V719" s="35" t="str">
        <f aca="false">IF($F719="","",IF(OR($D719="",$E719="",$T719="?",$U719="?"),"Konto prüfen!",IF($A719="","Datum fehlt",IF(YEAR($A719)&lt;&gt;Einstellungen!$B$7,"anderes Jahr!",IF($G719="","MWST-Code fehlt","OK")))))</f>
        <v/>
      </c>
      <c r="W719" s="35" t="str">
        <f aca="false">IF($F719="","",IF(OR($D719=Kontoauszug!$C$4,$E719=Kontoauszug!$C$4),MAX(W$4:W718)+1,""))</f>
        <v/>
      </c>
    </row>
    <row r="720" customFormat="false" ht="15" hidden="false" customHeight="false" outlineLevel="0" collapsed="false">
      <c r="A720" s="33"/>
      <c r="B720" s="32"/>
      <c r="C720" s="32"/>
      <c r="D720" s="32"/>
      <c r="E720" s="32"/>
      <c r="F720" s="30"/>
      <c r="G720" s="32"/>
      <c r="H720" s="34" t="n">
        <f aca="false">IF($G720="",0,IFERROR(INDEX(Einstellungen!$G$5:$G$11,MATCH($G720,Einstellungen!$E$5:$E$11,0)),0))</f>
        <v>0</v>
      </c>
      <c r="I720" s="35" t="str">
        <f aca="false">IF($G720="","-",IFERROR(INDEX(Einstellungen!$H$5:$H$11,MATCH($G720,Einstellungen!$E$5:$E$11,0)),"-"))</f>
        <v>-</v>
      </c>
      <c r="J720" s="35" t="str">
        <f aca="false">IF(AND(Einstellungen!$B$8="Ja",Einstellungen!$B$9="Effektiv"),$I720,"-")</f>
        <v>-</v>
      </c>
      <c r="K720" s="31" t="n">
        <f aca="false">IF(OR($F720="",$J720="-"),0,ROUND($F720-$F720/(1+$H720),2))</f>
        <v>0</v>
      </c>
      <c r="L720" s="31" t="n">
        <f aca="false">IF($F720="",0,$F720-$K720)</f>
        <v>0</v>
      </c>
      <c r="M720" s="31" t="n">
        <f aca="false">IF($F720="",0,IF($J720="V",$L720,$F720))</f>
        <v>0</v>
      </c>
      <c r="N720" s="31" t="n">
        <f aca="false">IF($F720="",0,IF($J720="U",$L720,$F720))</f>
        <v>0</v>
      </c>
      <c r="O720" s="35" t="str">
        <f aca="false">IF($A720="","",MONTH($A720))</f>
        <v/>
      </c>
      <c r="P720" s="35" t="str">
        <f aca="false">IF($A720="","",ROUNDUP(MONTH($A720)/3,0))</f>
        <v/>
      </c>
      <c r="Q720" s="35" t="str">
        <f aca="false">IF($A720="","",IF(MONTH($A720)&lt;=6,1,2))</f>
        <v/>
      </c>
      <c r="R720" s="35" t="str">
        <f aca="false">IF($E720="","",IFERROR(INDEX(Kontenplan!$F$5:$F$90,MATCH($E720,Kontenplan!$A$5:$A$90,0)),""))</f>
        <v/>
      </c>
      <c r="S720" s="35" t="str">
        <f aca="false">IF($D720="","",IFERROR(INDEX(Kontenplan!$F$5:$F$90,MATCH($D720,Kontenplan!$A$5:$A$90,0)),""))</f>
        <v/>
      </c>
      <c r="T720" s="35" t="str">
        <f aca="false">IF($D720="","",IFERROR(INDEX(Kontenplan!$C$5:$C$90,MATCH($D720,Kontenplan!$A$5:$A$90,0)),"?"))</f>
        <v/>
      </c>
      <c r="U720" s="35" t="str">
        <f aca="false">IF($E720="","",IFERROR(INDEX(Kontenplan!$C$5:$C$90,MATCH($E720,Kontenplan!$A$5:$A$90,0)),"?"))</f>
        <v/>
      </c>
      <c r="V720" s="35" t="str">
        <f aca="false">IF($F720="","",IF(OR($D720="",$E720="",$T720="?",$U720="?"),"Konto prüfen!",IF($A720="","Datum fehlt",IF(YEAR($A720)&lt;&gt;Einstellungen!$B$7,"anderes Jahr!",IF($G720="","MWST-Code fehlt","OK")))))</f>
        <v/>
      </c>
      <c r="W720" s="35" t="str">
        <f aca="false">IF($F720="","",IF(OR($D720=Kontoauszug!$C$4,$E720=Kontoauszug!$C$4),MAX(W$4:W719)+1,""))</f>
        <v/>
      </c>
    </row>
    <row r="721" customFormat="false" ht="15" hidden="false" customHeight="false" outlineLevel="0" collapsed="false">
      <c r="A721" s="33"/>
      <c r="B721" s="32"/>
      <c r="C721" s="32"/>
      <c r="D721" s="32"/>
      <c r="E721" s="32"/>
      <c r="F721" s="30"/>
      <c r="G721" s="32"/>
      <c r="H721" s="34" t="n">
        <f aca="false">IF($G721="",0,IFERROR(INDEX(Einstellungen!$G$5:$G$11,MATCH($G721,Einstellungen!$E$5:$E$11,0)),0))</f>
        <v>0</v>
      </c>
      <c r="I721" s="35" t="str">
        <f aca="false">IF($G721="","-",IFERROR(INDEX(Einstellungen!$H$5:$H$11,MATCH($G721,Einstellungen!$E$5:$E$11,0)),"-"))</f>
        <v>-</v>
      </c>
      <c r="J721" s="35" t="str">
        <f aca="false">IF(AND(Einstellungen!$B$8="Ja",Einstellungen!$B$9="Effektiv"),$I721,"-")</f>
        <v>-</v>
      </c>
      <c r="K721" s="31" t="n">
        <f aca="false">IF(OR($F721="",$J721="-"),0,ROUND($F721-$F721/(1+$H721),2))</f>
        <v>0</v>
      </c>
      <c r="L721" s="31" t="n">
        <f aca="false">IF($F721="",0,$F721-$K721)</f>
        <v>0</v>
      </c>
      <c r="M721" s="31" t="n">
        <f aca="false">IF($F721="",0,IF($J721="V",$L721,$F721))</f>
        <v>0</v>
      </c>
      <c r="N721" s="31" t="n">
        <f aca="false">IF($F721="",0,IF($J721="U",$L721,$F721))</f>
        <v>0</v>
      </c>
      <c r="O721" s="35" t="str">
        <f aca="false">IF($A721="","",MONTH($A721))</f>
        <v/>
      </c>
      <c r="P721" s="35" t="str">
        <f aca="false">IF($A721="","",ROUNDUP(MONTH($A721)/3,0))</f>
        <v/>
      </c>
      <c r="Q721" s="35" t="str">
        <f aca="false">IF($A721="","",IF(MONTH($A721)&lt;=6,1,2))</f>
        <v/>
      </c>
      <c r="R721" s="35" t="str">
        <f aca="false">IF($E721="","",IFERROR(INDEX(Kontenplan!$F$5:$F$90,MATCH($E721,Kontenplan!$A$5:$A$90,0)),""))</f>
        <v/>
      </c>
      <c r="S721" s="35" t="str">
        <f aca="false">IF($D721="","",IFERROR(INDEX(Kontenplan!$F$5:$F$90,MATCH($D721,Kontenplan!$A$5:$A$90,0)),""))</f>
        <v/>
      </c>
      <c r="T721" s="35" t="str">
        <f aca="false">IF($D721="","",IFERROR(INDEX(Kontenplan!$C$5:$C$90,MATCH($D721,Kontenplan!$A$5:$A$90,0)),"?"))</f>
        <v/>
      </c>
      <c r="U721" s="35" t="str">
        <f aca="false">IF($E721="","",IFERROR(INDEX(Kontenplan!$C$5:$C$90,MATCH($E721,Kontenplan!$A$5:$A$90,0)),"?"))</f>
        <v/>
      </c>
      <c r="V721" s="35" t="str">
        <f aca="false">IF($F721="","",IF(OR($D721="",$E721="",$T721="?",$U721="?"),"Konto prüfen!",IF($A721="","Datum fehlt",IF(YEAR($A721)&lt;&gt;Einstellungen!$B$7,"anderes Jahr!",IF($G721="","MWST-Code fehlt","OK")))))</f>
        <v/>
      </c>
      <c r="W721" s="35" t="str">
        <f aca="false">IF($F721="","",IF(OR($D721=Kontoauszug!$C$4,$E721=Kontoauszug!$C$4),MAX(W$4:W720)+1,""))</f>
        <v/>
      </c>
    </row>
    <row r="722" customFormat="false" ht="15" hidden="false" customHeight="false" outlineLevel="0" collapsed="false">
      <c r="A722" s="33"/>
      <c r="B722" s="32"/>
      <c r="C722" s="32"/>
      <c r="D722" s="32"/>
      <c r="E722" s="32"/>
      <c r="F722" s="30"/>
      <c r="G722" s="32"/>
      <c r="H722" s="34" t="n">
        <f aca="false">IF($G722="",0,IFERROR(INDEX(Einstellungen!$G$5:$G$11,MATCH($G722,Einstellungen!$E$5:$E$11,0)),0))</f>
        <v>0</v>
      </c>
      <c r="I722" s="35" t="str">
        <f aca="false">IF($G722="","-",IFERROR(INDEX(Einstellungen!$H$5:$H$11,MATCH($G722,Einstellungen!$E$5:$E$11,0)),"-"))</f>
        <v>-</v>
      </c>
      <c r="J722" s="35" t="str">
        <f aca="false">IF(AND(Einstellungen!$B$8="Ja",Einstellungen!$B$9="Effektiv"),$I722,"-")</f>
        <v>-</v>
      </c>
      <c r="K722" s="31" t="n">
        <f aca="false">IF(OR($F722="",$J722="-"),0,ROUND($F722-$F722/(1+$H722),2))</f>
        <v>0</v>
      </c>
      <c r="L722" s="31" t="n">
        <f aca="false">IF($F722="",0,$F722-$K722)</f>
        <v>0</v>
      </c>
      <c r="M722" s="31" t="n">
        <f aca="false">IF($F722="",0,IF($J722="V",$L722,$F722))</f>
        <v>0</v>
      </c>
      <c r="N722" s="31" t="n">
        <f aca="false">IF($F722="",0,IF($J722="U",$L722,$F722))</f>
        <v>0</v>
      </c>
      <c r="O722" s="35" t="str">
        <f aca="false">IF($A722="","",MONTH($A722))</f>
        <v/>
      </c>
      <c r="P722" s="35" t="str">
        <f aca="false">IF($A722="","",ROUNDUP(MONTH($A722)/3,0))</f>
        <v/>
      </c>
      <c r="Q722" s="35" t="str">
        <f aca="false">IF($A722="","",IF(MONTH($A722)&lt;=6,1,2))</f>
        <v/>
      </c>
      <c r="R722" s="35" t="str">
        <f aca="false">IF($E722="","",IFERROR(INDEX(Kontenplan!$F$5:$F$90,MATCH($E722,Kontenplan!$A$5:$A$90,0)),""))</f>
        <v/>
      </c>
      <c r="S722" s="35" t="str">
        <f aca="false">IF($D722="","",IFERROR(INDEX(Kontenplan!$F$5:$F$90,MATCH($D722,Kontenplan!$A$5:$A$90,0)),""))</f>
        <v/>
      </c>
      <c r="T722" s="35" t="str">
        <f aca="false">IF($D722="","",IFERROR(INDEX(Kontenplan!$C$5:$C$90,MATCH($D722,Kontenplan!$A$5:$A$90,0)),"?"))</f>
        <v/>
      </c>
      <c r="U722" s="35" t="str">
        <f aca="false">IF($E722="","",IFERROR(INDEX(Kontenplan!$C$5:$C$90,MATCH($E722,Kontenplan!$A$5:$A$90,0)),"?"))</f>
        <v/>
      </c>
      <c r="V722" s="35" t="str">
        <f aca="false">IF($F722="","",IF(OR($D722="",$E722="",$T722="?",$U722="?"),"Konto prüfen!",IF($A722="","Datum fehlt",IF(YEAR($A722)&lt;&gt;Einstellungen!$B$7,"anderes Jahr!",IF($G722="","MWST-Code fehlt","OK")))))</f>
        <v/>
      </c>
      <c r="W722" s="35" t="str">
        <f aca="false">IF($F722="","",IF(OR($D722=Kontoauszug!$C$4,$E722=Kontoauszug!$C$4),MAX(W$4:W721)+1,""))</f>
        <v/>
      </c>
    </row>
    <row r="723" customFormat="false" ht="15" hidden="false" customHeight="false" outlineLevel="0" collapsed="false">
      <c r="A723" s="33"/>
      <c r="B723" s="32"/>
      <c r="C723" s="32"/>
      <c r="D723" s="32"/>
      <c r="E723" s="32"/>
      <c r="F723" s="30"/>
      <c r="G723" s="32"/>
      <c r="H723" s="34" t="n">
        <f aca="false">IF($G723="",0,IFERROR(INDEX(Einstellungen!$G$5:$G$11,MATCH($G723,Einstellungen!$E$5:$E$11,0)),0))</f>
        <v>0</v>
      </c>
      <c r="I723" s="35" t="str">
        <f aca="false">IF($G723="","-",IFERROR(INDEX(Einstellungen!$H$5:$H$11,MATCH($G723,Einstellungen!$E$5:$E$11,0)),"-"))</f>
        <v>-</v>
      </c>
      <c r="J723" s="35" t="str">
        <f aca="false">IF(AND(Einstellungen!$B$8="Ja",Einstellungen!$B$9="Effektiv"),$I723,"-")</f>
        <v>-</v>
      </c>
      <c r="K723" s="31" t="n">
        <f aca="false">IF(OR($F723="",$J723="-"),0,ROUND($F723-$F723/(1+$H723),2))</f>
        <v>0</v>
      </c>
      <c r="L723" s="31" t="n">
        <f aca="false">IF($F723="",0,$F723-$K723)</f>
        <v>0</v>
      </c>
      <c r="M723" s="31" t="n">
        <f aca="false">IF($F723="",0,IF($J723="V",$L723,$F723))</f>
        <v>0</v>
      </c>
      <c r="N723" s="31" t="n">
        <f aca="false">IF($F723="",0,IF($J723="U",$L723,$F723))</f>
        <v>0</v>
      </c>
      <c r="O723" s="35" t="str">
        <f aca="false">IF($A723="","",MONTH($A723))</f>
        <v/>
      </c>
      <c r="P723" s="35" t="str">
        <f aca="false">IF($A723="","",ROUNDUP(MONTH($A723)/3,0))</f>
        <v/>
      </c>
      <c r="Q723" s="35" t="str">
        <f aca="false">IF($A723="","",IF(MONTH($A723)&lt;=6,1,2))</f>
        <v/>
      </c>
      <c r="R723" s="35" t="str">
        <f aca="false">IF($E723="","",IFERROR(INDEX(Kontenplan!$F$5:$F$90,MATCH($E723,Kontenplan!$A$5:$A$90,0)),""))</f>
        <v/>
      </c>
      <c r="S723" s="35" t="str">
        <f aca="false">IF($D723="","",IFERROR(INDEX(Kontenplan!$F$5:$F$90,MATCH($D723,Kontenplan!$A$5:$A$90,0)),""))</f>
        <v/>
      </c>
      <c r="T723" s="35" t="str">
        <f aca="false">IF($D723="","",IFERROR(INDEX(Kontenplan!$C$5:$C$90,MATCH($D723,Kontenplan!$A$5:$A$90,0)),"?"))</f>
        <v/>
      </c>
      <c r="U723" s="35" t="str">
        <f aca="false">IF($E723="","",IFERROR(INDEX(Kontenplan!$C$5:$C$90,MATCH($E723,Kontenplan!$A$5:$A$90,0)),"?"))</f>
        <v/>
      </c>
      <c r="V723" s="35" t="str">
        <f aca="false">IF($F723="","",IF(OR($D723="",$E723="",$T723="?",$U723="?"),"Konto prüfen!",IF($A723="","Datum fehlt",IF(YEAR($A723)&lt;&gt;Einstellungen!$B$7,"anderes Jahr!",IF($G723="","MWST-Code fehlt","OK")))))</f>
        <v/>
      </c>
      <c r="W723" s="35" t="str">
        <f aca="false">IF($F723="","",IF(OR($D723=Kontoauszug!$C$4,$E723=Kontoauszug!$C$4),MAX(W$4:W722)+1,""))</f>
        <v/>
      </c>
    </row>
    <row r="724" customFormat="false" ht="15" hidden="false" customHeight="false" outlineLevel="0" collapsed="false">
      <c r="A724" s="33"/>
      <c r="B724" s="32"/>
      <c r="C724" s="32"/>
      <c r="D724" s="32"/>
      <c r="E724" s="32"/>
      <c r="F724" s="30"/>
      <c r="G724" s="32"/>
      <c r="H724" s="34" t="n">
        <f aca="false">IF($G724="",0,IFERROR(INDEX(Einstellungen!$G$5:$G$11,MATCH($G724,Einstellungen!$E$5:$E$11,0)),0))</f>
        <v>0</v>
      </c>
      <c r="I724" s="35" t="str">
        <f aca="false">IF($G724="","-",IFERROR(INDEX(Einstellungen!$H$5:$H$11,MATCH($G724,Einstellungen!$E$5:$E$11,0)),"-"))</f>
        <v>-</v>
      </c>
      <c r="J724" s="35" t="str">
        <f aca="false">IF(AND(Einstellungen!$B$8="Ja",Einstellungen!$B$9="Effektiv"),$I724,"-")</f>
        <v>-</v>
      </c>
      <c r="K724" s="31" t="n">
        <f aca="false">IF(OR($F724="",$J724="-"),0,ROUND($F724-$F724/(1+$H724),2))</f>
        <v>0</v>
      </c>
      <c r="L724" s="31" t="n">
        <f aca="false">IF($F724="",0,$F724-$K724)</f>
        <v>0</v>
      </c>
      <c r="M724" s="31" t="n">
        <f aca="false">IF($F724="",0,IF($J724="V",$L724,$F724))</f>
        <v>0</v>
      </c>
      <c r="N724" s="31" t="n">
        <f aca="false">IF($F724="",0,IF($J724="U",$L724,$F724))</f>
        <v>0</v>
      </c>
      <c r="O724" s="35" t="str">
        <f aca="false">IF($A724="","",MONTH($A724))</f>
        <v/>
      </c>
      <c r="P724" s="35" t="str">
        <f aca="false">IF($A724="","",ROUNDUP(MONTH($A724)/3,0))</f>
        <v/>
      </c>
      <c r="Q724" s="35" t="str">
        <f aca="false">IF($A724="","",IF(MONTH($A724)&lt;=6,1,2))</f>
        <v/>
      </c>
      <c r="R724" s="35" t="str">
        <f aca="false">IF($E724="","",IFERROR(INDEX(Kontenplan!$F$5:$F$90,MATCH($E724,Kontenplan!$A$5:$A$90,0)),""))</f>
        <v/>
      </c>
      <c r="S724" s="35" t="str">
        <f aca="false">IF($D724="","",IFERROR(INDEX(Kontenplan!$F$5:$F$90,MATCH($D724,Kontenplan!$A$5:$A$90,0)),""))</f>
        <v/>
      </c>
      <c r="T724" s="35" t="str">
        <f aca="false">IF($D724="","",IFERROR(INDEX(Kontenplan!$C$5:$C$90,MATCH($D724,Kontenplan!$A$5:$A$90,0)),"?"))</f>
        <v/>
      </c>
      <c r="U724" s="35" t="str">
        <f aca="false">IF($E724="","",IFERROR(INDEX(Kontenplan!$C$5:$C$90,MATCH($E724,Kontenplan!$A$5:$A$90,0)),"?"))</f>
        <v/>
      </c>
      <c r="V724" s="35" t="str">
        <f aca="false">IF($F724="","",IF(OR($D724="",$E724="",$T724="?",$U724="?"),"Konto prüfen!",IF($A724="","Datum fehlt",IF(YEAR($A724)&lt;&gt;Einstellungen!$B$7,"anderes Jahr!",IF($G724="","MWST-Code fehlt","OK")))))</f>
        <v/>
      </c>
      <c r="W724" s="35" t="str">
        <f aca="false">IF($F724="","",IF(OR($D724=Kontoauszug!$C$4,$E724=Kontoauszug!$C$4),MAX(W$4:W723)+1,""))</f>
        <v/>
      </c>
    </row>
    <row r="725" customFormat="false" ht="15" hidden="false" customHeight="false" outlineLevel="0" collapsed="false">
      <c r="A725" s="33"/>
      <c r="B725" s="32"/>
      <c r="C725" s="32"/>
      <c r="D725" s="32"/>
      <c r="E725" s="32"/>
      <c r="F725" s="30"/>
      <c r="G725" s="32"/>
      <c r="H725" s="34" t="n">
        <f aca="false">IF($G725="",0,IFERROR(INDEX(Einstellungen!$G$5:$G$11,MATCH($G725,Einstellungen!$E$5:$E$11,0)),0))</f>
        <v>0</v>
      </c>
      <c r="I725" s="35" t="str">
        <f aca="false">IF($G725="","-",IFERROR(INDEX(Einstellungen!$H$5:$H$11,MATCH($G725,Einstellungen!$E$5:$E$11,0)),"-"))</f>
        <v>-</v>
      </c>
      <c r="J725" s="35" t="str">
        <f aca="false">IF(AND(Einstellungen!$B$8="Ja",Einstellungen!$B$9="Effektiv"),$I725,"-")</f>
        <v>-</v>
      </c>
      <c r="K725" s="31" t="n">
        <f aca="false">IF(OR($F725="",$J725="-"),0,ROUND($F725-$F725/(1+$H725),2))</f>
        <v>0</v>
      </c>
      <c r="L725" s="31" t="n">
        <f aca="false">IF($F725="",0,$F725-$K725)</f>
        <v>0</v>
      </c>
      <c r="M725" s="31" t="n">
        <f aca="false">IF($F725="",0,IF($J725="V",$L725,$F725))</f>
        <v>0</v>
      </c>
      <c r="N725" s="31" t="n">
        <f aca="false">IF($F725="",0,IF($J725="U",$L725,$F725))</f>
        <v>0</v>
      </c>
      <c r="O725" s="35" t="str">
        <f aca="false">IF($A725="","",MONTH($A725))</f>
        <v/>
      </c>
      <c r="P725" s="35" t="str">
        <f aca="false">IF($A725="","",ROUNDUP(MONTH($A725)/3,0))</f>
        <v/>
      </c>
      <c r="Q725" s="35" t="str">
        <f aca="false">IF($A725="","",IF(MONTH($A725)&lt;=6,1,2))</f>
        <v/>
      </c>
      <c r="R725" s="35" t="str">
        <f aca="false">IF($E725="","",IFERROR(INDEX(Kontenplan!$F$5:$F$90,MATCH($E725,Kontenplan!$A$5:$A$90,0)),""))</f>
        <v/>
      </c>
      <c r="S725" s="35" t="str">
        <f aca="false">IF($D725="","",IFERROR(INDEX(Kontenplan!$F$5:$F$90,MATCH($D725,Kontenplan!$A$5:$A$90,0)),""))</f>
        <v/>
      </c>
      <c r="T725" s="35" t="str">
        <f aca="false">IF($D725="","",IFERROR(INDEX(Kontenplan!$C$5:$C$90,MATCH($D725,Kontenplan!$A$5:$A$90,0)),"?"))</f>
        <v/>
      </c>
      <c r="U725" s="35" t="str">
        <f aca="false">IF($E725="","",IFERROR(INDEX(Kontenplan!$C$5:$C$90,MATCH($E725,Kontenplan!$A$5:$A$90,0)),"?"))</f>
        <v/>
      </c>
      <c r="V725" s="35" t="str">
        <f aca="false">IF($F725="","",IF(OR($D725="",$E725="",$T725="?",$U725="?"),"Konto prüfen!",IF($A725="","Datum fehlt",IF(YEAR($A725)&lt;&gt;Einstellungen!$B$7,"anderes Jahr!",IF($G725="","MWST-Code fehlt","OK")))))</f>
        <v/>
      </c>
      <c r="W725" s="35" t="str">
        <f aca="false">IF($F725="","",IF(OR($D725=Kontoauszug!$C$4,$E725=Kontoauszug!$C$4),MAX(W$4:W724)+1,""))</f>
        <v/>
      </c>
    </row>
    <row r="726" customFormat="false" ht="15" hidden="false" customHeight="false" outlineLevel="0" collapsed="false">
      <c r="A726" s="33"/>
      <c r="B726" s="32"/>
      <c r="C726" s="32"/>
      <c r="D726" s="32"/>
      <c r="E726" s="32"/>
      <c r="F726" s="30"/>
      <c r="G726" s="32"/>
      <c r="H726" s="34" t="n">
        <f aca="false">IF($G726="",0,IFERROR(INDEX(Einstellungen!$G$5:$G$11,MATCH($G726,Einstellungen!$E$5:$E$11,0)),0))</f>
        <v>0</v>
      </c>
      <c r="I726" s="35" t="str">
        <f aca="false">IF($G726="","-",IFERROR(INDEX(Einstellungen!$H$5:$H$11,MATCH($G726,Einstellungen!$E$5:$E$11,0)),"-"))</f>
        <v>-</v>
      </c>
      <c r="J726" s="35" t="str">
        <f aca="false">IF(AND(Einstellungen!$B$8="Ja",Einstellungen!$B$9="Effektiv"),$I726,"-")</f>
        <v>-</v>
      </c>
      <c r="K726" s="31" t="n">
        <f aca="false">IF(OR($F726="",$J726="-"),0,ROUND($F726-$F726/(1+$H726),2))</f>
        <v>0</v>
      </c>
      <c r="L726" s="31" t="n">
        <f aca="false">IF($F726="",0,$F726-$K726)</f>
        <v>0</v>
      </c>
      <c r="M726" s="31" t="n">
        <f aca="false">IF($F726="",0,IF($J726="V",$L726,$F726))</f>
        <v>0</v>
      </c>
      <c r="N726" s="31" t="n">
        <f aca="false">IF($F726="",0,IF($J726="U",$L726,$F726))</f>
        <v>0</v>
      </c>
      <c r="O726" s="35" t="str">
        <f aca="false">IF($A726="","",MONTH($A726))</f>
        <v/>
      </c>
      <c r="P726" s="35" t="str">
        <f aca="false">IF($A726="","",ROUNDUP(MONTH($A726)/3,0))</f>
        <v/>
      </c>
      <c r="Q726" s="35" t="str">
        <f aca="false">IF($A726="","",IF(MONTH($A726)&lt;=6,1,2))</f>
        <v/>
      </c>
      <c r="R726" s="35" t="str">
        <f aca="false">IF($E726="","",IFERROR(INDEX(Kontenplan!$F$5:$F$90,MATCH($E726,Kontenplan!$A$5:$A$90,0)),""))</f>
        <v/>
      </c>
      <c r="S726" s="35" t="str">
        <f aca="false">IF($D726="","",IFERROR(INDEX(Kontenplan!$F$5:$F$90,MATCH($D726,Kontenplan!$A$5:$A$90,0)),""))</f>
        <v/>
      </c>
      <c r="T726" s="35" t="str">
        <f aca="false">IF($D726="","",IFERROR(INDEX(Kontenplan!$C$5:$C$90,MATCH($D726,Kontenplan!$A$5:$A$90,0)),"?"))</f>
        <v/>
      </c>
      <c r="U726" s="35" t="str">
        <f aca="false">IF($E726="","",IFERROR(INDEX(Kontenplan!$C$5:$C$90,MATCH($E726,Kontenplan!$A$5:$A$90,0)),"?"))</f>
        <v/>
      </c>
      <c r="V726" s="35" t="str">
        <f aca="false">IF($F726="","",IF(OR($D726="",$E726="",$T726="?",$U726="?"),"Konto prüfen!",IF($A726="","Datum fehlt",IF(YEAR($A726)&lt;&gt;Einstellungen!$B$7,"anderes Jahr!",IF($G726="","MWST-Code fehlt","OK")))))</f>
        <v/>
      </c>
      <c r="W726" s="35" t="str">
        <f aca="false">IF($F726="","",IF(OR($D726=Kontoauszug!$C$4,$E726=Kontoauszug!$C$4),MAX(W$4:W725)+1,""))</f>
        <v/>
      </c>
    </row>
    <row r="727" customFormat="false" ht="15" hidden="false" customHeight="false" outlineLevel="0" collapsed="false">
      <c r="A727" s="33"/>
      <c r="B727" s="32"/>
      <c r="C727" s="32"/>
      <c r="D727" s="32"/>
      <c r="E727" s="32"/>
      <c r="F727" s="30"/>
      <c r="G727" s="32"/>
      <c r="H727" s="34" t="n">
        <f aca="false">IF($G727="",0,IFERROR(INDEX(Einstellungen!$G$5:$G$11,MATCH($G727,Einstellungen!$E$5:$E$11,0)),0))</f>
        <v>0</v>
      </c>
      <c r="I727" s="35" t="str">
        <f aca="false">IF($G727="","-",IFERROR(INDEX(Einstellungen!$H$5:$H$11,MATCH($G727,Einstellungen!$E$5:$E$11,0)),"-"))</f>
        <v>-</v>
      </c>
      <c r="J727" s="35" t="str">
        <f aca="false">IF(AND(Einstellungen!$B$8="Ja",Einstellungen!$B$9="Effektiv"),$I727,"-")</f>
        <v>-</v>
      </c>
      <c r="K727" s="31" t="n">
        <f aca="false">IF(OR($F727="",$J727="-"),0,ROUND($F727-$F727/(1+$H727),2))</f>
        <v>0</v>
      </c>
      <c r="L727" s="31" t="n">
        <f aca="false">IF($F727="",0,$F727-$K727)</f>
        <v>0</v>
      </c>
      <c r="M727" s="31" t="n">
        <f aca="false">IF($F727="",0,IF($J727="V",$L727,$F727))</f>
        <v>0</v>
      </c>
      <c r="N727" s="31" t="n">
        <f aca="false">IF($F727="",0,IF($J727="U",$L727,$F727))</f>
        <v>0</v>
      </c>
      <c r="O727" s="35" t="str">
        <f aca="false">IF($A727="","",MONTH($A727))</f>
        <v/>
      </c>
      <c r="P727" s="35" t="str">
        <f aca="false">IF($A727="","",ROUNDUP(MONTH($A727)/3,0))</f>
        <v/>
      </c>
      <c r="Q727" s="35" t="str">
        <f aca="false">IF($A727="","",IF(MONTH($A727)&lt;=6,1,2))</f>
        <v/>
      </c>
      <c r="R727" s="35" t="str">
        <f aca="false">IF($E727="","",IFERROR(INDEX(Kontenplan!$F$5:$F$90,MATCH($E727,Kontenplan!$A$5:$A$90,0)),""))</f>
        <v/>
      </c>
      <c r="S727" s="35" t="str">
        <f aca="false">IF($D727="","",IFERROR(INDEX(Kontenplan!$F$5:$F$90,MATCH($D727,Kontenplan!$A$5:$A$90,0)),""))</f>
        <v/>
      </c>
      <c r="T727" s="35" t="str">
        <f aca="false">IF($D727="","",IFERROR(INDEX(Kontenplan!$C$5:$C$90,MATCH($D727,Kontenplan!$A$5:$A$90,0)),"?"))</f>
        <v/>
      </c>
      <c r="U727" s="35" t="str">
        <f aca="false">IF($E727="","",IFERROR(INDEX(Kontenplan!$C$5:$C$90,MATCH($E727,Kontenplan!$A$5:$A$90,0)),"?"))</f>
        <v/>
      </c>
      <c r="V727" s="35" t="str">
        <f aca="false">IF($F727="","",IF(OR($D727="",$E727="",$T727="?",$U727="?"),"Konto prüfen!",IF($A727="","Datum fehlt",IF(YEAR($A727)&lt;&gt;Einstellungen!$B$7,"anderes Jahr!",IF($G727="","MWST-Code fehlt","OK")))))</f>
        <v/>
      </c>
      <c r="W727" s="35" t="str">
        <f aca="false">IF($F727="","",IF(OR($D727=Kontoauszug!$C$4,$E727=Kontoauszug!$C$4),MAX(W$4:W726)+1,""))</f>
        <v/>
      </c>
    </row>
    <row r="728" customFormat="false" ht="15" hidden="false" customHeight="false" outlineLevel="0" collapsed="false">
      <c r="A728" s="33"/>
      <c r="B728" s="32"/>
      <c r="C728" s="32"/>
      <c r="D728" s="32"/>
      <c r="E728" s="32"/>
      <c r="F728" s="30"/>
      <c r="G728" s="32"/>
      <c r="H728" s="34" t="n">
        <f aca="false">IF($G728="",0,IFERROR(INDEX(Einstellungen!$G$5:$G$11,MATCH($G728,Einstellungen!$E$5:$E$11,0)),0))</f>
        <v>0</v>
      </c>
      <c r="I728" s="35" t="str">
        <f aca="false">IF($G728="","-",IFERROR(INDEX(Einstellungen!$H$5:$H$11,MATCH($G728,Einstellungen!$E$5:$E$11,0)),"-"))</f>
        <v>-</v>
      </c>
      <c r="J728" s="35" t="str">
        <f aca="false">IF(AND(Einstellungen!$B$8="Ja",Einstellungen!$B$9="Effektiv"),$I728,"-")</f>
        <v>-</v>
      </c>
      <c r="K728" s="31" t="n">
        <f aca="false">IF(OR($F728="",$J728="-"),0,ROUND($F728-$F728/(1+$H728),2))</f>
        <v>0</v>
      </c>
      <c r="L728" s="31" t="n">
        <f aca="false">IF($F728="",0,$F728-$K728)</f>
        <v>0</v>
      </c>
      <c r="M728" s="31" t="n">
        <f aca="false">IF($F728="",0,IF($J728="V",$L728,$F728))</f>
        <v>0</v>
      </c>
      <c r="N728" s="31" t="n">
        <f aca="false">IF($F728="",0,IF($J728="U",$L728,$F728))</f>
        <v>0</v>
      </c>
      <c r="O728" s="35" t="str">
        <f aca="false">IF($A728="","",MONTH($A728))</f>
        <v/>
      </c>
      <c r="P728" s="35" t="str">
        <f aca="false">IF($A728="","",ROUNDUP(MONTH($A728)/3,0))</f>
        <v/>
      </c>
      <c r="Q728" s="35" t="str">
        <f aca="false">IF($A728="","",IF(MONTH($A728)&lt;=6,1,2))</f>
        <v/>
      </c>
      <c r="R728" s="35" t="str">
        <f aca="false">IF($E728="","",IFERROR(INDEX(Kontenplan!$F$5:$F$90,MATCH($E728,Kontenplan!$A$5:$A$90,0)),""))</f>
        <v/>
      </c>
      <c r="S728" s="35" t="str">
        <f aca="false">IF($D728="","",IFERROR(INDEX(Kontenplan!$F$5:$F$90,MATCH($D728,Kontenplan!$A$5:$A$90,0)),""))</f>
        <v/>
      </c>
      <c r="T728" s="35" t="str">
        <f aca="false">IF($D728="","",IFERROR(INDEX(Kontenplan!$C$5:$C$90,MATCH($D728,Kontenplan!$A$5:$A$90,0)),"?"))</f>
        <v/>
      </c>
      <c r="U728" s="35" t="str">
        <f aca="false">IF($E728="","",IFERROR(INDEX(Kontenplan!$C$5:$C$90,MATCH($E728,Kontenplan!$A$5:$A$90,0)),"?"))</f>
        <v/>
      </c>
      <c r="V728" s="35" t="str">
        <f aca="false">IF($F728="","",IF(OR($D728="",$E728="",$T728="?",$U728="?"),"Konto prüfen!",IF($A728="","Datum fehlt",IF(YEAR($A728)&lt;&gt;Einstellungen!$B$7,"anderes Jahr!",IF($G728="","MWST-Code fehlt","OK")))))</f>
        <v/>
      </c>
      <c r="W728" s="35" t="str">
        <f aca="false">IF($F728="","",IF(OR($D728=Kontoauszug!$C$4,$E728=Kontoauszug!$C$4),MAX(W$4:W727)+1,""))</f>
        <v/>
      </c>
    </row>
    <row r="729" customFormat="false" ht="15" hidden="false" customHeight="false" outlineLevel="0" collapsed="false">
      <c r="A729" s="33"/>
      <c r="B729" s="32"/>
      <c r="C729" s="32"/>
      <c r="D729" s="32"/>
      <c r="E729" s="32"/>
      <c r="F729" s="30"/>
      <c r="G729" s="32"/>
      <c r="H729" s="34" t="n">
        <f aca="false">IF($G729="",0,IFERROR(INDEX(Einstellungen!$G$5:$G$11,MATCH($G729,Einstellungen!$E$5:$E$11,0)),0))</f>
        <v>0</v>
      </c>
      <c r="I729" s="35" t="str">
        <f aca="false">IF($G729="","-",IFERROR(INDEX(Einstellungen!$H$5:$H$11,MATCH($G729,Einstellungen!$E$5:$E$11,0)),"-"))</f>
        <v>-</v>
      </c>
      <c r="J729" s="35" t="str">
        <f aca="false">IF(AND(Einstellungen!$B$8="Ja",Einstellungen!$B$9="Effektiv"),$I729,"-")</f>
        <v>-</v>
      </c>
      <c r="K729" s="31" t="n">
        <f aca="false">IF(OR($F729="",$J729="-"),0,ROUND($F729-$F729/(1+$H729),2))</f>
        <v>0</v>
      </c>
      <c r="L729" s="31" t="n">
        <f aca="false">IF($F729="",0,$F729-$K729)</f>
        <v>0</v>
      </c>
      <c r="M729" s="31" t="n">
        <f aca="false">IF($F729="",0,IF($J729="V",$L729,$F729))</f>
        <v>0</v>
      </c>
      <c r="N729" s="31" t="n">
        <f aca="false">IF($F729="",0,IF($J729="U",$L729,$F729))</f>
        <v>0</v>
      </c>
      <c r="O729" s="35" t="str">
        <f aca="false">IF($A729="","",MONTH($A729))</f>
        <v/>
      </c>
      <c r="P729" s="35" t="str">
        <f aca="false">IF($A729="","",ROUNDUP(MONTH($A729)/3,0))</f>
        <v/>
      </c>
      <c r="Q729" s="35" t="str">
        <f aca="false">IF($A729="","",IF(MONTH($A729)&lt;=6,1,2))</f>
        <v/>
      </c>
      <c r="R729" s="35" t="str">
        <f aca="false">IF($E729="","",IFERROR(INDEX(Kontenplan!$F$5:$F$90,MATCH($E729,Kontenplan!$A$5:$A$90,0)),""))</f>
        <v/>
      </c>
      <c r="S729" s="35" t="str">
        <f aca="false">IF($D729="","",IFERROR(INDEX(Kontenplan!$F$5:$F$90,MATCH($D729,Kontenplan!$A$5:$A$90,0)),""))</f>
        <v/>
      </c>
      <c r="T729" s="35" t="str">
        <f aca="false">IF($D729="","",IFERROR(INDEX(Kontenplan!$C$5:$C$90,MATCH($D729,Kontenplan!$A$5:$A$90,0)),"?"))</f>
        <v/>
      </c>
      <c r="U729" s="35" t="str">
        <f aca="false">IF($E729="","",IFERROR(INDEX(Kontenplan!$C$5:$C$90,MATCH($E729,Kontenplan!$A$5:$A$90,0)),"?"))</f>
        <v/>
      </c>
      <c r="V729" s="35" t="str">
        <f aca="false">IF($F729="","",IF(OR($D729="",$E729="",$T729="?",$U729="?"),"Konto prüfen!",IF($A729="","Datum fehlt",IF(YEAR($A729)&lt;&gt;Einstellungen!$B$7,"anderes Jahr!",IF($G729="","MWST-Code fehlt","OK")))))</f>
        <v/>
      </c>
      <c r="W729" s="35" t="str">
        <f aca="false">IF($F729="","",IF(OR($D729=Kontoauszug!$C$4,$E729=Kontoauszug!$C$4),MAX(W$4:W728)+1,""))</f>
        <v/>
      </c>
    </row>
    <row r="730" customFormat="false" ht="15" hidden="false" customHeight="false" outlineLevel="0" collapsed="false">
      <c r="A730" s="33"/>
      <c r="B730" s="32"/>
      <c r="C730" s="32"/>
      <c r="D730" s="32"/>
      <c r="E730" s="32"/>
      <c r="F730" s="30"/>
      <c r="G730" s="32"/>
      <c r="H730" s="34" t="n">
        <f aca="false">IF($G730="",0,IFERROR(INDEX(Einstellungen!$G$5:$G$11,MATCH($G730,Einstellungen!$E$5:$E$11,0)),0))</f>
        <v>0</v>
      </c>
      <c r="I730" s="35" t="str">
        <f aca="false">IF($G730="","-",IFERROR(INDEX(Einstellungen!$H$5:$H$11,MATCH($G730,Einstellungen!$E$5:$E$11,0)),"-"))</f>
        <v>-</v>
      </c>
      <c r="J730" s="35" t="str">
        <f aca="false">IF(AND(Einstellungen!$B$8="Ja",Einstellungen!$B$9="Effektiv"),$I730,"-")</f>
        <v>-</v>
      </c>
      <c r="K730" s="31" t="n">
        <f aca="false">IF(OR($F730="",$J730="-"),0,ROUND($F730-$F730/(1+$H730),2))</f>
        <v>0</v>
      </c>
      <c r="L730" s="31" t="n">
        <f aca="false">IF($F730="",0,$F730-$K730)</f>
        <v>0</v>
      </c>
      <c r="M730" s="31" t="n">
        <f aca="false">IF($F730="",0,IF($J730="V",$L730,$F730))</f>
        <v>0</v>
      </c>
      <c r="N730" s="31" t="n">
        <f aca="false">IF($F730="",0,IF($J730="U",$L730,$F730))</f>
        <v>0</v>
      </c>
      <c r="O730" s="35" t="str">
        <f aca="false">IF($A730="","",MONTH($A730))</f>
        <v/>
      </c>
      <c r="P730" s="35" t="str">
        <f aca="false">IF($A730="","",ROUNDUP(MONTH($A730)/3,0))</f>
        <v/>
      </c>
      <c r="Q730" s="35" t="str">
        <f aca="false">IF($A730="","",IF(MONTH($A730)&lt;=6,1,2))</f>
        <v/>
      </c>
      <c r="R730" s="35" t="str">
        <f aca="false">IF($E730="","",IFERROR(INDEX(Kontenplan!$F$5:$F$90,MATCH($E730,Kontenplan!$A$5:$A$90,0)),""))</f>
        <v/>
      </c>
      <c r="S730" s="35" t="str">
        <f aca="false">IF($D730="","",IFERROR(INDEX(Kontenplan!$F$5:$F$90,MATCH($D730,Kontenplan!$A$5:$A$90,0)),""))</f>
        <v/>
      </c>
      <c r="T730" s="35" t="str">
        <f aca="false">IF($D730="","",IFERROR(INDEX(Kontenplan!$C$5:$C$90,MATCH($D730,Kontenplan!$A$5:$A$90,0)),"?"))</f>
        <v/>
      </c>
      <c r="U730" s="35" t="str">
        <f aca="false">IF($E730="","",IFERROR(INDEX(Kontenplan!$C$5:$C$90,MATCH($E730,Kontenplan!$A$5:$A$90,0)),"?"))</f>
        <v/>
      </c>
      <c r="V730" s="35" t="str">
        <f aca="false">IF($F730="","",IF(OR($D730="",$E730="",$T730="?",$U730="?"),"Konto prüfen!",IF($A730="","Datum fehlt",IF(YEAR($A730)&lt;&gt;Einstellungen!$B$7,"anderes Jahr!",IF($G730="","MWST-Code fehlt","OK")))))</f>
        <v/>
      </c>
      <c r="W730" s="35" t="str">
        <f aca="false">IF($F730="","",IF(OR($D730=Kontoauszug!$C$4,$E730=Kontoauszug!$C$4),MAX(W$4:W729)+1,""))</f>
        <v/>
      </c>
    </row>
    <row r="731" customFormat="false" ht="15" hidden="false" customHeight="false" outlineLevel="0" collapsed="false">
      <c r="A731" s="33"/>
      <c r="B731" s="32"/>
      <c r="C731" s="32"/>
      <c r="D731" s="32"/>
      <c r="E731" s="32"/>
      <c r="F731" s="30"/>
      <c r="G731" s="32"/>
      <c r="H731" s="34" t="n">
        <f aca="false">IF($G731="",0,IFERROR(INDEX(Einstellungen!$G$5:$G$11,MATCH($G731,Einstellungen!$E$5:$E$11,0)),0))</f>
        <v>0</v>
      </c>
      <c r="I731" s="35" t="str">
        <f aca="false">IF($G731="","-",IFERROR(INDEX(Einstellungen!$H$5:$H$11,MATCH($G731,Einstellungen!$E$5:$E$11,0)),"-"))</f>
        <v>-</v>
      </c>
      <c r="J731" s="35" t="str">
        <f aca="false">IF(AND(Einstellungen!$B$8="Ja",Einstellungen!$B$9="Effektiv"),$I731,"-")</f>
        <v>-</v>
      </c>
      <c r="K731" s="31" t="n">
        <f aca="false">IF(OR($F731="",$J731="-"),0,ROUND($F731-$F731/(1+$H731),2))</f>
        <v>0</v>
      </c>
      <c r="L731" s="31" t="n">
        <f aca="false">IF($F731="",0,$F731-$K731)</f>
        <v>0</v>
      </c>
      <c r="M731" s="31" t="n">
        <f aca="false">IF($F731="",0,IF($J731="V",$L731,$F731))</f>
        <v>0</v>
      </c>
      <c r="N731" s="31" t="n">
        <f aca="false">IF($F731="",0,IF($J731="U",$L731,$F731))</f>
        <v>0</v>
      </c>
      <c r="O731" s="35" t="str">
        <f aca="false">IF($A731="","",MONTH($A731))</f>
        <v/>
      </c>
      <c r="P731" s="35" t="str">
        <f aca="false">IF($A731="","",ROUNDUP(MONTH($A731)/3,0))</f>
        <v/>
      </c>
      <c r="Q731" s="35" t="str">
        <f aca="false">IF($A731="","",IF(MONTH($A731)&lt;=6,1,2))</f>
        <v/>
      </c>
      <c r="R731" s="35" t="str">
        <f aca="false">IF($E731="","",IFERROR(INDEX(Kontenplan!$F$5:$F$90,MATCH($E731,Kontenplan!$A$5:$A$90,0)),""))</f>
        <v/>
      </c>
      <c r="S731" s="35" t="str">
        <f aca="false">IF($D731="","",IFERROR(INDEX(Kontenplan!$F$5:$F$90,MATCH($D731,Kontenplan!$A$5:$A$90,0)),""))</f>
        <v/>
      </c>
      <c r="T731" s="35" t="str">
        <f aca="false">IF($D731="","",IFERROR(INDEX(Kontenplan!$C$5:$C$90,MATCH($D731,Kontenplan!$A$5:$A$90,0)),"?"))</f>
        <v/>
      </c>
      <c r="U731" s="35" t="str">
        <f aca="false">IF($E731="","",IFERROR(INDEX(Kontenplan!$C$5:$C$90,MATCH($E731,Kontenplan!$A$5:$A$90,0)),"?"))</f>
        <v/>
      </c>
      <c r="V731" s="35" t="str">
        <f aca="false">IF($F731="","",IF(OR($D731="",$E731="",$T731="?",$U731="?"),"Konto prüfen!",IF($A731="","Datum fehlt",IF(YEAR($A731)&lt;&gt;Einstellungen!$B$7,"anderes Jahr!",IF($G731="","MWST-Code fehlt","OK")))))</f>
        <v/>
      </c>
      <c r="W731" s="35" t="str">
        <f aca="false">IF($F731="","",IF(OR($D731=Kontoauszug!$C$4,$E731=Kontoauszug!$C$4),MAX(W$4:W730)+1,""))</f>
        <v/>
      </c>
    </row>
    <row r="732" customFormat="false" ht="15" hidden="false" customHeight="false" outlineLevel="0" collapsed="false">
      <c r="A732" s="33"/>
      <c r="B732" s="32"/>
      <c r="C732" s="32"/>
      <c r="D732" s="32"/>
      <c r="E732" s="32"/>
      <c r="F732" s="30"/>
      <c r="G732" s="32"/>
      <c r="H732" s="34" t="n">
        <f aca="false">IF($G732="",0,IFERROR(INDEX(Einstellungen!$G$5:$G$11,MATCH($G732,Einstellungen!$E$5:$E$11,0)),0))</f>
        <v>0</v>
      </c>
      <c r="I732" s="35" t="str">
        <f aca="false">IF($G732="","-",IFERROR(INDEX(Einstellungen!$H$5:$H$11,MATCH($G732,Einstellungen!$E$5:$E$11,0)),"-"))</f>
        <v>-</v>
      </c>
      <c r="J732" s="35" t="str">
        <f aca="false">IF(AND(Einstellungen!$B$8="Ja",Einstellungen!$B$9="Effektiv"),$I732,"-")</f>
        <v>-</v>
      </c>
      <c r="K732" s="31" t="n">
        <f aca="false">IF(OR($F732="",$J732="-"),0,ROUND($F732-$F732/(1+$H732),2))</f>
        <v>0</v>
      </c>
      <c r="L732" s="31" t="n">
        <f aca="false">IF($F732="",0,$F732-$K732)</f>
        <v>0</v>
      </c>
      <c r="M732" s="31" t="n">
        <f aca="false">IF($F732="",0,IF($J732="V",$L732,$F732))</f>
        <v>0</v>
      </c>
      <c r="N732" s="31" t="n">
        <f aca="false">IF($F732="",0,IF($J732="U",$L732,$F732))</f>
        <v>0</v>
      </c>
      <c r="O732" s="35" t="str">
        <f aca="false">IF($A732="","",MONTH($A732))</f>
        <v/>
      </c>
      <c r="P732" s="35" t="str">
        <f aca="false">IF($A732="","",ROUNDUP(MONTH($A732)/3,0))</f>
        <v/>
      </c>
      <c r="Q732" s="35" t="str">
        <f aca="false">IF($A732="","",IF(MONTH($A732)&lt;=6,1,2))</f>
        <v/>
      </c>
      <c r="R732" s="35" t="str">
        <f aca="false">IF($E732="","",IFERROR(INDEX(Kontenplan!$F$5:$F$90,MATCH($E732,Kontenplan!$A$5:$A$90,0)),""))</f>
        <v/>
      </c>
      <c r="S732" s="35" t="str">
        <f aca="false">IF($D732="","",IFERROR(INDEX(Kontenplan!$F$5:$F$90,MATCH($D732,Kontenplan!$A$5:$A$90,0)),""))</f>
        <v/>
      </c>
      <c r="T732" s="35" t="str">
        <f aca="false">IF($D732="","",IFERROR(INDEX(Kontenplan!$C$5:$C$90,MATCH($D732,Kontenplan!$A$5:$A$90,0)),"?"))</f>
        <v/>
      </c>
      <c r="U732" s="35" t="str">
        <f aca="false">IF($E732="","",IFERROR(INDEX(Kontenplan!$C$5:$C$90,MATCH($E732,Kontenplan!$A$5:$A$90,0)),"?"))</f>
        <v/>
      </c>
      <c r="V732" s="35" t="str">
        <f aca="false">IF($F732="","",IF(OR($D732="",$E732="",$T732="?",$U732="?"),"Konto prüfen!",IF($A732="","Datum fehlt",IF(YEAR($A732)&lt;&gt;Einstellungen!$B$7,"anderes Jahr!",IF($G732="","MWST-Code fehlt","OK")))))</f>
        <v/>
      </c>
      <c r="W732" s="35" t="str">
        <f aca="false">IF($F732="","",IF(OR($D732=Kontoauszug!$C$4,$E732=Kontoauszug!$C$4),MAX(W$4:W731)+1,""))</f>
        <v/>
      </c>
    </row>
    <row r="733" customFormat="false" ht="15" hidden="false" customHeight="false" outlineLevel="0" collapsed="false">
      <c r="A733" s="33"/>
      <c r="B733" s="32"/>
      <c r="C733" s="32"/>
      <c r="D733" s="32"/>
      <c r="E733" s="32"/>
      <c r="F733" s="30"/>
      <c r="G733" s="32"/>
      <c r="H733" s="34" t="n">
        <f aca="false">IF($G733="",0,IFERROR(INDEX(Einstellungen!$G$5:$G$11,MATCH($G733,Einstellungen!$E$5:$E$11,0)),0))</f>
        <v>0</v>
      </c>
      <c r="I733" s="35" t="str">
        <f aca="false">IF($G733="","-",IFERROR(INDEX(Einstellungen!$H$5:$H$11,MATCH($G733,Einstellungen!$E$5:$E$11,0)),"-"))</f>
        <v>-</v>
      </c>
      <c r="J733" s="35" t="str">
        <f aca="false">IF(AND(Einstellungen!$B$8="Ja",Einstellungen!$B$9="Effektiv"),$I733,"-")</f>
        <v>-</v>
      </c>
      <c r="K733" s="31" t="n">
        <f aca="false">IF(OR($F733="",$J733="-"),0,ROUND($F733-$F733/(1+$H733),2))</f>
        <v>0</v>
      </c>
      <c r="L733" s="31" t="n">
        <f aca="false">IF($F733="",0,$F733-$K733)</f>
        <v>0</v>
      </c>
      <c r="M733" s="31" t="n">
        <f aca="false">IF($F733="",0,IF($J733="V",$L733,$F733))</f>
        <v>0</v>
      </c>
      <c r="N733" s="31" t="n">
        <f aca="false">IF($F733="",0,IF($J733="U",$L733,$F733))</f>
        <v>0</v>
      </c>
      <c r="O733" s="35" t="str">
        <f aca="false">IF($A733="","",MONTH($A733))</f>
        <v/>
      </c>
      <c r="P733" s="35" t="str">
        <f aca="false">IF($A733="","",ROUNDUP(MONTH($A733)/3,0))</f>
        <v/>
      </c>
      <c r="Q733" s="35" t="str">
        <f aca="false">IF($A733="","",IF(MONTH($A733)&lt;=6,1,2))</f>
        <v/>
      </c>
      <c r="R733" s="35" t="str">
        <f aca="false">IF($E733="","",IFERROR(INDEX(Kontenplan!$F$5:$F$90,MATCH($E733,Kontenplan!$A$5:$A$90,0)),""))</f>
        <v/>
      </c>
      <c r="S733" s="35" t="str">
        <f aca="false">IF($D733="","",IFERROR(INDEX(Kontenplan!$F$5:$F$90,MATCH($D733,Kontenplan!$A$5:$A$90,0)),""))</f>
        <v/>
      </c>
      <c r="T733" s="35" t="str">
        <f aca="false">IF($D733="","",IFERROR(INDEX(Kontenplan!$C$5:$C$90,MATCH($D733,Kontenplan!$A$5:$A$90,0)),"?"))</f>
        <v/>
      </c>
      <c r="U733" s="35" t="str">
        <f aca="false">IF($E733="","",IFERROR(INDEX(Kontenplan!$C$5:$C$90,MATCH($E733,Kontenplan!$A$5:$A$90,0)),"?"))</f>
        <v/>
      </c>
      <c r="V733" s="35" t="str">
        <f aca="false">IF($F733="","",IF(OR($D733="",$E733="",$T733="?",$U733="?"),"Konto prüfen!",IF($A733="","Datum fehlt",IF(YEAR($A733)&lt;&gt;Einstellungen!$B$7,"anderes Jahr!",IF($G733="","MWST-Code fehlt","OK")))))</f>
        <v/>
      </c>
      <c r="W733" s="35" t="str">
        <f aca="false">IF($F733="","",IF(OR($D733=Kontoauszug!$C$4,$E733=Kontoauszug!$C$4),MAX(W$4:W732)+1,""))</f>
        <v/>
      </c>
    </row>
    <row r="734" customFormat="false" ht="15" hidden="false" customHeight="false" outlineLevel="0" collapsed="false">
      <c r="A734" s="33"/>
      <c r="B734" s="32"/>
      <c r="C734" s="32"/>
      <c r="D734" s="32"/>
      <c r="E734" s="32"/>
      <c r="F734" s="30"/>
      <c r="G734" s="32"/>
      <c r="H734" s="34" t="n">
        <f aca="false">IF($G734="",0,IFERROR(INDEX(Einstellungen!$G$5:$G$11,MATCH($G734,Einstellungen!$E$5:$E$11,0)),0))</f>
        <v>0</v>
      </c>
      <c r="I734" s="35" t="str">
        <f aca="false">IF($G734="","-",IFERROR(INDEX(Einstellungen!$H$5:$H$11,MATCH($G734,Einstellungen!$E$5:$E$11,0)),"-"))</f>
        <v>-</v>
      </c>
      <c r="J734" s="35" t="str">
        <f aca="false">IF(AND(Einstellungen!$B$8="Ja",Einstellungen!$B$9="Effektiv"),$I734,"-")</f>
        <v>-</v>
      </c>
      <c r="K734" s="31" t="n">
        <f aca="false">IF(OR($F734="",$J734="-"),0,ROUND($F734-$F734/(1+$H734),2))</f>
        <v>0</v>
      </c>
      <c r="L734" s="31" t="n">
        <f aca="false">IF($F734="",0,$F734-$K734)</f>
        <v>0</v>
      </c>
      <c r="M734" s="31" t="n">
        <f aca="false">IF($F734="",0,IF($J734="V",$L734,$F734))</f>
        <v>0</v>
      </c>
      <c r="N734" s="31" t="n">
        <f aca="false">IF($F734="",0,IF($J734="U",$L734,$F734))</f>
        <v>0</v>
      </c>
      <c r="O734" s="35" t="str">
        <f aca="false">IF($A734="","",MONTH($A734))</f>
        <v/>
      </c>
      <c r="P734" s="35" t="str">
        <f aca="false">IF($A734="","",ROUNDUP(MONTH($A734)/3,0))</f>
        <v/>
      </c>
      <c r="Q734" s="35" t="str">
        <f aca="false">IF($A734="","",IF(MONTH($A734)&lt;=6,1,2))</f>
        <v/>
      </c>
      <c r="R734" s="35" t="str">
        <f aca="false">IF($E734="","",IFERROR(INDEX(Kontenplan!$F$5:$F$90,MATCH($E734,Kontenplan!$A$5:$A$90,0)),""))</f>
        <v/>
      </c>
      <c r="S734" s="35" t="str">
        <f aca="false">IF($D734="","",IFERROR(INDEX(Kontenplan!$F$5:$F$90,MATCH($D734,Kontenplan!$A$5:$A$90,0)),""))</f>
        <v/>
      </c>
      <c r="T734" s="35" t="str">
        <f aca="false">IF($D734="","",IFERROR(INDEX(Kontenplan!$C$5:$C$90,MATCH($D734,Kontenplan!$A$5:$A$90,0)),"?"))</f>
        <v/>
      </c>
      <c r="U734" s="35" t="str">
        <f aca="false">IF($E734="","",IFERROR(INDEX(Kontenplan!$C$5:$C$90,MATCH($E734,Kontenplan!$A$5:$A$90,0)),"?"))</f>
        <v/>
      </c>
      <c r="V734" s="35" t="str">
        <f aca="false">IF($F734="","",IF(OR($D734="",$E734="",$T734="?",$U734="?"),"Konto prüfen!",IF($A734="","Datum fehlt",IF(YEAR($A734)&lt;&gt;Einstellungen!$B$7,"anderes Jahr!",IF($G734="","MWST-Code fehlt","OK")))))</f>
        <v/>
      </c>
      <c r="W734" s="35" t="str">
        <f aca="false">IF($F734="","",IF(OR($D734=Kontoauszug!$C$4,$E734=Kontoauszug!$C$4),MAX(W$4:W733)+1,""))</f>
        <v/>
      </c>
    </row>
    <row r="735" customFormat="false" ht="15" hidden="false" customHeight="false" outlineLevel="0" collapsed="false">
      <c r="A735" s="33"/>
      <c r="B735" s="32"/>
      <c r="C735" s="32"/>
      <c r="D735" s="32"/>
      <c r="E735" s="32"/>
      <c r="F735" s="30"/>
      <c r="G735" s="32"/>
      <c r="H735" s="34" t="n">
        <f aca="false">IF($G735="",0,IFERROR(INDEX(Einstellungen!$G$5:$G$11,MATCH($G735,Einstellungen!$E$5:$E$11,0)),0))</f>
        <v>0</v>
      </c>
      <c r="I735" s="35" t="str">
        <f aca="false">IF($G735="","-",IFERROR(INDEX(Einstellungen!$H$5:$H$11,MATCH($G735,Einstellungen!$E$5:$E$11,0)),"-"))</f>
        <v>-</v>
      </c>
      <c r="J735" s="35" t="str">
        <f aca="false">IF(AND(Einstellungen!$B$8="Ja",Einstellungen!$B$9="Effektiv"),$I735,"-")</f>
        <v>-</v>
      </c>
      <c r="K735" s="31" t="n">
        <f aca="false">IF(OR($F735="",$J735="-"),0,ROUND($F735-$F735/(1+$H735),2))</f>
        <v>0</v>
      </c>
      <c r="L735" s="31" t="n">
        <f aca="false">IF($F735="",0,$F735-$K735)</f>
        <v>0</v>
      </c>
      <c r="M735" s="31" t="n">
        <f aca="false">IF($F735="",0,IF($J735="V",$L735,$F735))</f>
        <v>0</v>
      </c>
      <c r="N735" s="31" t="n">
        <f aca="false">IF($F735="",0,IF($J735="U",$L735,$F735))</f>
        <v>0</v>
      </c>
      <c r="O735" s="35" t="str">
        <f aca="false">IF($A735="","",MONTH($A735))</f>
        <v/>
      </c>
      <c r="P735" s="35" t="str">
        <f aca="false">IF($A735="","",ROUNDUP(MONTH($A735)/3,0))</f>
        <v/>
      </c>
      <c r="Q735" s="35" t="str">
        <f aca="false">IF($A735="","",IF(MONTH($A735)&lt;=6,1,2))</f>
        <v/>
      </c>
      <c r="R735" s="35" t="str">
        <f aca="false">IF($E735="","",IFERROR(INDEX(Kontenplan!$F$5:$F$90,MATCH($E735,Kontenplan!$A$5:$A$90,0)),""))</f>
        <v/>
      </c>
      <c r="S735" s="35" t="str">
        <f aca="false">IF($D735="","",IFERROR(INDEX(Kontenplan!$F$5:$F$90,MATCH($D735,Kontenplan!$A$5:$A$90,0)),""))</f>
        <v/>
      </c>
      <c r="T735" s="35" t="str">
        <f aca="false">IF($D735="","",IFERROR(INDEX(Kontenplan!$C$5:$C$90,MATCH($D735,Kontenplan!$A$5:$A$90,0)),"?"))</f>
        <v/>
      </c>
      <c r="U735" s="35" t="str">
        <f aca="false">IF($E735="","",IFERROR(INDEX(Kontenplan!$C$5:$C$90,MATCH($E735,Kontenplan!$A$5:$A$90,0)),"?"))</f>
        <v/>
      </c>
      <c r="V735" s="35" t="str">
        <f aca="false">IF($F735="","",IF(OR($D735="",$E735="",$T735="?",$U735="?"),"Konto prüfen!",IF($A735="","Datum fehlt",IF(YEAR($A735)&lt;&gt;Einstellungen!$B$7,"anderes Jahr!",IF($G735="","MWST-Code fehlt","OK")))))</f>
        <v/>
      </c>
      <c r="W735" s="35" t="str">
        <f aca="false">IF($F735="","",IF(OR($D735=Kontoauszug!$C$4,$E735=Kontoauszug!$C$4),MAX(W$4:W734)+1,""))</f>
        <v/>
      </c>
    </row>
    <row r="736" customFormat="false" ht="15" hidden="false" customHeight="false" outlineLevel="0" collapsed="false">
      <c r="A736" s="33"/>
      <c r="B736" s="32"/>
      <c r="C736" s="32"/>
      <c r="D736" s="32"/>
      <c r="E736" s="32"/>
      <c r="F736" s="30"/>
      <c r="G736" s="32"/>
      <c r="H736" s="34" t="n">
        <f aca="false">IF($G736="",0,IFERROR(INDEX(Einstellungen!$G$5:$G$11,MATCH($G736,Einstellungen!$E$5:$E$11,0)),0))</f>
        <v>0</v>
      </c>
      <c r="I736" s="35" t="str">
        <f aca="false">IF($G736="","-",IFERROR(INDEX(Einstellungen!$H$5:$H$11,MATCH($G736,Einstellungen!$E$5:$E$11,0)),"-"))</f>
        <v>-</v>
      </c>
      <c r="J736" s="35" t="str">
        <f aca="false">IF(AND(Einstellungen!$B$8="Ja",Einstellungen!$B$9="Effektiv"),$I736,"-")</f>
        <v>-</v>
      </c>
      <c r="K736" s="31" t="n">
        <f aca="false">IF(OR($F736="",$J736="-"),0,ROUND($F736-$F736/(1+$H736),2))</f>
        <v>0</v>
      </c>
      <c r="L736" s="31" t="n">
        <f aca="false">IF($F736="",0,$F736-$K736)</f>
        <v>0</v>
      </c>
      <c r="M736" s="31" t="n">
        <f aca="false">IF($F736="",0,IF($J736="V",$L736,$F736))</f>
        <v>0</v>
      </c>
      <c r="N736" s="31" t="n">
        <f aca="false">IF($F736="",0,IF($J736="U",$L736,$F736))</f>
        <v>0</v>
      </c>
      <c r="O736" s="35" t="str">
        <f aca="false">IF($A736="","",MONTH($A736))</f>
        <v/>
      </c>
      <c r="P736" s="35" t="str">
        <f aca="false">IF($A736="","",ROUNDUP(MONTH($A736)/3,0))</f>
        <v/>
      </c>
      <c r="Q736" s="35" t="str">
        <f aca="false">IF($A736="","",IF(MONTH($A736)&lt;=6,1,2))</f>
        <v/>
      </c>
      <c r="R736" s="35" t="str">
        <f aca="false">IF($E736="","",IFERROR(INDEX(Kontenplan!$F$5:$F$90,MATCH($E736,Kontenplan!$A$5:$A$90,0)),""))</f>
        <v/>
      </c>
      <c r="S736" s="35" t="str">
        <f aca="false">IF($D736="","",IFERROR(INDEX(Kontenplan!$F$5:$F$90,MATCH($D736,Kontenplan!$A$5:$A$90,0)),""))</f>
        <v/>
      </c>
      <c r="T736" s="35" t="str">
        <f aca="false">IF($D736="","",IFERROR(INDEX(Kontenplan!$C$5:$C$90,MATCH($D736,Kontenplan!$A$5:$A$90,0)),"?"))</f>
        <v/>
      </c>
      <c r="U736" s="35" t="str">
        <f aca="false">IF($E736="","",IFERROR(INDEX(Kontenplan!$C$5:$C$90,MATCH($E736,Kontenplan!$A$5:$A$90,0)),"?"))</f>
        <v/>
      </c>
      <c r="V736" s="35" t="str">
        <f aca="false">IF($F736="","",IF(OR($D736="",$E736="",$T736="?",$U736="?"),"Konto prüfen!",IF($A736="","Datum fehlt",IF(YEAR($A736)&lt;&gt;Einstellungen!$B$7,"anderes Jahr!",IF($G736="","MWST-Code fehlt","OK")))))</f>
        <v/>
      </c>
      <c r="W736" s="35" t="str">
        <f aca="false">IF($F736="","",IF(OR($D736=Kontoauszug!$C$4,$E736=Kontoauszug!$C$4),MAX(W$4:W735)+1,""))</f>
        <v/>
      </c>
    </row>
    <row r="737" customFormat="false" ht="15" hidden="false" customHeight="false" outlineLevel="0" collapsed="false">
      <c r="A737" s="33"/>
      <c r="B737" s="32"/>
      <c r="C737" s="32"/>
      <c r="D737" s="32"/>
      <c r="E737" s="32"/>
      <c r="F737" s="30"/>
      <c r="G737" s="32"/>
      <c r="H737" s="34" t="n">
        <f aca="false">IF($G737="",0,IFERROR(INDEX(Einstellungen!$G$5:$G$11,MATCH($G737,Einstellungen!$E$5:$E$11,0)),0))</f>
        <v>0</v>
      </c>
      <c r="I737" s="35" t="str">
        <f aca="false">IF($G737="","-",IFERROR(INDEX(Einstellungen!$H$5:$H$11,MATCH($G737,Einstellungen!$E$5:$E$11,0)),"-"))</f>
        <v>-</v>
      </c>
      <c r="J737" s="35" t="str">
        <f aca="false">IF(AND(Einstellungen!$B$8="Ja",Einstellungen!$B$9="Effektiv"),$I737,"-")</f>
        <v>-</v>
      </c>
      <c r="K737" s="31" t="n">
        <f aca="false">IF(OR($F737="",$J737="-"),0,ROUND($F737-$F737/(1+$H737),2))</f>
        <v>0</v>
      </c>
      <c r="L737" s="31" t="n">
        <f aca="false">IF($F737="",0,$F737-$K737)</f>
        <v>0</v>
      </c>
      <c r="M737" s="31" t="n">
        <f aca="false">IF($F737="",0,IF($J737="V",$L737,$F737))</f>
        <v>0</v>
      </c>
      <c r="N737" s="31" t="n">
        <f aca="false">IF($F737="",0,IF($J737="U",$L737,$F737))</f>
        <v>0</v>
      </c>
      <c r="O737" s="35" t="str">
        <f aca="false">IF($A737="","",MONTH($A737))</f>
        <v/>
      </c>
      <c r="P737" s="35" t="str">
        <f aca="false">IF($A737="","",ROUNDUP(MONTH($A737)/3,0))</f>
        <v/>
      </c>
      <c r="Q737" s="35" t="str">
        <f aca="false">IF($A737="","",IF(MONTH($A737)&lt;=6,1,2))</f>
        <v/>
      </c>
      <c r="R737" s="35" t="str">
        <f aca="false">IF($E737="","",IFERROR(INDEX(Kontenplan!$F$5:$F$90,MATCH($E737,Kontenplan!$A$5:$A$90,0)),""))</f>
        <v/>
      </c>
      <c r="S737" s="35" t="str">
        <f aca="false">IF($D737="","",IFERROR(INDEX(Kontenplan!$F$5:$F$90,MATCH($D737,Kontenplan!$A$5:$A$90,0)),""))</f>
        <v/>
      </c>
      <c r="T737" s="35" t="str">
        <f aca="false">IF($D737="","",IFERROR(INDEX(Kontenplan!$C$5:$C$90,MATCH($D737,Kontenplan!$A$5:$A$90,0)),"?"))</f>
        <v/>
      </c>
      <c r="U737" s="35" t="str">
        <f aca="false">IF($E737="","",IFERROR(INDEX(Kontenplan!$C$5:$C$90,MATCH($E737,Kontenplan!$A$5:$A$90,0)),"?"))</f>
        <v/>
      </c>
      <c r="V737" s="35" t="str">
        <f aca="false">IF($F737="","",IF(OR($D737="",$E737="",$T737="?",$U737="?"),"Konto prüfen!",IF($A737="","Datum fehlt",IF(YEAR($A737)&lt;&gt;Einstellungen!$B$7,"anderes Jahr!",IF($G737="","MWST-Code fehlt","OK")))))</f>
        <v/>
      </c>
      <c r="W737" s="35" t="str">
        <f aca="false">IF($F737="","",IF(OR($D737=Kontoauszug!$C$4,$E737=Kontoauszug!$C$4),MAX(W$4:W736)+1,""))</f>
        <v/>
      </c>
    </row>
    <row r="738" customFormat="false" ht="15" hidden="false" customHeight="false" outlineLevel="0" collapsed="false">
      <c r="A738" s="33"/>
      <c r="B738" s="32"/>
      <c r="C738" s="32"/>
      <c r="D738" s="32"/>
      <c r="E738" s="32"/>
      <c r="F738" s="30"/>
      <c r="G738" s="32"/>
      <c r="H738" s="34" t="n">
        <f aca="false">IF($G738="",0,IFERROR(INDEX(Einstellungen!$G$5:$G$11,MATCH($G738,Einstellungen!$E$5:$E$11,0)),0))</f>
        <v>0</v>
      </c>
      <c r="I738" s="35" t="str">
        <f aca="false">IF($G738="","-",IFERROR(INDEX(Einstellungen!$H$5:$H$11,MATCH($G738,Einstellungen!$E$5:$E$11,0)),"-"))</f>
        <v>-</v>
      </c>
      <c r="J738" s="35" t="str">
        <f aca="false">IF(AND(Einstellungen!$B$8="Ja",Einstellungen!$B$9="Effektiv"),$I738,"-")</f>
        <v>-</v>
      </c>
      <c r="K738" s="31" t="n">
        <f aca="false">IF(OR($F738="",$J738="-"),0,ROUND($F738-$F738/(1+$H738),2))</f>
        <v>0</v>
      </c>
      <c r="L738" s="31" t="n">
        <f aca="false">IF($F738="",0,$F738-$K738)</f>
        <v>0</v>
      </c>
      <c r="M738" s="31" t="n">
        <f aca="false">IF($F738="",0,IF($J738="V",$L738,$F738))</f>
        <v>0</v>
      </c>
      <c r="N738" s="31" t="n">
        <f aca="false">IF($F738="",0,IF($J738="U",$L738,$F738))</f>
        <v>0</v>
      </c>
      <c r="O738" s="35" t="str">
        <f aca="false">IF($A738="","",MONTH($A738))</f>
        <v/>
      </c>
      <c r="P738" s="35" t="str">
        <f aca="false">IF($A738="","",ROUNDUP(MONTH($A738)/3,0))</f>
        <v/>
      </c>
      <c r="Q738" s="35" t="str">
        <f aca="false">IF($A738="","",IF(MONTH($A738)&lt;=6,1,2))</f>
        <v/>
      </c>
      <c r="R738" s="35" t="str">
        <f aca="false">IF($E738="","",IFERROR(INDEX(Kontenplan!$F$5:$F$90,MATCH($E738,Kontenplan!$A$5:$A$90,0)),""))</f>
        <v/>
      </c>
      <c r="S738" s="35" t="str">
        <f aca="false">IF($D738="","",IFERROR(INDEX(Kontenplan!$F$5:$F$90,MATCH($D738,Kontenplan!$A$5:$A$90,0)),""))</f>
        <v/>
      </c>
      <c r="T738" s="35" t="str">
        <f aca="false">IF($D738="","",IFERROR(INDEX(Kontenplan!$C$5:$C$90,MATCH($D738,Kontenplan!$A$5:$A$90,0)),"?"))</f>
        <v/>
      </c>
      <c r="U738" s="35" t="str">
        <f aca="false">IF($E738="","",IFERROR(INDEX(Kontenplan!$C$5:$C$90,MATCH($E738,Kontenplan!$A$5:$A$90,0)),"?"))</f>
        <v/>
      </c>
      <c r="V738" s="35" t="str">
        <f aca="false">IF($F738="","",IF(OR($D738="",$E738="",$T738="?",$U738="?"),"Konto prüfen!",IF($A738="","Datum fehlt",IF(YEAR($A738)&lt;&gt;Einstellungen!$B$7,"anderes Jahr!",IF($G738="","MWST-Code fehlt","OK")))))</f>
        <v/>
      </c>
      <c r="W738" s="35" t="str">
        <f aca="false">IF($F738="","",IF(OR($D738=Kontoauszug!$C$4,$E738=Kontoauszug!$C$4),MAX(W$4:W737)+1,""))</f>
        <v/>
      </c>
    </row>
    <row r="739" customFormat="false" ht="15" hidden="false" customHeight="false" outlineLevel="0" collapsed="false">
      <c r="A739" s="33"/>
      <c r="B739" s="32"/>
      <c r="C739" s="32"/>
      <c r="D739" s="32"/>
      <c r="E739" s="32"/>
      <c r="F739" s="30"/>
      <c r="G739" s="32"/>
      <c r="H739" s="34" t="n">
        <f aca="false">IF($G739="",0,IFERROR(INDEX(Einstellungen!$G$5:$G$11,MATCH($G739,Einstellungen!$E$5:$E$11,0)),0))</f>
        <v>0</v>
      </c>
      <c r="I739" s="35" t="str">
        <f aca="false">IF($G739="","-",IFERROR(INDEX(Einstellungen!$H$5:$H$11,MATCH($G739,Einstellungen!$E$5:$E$11,0)),"-"))</f>
        <v>-</v>
      </c>
      <c r="J739" s="35" t="str">
        <f aca="false">IF(AND(Einstellungen!$B$8="Ja",Einstellungen!$B$9="Effektiv"),$I739,"-")</f>
        <v>-</v>
      </c>
      <c r="K739" s="31" t="n">
        <f aca="false">IF(OR($F739="",$J739="-"),0,ROUND($F739-$F739/(1+$H739),2))</f>
        <v>0</v>
      </c>
      <c r="L739" s="31" t="n">
        <f aca="false">IF($F739="",0,$F739-$K739)</f>
        <v>0</v>
      </c>
      <c r="M739" s="31" t="n">
        <f aca="false">IF($F739="",0,IF($J739="V",$L739,$F739))</f>
        <v>0</v>
      </c>
      <c r="N739" s="31" t="n">
        <f aca="false">IF($F739="",0,IF($J739="U",$L739,$F739))</f>
        <v>0</v>
      </c>
      <c r="O739" s="35" t="str">
        <f aca="false">IF($A739="","",MONTH($A739))</f>
        <v/>
      </c>
      <c r="P739" s="35" t="str">
        <f aca="false">IF($A739="","",ROUNDUP(MONTH($A739)/3,0))</f>
        <v/>
      </c>
      <c r="Q739" s="35" t="str">
        <f aca="false">IF($A739="","",IF(MONTH($A739)&lt;=6,1,2))</f>
        <v/>
      </c>
      <c r="R739" s="35" t="str">
        <f aca="false">IF($E739="","",IFERROR(INDEX(Kontenplan!$F$5:$F$90,MATCH($E739,Kontenplan!$A$5:$A$90,0)),""))</f>
        <v/>
      </c>
      <c r="S739" s="35" t="str">
        <f aca="false">IF($D739="","",IFERROR(INDEX(Kontenplan!$F$5:$F$90,MATCH($D739,Kontenplan!$A$5:$A$90,0)),""))</f>
        <v/>
      </c>
      <c r="T739" s="35" t="str">
        <f aca="false">IF($D739="","",IFERROR(INDEX(Kontenplan!$C$5:$C$90,MATCH($D739,Kontenplan!$A$5:$A$90,0)),"?"))</f>
        <v/>
      </c>
      <c r="U739" s="35" t="str">
        <f aca="false">IF($E739="","",IFERROR(INDEX(Kontenplan!$C$5:$C$90,MATCH($E739,Kontenplan!$A$5:$A$90,0)),"?"))</f>
        <v/>
      </c>
      <c r="V739" s="35" t="str">
        <f aca="false">IF($F739="","",IF(OR($D739="",$E739="",$T739="?",$U739="?"),"Konto prüfen!",IF($A739="","Datum fehlt",IF(YEAR($A739)&lt;&gt;Einstellungen!$B$7,"anderes Jahr!",IF($G739="","MWST-Code fehlt","OK")))))</f>
        <v/>
      </c>
      <c r="W739" s="35" t="str">
        <f aca="false">IF($F739="","",IF(OR($D739=Kontoauszug!$C$4,$E739=Kontoauszug!$C$4),MAX(W$4:W738)+1,""))</f>
        <v/>
      </c>
    </row>
    <row r="740" customFormat="false" ht="15" hidden="false" customHeight="false" outlineLevel="0" collapsed="false">
      <c r="A740" s="33"/>
      <c r="B740" s="32"/>
      <c r="C740" s="32"/>
      <c r="D740" s="32"/>
      <c r="E740" s="32"/>
      <c r="F740" s="30"/>
      <c r="G740" s="32"/>
      <c r="H740" s="34" t="n">
        <f aca="false">IF($G740="",0,IFERROR(INDEX(Einstellungen!$G$5:$G$11,MATCH($G740,Einstellungen!$E$5:$E$11,0)),0))</f>
        <v>0</v>
      </c>
      <c r="I740" s="35" t="str">
        <f aca="false">IF($G740="","-",IFERROR(INDEX(Einstellungen!$H$5:$H$11,MATCH($G740,Einstellungen!$E$5:$E$11,0)),"-"))</f>
        <v>-</v>
      </c>
      <c r="J740" s="35" t="str">
        <f aca="false">IF(AND(Einstellungen!$B$8="Ja",Einstellungen!$B$9="Effektiv"),$I740,"-")</f>
        <v>-</v>
      </c>
      <c r="K740" s="31" t="n">
        <f aca="false">IF(OR($F740="",$J740="-"),0,ROUND($F740-$F740/(1+$H740),2))</f>
        <v>0</v>
      </c>
      <c r="L740" s="31" t="n">
        <f aca="false">IF($F740="",0,$F740-$K740)</f>
        <v>0</v>
      </c>
      <c r="M740" s="31" t="n">
        <f aca="false">IF($F740="",0,IF($J740="V",$L740,$F740))</f>
        <v>0</v>
      </c>
      <c r="N740" s="31" t="n">
        <f aca="false">IF($F740="",0,IF($J740="U",$L740,$F740))</f>
        <v>0</v>
      </c>
      <c r="O740" s="35" t="str">
        <f aca="false">IF($A740="","",MONTH($A740))</f>
        <v/>
      </c>
      <c r="P740" s="35" t="str">
        <f aca="false">IF($A740="","",ROUNDUP(MONTH($A740)/3,0))</f>
        <v/>
      </c>
      <c r="Q740" s="35" t="str">
        <f aca="false">IF($A740="","",IF(MONTH($A740)&lt;=6,1,2))</f>
        <v/>
      </c>
      <c r="R740" s="35" t="str">
        <f aca="false">IF($E740="","",IFERROR(INDEX(Kontenplan!$F$5:$F$90,MATCH($E740,Kontenplan!$A$5:$A$90,0)),""))</f>
        <v/>
      </c>
      <c r="S740" s="35" t="str">
        <f aca="false">IF($D740="","",IFERROR(INDEX(Kontenplan!$F$5:$F$90,MATCH($D740,Kontenplan!$A$5:$A$90,0)),""))</f>
        <v/>
      </c>
      <c r="T740" s="35" t="str">
        <f aca="false">IF($D740="","",IFERROR(INDEX(Kontenplan!$C$5:$C$90,MATCH($D740,Kontenplan!$A$5:$A$90,0)),"?"))</f>
        <v/>
      </c>
      <c r="U740" s="35" t="str">
        <f aca="false">IF($E740="","",IFERROR(INDEX(Kontenplan!$C$5:$C$90,MATCH($E740,Kontenplan!$A$5:$A$90,0)),"?"))</f>
        <v/>
      </c>
      <c r="V740" s="35" t="str">
        <f aca="false">IF($F740="","",IF(OR($D740="",$E740="",$T740="?",$U740="?"),"Konto prüfen!",IF($A740="","Datum fehlt",IF(YEAR($A740)&lt;&gt;Einstellungen!$B$7,"anderes Jahr!",IF($G740="","MWST-Code fehlt","OK")))))</f>
        <v/>
      </c>
      <c r="W740" s="35" t="str">
        <f aca="false">IF($F740="","",IF(OR($D740=Kontoauszug!$C$4,$E740=Kontoauszug!$C$4),MAX(W$4:W739)+1,""))</f>
        <v/>
      </c>
    </row>
    <row r="741" customFormat="false" ht="15" hidden="false" customHeight="false" outlineLevel="0" collapsed="false">
      <c r="A741" s="33"/>
      <c r="B741" s="32"/>
      <c r="C741" s="32"/>
      <c r="D741" s="32"/>
      <c r="E741" s="32"/>
      <c r="F741" s="30"/>
      <c r="G741" s="32"/>
      <c r="H741" s="34" t="n">
        <f aca="false">IF($G741="",0,IFERROR(INDEX(Einstellungen!$G$5:$G$11,MATCH($G741,Einstellungen!$E$5:$E$11,0)),0))</f>
        <v>0</v>
      </c>
      <c r="I741" s="35" t="str">
        <f aca="false">IF($G741="","-",IFERROR(INDEX(Einstellungen!$H$5:$H$11,MATCH($G741,Einstellungen!$E$5:$E$11,0)),"-"))</f>
        <v>-</v>
      </c>
      <c r="J741" s="35" t="str">
        <f aca="false">IF(AND(Einstellungen!$B$8="Ja",Einstellungen!$B$9="Effektiv"),$I741,"-")</f>
        <v>-</v>
      </c>
      <c r="K741" s="31" t="n">
        <f aca="false">IF(OR($F741="",$J741="-"),0,ROUND($F741-$F741/(1+$H741),2))</f>
        <v>0</v>
      </c>
      <c r="L741" s="31" t="n">
        <f aca="false">IF($F741="",0,$F741-$K741)</f>
        <v>0</v>
      </c>
      <c r="M741" s="31" t="n">
        <f aca="false">IF($F741="",0,IF($J741="V",$L741,$F741))</f>
        <v>0</v>
      </c>
      <c r="N741" s="31" t="n">
        <f aca="false">IF($F741="",0,IF($J741="U",$L741,$F741))</f>
        <v>0</v>
      </c>
      <c r="O741" s="35" t="str">
        <f aca="false">IF($A741="","",MONTH($A741))</f>
        <v/>
      </c>
      <c r="P741" s="35" t="str">
        <f aca="false">IF($A741="","",ROUNDUP(MONTH($A741)/3,0))</f>
        <v/>
      </c>
      <c r="Q741" s="35" t="str">
        <f aca="false">IF($A741="","",IF(MONTH($A741)&lt;=6,1,2))</f>
        <v/>
      </c>
      <c r="R741" s="35" t="str">
        <f aca="false">IF($E741="","",IFERROR(INDEX(Kontenplan!$F$5:$F$90,MATCH($E741,Kontenplan!$A$5:$A$90,0)),""))</f>
        <v/>
      </c>
      <c r="S741" s="35" t="str">
        <f aca="false">IF($D741="","",IFERROR(INDEX(Kontenplan!$F$5:$F$90,MATCH($D741,Kontenplan!$A$5:$A$90,0)),""))</f>
        <v/>
      </c>
      <c r="T741" s="35" t="str">
        <f aca="false">IF($D741="","",IFERROR(INDEX(Kontenplan!$C$5:$C$90,MATCH($D741,Kontenplan!$A$5:$A$90,0)),"?"))</f>
        <v/>
      </c>
      <c r="U741" s="35" t="str">
        <f aca="false">IF($E741="","",IFERROR(INDEX(Kontenplan!$C$5:$C$90,MATCH($E741,Kontenplan!$A$5:$A$90,0)),"?"))</f>
        <v/>
      </c>
      <c r="V741" s="35" t="str">
        <f aca="false">IF($F741="","",IF(OR($D741="",$E741="",$T741="?",$U741="?"),"Konto prüfen!",IF($A741="","Datum fehlt",IF(YEAR($A741)&lt;&gt;Einstellungen!$B$7,"anderes Jahr!",IF($G741="","MWST-Code fehlt","OK")))))</f>
        <v/>
      </c>
      <c r="W741" s="35" t="str">
        <f aca="false">IF($F741="","",IF(OR($D741=Kontoauszug!$C$4,$E741=Kontoauszug!$C$4),MAX(W$4:W740)+1,""))</f>
        <v/>
      </c>
    </row>
    <row r="742" customFormat="false" ht="15" hidden="false" customHeight="false" outlineLevel="0" collapsed="false">
      <c r="A742" s="33"/>
      <c r="B742" s="32"/>
      <c r="C742" s="32"/>
      <c r="D742" s="32"/>
      <c r="E742" s="32"/>
      <c r="F742" s="30"/>
      <c r="G742" s="32"/>
      <c r="H742" s="34" t="n">
        <f aca="false">IF($G742="",0,IFERROR(INDEX(Einstellungen!$G$5:$G$11,MATCH($G742,Einstellungen!$E$5:$E$11,0)),0))</f>
        <v>0</v>
      </c>
      <c r="I742" s="35" t="str">
        <f aca="false">IF($G742="","-",IFERROR(INDEX(Einstellungen!$H$5:$H$11,MATCH($G742,Einstellungen!$E$5:$E$11,0)),"-"))</f>
        <v>-</v>
      </c>
      <c r="J742" s="35" t="str">
        <f aca="false">IF(AND(Einstellungen!$B$8="Ja",Einstellungen!$B$9="Effektiv"),$I742,"-")</f>
        <v>-</v>
      </c>
      <c r="K742" s="31" t="n">
        <f aca="false">IF(OR($F742="",$J742="-"),0,ROUND($F742-$F742/(1+$H742),2))</f>
        <v>0</v>
      </c>
      <c r="L742" s="31" t="n">
        <f aca="false">IF($F742="",0,$F742-$K742)</f>
        <v>0</v>
      </c>
      <c r="M742" s="31" t="n">
        <f aca="false">IF($F742="",0,IF($J742="V",$L742,$F742))</f>
        <v>0</v>
      </c>
      <c r="N742" s="31" t="n">
        <f aca="false">IF($F742="",0,IF($J742="U",$L742,$F742))</f>
        <v>0</v>
      </c>
      <c r="O742" s="35" t="str">
        <f aca="false">IF($A742="","",MONTH($A742))</f>
        <v/>
      </c>
      <c r="P742" s="35" t="str">
        <f aca="false">IF($A742="","",ROUNDUP(MONTH($A742)/3,0))</f>
        <v/>
      </c>
      <c r="Q742" s="35" t="str">
        <f aca="false">IF($A742="","",IF(MONTH($A742)&lt;=6,1,2))</f>
        <v/>
      </c>
      <c r="R742" s="35" t="str">
        <f aca="false">IF($E742="","",IFERROR(INDEX(Kontenplan!$F$5:$F$90,MATCH($E742,Kontenplan!$A$5:$A$90,0)),""))</f>
        <v/>
      </c>
      <c r="S742" s="35" t="str">
        <f aca="false">IF($D742="","",IFERROR(INDEX(Kontenplan!$F$5:$F$90,MATCH($D742,Kontenplan!$A$5:$A$90,0)),""))</f>
        <v/>
      </c>
      <c r="T742" s="35" t="str">
        <f aca="false">IF($D742="","",IFERROR(INDEX(Kontenplan!$C$5:$C$90,MATCH($D742,Kontenplan!$A$5:$A$90,0)),"?"))</f>
        <v/>
      </c>
      <c r="U742" s="35" t="str">
        <f aca="false">IF($E742="","",IFERROR(INDEX(Kontenplan!$C$5:$C$90,MATCH($E742,Kontenplan!$A$5:$A$90,0)),"?"))</f>
        <v/>
      </c>
      <c r="V742" s="35" t="str">
        <f aca="false">IF($F742="","",IF(OR($D742="",$E742="",$T742="?",$U742="?"),"Konto prüfen!",IF($A742="","Datum fehlt",IF(YEAR($A742)&lt;&gt;Einstellungen!$B$7,"anderes Jahr!",IF($G742="","MWST-Code fehlt","OK")))))</f>
        <v/>
      </c>
      <c r="W742" s="35" t="str">
        <f aca="false">IF($F742="","",IF(OR($D742=Kontoauszug!$C$4,$E742=Kontoauszug!$C$4),MAX(W$4:W741)+1,""))</f>
        <v/>
      </c>
    </row>
    <row r="743" customFormat="false" ht="15" hidden="false" customHeight="false" outlineLevel="0" collapsed="false">
      <c r="A743" s="33"/>
      <c r="B743" s="32"/>
      <c r="C743" s="32"/>
      <c r="D743" s="32"/>
      <c r="E743" s="32"/>
      <c r="F743" s="30"/>
      <c r="G743" s="32"/>
      <c r="H743" s="34" t="n">
        <f aca="false">IF($G743="",0,IFERROR(INDEX(Einstellungen!$G$5:$G$11,MATCH($G743,Einstellungen!$E$5:$E$11,0)),0))</f>
        <v>0</v>
      </c>
      <c r="I743" s="35" t="str">
        <f aca="false">IF($G743="","-",IFERROR(INDEX(Einstellungen!$H$5:$H$11,MATCH($G743,Einstellungen!$E$5:$E$11,0)),"-"))</f>
        <v>-</v>
      </c>
      <c r="J743" s="35" t="str">
        <f aca="false">IF(AND(Einstellungen!$B$8="Ja",Einstellungen!$B$9="Effektiv"),$I743,"-")</f>
        <v>-</v>
      </c>
      <c r="K743" s="31" t="n">
        <f aca="false">IF(OR($F743="",$J743="-"),0,ROUND($F743-$F743/(1+$H743),2))</f>
        <v>0</v>
      </c>
      <c r="L743" s="31" t="n">
        <f aca="false">IF($F743="",0,$F743-$K743)</f>
        <v>0</v>
      </c>
      <c r="M743" s="31" t="n">
        <f aca="false">IF($F743="",0,IF($J743="V",$L743,$F743))</f>
        <v>0</v>
      </c>
      <c r="N743" s="31" t="n">
        <f aca="false">IF($F743="",0,IF($J743="U",$L743,$F743))</f>
        <v>0</v>
      </c>
      <c r="O743" s="35" t="str">
        <f aca="false">IF($A743="","",MONTH($A743))</f>
        <v/>
      </c>
      <c r="P743" s="35" t="str">
        <f aca="false">IF($A743="","",ROUNDUP(MONTH($A743)/3,0))</f>
        <v/>
      </c>
      <c r="Q743" s="35" t="str">
        <f aca="false">IF($A743="","",IF(MONTH($A743)&lt;=6,1,2))</f>
        <v/>
      </c>
      <c r="R743" s="35" t="str">
        <f aca="false">IF($E743="","",IFERROR(INDEX(Kontenplan!$F$5:$F$90,MATCH($E743,Kontenplan!$A$5:$A$90,0)),""))</f>
        <v/>
      </c>
      <c r="S743" s="35" t="str">
        <f aca="false">IF($D743="","",IFERROR(INDEX(Kontenplan!$F$5:$F$90,MATCH($D743,Kontenplan!$A$5:$A$90,0)),""))</f>
        <v/>
      </c>
      <c r="T743" s="35" t="str">
        <f aca="false">IF($D743="","",IFERROR(INDEX(Kontenplan!$C$5:$C$90,MATCH($D743,Kontenplan!$A$5:$A$90,0)),"?"))</f>
        <v/>
      </c>
      <c r="U743" s="35" t="str">
        <f aca="false">IF($E743="","",IFERROR(INDEX(Kontenplan!$C$5:$C$90,MATCH($E743,Kontenplan!$A$5:$A$90,0)),"?"))</f>
        <v/>
      </c>
      <c r="V743" s="35" t="str">
        <f aca="false">IF($F743="","",IF(OR($D743="",$E743="",$T743="?",$U743="?"),"Konto prüfen!",IF($A743="","Datum fehlt",IF(YEAR($A743)&lt;&gt;Einstellungen!$B$7,"anderes Jahr!",IF($G743="","MWST-Code fehlt","OK")))))</f>
        <v/>
      </c>
      <c r="W743" s="35" t="str">
        <f aca="false">IF($F743="","",IF(OR($D743=Kontoauszug!$C$4,$E743=Kontoauszug!$C$4),MAX(W$4:W742)+1,""))</f>
        <v/>
      </c>
    </row>
    <row r="744" customFormat="false" ht="15" hidden="false" customHeight="false" outlineLevel="0" collapsed="false">
      <c r="A744" s="33"/>
      <c r="B744" s="32"/>
      <c r="C744" s="32"/>
      <c r="D744" s="32"/>
      <c r="E744" s="32"/>
      <c r="F744" s="30"/>
      <c r="G744" s="32"/>
      <c r="H744" s="34" t="n">
        <f aca="false">IF($G744="",0,IFERROR(INDEX(Einstellungen!$G$5:$G$11,MATCH($G744,Einstellungen!$E$5:$E$11,0)),0))</f>
        <v>0</v>
      </c>
      <c r="I744" s="35" t="str">
        <f aca="false">IF($G744="","-",IFERROR(INDEX(Einstellungen!$H$5:$H$11,MATCH($G744,Einstellungen!$E$5:$E$11,0)),"-"))</f>
        <v>-</v>
      </c>
      <c r="J744" s="35" t="str">
        <f aca="false">IF(AND(Einstellungen!$B$8="Ja",Einstellungen!$B$9="Effektiv"),$I744,"-")</f>
        <v>-</v>
      </c>
      <c r="K744" s="31" t="n">
        <f aca="false">IF(OR($F744="",$J744="-"),0,ROUND($F744-$F744/(1+$H744),2))</f>
        <v>0</v>
      </c>
      <c r="L744" s="31" t="n">
        <f aca="false">IF($F744="",0,$F744-$K744)</f>
        <v>0</v>
      </c>
      <c r="M744" s="31" t="n">
        <f aca="false">IF($F744="",0,IF($J744="V",$L744,$F744))</f>
        <v>0</v>
      </c>
      <c r="N744" s="31" t="n">
        <f aca="false">IF($F744="",0,IF($J744="U",$L744,$F744))</f>
        <v>0</v>
      </c>
      <c r="O744" s="35" t="str">
        <f aca="false">IF($A744="","",MONTH($A744))</f>
        <v/>
      </c>
      <c r="P744" s="35" t="str">
        <f aca="false">IF($A744="","",ROUNDUP(MONTH($A744)/3,0))</f>
        <v/>
      </c>
      <c r="Q744" s="35" t="str">
        <f aca="false">IF($A744="","",IF(MONTH($A744)&lt;=6,1,2))</f>
        <v/>
      </c>
      <c r="R744" s="35" t="str">
        <f aca="false">IF($E744="","",IFERROR(INDEX(Kontenplan!$F$5:$F$90,MATCH($E744,Kontenplan!$A$5:$A$90,0)),""))</f>
        <v/>
      </c>
      <c r="S744" s="35" t="str">
        <f aca="false">IF($D744="","",IFERROR(INDEX(Kontenplan!$F$5:$F$90,MATCH($D744,Kontenplan!$A$5:$A$90,0)),""))</f>
        <v/>
      </c>
      <c r="T744" s="35" t="str">
        <f aca="false">IF($D744="","",IFERROR(INDEX(Kontenplan!$C$5:$C$90,MATCH($D744,Kontenplan!$A$5:$A$90,0)),"?"))</f>
        <v/>
      </c>
      <c r="U744" s="35" t="str">
        <f aca="false">IF($E744="","",IFERROR(INDEX(Kontenplan!$C$5:$C$90,MATCH($E744,Kontenplan!$A$5:$A$90,0)),"?"))</f>
        <v/>
      </c>
      <c r="V744" s="35" t="str">
        <f aca="false">IF($F744="","",IF(OR($D744="",$E744="",$T744="?",$U744="?"),"Konto prüfen!",IF($A744="","Datum fehlt",IF(YEAR($A744)&lt;&gt;Einstellungen!$B$7,"anderes Jahr!",IF($G744="","MWST-Code fehlt","OK")))))</f>
        <v/>
      </c>
      <c r="W744" s="35" t="str">
        <f aca="false">IF($F744="","",IF(OR($D744=Kontoauszug!$C$4,$E744=Kontoauszug!$C$4),MAX(W$4:W743)+1,""))</f>
        <v/>
      </c>
    </row>
    <row r="745" customFormat="false" ht="15" hidden="false" customHeight="false" outlineLevel="0" collapsed="false">
      <c r="A745" s="33"/>
      <c r="B745" s="32"/>
      <c r="C745" s="32"/>
      <c r="D745" s="32"/>
      <c r="E745" s="32"/>
      <c r="F745" s="30"/>
      <c r="G745" s="32"/>
      <c r="H745" s="34" t="n">
        <f aca="false">IF($G745="",0,IFERROR(INDEX(Einstellungen!$G$5:$G$11,MATCH($G745,Einstellungen!$E$5:$E$11,0)),0))</f>
        <v>0</v>
      </c>
      <c r="I745" s="35" t="str">
        <f aca="false">IF($G745="","-",IFERROR(INDEX(Einstellungen!$H$5:$H$11,MATCH($G745,Einstellungen!$E$5:$E$11,0)),"-"))</f>
        <v>-</v>
      </c>
      <c r="J745" s="35" t="str">
        <f aca="false">IF(AND(Einstellungen!$B$8="Ja",Einstellungen!$B$9="Effektiv"),$I745,"-")</f>
        <v>-</v>
      </c>
      <c r="K745" s="31" t="n">
        <f aca="false">IF(OR($F745="",$J745="-"),0,ROUND($F745-$F745/(1+$H745),2))</f>
        <v>0</v>
      </c>
      <c r="L745" s="31" t="n">
        <f aca="false">IF($F745="",0,$F745-$K745)</f>
        <v>0</v>
      </c>
      <c r="M745" s="31" t="n">
        <f aca="false">IF($F745="",0,IF($J745="V",$L745,$F745))</f>
        <v>0</v>
      </c>
      <c r="N745" s="31" t="n">
        <f aca="false">IF($F745="",0,IF($J745="U",$L745,$F745))</f>
        <v>0</v>
      </c>
      <c r="O745" s="35" t="str">
        <f aca="false">IF($A745="","",MONTH($A745))</f>
        <v/>
      </c>
      <c r="P745" s="35" t="str">
        <f aca="false">IF($A745="","",ROUNDUP(MONTH($A745)/3,0))</f>
        <v/>
      </c>
      <c r="Q745" s="35" t="str">
        <f aca="false">IF($A745="","",IF(MONTH($A745)&lt;=6,1,2))</f>
        <v/>
      </c>
      <c r="R745" s="35" t="str">
        <f aca="false">IF($E745="","",IFERROR(INDEX(Kontenplan!$F$5:$F$90,MATCH($E745,Kontenplan!$A$5:$A$90,0)),""))</f>
        <v/>
      </c>
      <c r="S745" s="35" t="str">
        <f aca="false">IF($D745="","",IFERROR(INDEX(Kontenplan!$F$5:$F$90,MATCH($D745,Kontenplan!$A$5:$A$90,0)),""))</f>
        <v/>
      </c>
      <c r="T745" s="35" t="str">
        <f aca="false">IF($D745="","",IFERROR(INDEX(Kontenplan!$C$5:$C$90,MATCH($D745,Kontenplan!$A$5:$A$90,0)),"?"))</f>
        <v/>
      </c>
      <c r="U745" s="35" t="str">
        <f aca="false">IF($E745="","",IFERROR(INDEX(Kontenplan!$C$5:$C$90,MATCH($E745,Kontenplan!$A$5:$A$90,0)),"?"))</f>
        <v/>
      </c>
      <c r="V745" s="35" t="str">
        <f aca="false">IF($F745="","",IF(OR($D745="",$E745="",$T745="?",$U745="?"),"Konto prüfen!",IF($A745="","Datum fehlt",IF(YEAR($A745)&lt;&gt;Einstellungen!$B$7,"anderes Jahr!",IF($G745="","MWST-Code fehlt","OK")))))</f>
        <v/>
      </c>
      <c r="W745" s="35" t="str">
        <f aca="false">IF($F745="","",IF(OR($D745=Kontoauszug!$C$4,$E745=Kontoauszug!$C$4),MAX(W$4:W744)+1,""))</f>
        <v/>
      </c>
    </row>
    <row r="746" customFormat="false" ht="15" hidden="false" customHeight="false" outlineLevel="0" collapsed="false">
      <c r="A746" s="33"/>
      <c r="B746" s="32"/>
      <c r="C746" s="32"/>
      <c r="D746" s="32"/>
      <c r="E746" s="32"/>
      <c r="F746" s="30"/>
      <c r="G746" s="32"/>
      <c r="H746" s="34" t="n">
        <f aca="false">IF($G746="",0,IFERROR(INDEX(Einstellungen!$G$5:$G$11,MATCH($G746,Einstellungen!$E$5:$E$11,0)),0))</f>
        <v>0</v>
      </c>
      <c r="I746" s="35" t="str">
        <f aca="false">IF($G746="","-",IFERROR(INDEX(Einstellungen!$H$5:$H$11,MATCH($G746,Einstellungen!$E$5:$E$11,0)),"-"))</f>
        <v>-</v>
      </c>
      <c r="J746" s="35" t="str">
        <f aca="false">IF(AND(Einstellungen!$B$8="Ja",Einstellungen!$B$9="Effektiv"),$I746,"-")</f>
        <v>-</v>
      </c>
      <c r="K746" s="31" t="n">
        <f aca="false">IF(OR($F746="",$J746="-"),0,ROUND($F746-$F746/(1+$H746),2))</f>
        <v>0</v>
      </c>
      <c r="L746" s="31" t="n">
        <f aca="false">IF($F746="",0,$F746-$K746)</f>
        <v>0</v>
      </c>
      <c r="M746" s="31" t="n">
        <f aca="false">IF($F746="",0,IF($J746="V",$L746,$F746))</f>
        <v>0</v>
      </c>
      <c r="N746" s="31" t="n">
        <f aca="false">IF($F746="",0,IF($J746="U",$L746,$F746))</f>
        <v>0</v>
      </c>
      <c r="O746" s="35" t="str">
        <f aca="false">IF($A746="","",MONTH($A746))</f>
        <v/>
      </c>
      <c r="P746" s="35" t="str">
        <f aca="false">IF($A746="","",ROUNDUP(MONTH($A746)/3,0))</f>
        <v/>
      </c>
      <c r="Q746" s="35" t="str">
        <f aca="false">IF($A746="","",IF(MONTH($A746)&lt;=6,1,2))</f>
        <v/>
      </c>
      <c r="R746" s="35" t="str">
        <f aca="false">IF($E746="","",IFERROR(INDEX(Kontenplan!$F$5:$F$90,MATCH($E746,Kontenplan!$A$5:$A$90,0)),""))</f>
        <v/>
      </c>
      <c r="S746" s="35" t="str">
        <f aca="false">IF($D746="","",IFERROR(INDEX(Kontenplan!$F$5:$F$90,MATCH($D746,Kontenplan!$A$5:$A$90,0)),""))</f>
        <v/>
      </c>
      <c r="T746" s="35" t="str">
        <f aca="false">IF($D746="","",IFERROR(INDEX(Kontenplan!$C$5:$C$90,MATCH($D746,Kontenplan!$A$5:$A$90,0)),"?"))</f>
        <v/>
      </c>
      <c r="U746" s="35" t="str">
        <f aca="false">IF($E746="","",IFERROR(INDEX(Kontenplan!$C$5:$C$90,MATCH($E746,Kontenplan!$A$5:$A$90,0)),"?"))</f>
        <v/>
      </c>
      <c r="V746" s="35" t="str">
        <f aca="false">IF($F746="","",IF(OR($D746="",$E746="",$T746="?",$U746="?"),"Konto prüfen!",IF($A746="","Datum fehlt",IF(YEAR($A746)&lt;&gt;Einstellungen!$B$7,"anderes Jahr!",IF($G746="","MWST-Code fehlt","OK")))))</f>
        <v/>
      </c>
      <c r="W746" s="35" t="str">
        <f aca="false">IF($F746="","",IF(OR($D746=Kontoauszug!$C$4,$E746=Kontoauszug!$C$4),MAX(W$4:W745)+1,""))</f>
        <v/>
      </c>
    </row>
    <row r="747" customFormat="false" ht="15" hidden="false" customHeight="false" outlineLevel="0" collapsed="false">
      <c r="A747" s="33"/>
      <c r="B747" s="32"/>
      <c r="C747" s="32"/>
      <c r="D747" s="32"/>
      <c r="E747" s="32"/>
      <c r="F747" s="30"/>
      <c r="G747" s="32"/>
      <c r="H747" s="34" t="n">
        <f aca="false">IF($G747="",0,IFERROR(INDEX(Einstellungen!$G$5:$G$11,MATCH($G747,Einstellungen!$E$5:$E$11,0)),0))</f>
        <v>0</v>
      </c>
      <c r="I747" s="35" t="str">
        <f aca="false">IF($G747="","-",IFERROR(INDEX(Einstellungen!$H$5:$H$11,MATCH($G747,Einstellungen!$E$5:$E$11,0)),"-"))</f>
        <v>-</v>
      </c>
      <c r="J747" s="35" t="str">
        <f aca="false">IF(AND(Einstellungen!$B$8="Ja",Einstellungen!$B$9="Effektiv"),$I747,"-")</f>
        <v>-</v>
      </c>
      <c r="K747" s="31" t="n">
        <f aca="false">IF(OR($F747="",$J747="-"),0,ROUND($F747-$F747/(1+$H747),2))</f>
        <v>0</v>
      </c>
      <c r="L747" s="31" t="n">
        <f aca="false">IF($F747="",0,$F747-$K747)</f>
        <v>0</v>
      </c>
      <c r="M747" s="31" t="n">
        <f aca="false">IF($F747="",0,IF($J747="V",$L747,$F747))</f>
        <v>0</v>
      </c>
      <c r="N747" s="31" t="n">
        <f aca="false">IF($F747="",0,IF($J747="U",$L747,$F747))</f>
        <v>0</v>
      </c>
      <c r="O747" s="35" t="str">
        <f aca="false">IF($A747="","",MONTH($A747))</f>
        <v/>
      </c>
      <c r="P747" s="35" t="str">
        <f aca="false">IF($A747="","",ROUNDUP(MONTH($A747)/3,0))</f>
        <v/>
      </c>
      <c r="Q747" s="35" t="str">
        <f aca="false">IF($A747="","",IF(MONTH($A747)&lt;=6,1,2))</f>
        <v/>
      </c>
      <c r="R747" s="35" t="str">
        <f aca="false">IF($E747="","",IFERROR(INDEX(Kontenplan!$F$5:$F$90,MATCH($E747,Kontenplan!$A$5:$A$90,0)),""))</f>
        <v/>
      </c>
      <c r="S747" s="35" t="str">
        <f aca="false">IF($D747="","",IFERROR(INDEX(Kontenplan!$F$5:$F$90,MATCH($D747,Kontenplan!$A$5:$A$90,0)),""))</f>
        <v/>
      </c>
      <c r="T747" s="35" t="str">
        <f aca="false">IF($D747="","",IFERROR(INDEX(Kontenplan!$C$5:$C$90,MATCH($D747,Kontenplan!$A$5:$A$90,0)),"?"))</f>
        <v/>
      </c>
      <c r="U747" s="35" t="str">
        <f aca="false">IF($E747="","",IFERROR(INDEX(Kontenplan!$C$5:$C$90,MATCH($E747,Kontenplan!$A$5:$A$90,0)),"?"))</f>
        <v/>
      </c>
      <c r="V747" s="35" t="str">
        <f aca="false">IF($F747="","",IF(OR($D747="",$E747="",$T747="?",$U747="?"),"Konto prüfen!",IF($A747="","Datum fehlt",IF(YEAR($A747)&lt;&gt;Einstellungen!$B$7,"anderes Jahr!",IF($G747="","MWST-Code fehlt","OK")))))</f>
        <v/>
      </c>
      <c r="W747" s="35" t="str">
        <f aca="false">IF($F747="","",IF(OR($D747=Kontoauszug!$C$4,$E747=Kontoauszug!$C$4),MAX(W$4:W746)+1,""))</f>
        <v/>
      </c>
    </row>
    <row r="748" customFormat="false" ht="15" hidden="false" customHeight="false" outlineLevel="0" collapsed="false">
      <c r="A748" s="33"/>
      <c r="B748" s="32"/>
      <c r="C748" s="32"/>
      <c r="D748" s="32"/>
      <c r="E748" s="32"/>
      <c r="F748" s="30"/>
      <c r="G748" s="32"/>
      <c r="H748" s="34" t="n">
        <f aca="false">IF($G748="",0,IFERROR(INDEX(Einstellungen!$G$5:$G$11,MATCH($G748,Einstellungen!$E$5:$E$11,0)),0))</f>
        <v>0</v>
      </c>
      <c r="I748" s="35" t="str">
        <f aca="false">IF($G748="","-",IFERROR(INDEX(Einstellungen!$H$5:$H$11,MATCH($G748,Einstellungen!$E$5:$E$11,0)),"-"))</f>
        <v>-</v>
      </c>
      <c r="J748" s="35" t="str">
        <f aca="false">IF(AND(Einstellungen!$B$8="Ja",Einstellungen!$B$9="Effektiv"),$I748,"-")</f>
        <v>-</v>
      </c>
      <c r="K748" s="31" t="n">
        <f aca="false">IF(OR($F748="",$J748="-"),0,ROUND($F748-$F748/(1+$H748),2))</f>
        <v>0</v>
      </c>
      <c r="L748" s="31" t="n">
        <f aca="false">IF($F748="",0,$F748-$K748)</f>
        <v>0</v>
      </c>
      <c r="M748" s="31" t="n">
        <f aca="false">IF($F748="",0,IF($J748="V",$L748,$F748))</f>
        <v>0</v>
      </c>
      <c r="N748" s="31" t="n">
        <f aca="false">IF($F748="",0,IF($J748="U",$L748,$F748))</f>
        <v>0</v>
      </c>
      <c r="O748" s="35" t="str">
        <f aca="false">IF($A748="","",MONTH($A748))</f>
        <v/>
      </c>
      <c r="P748" s="35" t="str">
        <f aca="false">IF($A748="","",ROUNDUP(MONTH($A748)/3,0))</f>
        <v/>
      </c>
      <c r="Q748" s="35" t="str">
        <f aca="false">IF($A748="","",IF(MONTH($A748)&lt;=6,1,2))</f>
        <v/>
      </c>
      <c r="R748" s="35" t="str">
        <f aca="false">IF($E748="","",IFERROR(INDEX(Kontenplan!$F$5:$F$90,MATCH($E748,Kontenplan!$A$5:$A$90,0)),""))</f>
        <v/>
      </c>
      <c r="S748" s="35" t="str">
        <f aca="false">IF($D748="","",IFERROR(INDEX(Kontenplan!$F$5:$F$90,MATCH($D748,Kontenplan!$A$5:$A$90,0)),""))</f>
        <v/>
      </c>
      <c r="T748" s="35" t="str">
        <f aca="false">IF($D748="","",IFERROR(INDEX(Kontenplan!$C$5:$C$90,MATCH($D748,Kontenplan!$A$5:$A$90,0)),"?"))</f>
        <v/>
      </c>
      <c r="U748" s="35" t="str">
        <f aca="false">IF($E748="","",IFERROR(INDEX(Kontenplan!$C$5:$C$90,MATCH($E748,Kontenplan!$A$5:$A$90,0)),"?"))</f>
        <v/>
      </c>
      <c r="V748" s="35" t="str">
        <f aca="false">IF($F748="","",IF(OR($D748="",$E748="",$T748="?",$U748="?"),"Konto prüfen!",IF($A748="","Datum fehlt",IF(YEAR($A748)&lt;&gt;Einstellungen!$B$7,"anderes Jahr!",IF($G748="","MWST-Code fehlt","OK")))))</f>
        <v/>
      </c>
      <c r="W748" s="35" t="str">
        <f aca="false">IF($F748="","",IF(OR($D748=Kontoauszug!$C$4,$E748=Kontoauszug!$C$4),MAX(W$4:W747)+1,""))</f>
        <v/>
      </c>
    </row>
    <row r="749" customFormat="false" ht="15" hidden="false" customHeight="false" outlineLevel="0" collapsed="false">
      <c r="A749" s="33"/>
      <c r="B749" s="32"/>
      <c r="C749" s="32"/>
      <c r="D749" s="32"/>
      <c r="E749" s="32"/>
      <c r="F749" s="30"/>
      <c r="G749" s="32"/>
      <c r="H749" s="34" t="n">
        <f aca="false">IF($G749="",0,IFERROR(INDEX(Einstellungen!$G$5:$G$11,MATCH($G749,Einstellungen!$E$5:$E$11,0)),0))</f>
        <v>0</v>
      </c>
      <c r="I749" s="35" t="str">
        <f aca="false">IF($G749="","-",IFERROR(INDEX(Einstellungen!$H$5:$H$11,MATCH($G749,Einstellungen!$E$5:$E$11,0)),"-"))</f>
        <v>-</v>
      </c>
      <c r="J749" s="35" t="str">
        <f aca="false">IF(AND(Einstellungen!$B$8="Ja",Einstellungen!$B$9="Effektiv"),$I749,"-")</f>
        <v>-</v>
      </c>
      <c r="K749" s="31" t="n">
        <f aca="false">IF(OR($F749="",$J749="-"),0,ROUND($F749-$F749/(1+$H749),2))</f>
        <v>0</v>
      </c>
      <c r="L749" s="31" t="n">
        <f aca="false">IF($F749="",0,$F749-$K749)</f>
        <v>0</v>
      </c>
      <c r="M749" s="31" t="n">
        <f aca="false">IF($F749="",0,IF($J749="V",$L749,$F749))</f>
        <v>0</v>
      </c>
      <c r="N749" s="31" t="n">
        <f aca="false">IF($F749="",0,IF($J749="U",$L749,$F749))</f>
        <v>0</v>
      </c>
      <c r="O749" s="35" t="str">
        <f aca="false">IF($A749="","",MONTH($A749))</f>
        <v/>
      </c>
      <c r="P749" s="35" t="str">
        <f aca="false">IF($A749="","",ROUNDUP(MONTH($A749)/3,0))</f>
        <v/>
      </c>
      <c r="Q749" s="35" t="str">
        <f aca="false">IF($A749="","",IF(MONTH($A749)&lt;=6,1,2))</f>
        <v/>
      </c>
      <c r="R749" s="35" t="str">
        <f aca="false">IF($E749="","",IFERROR(INDEX(Kontenplan!$F$5:$F$90,MATCH($E749,Kontenplan!$A$5:$A$90,0)),""))</f>
        <v/>
      </c>
      <c r="S749" s="35" t="str">
        <f aca="false">IF($D749="","",IFERROR(INDEX(Kontenplan!$F$5:$F$90,MATCH($D749,Kontenplan!$A$5:$A$90,0)),""))</f>
        <v/>
      </c>
      <c r="T749" s="35" t="str">
        <f aca="false">IF($D749="","",IFERROR(INDEX(Kontenplan!$C$5:$C$90,MATCH($D749,Kontenplan!$A$5:$A$90,0)),"?"))</f>
        <v/>
      </c>
      <c r="U749" s="35" t="str">
        <f aca="false">IF($E749="","",IFERROR(INDEX(Kontenplan!$C$5:$C$90,MATCH($E749,Kontenplan!$A$5:$A$90,0)),"?"))</f>
        <v/>
      </c>
      <c r="V749" s="35" t="str">
        <f aca="false">IF($F749="","",IF(OR($D749="",$E749="",$T749="?",$U749="?"),"Konto prüfen!",IF($A749="","Datum fehlt",IF(YEAR($A749)&lt;&gt;Einstellungen!$B$7,"anderes Jahr!",IF($G749="","MWST-Code fehlt","OK")))))</f>
        <v/>
      </c>
      <c r="W749" s="35" t="str">
        <f aca="false">IF($F749="","",IF(OR($D749=Kontoauszug!$C$4,$E749=Kontoauszug!$C$4),MAX(W$4:W748)+1,""))</f>
        <v/>
      </c>
    </row>
    <row r="750" customFormat="false" ht="15" hidden="false" customHeight="false" outlineLevel="0" collapsed="false">
      <c r="A750" s="33"/>
      <c r="B750" s="32"/>
      <c r="C750" s="32"/>
      <c r="D750" s="32"/>
      <c r="E750" s="32"/>
      <c r="F750" s="30"/>
      <c r="G750" s="32"/>
      <c r="H750" s="34" t="n">
        <f aca="false">IF($G750="",0,IFERROR(INDEX(Einstellungen!$G$5:$G$11,MATCH($G750,Einstellungen!$E$5:$E$11,0)),0))</f>
        <v>0</v>
      </c>
      <c r="I750" s="35" t="str">
        <f aca="false">IF($G750="","-",IFERROR(INDEX(Einstellungen!$H$5:$H$11,MATCH($G750,Einstellungen!$E$5:$E$11,0)),"-"))</f>
        <v>-</v>
      </c>
      <c r="J750" s="35" t="str">
        <f aca="false">IF(AND(Einstellungen!$B$8="Ja",Einstellungen!$B$9="Effektiv"),$I750,"-")</f>
        <v>-</v>
      </c>
      <c r="K750" s="31" t="n">
        <f aca="false">IF(OR($F750="",$J750="-"),0,ROUND($F750-$F750/(1+$H750),2))</f>
        <v>0</v>
      </c>
      <c r="L750" s="31" t="n">
        <f aca="false">IF($F750="",0,$F750-$K750)</f>
        <v>0</v>
      </c>
      <c r="M750" s="31" t="n">
        <f aca="false">IF($F750="",0,IF($J750="V",$L750,$F750))</f>
        <v>0</v>
      </c>
      <c r="N750" s="31" t="n">
        <f aca="false">IF($F750="",0,IF($J750="U",$L750,$F750))</f>
        <v>0</v>
      </c>
      <c r="O750" s="35" t="str">
        <f aca="false">IF($A750="","",MONTH($A750))</f>
        <v/>
      </c>
      <c r="P750" s="35" t="str">
        <f aca="false">IF($A750="","",ROUNDUP(MONTH($A750)/3,0))</f>
        <v/>
      </c>
      <c r="Q750" s="35" t="str">
        <f aca="false">IF($A750="","",IF(MONTH($A750)&lt;=6,1,2))</f>
        <v/>
      </c>
      <c r="R750" s="35" t="str">
        <f aca="false">IF($E750="","",IFERROR(INDEX(Kontenplan!$F$5:$F$90,MATCH($E750,Kontenplan!$A$5:$A$90,0)),""))</f>
        <v/>
      </c>
      <c r="S750" s="35" t="str">
        <f aca="false">IF($D750="","",IFERROR(INDEX(Kontenplan!$F$5:$F$90,MATCH($D750,Kontenplan!$A$5:$A$90,0)),""))</f>
        <v/>
      </c>
      <c r="T750" s="35" t="str">
        <f aca="false">IF($D750="","",IFERROR(INDEX(Kontenplan!$C$5:$C$90,MATCH($D750,Kontenplan!$A$5:$A$90,0)),"?"))</f>
        <v/>
      </c>
      <c r="U750" s="35" t="str">
        <f aca="false">IF($E750="","",IFERROR(INDEX(Kontenplan!$C$5:$C$90,MATCH($E750,Kontenplan!$A$5:$A$90,0)),"?"))</f>
        <v/>
      </c>
      <c r="V750" s="35" t="str">
        <f aca="false">IF($F750="","",IF(OR($D750="",$E750="",$T750="?",$U750="?"),"Konto prüfen!",IF($A750="","Datum fehlt",IF(YEAR($A750)&lt;&gt;Einstellungen!$B$7,"anderes Jahr!",IF($G750="","MWST-Code fehlt","OK")))))</f>
        <v/>
      </c>
      <c r="W750" s="35" t="str">
        <f aca="false">IF($F750="","",IF(OR($D750=Kontoauszug!$C$4,$E750=Kontoauszug!$C$4),MAX(W$4:W749)+1,""))</f>
        <v/>
      </c>
    </row>
    <row r="751" customFormat="false" ht="15" hidden="false" customHeight="false" outlineLevel="0" collapsed="false">
      <c r="A751" s="33"/>
      <c r="B751" s="32"/>
      <c r="C751" s="32"/>
      <c r="D751" s="32"/>
      <c r="E751" s="32"/>
      <c r="F751" s="30"/>
      <c r="G751" s="32"/>
      <c r="H751" s="34" t="n">
        <f aca="false">IF($G751="",0,IFERROR(INDEX(Einstellungen!$G$5:$G$11,MATCH($G751,Einstellungen!$E$5:$E$11,0)),0))</f>
        <v>0</v>
      </c>
      <c r="I751" s="35" t="str">
        <f aca="false">IF($G751="","-",IFERROR(INDEX(Einstellungen!$H$5:$H$11,MATCH($G751,Einstellungen!$E$5:$E$11,0)),"-"))</f>
        <v>-</v>
      </c>
      <c r="J751" s="35" t="str">
        <f aca="false">IF(AND(Einstellungen!$B$8="Ja",Einstellungen!$B$9="Effektiv"),$I751,"-")</f>
        <v>-</v>
      </c>
      <c r="K751" s="31" t="n">
        <f aca="false">IF(OR($F751="",$J751="-"),0,ROUND($F751-$F751/(1+$H751),2))</f>
        <v>0</v>
      </c>
      <c r="L751" s="31" t="n">
        <f aca="false">IF($F751="",0,$F751-$K751)</f>
        <v>0</v>
      </c>
      <c r="M751" s="31" t="n">
        <f aca="false">IF($F751="",0,IF($J751="V",$L751,$F751))</f>
        <v>0</v>
      </c>
      <c r="N751" s="31" t="n">
        <f aca="false">IF($F751="",0,IF($J751="U",$L751,$F751))</f>
        <v>0</v>
      </c>
      <c r="O751" s="35" t="str">
        <f aca="false">IF($A751="","",MONTH($A751))</f>
        <v/>
      </c>
      <c r="P751" s="35" t="str">
        <f aca="false">IF($A751="","",ROUNDUP(MONTH($A751)/3,0))</f>
        <v/>
      </c>
      <c r="Q751" s="35" t="str">
        <f aca="false">IF($A751="","",IF(MONTH($A751)&lt;=6,1,2))</f>
        <v/>
      </c>
      <c r="R751" s="35" t="str">
        <f aca="false">IF($E751="","",IFERROR(INDEX(Kontenplan!$F$5:$F$90,MATCH($E751,Kontenplan!$A$5:$A$90,0)),""))</f>
        <v/>
      </c>
      <c r="S751" s="35" t="str">
        <f aca="false">IF($D751="","",IFERROR(INDEX(Kontenplan!$F$5:$F$90,MATCH($D751,Kontenplan!$A$5:$A$90,0)),""))</f>
        <v/>
      </c>
      <c r="T751" s="35" t="str">
        <f aca="false">IF($D751="","",IFERROR(INDEX(Kontenplan!$C$5:$C$90,MATCH($D751,Kontenplan!$A$5:$A$90,0)),"?"))</f>
        <v/>
      </c>
      <c r="U751" s="35" t="str">
        <f aca="false">IF($E751="","",IFERROR(INDEX(Kontenplan!$C$5:$C$90,MATCH($E751,Kontenplan!$A$5:$A$90,0)),"?"))</f>
        <v/>
      </c>
      <c r="V751" s="35" t="str">
        <f aca="false">IF($F751="","",IF(OR($D751="",$E751="",$T751="?",$U751="?"),"Konto prüfen!",IF($A751="","Datum fehlt",IF(YEAR($A751)&lt;&gt;Einstellungen!$B$7,"anderes Jahr!",IF($G751="","MWST-Code fehlt","OK")))))</f>
        <v/>
      </c>
      <c r="W751" s="35" t="str">
        <f aca="false">IF($F751="","",IF(OR($D751=Kontoauszug!$C$4,$E751=Kontoauszug!$C$4),MAX(W$4:W750)+1,""))</f>
        <v/>
      </c>
    </row>
    <row r="752" customFormat="false" ht="15" hidden="false" customHeight="false" outlineLevel="0" collapsed="false">
      <c r="A752" s="33"/>
      <c r="B752" s="32"/>
      <c r="C752" s="32"/>
      <c r="D752" s="32"/>
      <c r="E752" s="32"/>
      <c r="F752" s="30"/>
      <c r="G752" s="32"/>
      <c r="H752" s="34" t="n">
        <f aca="false">IF($G752="",0,IFERROR(INDEX(Einstellungen!$G$5:$G$11,MATCH($G752,Einstellungen!$E$5:$E$11,0)),0))</f>
        <v>0</v>
      </c>
      <c r="I752" s="35" t="str">
        <f aca="false">IF($G752="","-",IFERROR(INDEX(Einstellungen!$H$5:$H$11,MATCH($G752,Einstellungen!$E$5:$E$11,0)),"-"))</f>
        <v>-</v>
      </c>
      <c r="J752" s="35" t="str">
        <f aca="false">IF(AND(Einstellungen!$B$8="Ja",Einstellungen!$B$9="Effektiv"),$I752,"-")</f>
        <v>-</v>
      </c>
      <c r="K752" s="31" t="n">
        <f aca="false">IF(OR($F752="",$J752="-"),0,ROUND($F752-$F752/(1+$H752),2))</f>
        <v>0</v>
      </c>
      <c r="L752" s="31" t="n">
        <f aca="false">IF($F752="",0,$F752-$K752)</f>
        <v>0</v>
      </c>
      <c r="M752" s="31" t="n">
        <f aca="false">IF($F752="",0,IF($J752="V",$L752,$F752))</f>
        <v>0</v>
      </c>
      <c r="N752" s="31" t="n">
        <f aca="false">IF($F752="",0,IF($J752="U",$L752,$F752))</f>
        <v>0</v>
      </c>
      <c r="O752" s="35" t="str">
        <f aca="false">IF($A752="","",MONTH($A752))</f>
        <v/>
      </c>
      <c r="P752" s="35" t="str">
        <f aca="false">IF($A752="","",ROUNDUP(MONTH($A752)/3,0))</f>
        <v/>
      </c>
      <c r="Q752" s="35" t="str">
        <f aca="false">IF($A752="","",IF(MONTH($A752)&lt;=6,1,2))</f>
        <v/>
      </c>
      <c r="R752" s="35" t="str">
        <f aca="false">IF($E752="","",IFERROR(INDEX(Kontenplan!$F$5:$F$90,MATCH($E752,Kontenplan!$A$5:$A$90,0)),""))</f>
        <v/>
      </c>
      <c r="S752" s="35" t="str">
        <f aca="false">IF($D752="","",IFERROR(INDEX(Kontenplan!$F$5:$F$90,MATCH($D752,Kontenplan!$A$5:$A$90,0)),""))</f>
        <v/>
      </c>
      <c r="T752" s="35" t="str">
        <f aca="false">IF($D752="","",IFERROR(INDEX(Kontenplan!$C$5:$C$90,MATCH($D752,Kontenplan!$A$5:$A$90,0)),"?"))</f>
        <v/>
      </c>
      <c r="U752" s="35" t="str">
        <f aca="false">IF($E752="","",IFERROR(INDEX(Kontenplan!$C$5:$C$90,MATCH($E752,Kontenplan!$A$5:$A$90,0)),"?"))</f>
        <v/>
      </c>
      <c r="V752" s="35" t="str">
        <f aca="false">IF($F752="","",IF(OR($D752="",$E752="",$T752="?",$U752="?"),"Konto prüfen!",IF($A752="","Datum fehlt",IF(YEAR($A752)&lt;&gt;Einstellungen!$B$7,"anderes Jahr!",IF($G752="","MWST-Code fehlt","OK")))))</f>
        <v/>
      </c>
      <c r="W752" s="35" t="str">
        <f aca="false">IF($F752="","",IF(OR($D752=Kontoauszug!$C$4,$E752=Kontoauszug!$C$4),MAX(W$4:W751)+1,""))</f>
        <v/>
      </c>
    </row>
    <row r="753" customFormat="false" ht="15" hidden="false" customHeight="false" outlineLevel="0" collapsed="false">
      <c r="A753" s="33"/>
      <c r="B753" s="32"/>
      <c r="C753" s="32"/>
      <c r="D753" s="32"/>
      <c r="E753" s="32"/>
      <c r="F753" s="30"/>
      <c r="G753" s="32"/>
      <c r="H753" s="34" t="n">
        <f aca="false">IF($G753="",0,IFERROR(INDEX(Einstellungen!$G$5:$G$11,MATCH($G753,Einstellungen!$E$5:$E$11,0)),0))</f>
        <v>0</v>
      </c>
      <c r="I753" s="35" t="str">
        <f aca="false">IF($G753="","-",IFERROR(INDEX(Einstellungen!$H$5:$H$11,MATCH($G753,Einstellungen!$E$5:$E$11,0)),"-"))</f>
        <v>-</v>
      </c>
      <c r="J753" s="35" t="str">
        <f aca="false">IF(AND(Einstellungen!$B$8="Ja",Einstellungen!$B$9="Effektiv"),$I753,"-")</f>
        <v>-</v>
      </c>
      <c r="K753" s="31" t="n">
        <f aca="false">IF(OR($F753="",$J753="-"),0,ROUND($F753-$F753/(1+$H753),2))</f>
        <v>0</v>
      </c>
      <c r="L753" s="31" t="n">
        <f aca="false">IF($F753="",0,$F753-$K753)</f>
        <v>0</v>
      </c>
      <c r="M753" s="31" t="n">
        <f aca="false">IF($F753="",0,IF($J753="V",$L753,$F753))</f>
        <v>0</v>
      </c>
      <c r="N753" s="31" t="n">
        <f aca="false">IF($F753="",0,IF($J753="U",$L753,$F753))</f>
        <v>0</v>
      </c>
      <c r="O753" s="35" t="str">
        <f aca="false">IF($A753="","",MONTH($A753))</f>
        <v/>
      </c>
      <c r="P753" s="35" t="str">
        <f aca="false">IF($A753="","",ROUNDUP(MONTH($A753)/3,0))</f>
        <v/>
      </c>
      <c r="Q753" s="35" t="str">
        <f aca="false">IF($A753="","",IF(MONTH($A753)&lt;=6,1,2))</f>
        <v/>
      </c>
      <c r="R753" s="35" t="str">
        <f aca="false">IF($E753="","",IFERROR(INDEX(Kontenplan!$F$5:$F$90,MATCH($E753,Kontenplan!$A$5:$A$90,0)),""))</f>
        <v/>
      </c>
      <c r="S753" s="35" t="str">
        <f aca="false">IF($D753="","",IFERROR(INDEX(Kontenplan!$F$5:$F$90,MATCH($D753,Kontenplan!$A$5:$A$90,0)),""))</f>
        <v/>
      </c>
      <c r="T753" s="35" t="str">
        <f aca="false">IF($D753="","",IFERROR(INDEX(Kontenplan!$C$5:$C$90,MATCH($D753,Kontenplan!$A$5:$A$90,0)),"?"))</f>
        <v/>
      </c>
      <c r="U753" s="35" t="str">
        <f aca="false">IF($E753="","",IFERROR(INDEX(Kontenplan!$C$5:$C$90,MATCH($E753,Kontenplan!$A$5:$A$90,0)),"?"))</f>
        <v/>
      </c>
      <c r="V753" s="35" t="str">
        <f aca="false">IF($F753="","",IF(OR($D753="",$E753="",$T753="?",$U753="?"),"Konto prüfen!",IF($A753="","Datum fehlt",IF(YEAR($A753)&lt;&gt;Einstellungen!$B$7,"anderes Jahr!",IF($G753="","MWST-Code fehlt","OK")))))</f>
        <v/>
      </c>
      <c r="W753" s="35" t="str">
        <f aca="false">IF($F753="","",IF(OR($D753=Kontoauszug!$C$4,$E753=Kontoauszug!$C$4),MAX(W$4:W752)+1,""))</f>
        <v/>
      </c>
    </row>
    <row r="754" customFormat="false" ht="15" hidden="false" customHeight="false" outlineLevel="0" collapsed="false">
      <c r="A754" s="33"/>
      <c r="B754" s="32"/>
      <c r="C754" s="32"/>
      <c r="D754" s="32"/>
      <c r="E754" s="32"/>
      <c r="F754" s="30"/>
      <c r="G754" s="32"/>
      <c r="H754" s="34" t="n">
        <f aca="false">IF($G754="",0,IFERROR(INDEX(Einstellungen!$G$5:$G$11,MATCH($G754,Einstellungen!$E$5:$E$11,0)),0))</f>
        <v>0</v>
      </c>
      <c r="I754" s="35" t="str">
        <f aca="false">IF($G754="","-",IFERROR(INDEX(Einstellungen!$H$5:$H$11,MATCH($G754,Einstellungen!$E$5:$E$11,0)),"-"))</f>
        <v>-</v>
      </c>
      <c r="J754" s="35" t="str">
        <f aca="false">IF(AND(Einstellungen!$B$8="Ja",Einstellungen!$B$9="Effektiv"),$I754,"-")</f>
        <v>-</v>
      </c>
      <c r="K754" s="31" t="n">
        <f aca="false">IF(OR($F754="",$J754="-"),0,ROUND($F754-$F754/(1+$H754),2))</f>
        <v>0</v>
      </c>
      <c r="L754" s="31" t="n">
        <f aca="false">IF($F754="",0,$F754-$K754)</f>
        <v>0</v>
      </c>
      <c r="M754" s="31" t="n">
        <f aca="false">IF($F754="",0,IF($J754="V",$L754,$F754))</f>
        <v>0</v>
      </c>
      <c r="N754" s="31" t="n">
        <f aca="false">IF($F754="",0,IF($J754="U",$L754,$F754))</f>
        <v>0</v>
      </c>
      <c r="O754" s="35" t="str">
        <f aca="false">IF($A754="","",MONTH($A754))</f>
        <v/>
      </c>
      <c r="P754" s="35" t="str">
        <f aca="false">IF($A754="","",ROUNDUP(MONTH($A754)/3,0))</f>
        <v/>
      </c>
      <c r="Q754" s="35" t="str">
        <f aca="false">IF($A754="","",IF(MONTH($A754)&lt;=6,1,2))</f>
        <v/>
      </c>
      <c r="R754" s="35" t="str">
        <f aca="false">IF($E754="","",IFERROR(INDEX(Kontenplan!$F$5:$F$90,MATCH($E754,Kontenplan!$A$5:$A$90,0)),""))</f>
        <v/>
      </c>
      <c r="S754" s="35" t="str">
        <f aca="false">IF($D754="","",IFERROR(INDEX(Kontenplan!$F$5:$F$90,MATCH($D754,Kontenplan!$A$5:$A$90,0)),""))</f>
        <v/>
      </c>
      <c r="T754" s="35" t="str">
        <f aca="false">IF($D754="","",IFERROR(INDEX(Kontenplan!$C$5:$C$90,MATCH($D754,Kontenplan!$A$5:$A$90,0)),"?"))</f>
        <v/>
      </c>
      <c r="U754" s="35" t="str">
        <f aca="false">IF($E754="","",IFERROR(INDEX(Kontenplan!$C$5:$C$90,MATCH($E754,Kontenplan!$A$5:$A$90,0)),"?"))</f>
        <v/>
      </c>
      <c r="V754" s="35" t="str">
        <f aca="false">IF($F754="","",IF(OR($D754="",$E754="",$T754="?",$U754="?"),"Konto prüfen!",IF($A754="","Datum fehlt",IF(YEAR($A754)&lt;&gt;Einstellungen!$B$7,"anderes Jahr!",IF($G754="","MWST-Code fehlt","OK")))))</f>
        <v/>
      </c>
      <c r="W754" s="35" t="str">
        <f aca="false">IF($F754="","",IF(OR($D754=Kontoauszug!$C$4,$E754=Kontoauszug!$C$4),MAX(W$4:W753)+1,""))</f>
        <v/>
      </c>
    </row>
    <row r="755" customFormat="false" ht="15" hidden="false" customHeight="false" outlineLevel="0" collapsed="false">
      <c r="A755" s="33"/>
      <c r="B755" s="32"/>
      <c r="C755" s="32"/>
      <c r="D755" s="32"/>
      <c r="E755" s="32"/>
      <c r="F755" s="30"/>
      <c r="G755" s="32"/>
      <c r="H755" s="34" t="n">
        <f aca="false">IF($G755="",0,IFERROR(INDEX(Einstellungen!$G$5:$G$11,MATCH($G755,Einstellungen!$E$5:$E$11,0)),0))</f>
        <v>0</v>
      </c>
      <c r="I755" s="35" t="str">
        <f aca="false">IF($G755="","-",IFERROR(INDEX(Einstellungen!$H$5:$H$11,MATCH($G755,Einstellungen!$E$5:$E$11,0)),"-"))</f>
        <v>-</v>
      </c>
      <c r="J755" s="35" t="str">
        <f aca="false">IF(AND(Einstellungen!$B$8="Ja",Einstellungen!$B$9="Effektiv"),$I755,"-")</f>
        <v>-</v>
      </c>
      <c r="K755" s="31" t="n">
        <f aca="false">IF(OR($F755="",$J755="-"),0,ROUND($F755-$F755/(1+$H755),2))</f>
        <v>0</v>
      </c>
      <c r="L755" s="31" t="n">
        <f aca="false">IF($F755="",0,$F755-$K755)</f>
        <v>0</v>
      </c>
      <c r="M755" s="31" t="n">
        <f aca="false">IF($F755="",0,IF($J755="V",$L755,$F755))</f>
        <v>0</v>
      </c>
      <c r="N755" s="31" t="n">
        <f aca="false">IF($F755="",0,IF($J755="U",$L755,$F755))</f>
        <v>0</v>
      </c>
      <c r="O755" s="35" t="str">
        <f aca="false">IF($A755="","",MONTH($A755))</f>
        <v/>
      </c>
      <c r="P755" s="35" t="str">
        <f aca="false">IF($A755="","",ROUNDUP(MONTH($A755)/3,0))</f>
        <v/>
      </c>
      <c r="Q755" s="35" t="str">
        <f aca="false">IF($A755="","",IF(MONTH($A755)&lt;=6,1,2))</f>
        <v/>
      </c>
      <c r="R755" s="35" t="str">
        <f aca="false">IF($E755="","",IFERROR(INDEX(Kontenplan!$F$5:$F$90,MATCH($E755,Kontenplan!$A$5:$A$90,0)),""))</f>
        <v/>
      </c>
      <c r="S755" s="35" t="str">
        <f aca="false">IF($D755="","",IFERROR(INDEX(Kontenplan!$F$5:$F$90,MATCH($D755,Kontenplan!$A$5:$A$90,0)),""))</f>
        <v/>
      </c>
      <c r="T755" s="35" t="str">
        <f aca="false">IF($D755="","",IFERROR(INDEX(Kontenplan!$C$5:$C$90,MATCH($D755,Kontenplan!$A$5:$A$90,0)),"?"))</f>
        <v/>
      </c>
      <c r="U755" s="35" t="str">
        <f aca="false">IF($E755="","",IFERROR(INDEX(Kontenplan!$C$5:$C$90,MATCH($E755,Kontenplan!$A$5:$A$90,0)),"?"))</f>
        <v/>
      </c>
      <c r="V755" s="35" t="str">
        <f aca="false">IF($F755="","",IF(OR($D755="",$E755="",$T755="?",$U755="?"),"Konto prüfen!",IF($A755="","Datum fehlt",IF(YEAR($A755)&lt;&gt;Einstellungen!$B$7,"anderes Jahr!",IF($G755="","MWST-Code fehlt","OK")))))</f>
        <v/>
      </c>
      <c r="W755" s="35" t="str">
        <f aca="false">IF($F755="","",IF(OR($D755=Kontoauszug!$C$4,$E755=Kontoauszug!$C$4),MAX(W$4:W754)+1,""))</f>
        <v/>
      </c>
    </row>
    <row r="756" customFormat="false" ht="15" hidden="false" customHeight="false" outlineLevel="0" collapsed="false">
      <c r="A756" s="33"/>
      <c r="B756" s="32"/>
      <c r="C756" s="32"/>
      <c r="D756" s="32"/>
      <c r="E756" s="32"/>
      <c r="F756" s="30"/>
      <c r="G756" s="32"/>
      <c r="H756" s="34" t="n">
        <f aca="false">IF($G756="",0,IFERROR(INDEX(Einstellungen!$G$5:$G$11,MATCH($G756,Einstellungen!$E$5:$E$11,0)),0))</f>
        <v>0</v>
      </c>
      <c r="I756" s="35" t="str">
        <f aca="false">IF($G756="","-",IFERROR(INDEX(Einstellungen!$H$5:$H$11,MATCH($G756,Einstellungen!$E$5:$E$11,0)),"-"))</f>
        <v>-</v>
      </c>
      <c r="J756" s="35" t="str">
        <f aca="false">IF(AND(Einstellungen!$B$8="Ja",Einstellungen!$B$9="Effektiv"),$I756,"-")</f>
        <v>-</v>
      </c>
      <c r="K756" s="31" t="n">
        <f aca="false">IF(OR($F756="",$J756="-"),0,ROUND($F756-$F756/(1+$H756),2))</f>
        <v>0</v>
      </c>
      <c r="L756" s="31" t="n">
        <f aca="false">IF($F756="",0,$F756-$K756)</f>
        <v>0</v>
      </c>
      <c r="M756" s="31" t="n">
        <f aca="false">IF($F756="",0,IF($J756="V",$L756,$F756))</f>
        <v>0</v>
      </c>
      <c r="N756" s="31" t="n">
        <f aca="false">IF($F756="",0,IF($J756="U",$L756,$F756))</f>
        <v>0</v>
      </c>
      <c r="O756" s="35" t="str">
        <f aca="false">IF($A756="","",MONTH($A756))</f>
        <v/>
      </c>
      <c r="P756" s="35" t="str">
        <f aca="false">IF($A756="","",ROUNDUP(MONTH($A756)/3,0))</f>
        <v/>
      </c>
      <c r="Q756" s="35" t="str">
        <f aca="false">IF($A756="","",IF(MONTH($A756)&lt;=6,1,2))</f>
        <v/>
      </c>
      <c r="R756" s="35" t="str">
        <f aca="false">IF($E756="","",IFERROR(INDEX(Kontenplan!$F$5:$F$90,MATCH($E756,Kontenplan!$A$5:$A$90,0)),""))</f>
        <v/>
      </c>
      <c r="S756" s="35" t="str">
        <f aca="false">IF($D756="","",IFERROR(INDEX(Kontenplan!$F$5:$F$90,MATCH($D756,Kontenplan!$A$5:$A$90,0)),""))</f>
        <v/>
      </c>
      <c r="T756" s="35" t="str">
        <f aca="false">IF($D756="","",IFERROR(INDEX(Kontenplan!$C$5:$C$90,MATCH($D756,Kontenplan!$A$5:$A$90,0)),"?"))</f>
        <v/>
      </c>
      <c r="U756" s="35" t="str">
        <f aca="false">IF($E756="","",IFERROR(INDEX(Kontenplan!$C$5:$C$90,MATCH($E756,Kontenplan!$A$5:$A$90,0)),"?"))</f>
        <v/>
      </c>
      <c r="V756" s="35" t="str">
        <f aca="false">IF($F756="","",IF(OR($D756="",$E756="",$T756="?",$U756="?"),"Konto prüfen!",IF($A756="","Datum fehlt",IF(YEAR($A756)&lt;&gt;Einstellungen!$B$7,"anderes Jahr!",IF($G756="","MWST-Code fehlt","OK")))))</f>
        <v/>
      </c>
      <c r="W756" s="35" t="str">
        <f aca="false">IF($F756="","",IF(OR($D756=Kontoauszug!$C$4,$E756=Kontoauszug!$C$4),MAX(W$4:W755)+1,""))</f>
        <v/>
      </c>
    </row>
    <row r="757" customFormat="false" ht="15" hidden="false" customHeight="false" outlineLevel="0" collapsed="false">
      <c r="A757" s="33"/>
      <c r="B757" s="32"/>
      <c r="C757" s="32"/>
      <c r="D757" s="32"/>
      <c r="E757" s="32"/>
      <c r="F757" s="30"/>
      <c r="G757" s="32"/>
      <c r="H757" s="34" t="n">
        <f aca="false">IF($G757="",0,IFERROR(INDEX(Einstellungen!$G$5:$G$11,MATCH($G757,Einstellungen!$E$5:$E$11,0)),0))</f>
        <v>0</v>
      </c>
      <c r="I757" s="35" t="str">
        <f aca="false">IF($G757="","-",IFERROR(INDEX(Einstellungen!$H$5:$H$11,MATCH($G757,Einstellungen!$E$5:$E$11,0)),"-"))</f>
        <v>-</v>
      </c>
      <c r="J757" s="35" t="str">
        <f aca="false">IF(AND(Einstellungen!$B$8="Ja",Einstellungen!$B$9="Effektiv"),$I757,"-")</f>
        <v>-</v>
      </c>
      <c r="K757" s="31" t="n">
        <f aca="false">IF(OR($F757="",$J757="-"),0,ROUND($F757-$F757/(1+$H757),2))</f>
        <v>0</v>
      </c>
      <c r="L757" s="31" t="n">
        <f aca="false">IF($F757="",0,$F757-$K757)</f>
        <v>0</v>
      </c>
      <c r="M757" s="31" t="n">
        <f aca="false">IF($F757="",0,IF($J757="V",$L757,$F757))</f>
        <v>0</v>
      </c>
      <c r="N757" s="31" t="n">
        <f aca="false">IF($F757="",0,IF($J757="U",$L757,$F757))</f>
        <v>0</v>
      </c>
      <c r="O757" s="35" t="str">
        <f aca="false">IF($A757="","",MONTH($A757))</f>
        <v/>
      </c>
      <c r="P757" s="35" t="str">
        <f aca="false">IF($A757="","",ROUNDUP(MONTH($A757)/3,0))</f>
        <v/>
      </c>
      <c r="Q757" s="35" t="str">
        <f aca="false">IF($A757="","",IF(MONTH($A757)&lt;=6,1,2))</f>
        <v/>
      </c>
      <c r="R757" s="35" t="str">
        <f aca="false">IF($E757="","",IFERROR(INDEX(Kontenplan!$F$5:$F$90,MATCH($E757,Kontenplan!$A$5:$A$90,0)),""))</f>
        <v/>
      </c>
      <c r="S757" s="35" t="str">
        <f aca="false">IF($D757="","",IFERROR(INDEX(Kontenplan!$F$5:$F$90,MATCH($D757,Kontenplan!$A$5:$A$90,0)),""))</f>
        <v/>
      </c>
      <c r="T757" s="35" t="str">
        <f aca="false">IF($D757="","",IFERROR(INDEX(Kontenplan!$C$5:$C$90,MATCH($D757,Kontenplan!$A$5:$A$90,0)),"?"))</f>
        <v/>
      </c>
      <c r="U757" s="35" t="str">
        <f aca="false">IF($E757="","",IFERROR(INDEX(Kontenplan!$C$5:$C$90,MATCH($E757,Kontenplan!$A$5:$A$90,0)),"?"))</f>
        <v/>
      </c>
      <c r="V757" s="35" t="str">
        <f aca="false">IF($F757="","",IF(OR($D757="",$E757="",$T757="?",$U757="?"),"Konto prüfen!",IF($A757="","Datum fehlt",IF(YEAR($A757)&lt;&gt;Einstellungen!$B$7,"anderes Jahr!",IF($G757="","MWST-Code fehlt","OK")))))</f>
        <v/>
      </c>
      <c r="W757" s="35" t="str">
        <f aca="false">IF($F757="","",IF(OR($D757=Kontoauszug!$C$4,$E757=Kontoauszug!$C$4),MAX(W$4:W756)+1,""))</f>
        <v/>
      </c>
    </row>
    <row r="758" customFormat="false" ht="15" hidden="false" customHeight="false" outlineLevel="0" collapsed="false">
      <c r="A758" s="33"/>
      <c r="B758" s="32"/>
      <c r="C758" s="32"/>
      <c r="D758" s="32"/>
      <c r="E758" s="32"/>
      <c r="F758" s="30"/>
      <c r="G758" s="32"/>
      <c r="H758" s="34" t="n">
        <f aca="false">IF($G758="",0,IFERROR(INDEX(Einstellungen!$G$5:$G$11,MATCH($G758,Einstellungen!$E$5:$E$11,0)),0))</f>
        <v>0</v>
      </c>
      <c r="I758" s="35" t="str">
        <f aca="false">IF($G758="","-",IFERROR(INDEX(Einstellungen!$H$5:$H$11,MATCH($G758,Einstellungen!$E$5:$E$11,0)),"-"))</f>
        <v>-</v>
      </c>
      <c r="J758" s="35" t="str">
        <f aca="false">IF(AND(Einstellungen!$B$8="Ja",Einstellungen!$B$9="Effektiv"),$I758,"-")</f>
        <v>-</v>
      </c>
      <c r="K758" s="31" t="n">
        <f aca="false">IF(OR($F758="",$J758="-"),0,ROUND($F758-$F758/(1+$H758),2))</f>
        <v>0</v>
      </c>
      <c r="L758" s="31" t="n">
        <f aca="false">IF($F758="",0,$F758-$K758)</f>
        <v>0</v>
      </c>
      <c r="M758" s="31" t="n">
        <f aca="false">IF($F758="",0,IF($J758="V",$L758,$F758))</f>
        <v>0</v>
      </c>
      <c r="N758" s="31" t="n">
        <f aca="false">IF($F758="",0,IF($J758="U",$L758,$F758))</f>
        <v>0</v>
      </c>
      <c r="O758" s="35" t="str">
        <f aca="false">IF($A758="","",MONTH($A758))</f>
        <v/>
      </c>
      <c r="P758" s="35" t="str">
        <f aca="false">IF($A758="","",ROUNDUP(MONTH($A758)/3,0))</f>
        <v/>
      </c>
      <c r="Q758" s="35" t="str">
        <f aca="false">IF($A758="","",IF(MONTH($A758)&lt;=6,1,2))</f>
        <v/>
      </c>
      <c r="R758" s="35" t="str">
        <f aca="false">IF($E758="","",IFERROR(INDEX(Kontenplan!$F$5:$F$90,MATCH($E758,Kontenplan!$A$5:$A$90,0)),""))</f>
        <v/>
      </c>
      <c r="S758" s="35" t="str">
        <f aca="false">IF($D758="","",IFERROR(INDEX(Kontenplan!$F$5:$F$90,MATCH($D758,Kontenplan!$A$5:$A$90,0)),""))</f>
        <v/>
      </c>
      <c r="T758" s="35" t="str">
        <f aca="false">IF($D758="","",IFERROR(INDEX(Kontenplan!$C$5:$C$90,MATCH($D758,Kontenplan!$A$5:$A$90,0)),"?"))</f>
        <v/>
      </c>
      <c r="U758" s="35" t="str">
        <f aca="false">IF($E758="","",IFERROR(INDEX(Kontenplan!$C$5:$C$90,MATCH($E758,Kontenplan!$A$5:$A$90,0)),"?"))</f>
        <v/>
      </c>
      <c r="V758" s="35" t="str">
        <f aca="false">IF($F758="","",IF(OR($D758="",$E758="",$T758="?",$U758="?"),"Konto prüfen!",IF($A758="","Datum fehlt",IF(YEAR($A758)&lt;&gt;Einstellungen!$B$7,"anderes Jahr!",IF($G758="","MWST-Code fehlt","OK")))))</f>
        <v/>
      </c>
      <c r="W758" s="35" t="str">
        <f aca="false">IF($F758="","",IF(OR($D758=Kontoauszug!$C$4,$E758=Kontoauszug!$C$4),MAX(W$4:W757)+1,""))</f>
        <v/>
      </c>
    </row>
    <row r="759" customFormat="false" ht="15" hidden="false" customHeight="false" outlineLevel="0" collapsed="false">
      <c r="A759" s="33"/>
      <c r="B759" s="32"/>
      <c r="C759" s="32"/>
      <c r="D759" s="32"/>
      <c r="E759" s="32"/>
      <c r="F759" s="30"/>
      <c r="G759" s="32"/>
      <c r="H759" s="34" t="n">
        <f aca="false">IF($G759="",0,IFERROR(INDEX(Einstellungen!$G$5:$G$11,MATCH($G759,Einstellungen!$E$5:$E$11,0)),0))</f>
        <v>0</v>
      </c>
      <c r="I759" s="35" t="str">
        <f aca="false">IF($G759="","-",IFERROR(INDEX(Einstellungen!$H$5:$H$11,MATCH($G759,Einstellungen!$E$5:$E$11,0)),"-"))</f>
        <v>-</v>
      </c>
      <c r="J759" s="35" t="str">
        <f aca="false">IF(AND(Einstellungen!$B$8="Ja",Einstellungen!$B$9="Effektiv"),$I759,"-")</f>
        <v>-</v>
      </c>
      <c r="K759" s="31" t="n">
        <f aca="false">IF(OR($F759="",$J759="-"),0,ROUND($F759-$F759/(1+$H759),2))</f>
        <v>0</v>
      </c>
      <c r="L759" s="31" t="n">
        <f aca="false">IF($F759="",0,$F759-$K759)</f>
        <v>0</v>
      </c>
      <c r="M759" s="31" t="n">
        <f aca="false">IF($F759="",0,IF($J759="V",$L759,$F759))</f>
        <v>0</v>
      </c>
      <c r="N759" s="31" t="n">
        <f aca="false">IF($F759="",0,IF($J759="U",$L759,$F759))</f>
        <v>0</v>
      </c>
      <c r="O759" s="35" t="str">
        <f aca="false">IF($A759="","",MONTH($A759))</f>
        <v/>
      </c>
      <c r="P759" s="35" t="str">
        <f aca="false">IF($A759="","",ROUNDUP(MONTH($A759)/3,0))</f>
        <v/>
      </c>
      <c r="Q759" s="35" t="str">
        <f aca="false">IF($A759="","",IF(MONTH($A759)&lt;=6,1,2))</f>
        <v/>
      </c>
      <c r="R759" s="35" t="str">
        <f aca="false">IF($E759="","",IFERROR(INDEX(Kontenplan!$F$5:$F$90,MATCH($E759,Kontenplan!$A$5:$A$90,0)),""))</f>
        <v/>
      </c>
      <c r="S759" s="35" t="str">
        <f aca="false">IF($D759="","",IFERROR(INDEX(Kontenplan!$F$5:$F$90,MATCH($D759,Kontenplan!$A$5:$A$90,0)),""))</f>
        <v/>
      </c>
      <c r="T759" s="35" t="str">
        <f aca="false">IF($D759="","",IFERROR(INDEX(Kontenplan!$C$5:$C$90,MATCH($D759,Kontenplan!$A$5:$A$90,0)),"?"))</f>
        <v/>
      </c>
      <c r="U759" s="35" t="str">
        <f aca="false">IF($E759="","",IFERROR(INDEX(Kontenplan!$C$5:$C$90,MATCH($E759,Kontenplan!$A$5:$A$90,0)),"?"))</f>
        <v/>
      </c>
      <c r="V759" s="35" t="str">
        <f aca="false">IF($F759="","",IF(OR($D759="",$E759="",$T759="?",$U759="?"),"Konto prüfen!",IF($A759="","Datum fehlt",IF(YEAR($A759)&lt;&gt;Einstellungen!$B$7,"anderes Jahr!",IF($G759="","MWST-Code fehlt","OK")))))</f>
        <v/>
      </c>
      <c r="W759" s="35" t="str">
        <f aca="false">IF($F759="","",IF(OR($D759=Kontoauszug!$C$4,$E759=Kontoauszug!$C$4),MAX(W$4:W758)+1,""))</f>
        <v/>
      </c>
    </row>
    <row r="760" customFormat="false" ht="15" hidden="false" customHeight="false" outlineLevel="0" collapsed="false">
      <c r="A760" s="33"/>
      <c r="B760" s="32"/>
      <c r="C760" s="32"/>
      <c r="D760" s="32"/>
      <c r="E760" s="32"/>
      <c r="F760" s="30"/>
      <c r="G760" s="32"/>
      <c r="H760" s="34" t="n">
        <f aca="false">IF($G760="",0,IFERROR(INDEX(Einstellungen!$G$5:$G$11,MATCH($G760,Einstellungen!$E$5:$E$11,0)),0))</f>
        <v>0</v>
      </c>
      <c r="I760" s="35" t="str">
        <f aca="false">IF($G760="","-",IFERROR(INDEX(Einstellungen!$H$5:$H$11,MATCH($G760,Einstellungen!$E$5:$E$11,0)),"-"))</f>
        <v>-</v>
      </c>
      <c r="J760" s="35" t="str">
        <f aca="false">IF(AND(Einstellungen!$B$8="Ja",Einstellungen!$B$9="Effektiv"),$I760,"-")</f>
        <v>-</v>
      </c>
      <c r="K760" s="31" t="n">
        <f aca="false">IF(OR($F760="",$J760="-"),0,ROUND($F760-$F760/(1+$H760),2))</f>
        <v>0</v>
      </c>
      <c r="L760" s="31" t="n">
        <f aca="false">IF($F760="",0,$F760-$K760)</f>
        <v>0</v>
      </c>
      <c r="M760" s="31" t="n">
        <f aca="false">IF($F760="",0,IF($J760="V",$L760,$F760))</f>
        <v>0</v>
      </c>
      <c r="N760" s="31" t="n">
        <f aca="false">IF($F760="",0,IF($J760="U",$L760,$F760))</f>
        <v>0</v>
      </c>
      <c r="O760" s="35" t="str">
        <f aca="false">IF($A760="","",MONTH($A760))</f>
        <v/>
      </c>
      <c r="P760" s="35" t="str">
        <f aca="false">IF($A760="","",ROUNDUP(MONTH($A760)/3,0))</f>
        <v/>
      </c>
      <c r="Q760" s="35" t="str">
        <f aca="false">IF($A760="","",IF(MONTH($A760)&lt;=6,1,2))</f>
        <v/>
      </c>
      <c r="R760" s="35" t="str">
        <f aca="false">IF($E760="","",IFERROR(INDEX(Kontenplan!$F$5:$F$90,MATCH($E760,Kontenplan!$A$5:$A$90,0)),""))</f>
        <v/>
      </c>
      <c r="S760" s="35" t="str">
        <f aca="false">IF($D760="","",IFERROR(INDEX(Kontenplan!$F$5:$F$90,MATCH($D760,Kontenplan!$A$5:$A$90,0)),""))</f>
        <v/>
      </c>
      <c r="T760" s="35" t="str">
        <f aca="false">IF($D760="","",IFERROR(INDEX(Kontenplan!$C$5:$C$90,MATCH($D760,Kontenplan!$A$5:$A$90,0)),"?"))</f>
        <v/>
      </c>
      <c r="U760" s="35" t="str">
        <f aca="false">IF($E760="","",IFERROR(INDEX(Kontenplan!$C$5:$C$90,MATCH($E760,Kontenplan!$A$5:$A$90,0)),"?"))</f>
        <v/>
      </c>
      <c r="V760" s="35" t="str">
        <f aca="false">IF($F760="","",IF(OR($D760="",$E760="",$T760="?",$U760="?"),"Konto prüfen!",IF($A760="","Datum fehlt",IF(YEAR($A760)&lt;&gt;Einstellungen!$B$7,"anderes Jahr!",IF($G760="","MWST-Code fehlt","OK")))))</f>
        <v/>
      </c>
      <c r="W760" s="35" t="str">
        <f aca="false">IF($F760="","",IF(OR($D760=Kontoauszug!$C$4,$E760=Kontoauszug!$C$4),MAX(W$4:W759)+1,""))</f>
        <v/>
      </c>
    </row>
    <row r="761" customFormat="false" ht="15" hidden="false" customHeight="false" outlineLevel="0" collapsed="false">
      <c r="A761" s="33"/>
      <c r="B761" s="32"/>
      <c r="C761" s="32"/>
      <c r="D761" s="32"/>
      <c r="E761" s="32"/>
      <c r="F761" s="30"/>
      <c r="G761" s="32"/>
      <c r="H761" s="34" t="n">
        <f aca="false">IF($G761="",0,IFERROR(INDEX(Einstellungen!$G$5:$G$11,MATCH($G761,Einstellungen!$E$5:$E$11,0)),0))</f>
        <v>0</v>
      </c>
      <c r="I761" s="35" t="str">
        <f aca="false">IF($G761="","-",IFERROR(INDEX(Einstellungen!$H$5:$H$11,MATCH($G761,Einstellungen!$E$5:$E$11,0)),"-"))</f>
        <v>-</v>
      </c>
      <c r="J761" s="35" t="str">
        <f aca="false">IF(AND(Einstellungen!$B$8="Ja",Einstellungen!$B$9="Effektiv"),$I761,"-")</f>
        <v>-</v>
      </c>
      <c r="K761" s="31" t="n">
        <f aca="false">IF(OR($F761="",$J761="-"),0,ROUND($F761-$F761/(1+$H761),2))</f>
        <v>0</v>
      </c>
      <c r="L761" s="31" t="n">
        <f aca="false">IF($F761="",0,$F761-$K761)</f>
        <v>0</v>
      </c>
      <c r="M761" s="31" t="n">
        <f aca="false">IF($F761="",0,IF($J761="V",$L761,$F761))</f>
        <v>0</v>
      </c>
      <c r="N761" s="31" t="n">
        <f aca="false">IF($F761="",0,IF($J761="U",$L761,$F761))</f>
        <v>0</v>
      </c>
      <c r="O761" s="35" t="str">
        <f aca="false">IF($A761="","",MONTH($A761))</f>
        <v/>
      </c>
      <c r="P761" s="35" t="str">
        <f aca="false">IF($A761="","",ROUNDUP(MONTH($A761)/3,0))</f>
        <v/>
      </c>
      <c r="Q761" s="35" t="str">
        <f aca="false">IF($A761="","",IF(MONTH($A761)&lt;=6,1,2))</f>
        <v/>
      </c>
      <c r="R761" s="35" t="str">
        <f aca="false">IF($E761="","",IFERROR(INDEX(Kontenplan!$F$5:$F$90,MATCH($E761,Kontenplan!$A$5:$A$90,0)),""))</f>
        <v/>
      </c>
      <c r="S761" s="35" t="str">
        <f aca="false">IF($D761="","",IFERROR(INDEX(Kontenplan!$F$5:$F$90,MATCH($D761,Kontenplan!$A$5:$A$90,0)),""))</f>
        <v/>
      </c>
      <c r="T761" s="35" t="str">
        <f aca="false">IF($D761="","",IFERROR(INDEX(Kontenplan!$C$5:$C$90,MATCH($D761,Kontenplan!$A$5:$A$90,0)),"?"))</f>
        <v/>
      </c>
      <c r="U761" s="35" t="str">
        <f aca="false">IF($E761="","",IFERROR(INDEX(Kontenplan!$C$5:$C$90,MATCH($E761,Kontenplan!$A$5:$A$90,0)),"?"))</f>
        <v/>
      </c>
      <c r="V761" s="35" t="str">
        <f aca="false">IF($F761="","",IF(OR($D761="",$E761="",$T761="?",$U761="?"),"Konto prüfen!",IF($A761="","Datum fehlt",IF(YEAR($A761)&lt;&gt;Einstellungen!$B$7,"anderes Jahr!",IF($G761="","MWST-Code fehlt","OK")))))</f>
        <v/>
      </c>
      <c r="W761" s="35" t="str">
        <f aca="false">IF($F761="","",IF(OR($D761=Kontoauszug!$C$4,$E761=Kontoauszug!$C$4),MAX(W$4:W760)+1,""))</f>
        <v/>
      </c>
    </row>
    <row r="762" customFormat="false" ht="15" hidden="false" customHeight="false" outlineLevel="0" collapsed="false">
      <c r="A762" s="33"/>
      <c r="B762" s="32"/>
      <c r="C762" s="32"/>
      <c r="D762" s="32"/>
      <c r="E762" s="32"/>
      <c r="F762" s="30"/>
      <c r="G762" s="32"/>
      <c r="H762" s="34" t="n">
        <f aca="false">IF($G762="",0,IFERROR(INDEX(Einstellungen!$G$5:$G$11,MATCH($G762,Einstellungen!$E$5:$E$11,0)),0))</f>
        <v>0</v>
      </c>
      <c r="I762" s="35" t="str">
        <f aca="false">IF($G762="","-",IFERROR(INDEX(Einstellungen!$H$5:$H$11,MATCH($G762,Einstellungen!$E$5:$E$11,0)),"-"))</f>
        <v>-</v>
      </c>
      <c r="J762" s="35" t="str">
        <f aca="false">IF(AND(Einstellungen!$B$8="Ja",Einstellungen!$B$9="Effektiv"),$I762,"-")</f>
        <v>-</v>
      </c>
      <c r="K762" s="31" t="n">
        <f aca="false">IF(OR($F762="",$J762="-"),0,ROUND($F762-$F762/(1+$H762),2))</f>
        <v>0</v>
      </c>
      <c r="L762" s="31" t="n">
        <f aca="false">IF($F762="",0,$F762-$K762)</f>
        <v>0</v>
      </c>
      <c r="M762" s="31" t="n">
        <f aca="false">IF($F762="",0,IF($J762="V",$L762,$F762))</f>
        <v>0</v>
      </c>
      <c r="N762" s="31" t="n">
        <f aca="false">IF($F762="",0,IF($J762="U",$L762,$F762))</f>
        <v>0</v>
      </c>
      <c r="O762" s="35" t="str">
        <f aca="false">IF($A762="","",MONTH($A762))</f>
        <v/>
      </c>
      <c r="P762" s="35" t="str">
        <f aca="false">IF($A762="","",ROUNDUP(MONTH($A762)/3,0))</f>
        <v/>
      </c>
      <c r="Q762" s="35" t="str">
        <f aca="false">IF($A762="","",IF(MONTH($A762)&lt;=6,1,2))</f>
        <v/>
      </c>
      <c r="R762" s="35" t="str">
        <f aca="false">IF($E762="","",IFERROR(INDEX(Kontenplan!$F$5:$F$90,MATCH($E762,Kontenplan!$A$5:$A$90,0)),""))</f>
        <v/>
      </c>
      <c r="S762" s="35" t="str">
        <f aca="false">IF($D762="","",IFERROR(INDEX(Kontenplan!$F$5:$F$90,MATCH($D762,Kontenplan!$A$5:$A$90,0)),""))</f>
        <v/>
      </c>
      <c r="T762" s="35" t="str">
        <f aca="false">IF($D762="","",IFERROR(INDEX(Kontenplan!$C$5:$C$90,MATCH($D762,Kontenplan!$A$5:$A$90,0)),"?"))</f>
        <v/>
      </c>
      <c r="U762" s="35" t="str">
        <f aca="false">IF($E762="","",IFERROR(INDEX(Kontenplan!$C$5:$C$90,MATCH($E762,Kontenplan!$A$5:$A$90,0)),"?"))</f>
        <v/>
      </c>
      <c r="V762" s="35" t="str">
        <f aca="false">IF($F762="","",IF(OR($D762="",$E762="",$T762="?",$U762="?"),"Konto prüfen!",IF($A762="","Datum fehlt",IF(YEAR($A762)&lt;&gt;Einstellungen!$B$7,"anderes Jahr!",IF($G762="","MWST-Code fehlt","OK")))))</f>
        <v/>
      </c>
      <c r="W762" s="35" t="str">
        <f aca="false">IF($F762="","",IF(OR($D762=Kontoauszug!$C$4,$E762=Kontoauszug!$C$4),MAX(W$4:W761)+1,""))</f>
        <v/>
      </c>
    </row>
    <row r="763" customFormat="false" ht="15" hidden="false" customHeight="false" outlineLevel="0" collapsed="false">
      <c r="A763" s="33"/>
      <c r="B763" s="32"/>
      <c r="C763" s="32"/>
      <c r="D763" s="32"/>
      <c r="E763" s="32"/>
      <c r="F763" s="30"/>
      <c r="G763" s="32"/>
      <c r="H763" s="34" t="n">
        <f aca="false">IF($G763="",0,IFERROR(INDEX(Einstellungen!$G$5:$G$11,MATCH($G763,Einstellungen!$E$5:$E$11,0)),0))</f>
        <v>0</v>
      </c>
      <c r="I763" s="35" t="str">
        <f aca="false">IF($G763="","-",IFERROR(INDEX(Einstellungen!$H$5:$H$11,MATCH($G763,Einstellungen!$E$5:$E$11,0)),"-"))</f>
        <v>-</v>
      </c>
      <c r="J763" s="35" t="str">
        <f aca="false">IF(AND(Einstellungen!$B$8="Ja",Einstellungen!$B$9="Effektiv"),$I763,"-")</f>
        <v>-</v>
      </c>
      <c r="K763" s="31" t="n">
        <f aca="false">IF(OR($F763="",$J763="-"),0,ROUND($F763-$F763/(1+$H763),2))</f>
        <v>0</v>
      </c>
      <c r="L763" s="31" t="n">
        <f aca="false">IF($F763="",0,$F763-$K763)</f>
        <v>0</v>
      </c>
      <c r="M763" s="31" t="n">
        <f aca="false">IF($F763="",0,IF($J763="V",$L763,$F763))</f>
        <v>0</v>
      </c>
      <c r="N763" s="31" t="n">
        <f aca="false">IF($F763="",0,IF($J763="U",$L763,$F763))</f>
        <v>0</v>
      </c>
      <c r="O763" s="35" t="str">
        <f aca="false">IF($A763="","",MONTH($A763))</f>
        <v/>
      </c>
      <c r="P763" s="35" t="str">
        <f aca="false">IF($A763="","",ROUNDUP(MONTH($A763)/3,0))</f>
        <v/>
      </c>
      <c r="Q763" s="35" t="str">
        <f aca="false">IF($A763="","",IF(MONTH($A763)&lt;=6,1,2))</f>
        <v/>
      </c>
      <c r="R763" s="35" t="str">
        <f aca="false">IF($E763="","",IFERROR(INDEX(Kontenplan!$F$5:$F$90,MATCH($E763,Kontenplan!$A$5:$A$90,0)),""))</f>
        <v/>
      </c>
      <c r="S763" s="35" t="str">
        <f aca="false">IF($D763="","",IFERROR(INDEX(Kontenplan!$F$5:$F$90,MATCH($D763,Kontenplan!$A$5:$A$90,0)),""))</f>
        <v/>
      </c>
      <c r="T763" s="35" t="str">
        <f aca="false">IF($D763="","",IFERROR(INDEX(Kontenplan!$C$5:$C$90,MATCH($D763,Kontenplan!$A$5:$A$90,0)),"?"))</f>
        <v/>
      </c>
      <c r="U763" s="35" t="str">
        <f aca="false">IF($E763="","",IFERROR(INDEX(Kontenplan!$C$5:$C$90,MATCH($E763,Kontenplan!$A$5:$A$90,0)),"?"))</f>
        <v/>
      </c>
      <c r="V763" s="35" t="str">
        <f aca="false">IF($F763="","",IF(OR($D763="",$E763="",$T763="?",$U763="?"),"Konto prüfen!",IF($A763="","Datum fehlt",IF(YEAR($A763)&lt;&gt;Einstellungen!$B$7,"anderes Jahr!",IF($G763="","MWST-Code fehlt","OK")))))</f>
        <v/>
      </c>
      <c r="W763" s="35" t="str">
        <f aca="false">IF($F763="","",IF(OR($D763=Kontoauszug!$C$4,$E763=Kontoauszug!$C$4),MAX(W$4:W762)+1,""))</f>
        <v/>
      </c>
    </row>
    <row r="764" customFormat="false" ht="15" hidden="false" customHeight="false" outlineLevel="0" collapsed="false">
      <c r="A764" s="33"/>
      <c r="B764" s="32"/>
      <c r="C764" s="32"/>
      <c r="D764" s="32"/>
      <c r="E764" s="32"/>
      <c r="F764" s="30"/>
      <c r="G764" s="32"/>
      <c r="H764" s="34" t="n">
        <f aca="false">IF($G764="",0,IFERROR(INDEX(Einstellungen!$G$5:$G$11,MATCH($G764,Einstellungen!$E$5:$E$11,0)),0))</f>
        <v>0</v>
      </c>
      <c r="I764" s="35" t="str">
        <f aca="false">IF($G764="","-",IFERROR(INDEX(Einstellungen!$H$5:$H$11,MATCH($G764,Einstellungen!$E$5:$E$11,0)),"-"))</f>
        <v>-</v>
      </c>
      <c r="J764" s="35" t="str">
        <f aca="false">IF(AND(Einstellungen!$B$8="Ja",Einstellungen!$B$9="Effektiv"),$I764,"-")</f>
        <v>-</v>
      </c>
      <c r="K764" s="31" t="n">
        <f aca="false">IF(OR($F764="",$J764="-"),0,ROUND($F764-$F764/(1+$H764),2))</f>
        <v>0</v>
      </c>
      <c r="L764" s="31" t="n">
        <f aca="false">IF($F764="",0,$F764-$K764)</f>
        <v>0</v>
      </c>
      <c r="M764" s="31" t="n">
        <f aca="false">IF($F764="",0,IF($J764="V",$L764,$F764))</f>
        <v>0</v>
      </c>
      <c r="N764" s="31" t="n">
        <f aca="false">IF($F764="",0,IF($J764="U",$L764,$F764))</f>
        <v>0</v>
      </c>
      <c r="O764" s="35" t="str">
        <f aca="false">IF($A764="","",MONTH($A764))</f>
        <v/>
      </c>
      <c r="P764" s="35" t="str">
        <f aca="false">IF($A764="","",ROUNDUP(MONTH($A764)/3,0))</f>
        <v/>
      </c>
      <c r="Q764" s="35" t="str">
        <f aca="false">IF($A764="","",IF(MONTH($A764)&lt;=6,1,2))</f>
        <v/>
      </c>
      <c r="R764" s="35" t="str">
        <f aca="false">IF($E764="","",IFERROR(INDEX(Kontenplan!$F$5:$F$90,MATCH($E764,Kontenplan!$A$5:$A$90,0)),""))</f>
        <v/>
      </c>
      <c r="S764" s="35" t="str">
        <f aca="false">IF($D764="","",IFERROR(INDEX(Kontenplan!$F$5:$F$90,MATCH($D764,Kontenplan!$A$5:$A$90,0)),""))</f>
        <v/>
      </c>
      <c r="T764" s="35" t="str">
        <f aca="false">IF($D764="","",IFERROR(INDEX(Kontenplan!$C$5:$C$90,MATCH($D764,Kontenplan!$A$5:$A$90,0)),"?"))</f>
        <v/>
      </c>
      <c r="U764" s="35" t="str">
        <f aca="false">IF($E764="","",IFERROR(INDEX(Kontenplan!$C$5:$C$90,MATCH($E764,Kontenplan!$A$5:$A$90,0)),"?"))</f>
        <v/>
      </c>
      <c r="V764" s="35" t="str">
        <f aca="false">IF($F764="","",IF(OR($D764="",$E764="",$T764="?",$U764="?"),"Konto prüfen!",IF($A764="","Datum fehlt",IF(YEAR($A764)&lt;&gt;Einstellungen!$B$7,"anderes Jahr!",IF($G764="","MWST-Code fehlt","OK")))))</f>
        <v/>
      </c>
      <c r="W764" s="35" t="str">
        <f aca="false">IF($F764="","",IF(OR($D764=Kontoauszug!$C$4,$E764=Kontoauszug!$C$4),MAX(W$4:W763)+1,""))</f>
        <v/>
      </c>
    </row>
    <row r="765" customFormat="false" ht="15" hidden="false" customHeight="false" outlineLevel="0" collapsed="false">
      <c r="A765" s="33"/>
      <c r="B765" s="32"/>
      <c r="C765" s="32"/>
      <c r="D765" s="32"/>
      <c r="E765" s="32"/>
      <c r="F765" s="30"/>
      <c r="G765" s="32"/>
      <c r="H765" s="34" t="n">
        <f aca="false">IF($G765="",0,IFERROR(INDEX(Einstellungen!$G$5:$G$11,MATCH($G765,Einstellungen!$E$5:$E$11,0)),0))</f>
        <v>0</v>
      </c>
      <c r="I765" s="35" t="str">
        <f aca="false">IF($G765="","-",IFERROR(INDEX(Einstellungen!$H$5:$H$11,MATCH($G765,Einstellungen!$E$5:$E$11,0)),"-"))</f>
        <v>-</v>
      </c>
      <c r="J765" s="35" t="str">
        <f aca="false">IF(AND(Einstellungen!$B$8="Ja",Einstellungen!$B$9="Effektiv"),$I765,"-")</f>
        <v>-</v>
      </c>
      <c r="K765" s="31" t="n">
        <f aca="false">IF(OR($F765="",$J765="-"),0,ROUND($F765-$F765/(1+$H765),2))</f>
        <v>0</v>
      </c>
      <c r="L765" s="31" t="n">
        <f aca="false">IF($F765="",0,$F765-$K765)</f>
        <v>0</v>
      </c>
      <c r="M765" s="31" t="n">
        <f aca="false">IF($F765="",0,IF($J765="V",$L765,$F765))</f>
        <v>0</v>
      </c>
      <c r="N765" s="31" t="n">
        <f aca="false">IF($F765="",0,IF($J765="U",$L765,$F765))</f>
        <v>0</v>
      </c>
      <c r="O765" s="35" t="str">
        <f aca="false">IF($A765="","",MONTH($A765))</f>
        <v/>
      </c>
      <c r="P765" s="35" t="str">
        <f aca="false">IF($A765="","",ROUNDUP(MONTH($A765)/3,0))</f>
        <v/>
      </c>
      <c r="Q765" s="35" t="str">
        <f aca="false">IF($A765="","",IF(MONTH($A765)&lt;=6,1,2))</f>
        <v/>
      </c>
      <c r="R765" s="35" t="str">
        <f aca="false">IF($E765="","",IFERROR(INDEX(Kontenplan!$F$5:$F$90,MATCH($E765,Kontenplan!$A$5:$A$90,0)),""))</f>
        <v/>
      </c>
      <c r="S765" s="35" t="str">
        <f aca="false">IF($D765="","",IFERROR(INDEX(Kontenplan!$F$5:$F$90,MATCH($D765,Kontenplan!$A$5:$A$90,0)),""))</f>
        <v/>
      </c>
      <c r="T765" s="35" t="str">
        <f aca="false">IF($D765="","",IFERROR(INDEX(Kontenplan!$C$5:$C$90,MATCH($D765,Kontenplan!$A$5:$A$90,0)),"?"))</f>
        <v/>
      </c>
      <c r="U765" s="35" t="str">
        <f aca="false">IF($E765="","",IFERROR(INDEX(Kontenplan!$C$5:$C$90,MATCH($E765,Kontenplan!$A$5:$A$90,0)),"?"))</f>
        <v/>
      </c>
      <c r="V765" s="35" t="str">
        <f aca="false">IF($F765="","",IF(OR($D765="",$E765="",$T765="?",$U765="?"),"Konto prüfen!",IF($A765="","Datum fehlt",IF(YEAR($A765)&lt;&gt;Einstellungen!$B$7,"anderes Jahr!",IF($G765="","MWST-Code fehlt","OK")))))</f>
        <v/>
      </c>
      <c r="W765" s="35" t="str">
        <f aca="false">IF($F765="","",IF(OR($D765=Kontoauszug!$C$4,$E765=Kontoauszug!$C$4),MAX(W$4:W764)+1,""))</f>
        <v/>
      </c>
    </row>
    <row r="766" customFormat="false" ht="15" hidden="false" customHeight="false" outlineLevel="0" collapsed="false">
      <c r="A766" s="33"/>
      <c r="B766" s="32"/>
      <c r="C766" s="32"/>
      <c r="D766" s="32"/>
      <c r="E766" s="32"/>
      <c r="F766" s="30"/>
      <c r="G766" s="32"/>
      <c r="H766" s="34" t="n">
        <f aca="false">IF($G766="",0,IFERROR(INDEX(Einstellungen!$G$5:$G$11,MATCH($G766,Einstellungen!$E$5:$E$11,0)),0))</f>
        <v>0</v>
      </c>
      <c r="I766" s="35" t="str">
        <f aca="false">IF($G766="","-",IFERROR(INDEX(Einstellungen!$H$5:$H$11,MATCH($G766,Einstellungen!$E$5:$E$11,0)),"-"))</f>
        <v>-</v>
      </c>
      <c r="J766" s="35" t="str">
        <f aca="false">IF(AND(Einstellungen!$B$8="Ja",Einstellungen!$B$9="Effektiv"),$I766,"-")</f>
        <v>-</v>
      </c>
      <c r="K766" s="31" t="n">
        <f aca="false">IF(OR($F766="",$J766="-"),0,ROUND($F766-$F766/(1+$H766),2))</f>
        <v>0</v>
      </c>
      <c r="L766" s="31" t="n">
        <f aca="false">IF($F766="",0,$F766-$K766)</f>
        <v>0</v>
      </c>
      <c r="M766" s="31" t="n">
        <f aca="false">IF($F766="",0,IF($J766="V",$L766,$F766))</f>
        <v>0</v>
      </c>
      <c r="N766" s="31" t="n">
        <f aca="false">IF($F766="",0,IF($J766="U",$L766,$F766))</f>
        <v>0</v>
      </c>
      <c r="O766" s="35" t="str">
        <f aca="false">IF($A766="","",MONTH($A766))</f>
        <v/>
      </c>
      <c r="P766" s="35" t="str">
        <f aca="false">IF($A766="","",ROUNDUP(MONTH($A766)/3,0))</f>
        <v/>
      </c>
      <c r="Q766" s="35" t="str">
        <f aca="false">IF($A766="","",IF(MONTH($A766)&lt;=6,1,2))</f>
        <v/>
      </c>
      <c r="R766" s="35" t="str">
        <f aca="false">IF($E766="","",IFERROR(INDEX(Kontenplan!$F$5:$F$90,MATCH($E766,Kontenplan!$A$5:$A$90,0)),""))</f>
        <v/>
      </c>
      <c r="S766" s="35" t="str">
        <f aca="false">IF($D766="","",IFERROR(INDEX(Kontenplan!$F$5:$F$90,MATCH($D766,Kontenplan!$A$5:$A$90,0)),""))</f>
        <v/>
      </c>
      <c r="T766" s="35" t="str">
        <f aca="false">IF($D766="","",IFERROR(INDEX(Kontenplan!$C$5:$C$90,MATCH($D766,Kontenplan!$A$5:$A$90,0)),"?"))</f>
        <v/>
      </c>
      <c r="U766" s="35" t="str">
        <f aca="false">IF($E766="","",IFERROR(INDEX(Kontenplan!$C$5:$C$90,MATCH($E766,Kontenplan!$A$5:$A$90,0)),"?"))</f>
        <v/>
      </c>
      <c r="V766" s="35" t="str">
        <f aca="false">IF($F766="","",IF(OR($D766="",$E766="",$T766="?",$U766="?"),"Konto prüfen!",IF($A766="","Datum fehlt",IF(YEAR($A766)&lt;&gt;Einstellungen!$B$7,"anderes Jahr!",IF($G766="","MWST-Code fehlt","OK")))))</f>
        <v/>
      </c>
      <c r="W766" s="35" t="str">
        <f aca="false">IF($F766="","",IF(OR($D766=Kontoauszug!$C$4,$E766=Kontoauszug!$C$4),MAX(W$4:W765)+1,""))</f>
        <v/>
      </c>
    </row>
    <row r="767" customFormat="false" ht="15" hidden="false" customHeight="false" outlineLevel="0" collapsed="false">
      <c r="A767" s="33"/>
      <c r="B767" s="32"/>
      <c r="C767" s="32"/>
      <c r="D767" s="32"/>
      <c r="E767" s="32"/>
      <c r="F767" s="30"/>
      <c r="G767" s="32"/>
      <c r="H767" s="34" t="n">
        <f aca="false">IF($G767="",0,IFERROR(INDEX(Einstellungen!$G$5:$G$11,MATCH($G767,Einstellungen!$E$5:$E$11,0)),0))</f>
        <v>0</v>
      </c>
      <c r="I767" s="35" t="str">
        <f aca="false">IF($G767="","-",IFERROR(INDEX(Einstellungen!$H$5:$H$11,MATCH($G767,Einstellungen!$E$5:$E$11,0)),"-"))</f>
        <v>-</v>
      </c>
      <c r="J767" s="35" t="str">
        <f aca="false">IF(AND(Einstellungen!$B$8="Ja",Einstellungen!$B$9="Effektiv"),$I767,"-")</f>
        <v>-</v>
      </c>
      <c r="K767" s="31" t="n">
        <f aca="false">IF(OR($F767="",$J767="-"),0,ROUND($F767-$F767/(1+$H767),2))</f>
        <v>0</v>
      </c>
      <c r="L767" s="31" t="n">
        <f aca="false">IF($F767="",0,$F767-$K767)</f>
        <v>0</v>
      </c>
      <c r="M767" s="31" t="n">
        <f aca="false">IF($F767="",0,IF($J767="V",$L767,$F767))</f>
        <v>0</v>
      </c>
      <c r="N767" s="31" t="n">
        <f aca="false">IF($F767="",0,IF($J767="U",$L767,$F767))</f>
        <v>0</v>
      </c>
      <c r="O767" s="35" t="str">
        <f aca="false">IF($A767="","",MONTH($A767))</f>
        <v/>
      </c>
      <c r="P767" s="35" t="str">
        <f aca="false">IF($A767="","",ROUNDUP(MONTH($A767)/3,0))</f>
        <v/>
      </c>
      <c r="Q767" s="35" t="str">
        <f aca="false">IF($A767="","",IF(MONTH($A767)&lt;=6,1,2))</f>
        <v/>
      </c>
      <c r="R767" s="35" t="str">
        <f aca="false">IF($E767="","",IFERROR(INDEX(Kontenplan!$F$5:$F$90,MATCH($E767,Kontenplan!$A$5:$A$90,0)),""))</f>
        <v/>
      </c>
      <c r="S767" s="35" t="str">
        <f aca="false">IF($D767="","",IFERROR(INDEX(Kontenplan!$F$5:$F$90,MATCH($D767,Kontenplan!$A$5:$A$90,0)),""))</f>
        <v/>
      </c>
      <c r="T767" s="35" t="str">
        <f aca="false">IF($D767="","",IFERROR(INDEX(Kontenplan!$C$5:$C$90,MATCH($D767,Kontenplan!$A$5:$A$90,0)),"?"))</f>
        <v/>
      </c>
      <c r="U767" s="35" t="str">
        <f aca="false">IF($E767="","",IFERROR(INDEX(Kontenplan!$C$5:$C$90,MATCH($E767,Kontenplan!$A$5:$A$90,0)),"?"))</f>
        <v/>
      </c>
      <c r="V767" s="35" t="str">
        <f aca="false">IF($F767="","",IF(OR($D767="",$E767="",$T767="?",$U767="?"),"Konto prüfen!",IF($A767="","Datum fehlt",IF(YEAR($A767)&lt;&gt;Einstellungen!$B$7,"anderes Jahr!",IF($G767="","MWST-Code fehlt","OK")))))</f>
        <v/>
      </c>
      <c r="W767" s="35" t="str">
        <f aca="false">IF($F767="","",IF(OR($D767=Kontoauszug!$C$4,$E767=Kontoauszug!$C$4),MAX(W$4:W766)+1,""))</f>
        <v/>
      </c>
    </row>
    <row r="768" customFormat="false" ht="15" hidden="false" customHeight="false" outlineLevel="0" collapsed="false">
      <c r="A768" s="33"/>
      <c r="B768" s="32"/>
      <c r="C768" s="32"/>
      <c r="D768" s="32"/>
      <c r="E768" s="32"/>
      <c r="F768" s="30"/>
      <c r="G768" s="32"/>
      <c r="H768" s="34" t="n">
        <f aca="false">IF($G768="",0,IFERROR(INDEX(Einstellungen!$G$5:$G$11,MATCH($G768,Einstellungen!$E$5:$E$11,0)),0))</f>
        <v>0</v>
      </c>
      <c r="I768" s="35" t="str">
        <f aca="false">IF($G768="","-",IFERROR(INDEX(Einstellungen!$H$5:$H$11,MATCH($G768,Einstellungen!$E$5:$E$11,0)),"-"))</f>
        <v>-</v>
      </c>
      <c r="J768" s="35" t="str">
        <f aca="false">IF(AND(Einstellungen!$B$8="Ja",Einstellungen!$B$9="Effektiv"),$I768,"-")</f>
        <v>-</v>
      </c>
      <c r="K768" s="31" t="n">
        <f aca="false">IF(OR($F768="",$J768="-"),0,ROUND($F768-$F768/(1+$H768),2))</f>
        <v>0</v>
      </c>
      <c r="L768" s="31" t="n">
        <f aca="false">IF($F768="",0,$F768-$K768)</f>
        <v>0</v>
      </c>
      <c r="M768" s="31" t="n">
        <f aca="false">IF($F768="",0,IF($J768="V",$L768,$F768))</f>
        <v>0</v>
      </c>
      <c r="N768" s="31" t="n">
        <f aca="false">IF($F768="",0,IF($J768="U",$L768,$F768))</f>
        <v>0</v>
      </c>
      <c r="O768" s="35" t="str">
        <f aca="false">IF($A768="","",MONTH($A768))</f>
        <v/>
      </c>
      <c r="P768" s="35" t="str">
        <f aca="false">IF($A768="","",ROUNDUP(MONTH($A768)/3,0))</f>
        <v/>
      </c>
      <c r="Q768" s="35" t="str">
        <f aca="false">IF($A768="","",IF(MONTH($A768)&lt;=6,1,2))</f>
        <v/>
      </c>
      <c r="R768" s="35" t="str">
        <f aca="false">IF($E768="","",IFERROR(INDEX(Kontenplan!$F$5:$F$90,MATCH($E768,Kontenplan!$A$5:$A$90,0)),""))</f>
        <v/>
      </c>
      <c r="S768" s="35" t="str">
        <f aca="false">IF($D768="","",IFERROR(INDEX(Kontenplan!$F$5:$F$90,MATCH($D768,Kontenplan!$A$5:$A$90,0)),""))</f>
        <v/>
      </c>
      <c r="T768" s="35" t="str">
        <f aca="false">IF($D768="","",IFERROR(INDEX(Kontenplan!$C$5:$C$90,MATCH($D768,Kontenplan!$A$5:$A$90,0)),"?"))</f>
        <v/>
      </c>
      <c r="U768" s="35" t="str">
        <f aca="false">IF($E768="","",IFERROR(INDEX(Kontenplan!$C$5:$C$90,MATCH($E768,Kontenplan!$A$5:$A$90,0)),"?"))</f>
        <v/>
      </c>
      <c r="V768" s="35" t="str">
        <f aca="false">IF($F768="","",IF(OR($D768="",$E768="",$T768="?",$U768="?"),"Konto prüfen!",IF($A768="","Datum fehlt",IF(YEAR($A768)&lt;&gt;Einstellungen!$B$7,"anderes Jahr!",IF($G768="","MWST-Code fehlt","OK")))))</f>
        <v/>
      </c>
      <c r="W768" s="35" t="str">
        <f aca="false">IF($F768="","",IF(OR($D768=Kontoauszug!$C$4,$E768=Kontoauszug!$C$4),MAX(W$4:W767)+1,""))</f>
        <v/>
      </c>
    </row>
    <row r="769" customFormat="false" ht="15" hidden="false" customHeight="false" outlineLevel="0" collapsed="false">
      <c r="A769" s="33"/>
      <c r="B769" s="32"/>
      <c r="C769" s="32"/>
      <c r="D769" s="32"/>
      <c r="E769" s="32"/>
      <c r="F769" s="30"/>
      <c r="G769" s="32"/>
      <c r="H769" s="34" t="n">
        <f aca="false">IF($G769="",0,IFERROR(INDEX(Einstellungen!$G$5:$G$11,MATCH($G769,Einstellungen!$E$5:$E$11,0)),0))</f>
        <v>0</v>
      </c>
      <c r="I769" s="35" t="str">
        <f aca="false">IF($G769="","-",IFERROR(INDEX(Einstellungen!$H$5:$H$11,MATCH($G769,Einstellungen!$E$5:$E$11,0)),"-"))</f>
        <v>-</v>
      </c>
      <c r="J769" s="35" t="str">
        <f aca="false">IF(AND(Einstellungen!$B$8="Ja",Einstellungen!$B$9="Effektiv"),$I769,"-")</f>
        <v>-</v>
      </c>
      <c r="K769" s="31" t="n">
        <f aca="false">IF(OR($F769="",$J769="-"),0,ROUND($F769-$F769/(1+$H769),2))</f>
        <v>0</v>
      </c>
      <c r="L769" s="31" t="n">
        <f aca="false">IF($F769="",0,$F769-$K769)</f>
        <v>0</v>
      </c>
      <c r="M769" s="31" t="n">
        <f aca="false">IF($F769="",0,IF($J769="V",$L769,$F769))</f>
        <v>0</v>
      </c>
      <c r="N769" s="31" t="n">
        <f aca="false">IF($F769="",0,IF($J769="U",$L769,$F769))</f>
        <v>0</v>
      </c>
      <c r="O769" s="35" t="str">
        <f aca="false">IF($A769="","",MONTH($A769))</f>
        <v/>
      </c>
      <c r="P769" s="35" t="str">
        <f aca="false">IF($A769="","",ROUNDUP(MONTH($A769)/3,0))</f>
        <v/>
      </c>
      <c r="Q769" s="35" t="str">
        <f aca="false">IF($A769="","",IF(MONTH($A769)&lt;=6,1,2))</f>
        <v/>
      </c>
      <c r="R769" s="35" t="str">
        <f aca="false">IF($E769="","",IFERROR(INDEX(Kontenplan!$F$5:$F$90,MATCH($E769,Kontenplan!$A$5:$A$90,0)),""))</f>
        <v/>
      </c>
      <c r="S769" s="35" t="str">
        <f aca="false">IF($D769="","",IFERROR(INDEX(Kontenplan!$F$5:$F$90,MATCH($D769,Kontenplan!$A$5:$A$90,0)),""))</f>
        <v/>
      </c>
      <c r="T769" s="35" t="str">
        <f aca="false">IF($D769="","",IFERROR(INDEX(Kontenplan!$C$5:$C$90,MATCH($D769,Kontenplan!$A$5:$A$90,0)),"?"))</f>
        <v/>
      </c>
      <c r="U769" s="35" t="str">
        <f aca="false">IF($E769="","",IFERROR(INDEX(Kontenplan!$C$5:$C$90,MATCH($E769,Kontenplan!$A$5:$A$90,0)),"?"))</f>
        <v/>
      </c>
      <c r="V769" s="35" t="str">
        <f aca="false">IF($F769="","",IF(OR($D769="",$E769="",$T769="?",$U769="?"),"Konto prüfen!",IF($A769="","Datum fehlt",IF(YEAR($A769)&lt;&gt;Einstellungen!$B$7,"anderes Jahr!",IF($G769="","MWST-Code fehlt","OK")))))</f>
        <v/>
      </c>
      <c r="W769" s="35" t="str">
        <f aca="false">IF($F769="","",IF(OR($D769=Kontoauszug!$C$4,$E769=Kontoauszug!$C$4),MAX(W$4:W768)+1,""))</f>
        <v/>
      </c>
    </row>
    <row r="770" customFormat="false" ht="15" hidden="false" customHeight="false" outlineLevel="0" collapsed="false">
      <c r="A770" s="33"/>
      <c r="B770" s="32"/>
      <c r="C770" s="32"/>
      <c r="D770" s="32"/>
      <c r="E770" s="32"/>
      <c r="F770" s="30"/>
      <c r="G770" s="32"/>
      <c r="H770" s="34" t="n">
        <f aca="false">IF($G770="",0,IFERROR(INDEX(Einstellungen!$G$5:$G$11,MATCH($G770,Einstellungen!$E$5:$E$11,0)),0))</f>
        <v>0</v>
      </c>
      <c r="I770" s="35" t="str">
        <f aca="false">IF($G770="","-",IFERROR(INDEX(Einstellungen!$H$5:$H$11,MATCH($G770,Einstellungen!$E$5:$E$11,0)),"-"))</f>
        <v>-</v>
      </c>
      <c r="J770" s="35" t="str">
        <f aca="false">IF(AND(Einstellungen!$B$8="Ja",Einstellungen!$B$9="Effektiv"),$I770,"-")</f>
        <v>-</v>
      </c>
      <c r="K770" s="31" t="n">
        <f aca="false">IF(OR($F770="",$J770="-"),0,ROUND($F770-$F770/(1+$H770),2))</f>
        <v>0</v>
      </c>
      <c r="L770" s="31" t="n">
        <f aca="false">IF($F770="",0,$F770-$K770)</f>
        <v>0</v>
      </c>
      <c r="M770" s="31" t="n">
        <f aca="false">IF($F770="",0,IF($J770="V",$L770,$F770))</f>
        <v>0</v>
      </c>
      <c r="N770" s="31" t="n">
        <f aca="false">IF($F770="",0,IF($J770="U",$L770,$F770))</f>
        <v>0</v>
      </c>
      <c r="O770" s="35" t="str">
        <f aca="false">IF($A770="","",MONTH($A770))</f>
        <v/>
      </c>
      <c r="P770" s="35" t="str">
        <f aca="false">IF($A770="","",ROUNDUP(MONTH($A770)/3,0))</f>
        <v/>
      </c>
      <c r="Q770" s="35" t="str">
        <f aca="false">IF($A770="","",IF(MONTH($A770)&lt;=6,1,2))</f>
        <v/>
      </c>
      <c r="R770" s="35" t="str">
        <f aca="false">IF($E770="","",IFERROR(INDEX(Kontenplan!$F$5:$F$90,MATCH($E770,Kontenplan!$A$5:$A$90,0)),""))</f>
        <v/>
      </c>
      <c r="S770" s="35" t="str">
        <f aca="false">IF($D770="","",IFERROR(INDEX(Kontenplan!$F$5:$F$90,MATCH($D770,Kontenplan!$A$5:$A$90,0)),""))</f>
        <v/>
      </c>
      <c r="T770" s="35" t="str">
        <f aca="false">IF($D770="","",IFERROR(INDEX(Kontenplan!$C$5:$C$90,MATCH($D770,Kontenplan!$A$5:$A$90,0)),"?"))</f>
        <v/>
      </c>
      <c r="U770" s="35" t="str">
        <f aca="false">IF($E770="","",IFERROR(INDEX(Kontenplan!$C$5:$C$90,MATCH($E770,Kontenplan!$A$5:$A$90,0)),"?"))</f>
        <v/>
      </c>
      <c r="V770" s="35" t="str">
        <f aca="false">IF($F770="","",IF(OR($D770="",$E770="",$T770="?",$U770="?"),"Konto prüfen!",IF($A770="","Datum fehlt",IF(YEAR($A770)&lt;&gt;Einstellungen!$B$7,"anderes Jahr!",IF($G770="","MWST-Code fehlt","OK")))))</f>
        <v/>
      </c>
      <c r="W770" s="35" t="str">
        <f aca="false">IF($F770="","",IF(OR($D770=Kontoauszug!$C$4,$E770=Kontoauszug!$C$4),MAX(W$4:W769)+1,""))</f>
        <v/>
      </c>
    </row>
    <row r="771" customFormat="false" ht="15" hidden="false" customHeight="false" outlineLevel="0" collapsed="false">
      <c r="A771" s="33"/>
      <c r="B771" s="32"/>
      <c r="C771" s="32"/>
      <c r="D771" s="32"/>
      <c r="E771" s="32"/>
      <c r="F771" s="30"/>
      <c r="G771" s="32"/>
      <c r="H771" s="34" t="n">
        <f aca="false">IF($G771="",0,IFERROR(INDEX(Einstellungen!$G$5:$G$11,MATCH($G771,Einstellungen!$E$5:$E$11,0)),0))</f>
        <v>0</v>
      </c>
      <c r="I771" s="35" t="str">
        <f aca="false">IF($G771="","-",IFERROR(INDEX(Einstellungen!$H$5:$H$11,MATCH($G771,Einstellungen!$E$5:$E$11,0)),"-"))</f>
        <v>-</v>
      </c>
      <c r="J771" s="35" t="str">
        <f aca="false">IF(AND(Einstellungen!$B$8="Ja",Einstellungen!$B$9="Effektiv"),$I771,"-")</f>
        <v>-</v>
      </c>
      <c r="K771" s="31" t="n">
        <f aca="false">IF(OR($F771="",$J771="-"),0,ROUND($F771-$F771/(1+$H771),2))</f>
        <v>0</v>
      </c>
      <c r="L771" s="31" t="n">
        <f aca="false">IF($F771="",0,$F771-$K771)</f>
        <v>0</v>
      </c>
      <c r="M771" s="31" t="n">
        <f aca="false">IF($F771="",0,IF($J771="V",$L771,$F771))</f>
        <v>0</v>
      </c>
      <c r="N771" s="31" t="n">
        <f aca="false">IF($F771="",0,IF($J771="U",$L771,$F771))</f>
        <v>0</v>
      </c>
      <c r="O771" s="35" t="str">
        <f aca="false">IF($A771="","",MONTH($A771))</f>
        <v/>
      </c>
      <c r="P771" s="35" t="str">
        <f aca="false">IF($A771="","",ROUNDUP(MONTH($A771)/3,0))</f>
        <v/>
      </c>
      <c r="Q771" s="35" t="str">
        <f aca="false">IF($A771="","",IF(MONTH($A771)&lt;=6,1,2))</f>
        <v/>
      </c>
      <c r="R771" s="35" t="str">
        <f aca="false">IF($E771="","",IFERROR(INDEX(Kontenplan!$F$5:$F$90,MATCH($E771,Kontenplan!$A$5:$A$90,0)),""))</f>
        <v/>
      </c>
      <c r="S771" s="35" t="str">
        <f aca="false">IF($D771="","",IFERROR(INDEX(Kontenplan!$F$5:$F$90,MATCH($D771,Kontenplan!$A$5:$A$90,0)),""))</f>
        <v/>
      </c>
      <c r="T771" s="35" t="str">
        <f aca="false">IF($D771="","",IFERROR(INDEX(Kontenplan!$C$5:$C$90,MATCH($D771,Kontenplan!$A$5:$A$90,0)),"?"))</f>
        <v/>
      </c>
      <c r="U771" s="35" t="str">
        <f aca="false">IF($E771="","",IFERROR(INDEX(Kontenplan!$C$5:$C$90,MATCH($E771,Kontenplan!$A$5:$A$90,0)),"?"))</f>
        <v/>
      </c>
      <c r="V771" s="35" t="str">
        <f aca="false">IF($F771="","",IF(OR($D771="",$E771="",$T771="?",$U771="?"),"Konto prüfen!",IF($A771="","Datum fehlt",IF(YEAR($A771)&lt;&gt;Einstellungen!$B$7,"anderes Jahr!",IF($G771="","MWST-Code fehlt","OK")))))</f>
        <v/>
      </c>
      <c r="W771" s="35" t="str">
        <f aca="false">IF($F771="","",IF(OR($D771=Kontoauszug!$C$4,$E771=Kontoauszug!$C$4),MAX(W$4:W770)+1,""))</f>
        <v/>
      </c>
    </row>
    <row r="772" customFormat="false" ht="15" hidden="false" customHeight="false" outlineLevel="0" collapsed="false">
      <c r="A772" s="33"/>
      <c r="B772" s="32"/>
      <c r="C772" s="32"/>
      <c r="D772" s="32"/>
      <c r="E772" s="32"/>
      <c r="F772" s="30"/>
      <c r="G772" s="32"/>
      <c r="H772" s="34" t="n">
        <f aca="false">IF($G772="",0,IFERROR(INDEX(Einstellungen!$G$5:$G$11,MATCH($G772,Einstellungen!$E$5:$E$11,0)),0))</f>
        <v>0</v>
      </c>
      <c r="I772" s="35" t="str">
        <f aca="false">IF($G772="","-",IFERROR(INDEX(Einstellungen!$H$5:$H$11,MATCH($G772,Einstellungen!$E$5:$E$11,0)),"-"))</f>
        <v>-</v>
      </c>
      <c r="J772" s="35" t="str">
        <f aca="false">IF(AND(Einstellungen!$B$8="Ja",Einstellungen!$B$9="Effektiv"),$I772,"-")</f>
        <v>-</v>
      </c>
      <c r="K772" s="31" t="n">
        <f aca="false">IF(OR($F772="",$J772="-"),0,ROUND($F772-$F772/(1+$H772),2))</f>
        <v>0</v>
      </c>
      <c r="L772" s="31" t="n">
        <f aca="false">IF($F772="",0,$F772-$K772)</f>
        <v>0</v>
      </c>
      <c r="M772" s="31" t="n">
        <f aca="false">IF($F772="",0,IF($J772="V",$L772,$F772))</f>
        <v>0</v>
      </c>
      <c r="N772" s="31" t="n">
        <f aca="false">IF($F772="",0,IF($J772="U",$L772,$F772))</f>
        <v>0</v>
      </c>
      <c r="O772" s="35" t="str">
        <f aca="false">IF($A772="","",MONTH($A772))</f>
        <v/>
      </c>
      <c r="P772" s="35" t="str">
        <f aca="false">IF($A772="","",ROUNDUP(MONTH($A772)/3,0))</f>
        <v/>
      </c>
      <c r="Q772" s="35" t="str">
        <f aca="false">IF($A772="","",IF(MONTH($A772)&lt;=6,1,2))</f>
        <v/>
      </c>
      <c r="R772" s="35" t="str">
        <f aca="false">IF($E772="","",IFERROR(INDEX(Kontenplan!$F$5:$F$90,MATCH($E772,Kontenplan!$A$5:$A$90,0)),""))</f>
        <v/>
      </c>
      <c r="S772" s="35" t="str">
        <f aca="false">IF($D772="","",IFERROR(INDEX(Kontenplan!$F$5:$F$90,MATCH($D772,Kontenplan!$A$5:$A$90,0)),""))</f>
        <v/>
      </c>
      <c r="T772" s="35" t="str">
        <f aca="false">IF($D772="","",IFERROR(INDEX(Kontenplan!$C$5:$C$90,MATCH($D772,Kontenplan!$A$5:$A$90,0)),"?"))</f>
        <v/>
      </c>
      <c r="U772" s="35" t="str">
        <f aca="false">IF($E772="","",IFERROR(INDEX(Kontenplan!$C$5:$C$90,MATCH($E772,Kontenplan!$A$5:$A$90,0)),"?"))</f>
        <v/>
      </c>
      <c r="V772" s="35" t="str">
        <f aca="false">IF($F772="","",IF(OR($D772="",$E772="",$T772="?",$U772="?"),"Konto prüfen!",IF($A772="","Datum fehlt",IF(YEAR($A772)&lt;&gt;Einstellungen!$B$7,"anderes Jahr!",IF($G772="","MWST-Code fehlt","OK")))))</f>
        <v/>
      </c>
      <c r="W772" s="35" t="str">
        <f aca="false">IF($F772="","",IF(OR($D772=Kontoauszug!$C$4,$E772=Kontoauszug!$C$4),MAX(W$4:W771)+1,""))</f>
        <v/>
      </c>
    </row>
    <row r="773" customFormat="false" ht="15" hidden="false" customHeight="false" outlineLevel="0" collapsed="false">
      <c r="A773" s="33"/>
      <c r="B773" s="32"/>
      <c r="C773" s="32"/>
      <c r="D773" s="32"/>
      <c r="E773" s="32"/>
      <c r="F773" s="30"/>
      <c r="G773" s="32"/>
      <c r="H773" s="34" t="n">
        <f aca="false">IF($G773="",0,IFERROR(INDEX(Einstellungen!$G$5:$G$11,MATCH($G773,Einstellungen!$E$5:$E$11,0)),0))</f>
        <v>0</v>
      </c>
      <c r="I773" s="35" t="str">
        <f aca="false">IF($G773="","-",IFERROR(INDEX(Einstellungen!$H$5:$H$11,MATCH($G773,Einstellungen!$E$5:$E$11,0)),"-"))</f>
        <v>-</v>
      </c>
      <c r="J773" s="35" t="str">
        <f aca="false">IF(AND(Einstellungen!$B$8="Ja",Einstellungen!$B$9="Effektiv"),$I773,"-")</f>
        <v>-</v>
      </c>
      <c r="K773" s="31" t="n">
        <f aca="false">IF(OR($F773="",$J773="-"),0,ROUND($F773-$F773/(1+$H773),2))</f>
        <v>0</v>
      </c>
      <c r="L773" s="31" t="n">
        <f aca="false">IF($F773="",0,$F773-$K773)</f>
        <v>0</v>
      </c>
      <c r="M773" s="31" t="n">
        <f aca="false">IF($F773="",0,IF($J773="V",$L773,$F773))</f>
        <v>0</v>
      </c>
      <c r="N773" s="31" t="n">
        <f aca="false">IF($F773="",0,IF($J773="U",$L773,$F773))</f>
        <v>0</v>
      </c>
      <c r="O773" s="35" t="str">
        <f aca="false">IF($A773="","",MONTH($A773))</f>
        <v/>
      </c>
      <c r="P773" s="35" t="str">
        <f aca="false">IF($A773="","",ROUNDUP(MONTH($A773)/3,0))</f>
        <v/>
      </c>
      <c r="Q773" s="35" t="str">
        <f aca="false">IF($A773="","",IF(MONTH($A773)&lt;=6,1,2))</f>
        <v/>
      </c>
      <c r="R773" s="35" t="str">
        <f aca="false">IF($E773="","",IFERROR(INDEX(Kontenplan!$F$5:$F$90,MATCH($E773,Kontenplan!$A$5:$A$90,0)),""))</f>
        <v/>
      </c>
      <c r="S773" s="35" t="str">
        <f aca="false">IF($D773="","",IFERROR(INDEX(Kontenplan!$F$5:$F$90,MATCH($D773,Kontenplan!$A$5:$A$90,0)),""))</f>
        <v/>
      </c>
      <c r="T773" s="35" t="str">
        <f aca="false">IF($D773="","",IFERROR(INDEX(Kontenplan!$C$5:$C$90,MATCH($D773,Kontenplan!$A$5:$A$90,0)),"?"))</f>
        <v/>
      </c>
      <c r="U773" s="35" t="str">
        <f aca="false">IF($E773="","",IFERROR(INDEX(Kontenplan!$C$5:$C$90,MATCH($E773,Kontenplan!$A$5:$A$90,0)),"?"))</f>
        <v/>
      </c>
      <c r="V773" s="35" t="str">
        <f aca="false">IF($F773="","",IF(OR($D773="",$E773="",$T773="?",$U773="?"),"Konto prüfen!",IF($A773="","Datum fehlt",IF(YEAR($A773)&lt;&gt;Einstellungen!$B$7,"anderes Jahr!",IF($G773="","MWST-Code fehlt","OK")))))</f>
        <v/>
      </c>
      <c r="W773" s="35" t="str">
        <f aca="false">IF($F773="","",IF(OR($D773=Kontoauszug!$C$4,$E773=Kontoauszug!$C$4),MAX(W$4:W772)+1,""))</f>
        <v/>
      </c>
    </row>
    <row r="774" customFormat="false" ht="15" hidden="false" customHeight="false" outlineLevel="0" collapsed="false">
      <c r="A774" s="33"/>
      <c r="B774" s="32"/>
      <c r="C774" s="32"/>
      <c r="D774" s="32"/>
      <c r="E774" s="32"/>
      <c r="F774" s="30"/>
      <c r="G774" s="32"/>
      <c r="H774" s="34" t="n">
        <f aca="false">IF($G774="",0,IFERROR(INDEX(Einstellungen!$G$5:$G$11,MATCH($G774,Einstellungen!$E$5:$E$11,0)),0))</f>
        <v>0</v>
      </c>
      <c r="I774" s="35" t="str">
        <f aca="false">IF($G774="","-",IFERROR(INDEX(Einstellungen!$H$5:$H$11,MATCH($G774,Einstellungen!$E$5:$E$11,0)),"-"))</f>
        <v>-</v>
      </c>
      <c r="J774" s="35" t="str">
        <f aca="false">IF(AND(Einstellungen!$B$8="Ja",Einstellungen!$B$9="Effektiv"),$I774,"-")</f>
        <v>-</v>
      </c>
      <c r="K774" s="31" t="n">
        <f aca="false">IF(OR($F774="",$J774="-"),0,ROUND($F774-$F774/(1+$H774),2))</f>
        <v>0</v>
      </c>
      <c r="L774" s="31" t="n">
        <f aca="false">IF($F774="",0,$F774-$K774)</f>
        <v>0</v>
      </c>
      <c r="M774" s="31" t="n">
        <f aca="false">IF($F774="",0,IF($J774="V",$L774,$F774))</f>
        <v>0</v>
      </c>
      <c r="N774" s="31" t="n">
        <f aca="false">IF($F774="",0,IF($J774="U",$L774,$F774))</f>
        <v>0</v>
      </c>
      <c r="O774" s="35" t="str">
        <f aca="false">IF($A774="","",MONTH($A774))</f>
        <v/>
      </c>
      <c r="P774" s="35" t="str">
        <f aca="false">IF($A774="","",ROUNDUP(MONTH($A774)/3,0))</f>
        <v/>
      </c>
      <c r="Q774" s="35" t="str">
        <f aca="false">IF($A774="","",IF(MONTH($A774)&lt;=6,1,2))</f>
        <v/>
      </c>
      <c r="R774" s="35" t="str">
        <f aca="false">IF($E774="","",IFERROR(INDEX(Kontenplan!$F$5:$F$90,MATCH($E774,Kontenplan!$A$5:$A$90,0)),""))</f>
        <v/>
      </c>
      <c r="S774" s="35" t="str">
        <f aca="false">IF($D774="","",IFERROR(INDEX(Kontenplan!$F$5:$F$90,MATCH($D774,Kontenplan!$A$5:$A$90,0)),""))</f>
        <v/>
      </c>
      <c r="T774" s="35" t="str">
        <f aca="false">IF($D774="","",IFERROR(INDEX(Kontenplan!$C$5:$C$90,MATCH($D774,Kontenplan!$A$5:$A$90,0)),"?"))</f>
        <v/>
      </c>
      <c r="U774" s="35" t="str">
        <f aca="false">IF($E774="","",IFERROR(INDEX(Kontenplan!$C$5:$C$90,MATCH($E774,Kontenplan!$A$5:$A$90,0)),"?"))</f>
        <v/>
      </c>
      <c r="V774" s="35" t="str">
        <f aca="false">IF($F774="","",IF(OR($D774="",$E774="",$T774="?",$U774="?"),"Konto prüfen!",IF($A774="","Datum fehlt",IF(YEAR($A774)&lt;&gt;Einstellungen!$B$7,"anderes Jahr!",IF($G774="","MWST-Code fehlt","OK")))))</f>
        <v/>
      </c>
      <c r="W774" s="35" t="str">
        <f aca="false">IF($F774="","",IF(OR($D774=Kontoauszug!$C$4,$E774=Kontoauszug!$C$4),MAX(W$4:W773)+1,""))</f>
        <v/>
      </c>
    </row>
    <row r="775" customFormat="false" ht="15" hidden="false" customHeight="false" outlineLevel="0" collapsed="false">
      <c r="A775" s="33"/>
      <c r="B775" s="32"/>
      <c r="C775" s="32"/>
      <c r="D775" s="32"/>
      <c r="E775" s="32"/>
      <c r="F775" s="30"/>
      <c r="G775" s="32"/>
      <c r="H775" s="34" t="n">
        <f aca="false">IF($G775="",0,IFERROR(INDEX(Einstellungen!$G$5:$G$11,MATCH($G775,Einstellungen!$E$5:$E$11,0)),0))</f>
        <v>0</v>
      </c>
      <c r="I775" s="35" t="str">
        <f aca="false">IF($G775="","-",IFERROR(INDEX(Einstellungen!$H$5:$H$11,MATCH($G775,Einstellungen!$E$5:$E$11,0)),"-"))</f>
        <v>-</v>
      </c>
      <c r="J775" s="35" t="str">
        <f aca="false">IF(AND(Einstellungen!$B$8="Ja",Einstellungen!$B$9="Effektiv"),$I775,"-")</f>
        <v>-</v>
      </c>
      <c r="K775" s="31" t="n">
        <f aca="false">IF(OR($F775="",$J775="-"),0,ROUND($F775-$F775/(1+$H775),2))</f>
        <v>0</v>
      </c>
      <c r="L775" s="31" t="n">
        <f aca="false">IF($F775="",0,$F775-$K775)</f>
        <v>0</v>
      </c>
      <c r="M775" s="31" t="n">
        <f aca="false">IF($F775="",0,IF($J775="V",$L775,$F775))</f>
        <v>0</v>
      </c>
      <c r="N775" s="31" t="n">
        <f aca="false">IF($F775="",0,IF($J775="U",$L775,$F775))</f>
        <v>0</v>
      </c>
      <c r="O775" s="35" t="str">
        <f aca="false">IF($A775="","",MONTH($A775))</f>
        <v/>
      </c>
      <c r="P775" s="35" t="str">
        <f aca="false">IF($A775="","",ROUNDUP(MONTH($A775)/3,0))</f>
        <v/>
      </c>
      <c r="Q775" s="35" t="str">
        <f aca="false">IF($A775="","",IF(MONTH($A775)&lt;=6,1,2))</f>
        <v/>
      </c>
      <c r="R775" s="35" t="str">
        <f aca="false">IF($E775="","",IFERROR(INDEX(Kontenplan!$F$5:$F$90,MATCH($E775,Kontenplan!$A$5:$A$90,0)),""))</f>
        <v/>
      </c>
      <c r="S775" s="35" t="str">
        <f aca="false">IF($D775="","",IFERROR(INDEX(Kontenplan!$F$5:$F$90,MATCH($D775,Kontenplan!$A$5:$A$90,0)),""))</f>
        <v/>
      </c>
      <c r="T775" s="35" t="str">
        <f aca="false">IF($D775="","",IFERROR(INDEX(Kontenplan!$C$5:$C$90,MATCH($D775,Kontenplan!$A$5:$A$90,0)),"?"))</f>
        <v/>
      </c>
      <c r="U775" s="35" t="str">
        <f aca="false">IF($E775="","",IFERROR(INDEX(Kontenplan!$C$5:$C$90,MATCH($E775,Kontenplan!$A$5:$A$90,0)),"?"))</f>
        <v/>
      </c>
      <c r="V775" s="35" t="str">
        <f aca="false">IF($F775="","",IF(OR($D775="",$E775="",$T775="?",$U775="?"),"Konto prüfen!",IF($A775="","Datum fehlt",IF(YEAR($A775)&lt;&gt;Einstellungen!$B$7,"anderes Jahr!",IF($G775="","MWST-Code fehlt","OK")))))</f>
        <v/>
      </c>
      <c r="W775" s="35" t="str">
        <f aca="false">IF($F775="","",IF(OR($D775=Kontoauszug!$C$4,$E775=Kontoauszug!$C$4),MAX(W$4:W774)+1,""))</f>
        <v/>
      </c>
    </row>
    <row r="776" customFormat="false" ht="15" hidden="false" customHeight="false" outlineLevel="0" collapsed="false">
      <c r="A776" s="33"/>
      <c r="B776" s="32"/>
      <c r="C776" s="32"/>
      <c r="D776" s="32"/>
      <c r="E776" s="32"/>
      <c r="F776" s="30"/>
      <c r="G776" s="32"/>
      <c r="H776" s="34" t="n">
        <f aca="false">IF($G776="",0,IFERROR(INDEX(Einstellungen!$G$5:$G$11,MATCH($G776,Einstellungen!$E$5:$E$11,0)),0))</f>
        <v>0</v>
      </c>
      <c r="I776" s="35" t="str">
        <f aca="false">IF($G776="","-",IFERROR(INDEX(Einstellungen!$H$5:$H$11,MATCH($G776,Einstellungen!$E$5:$E$11,0)),"-"))</f>
        <v>-</v>
      </c>
      <c r="J776" s="35" t="str">
        <f aca="false">IF(AND(Einstellungen!$B$8="Ja",Einstellungen!$B$9="Effektiv"),$I776,"-")</f>
        <v>-</v>
      </c>
      <c r="K776" s="31" t="n">
        <f aca="false">IF(OR($F776="",$J776="-"),0,ROUND($F776-$F776/(1+$H776),2))</f>
        <v>0</v>
      </c>
      <c r="L776" s="31" t="n">
        <f aca="false">IF($F776="",0,$F776-$K776)</f>
        <v>0</v>
      </c>
      <c r="M776" s="31" t="n">
        <f aca="false">IF($F776="",0,IF($J776="V",$L776,$F776))</f>
        <v>0</v>
      </c>
      <c r="N776" s="31" t="n">
        <f aca="false">IF($F776="",0,IF($J776="U",$L776,$F776))</f>
        <v>0</v>
      </c>
      <c r="O776" s="35" t="str">
        <f aca="false">IF($A776="","",MONTH($A776))</f>
        <v/>
      </c>
      <c r="P776" s="35" t="str">
        <f aca="false">IF($A776="","",ROUNDUP(MONTH($A776)/3,0))</f>
        <v/>
      </c>
      <c r="Q776" s="35" t="str">
        <f aca="false">IF($A776="","",IF(MONTH($A776)&lt;=6,1,2))</f>
        <v/>
      </c>
      <c r="R776" s="35" t="str">
        <f aca="false">IF($E776="","",IFERROR(INDEX(Kontenplan!$F$5:$F$90,MATCH($E776,Kontenplan!$A$5:$A$90,0)),""))</f>
        <v/>
      </c>
      <c r="S776" s="35" t="str">
        <f aca="false">IF($D776="","",IFERROR(INDEX(Kontenplan!$F$5:$F$90,MATCH($D776,Kontenplan!$A$5:$A$90,0)),""))</f>
        <v/>
      </c>
      <c r="T776" s="35" t="str">
        <f aca="false">IF($D776="","",IFERROR(INDEX(Kontenplan!$C$5:$C$90,MATCH($D776,Kontenplan!$A$5:$A$90,0)),"?"))</f>
        <v/>
      </c>
      <c r="U776" s="35" t="str">
        <f aca="false">IF($E776="","",IFERROR(INDEX(Kontenplan!$C$5:$C$90,MATCH($E776,Kontenplan!$A$5:$A$90,0)),"?"))</f>
        <v/>
      </c>
      <c r="V776" s="35" t="str">
        <f aca="false">IF($F776="","",IF(OR($D776="",$E776="",$T776="?",$U776="?"),"Konto prüfen!",IF($A776="","Datum fehlt",IF(YEAR($A776)&lt;&gt;Einstellungen!$B$7,"anderes Jahr!",IF($G776="","MWST-Code fehlt","OK")))))</f>
        <v/>
      </c>
      <c r="W776" s="35" t="str">
        <f aca="false">IF($F776="","",IF(OR($D776=Kontoauszug!$C$4,$E776=Kontoauszug!$C$4),MAX(W$4:W775)+1,""))</f>
        <v/>
      </c>
    </row>
    <row r="777" customFormat="false" ht="15" hidden="false" customHeight="false" outlineLevel="0" collapsed="false">
      <c r="A777" s="33"/>
      <c r="B777" s="32"/>
      <c r="C777" s="32"/>
      <c r="D777" s="32"/>
      <c r="E777" s="32"/>
      <c r="F777" s="30"/>
      <c r="G777" s="32"/>
      <c r="H777" s="34" t="n">
        <f aca="false">IF($G777="",0,IFERROR(INDEX(Einstellungen!$G$5:$G$11,MATCH($G777,Einstellungen!$E$5:$E$11,0)),0))</f>
        <v>0</v>
      </c>
      <c r="I777" s="35" t="str">
        <f aca="false">IF($G777="","-",IFERROR(INDEX(Einstellungen!$H$5:$H$11,MATCH($G777,Einstellungen!$E$5:$E$11,0)),"-"))</f>
        <v>-</v>
      </c>
      <c r="J777" s="35" t="str">
        <f aca="false">IF(AND(Einstellungen!$B$8="Ja",Einstellungen!$B$9="Effektiv"),$I777,"-")</f>
        <v>-</v>
      </c>
      <c r="K777" s="31" t="n">
        <f aca="false">IF(OR($F777="",$J777="-"),0,ROUND($F777-$F777/(1+$H777),2))</f>
        <v>0</v>
      </c>
      <c r="L777" s="31" t="n">
        <f aca="false">IF($F777="",0,$F777-$K777)</f>
        <v>0</v>
      </c>
      <c r="M777" s="31" t="n">
        <f aca="false">IF($F777="",0,IF($J777="V",$L777,$F777))</f>
        <v>0</v>
      </c>
      <c r="N777" s="31" t="n">
        <f aca="false">IF($F777="",0,IF($J777="U",$L777,$F777))</f>
        <v>0</v>
      </c>
      <c r="O777" s="35" t="str">
        <f aca="false">IF($A777="","",MONTH($A777))</f>
        <v/>
      </c>
      <c r="P777" s="35" t="str">
        <f aca="false">IF($A777="","",ROUNDUP(MONTH($A777)/3,0))</f>
        <v/>
      </c>
      <c r="Q777" s="35" t="str">
        <f aca="false">IF($A777="","",IF(MONTH($A777)&lt;=6,1,2))</f>
        <v/>
      </c>
      <c r="R777" s="35" t="str">
        <f aca="false">IF($E777="","",IFERROR(INDEX(Kontenplan!$F$5:$F$90,MATCH($E777,Kontenplan!$A$5:$A$90,0)),""))</f>
        <v/>
      </c>
      <c r="S777" s="35" t="str">
        <f aca="false">IF($D777="","",IFERROR(INDEX(Kontenplan!$F$5:$F$90,MATCH($D777,Kontenplan!$A$5:$A$90,0)),""))</f>
        <v/>
      </c>
      <c r="T777" s="35" t="str">
        <f aca="false">IF($D777="","",IFERROR(INDEX(Kontenplan!$C$5:$C$90,MATCH($D777,Kontenplan!$A$5:$A$90,0)),"?"))</f>
        <v/>
      </c>
      <c r="U777" s="35" t="str">
        <f aca="false">IF($E777="","",IFERROR(INDEX(Kontenplan!$C$5:$C$90,MATCH($E777,Kontenplan!$A$5:$A$90,0)),"?"))</f>
        <v/>
      </c>
      <c r="V777" s="35" t="str">
        <f aca="false">IF($F777="","",IF(OR($D777="",$E777="",$T777="?",$U777="?"),"Konto prüfen!",IF($A777="","Datum fehlt",IF(YEAR($A777)&lt;&gt;Einstellungen!$B$7,"anderes Jahr!",IF($G777="","MWST-Code fehlt","OK")))))</f>
        <v/>
      </c>
      <c r="W777" s="35" t="str">
        <f aca="false">IF($F777="","",IF(OR($D777=Kontoauszug!$C$4,$E777=Kontoauszug!$C$4),MAX(W$4:W776)+1,""))</f>
        <v/>
      </c>
    </row>
    <row r="778" customFormat="false" ht="15" hidden="false" customHeight="false" outlineLevel="0" collapsed="false">
      <c r="A778" s="33"/>
      <c r="B778" s="32"/>
      <c r="C778" s="32"/>
      <c r="D778" s="32"/>
      <c r="E778" s="32"/>
      <c r="F778" s="30"/>
      <c r="G778" s="32"/>
      <c r="H778" s="34" t="n">
        <f aca="false">IF($G778="",0,IFERROR(INDEX(Einstellungen!$G$5:$G$11,MATCH($G778,Einstellungen!$E$5:$E$11,0)),0))</f>
        <v>0</v>
      </c>
      <c r="I778" s="35" t="str">
        <f aca="false">IF($G778="","-",IFERROR(INDEX(Einstellungen!$H$5:$H$11,MATCH($G778,Einstellungen!$E$5:$E$11,0)),"-"))</f>
        <v>-</v>
      </c>
      <c r="J778" s="35" t="str">
        <f aca="false">IF(AND(Einstellungen!$B$8="Ja",Einstellungen!$B$9="Effektiv"),$I778,"-")</f>
        <v>-</v>
      </c>
      <c r="K778" s="31" t="n">
        <f aca="false">IF(OR($F778="",$J778="-"),0,ROUND($F778-$F778/(1+$H778),2))</f>
        <v>0</v>
      </c>
      <c r="L778" s="31" t="n">
        <f aca="false">IF($F778="",0,$F778-$K778)</f>
        <v>0</v>
      </c>
      <c r="M778" s="31" t="n">
        <f aca="false">IF($F778="",0,IF($J778="V",$L778,$F778))</f>
        <v>0</v>
      </c>
      <c r="N778" s="31" t="n">
        <f aca="false">IF($F778="",0,IF($J778="U",$L778,$F778))</f>
        <v>0</v>
      </c>
      <c r="O778" s="35" t="str">
        <f aca="false">IF($A778="","",MONTH($A778))</f>
        <v/>
      </c>
      <c r="P778" s="35" t="str">
        <f aca="false">IF($A778="","",ROUNDUP(MONTH($A778)/3,0))</f>
        <v/>
      </c>
      <c r="Q778" s="35" t="str">
        <f aca="false">IF($A778="","",IF(MONTH($A778)&lt;=6,1,2))</f>
        <v/>
      </c>
      <c r="R778" s="35" t="str">
        <f aca="false">IF($E778="","",IFERROR(INDEX(Kontenplan!$F$5:$F$90,MATCH($E778,Kontenplan!$A$5:$A$90,0)),""))</f>
        <v/>
      </c>
      <c r="S778" s="35" t="str">
        <f aca="false">IF($D778="","",IFERROR(INDEX(Kontenplan!$F$5:$F$90,MATCH($D778,Kontenplan!$A$5:$A$90,0)),""))</f>
        <v/>
      </c>
      <c r="T778" s="35" t="str">
        <f aca="false">IF($D778="","",IFERROR(INDEX(Kontenplan!$C$5:$C$90,MATCH($D778,Kontenplan!$A$5:$A$90,0)),"?"))</f>
        <v/>
      </c>
      <c r="U778" s="35" t="str">
        <f aca="false">IF($E778="","",IFERROR(INDEX(Kontenplan!$C$5:$C$90,MATCH($E778,Kontenplan!$A$5:$A$90,0)),"?"))</f>
        <v/>
      </c>
      <c r="V778" s="35" t="str">
        <f aca="false">IF($F778="","",IF(OR($D778="",$E778="",$T778="?",$U778="?"),"Konto prüfen!",IF($A778="","Datum fehlt",IF(YEAR($A778)&lt;&gt;Einstellungen!$B$7,"anderes Jahr!",IF($G778="","MWST-Code fehlt","OK")))))</f>
        <v/>
      </c>
      <c r="W778" s="35" t="str">
        <f aca="false">IF($F778="","",IF(OR($D778=Kontoauszug!$C$4,$E778=Kontoauszug!$C$4),MAX(W$4:W777)+1,""))</f>
        <v/>
      </c>
    </row>
    <row r="779" customFormat="false" ht="15" hidden="false" customHeight="false" outlineLevel="0" collapsed="false">
      <c r="A779" s="33"/>
      <c r="B779" s="32"/>
      <c r="C779" s="32"/>
      <c r="D779" s="32"/>
      <c r="E779" s="32"/>
      <c r="F779" s="30"/>
      <c r="G779" s="32"/>
      <c r="H779" s="34" t="n">
        <f aca="false">IF($G779="",0,IFERROR(INDEX(Einstellungen!$G$5:$G$11,MATCH($G779,Einstellungen!$E$5:$E$11,0)),0))</f>
        <v>0</v>
      </c>
      <c r="I779" s="35" t="str">
        <f aca="false">IF($G779="","-",IFERROR(INDEX(Einstellungen!$H$5:$H$11,MATCH($G779,Einstellungen!$E$5:$E$11,0)),"-"))</f>
        <v>-</v>
      </c>
      <c r="J779" s="35" t="str">
        <f aca="false">IF(AND(Einstellungen!$B$8="Ja",Einstellungen!$B$9="Effektiv"),$I779,"-")</f>
        <v>-</v>
      </c>
      <c r="K779" s="31" t="n">
        <f aca="false">IF(OR($F779="",$J779="-"),0,ROUND($F779-$F779/(1+$H779),2))</f>
        <v>0</v>
      </c>
      <c r="L779" s="31" t="n">
        <f aca="false">IF($F779="",0,$F779-$K779)</f>
        <v>0</v>
      </c>
      <c r="M779" s="31" t="n">
        <f aca="false">IF($F779="",0,IF($J779="V",$L779,$F779))</f>
        <v>0</v>
      </c>
      <c r="N779" s="31" t="n">
        <f aca="false">IF($F779="",0,IF($J779="U",$L779,$F779))</f>
        <v>0</v>
      </c>
      <c r="O779" s="35" t="str">
        <f aca="false">IF($A779="","",MONTH($A779))</f>
        <v/>
      </c>
      <c r="P779" s="35" t="str">
        <f aca="false">IF($A779="","",ROUNDUP(MONTH($A779)/3,0))</f>
        <v/>
      </c>
      <c r="Q779" s="35" t="str">
        <f aca="false">IF($A779="","",IF(MONTH($A779)&lt;=6,1,2))</f>
        <v/>
      </c>
      <c r="R779" s="35" t="str">
        <f aca="false">IF($E779="","",IFERROR(INDEX(Kontenplan!$F$5:$F$90,MATCH($E779,Kontenplan!$A$5:$A$90,0)),""))</f>
        <v/>
      </c>
      <c r="S779" s="35" t="str">
        <f aca="false">IF($D779="","",IFERROR(INDEX(Kontenplan!$F$5:$F$90,MATCH($D779,Kontenplan!$A$5:$A$90,0)),""))</f>
        <v/>
      </c>
      <c r="T779" s="35" t="str">
        <f aca="false">IF($D779="","",IFERROR(INDEX(Kontenplan!$C$5:$C$90,MATCH($D779,Kontenplan!$A$5:$A$90,0)),"?"))</f>
        <v/>
      </c>
      <c r="U779" s="35" t="str">
        <f aca="false">IF($E779="","",IFERROR(INDEX(Kontenplan!$C$5:$C$90,MATCH($E779,Kontenplan!$A$5:$A$90,0)),"?"))</f>
        <v/>
      </c>
      <c r="V779" s="35" t="str">
        <f aca="false">IF($F779="","",IF(OR($D779="",$E779="",$T779="?",$U779="?"),"Konto prüfen!",IF($A779="","Datum fehlt",IF(YEAR($A779)&lt;&gt;Einstellungen!$B$7,"anderes Jahr!",IF($G779="","MWST-Code fehlt","OK")))))</f>
        <v/>
      </c>
      <c r="W779" s="35" t="str">
        <f aca="false">IF($F779="","",IF(OR($D779=Kontoauszug!$C$4,$E779=Kontoauszug!$C$4),MAX(W$4:W778)+1,""))</f>
        <v/>
      </c>
    </row>
    <row r="780" customFormat="false" ht="15" hidden="false" customHeight="false" outlineLevel="0" collapsed="false">
      <c r="A780" s="33"/>
      <c r="B780" s="32"/>
      <c r="C780" s="32"/>
      <c r="D780" s="32"/>
      <c r="E780" s="32"/>
      <c r="F780" s="30"/>
      <c r="G780" s="32"/>
      <c r="H780" s="34" t="n">
        <f aca="false">IF($G780="",0,IFERROR(INDEX(Einstellungen!$G$5:$G$11,MATCH($G780,Einstellungen!$E$5:$E$11,0)),0))</f>
        <v>0</v>
      </c>
      <c r="I780" s="35" t="str">
        <f aca="false">IF($G780="","-",IFERROR(INDEX(Einstellungen!$H$5:$H$11,MATCH($G780,Einstellungen!$E$5:$E$11,0)),"-"))</f>
        <v>-</v>
      </c>
      <c r="J780" s="35" t="str">
        <f aca="false">IF(AND(Einstellungen!$B$8="Ja",Einstellungen!$B$9="Effektiv"),$I780,"-")</f>
        <v>-</v>
      </c>
      <c r="K780" s="31" t="n">
        <f aca="false">IF(OR($F780="",$J780="-"),0,ROUND($F780-$F780/(1+$H780),2))</f>
        <v>0</v>
      </c>
      <c r="L780" s="31" t="n">
        <f aca="false">IF($F780="",0,$F780-$K780)</f>
        <v>0</v>
      </c>
      <c r="M780" s="31" t="n">
        <f aca="false">IF($F780="",0,IF($J780="V",$L780,$F780))</f>
        <v>0</v>
      </c>
      <c r="N780" s="31" t="n">
        <f aca="false">IF($F780="",0,IF($J780="U",$L780,$F780))</f>
        <v>0</v>
      </c>
      <c r="O780" s="35" t="str">
        <f aca="false">IF($A780="","",MONTH($A780))</f>
        <v/>
      </c>
      <c r="P780" s="35" t="str">
        <f aca="false">IF($A780="","",ROUNDUP(MONTH($A780)/3,0))</f>
        <v/>
      </c>
      <c r="Q780" s="35" t="str">
        <f aca="false">IF($A780="","",IF(MONTH($A780)&lt;=6,1,2))</f>
        <v/>
      </c>
      <c r="R780" s="35" t="str">
        <f aca="false">IF($E780="","",IFERROR(INDEX(Kontenplan!$F$5:$F$90,MATCH($E780,Kontenplan!$A$5:$A$90,0)),""))</f>
        <v/>
      </c>
      <c r="S780" s="35" t="str">
        <f aca="false">IF($D780="","",IFERROR(INDEX(Kontenplan!$F$5:$F$90,MATCH($D780,Kontenplan!$A$5:$A$90,0)),""))</f>
        <v/>
      </c>
      <c r="T780" s="35" t="str">
        <f aca="false">IF($D780="","",IFERROR(INDEX(Kontenplan!$C$5:$C$90,MATCH($D780,Kontenplan!$A$5:$A$90,0)),"?"))</f>
        <v/>
      </c>
      <c r="U780" s="35" t="str">
        <f aca="false">IF($E780="","",IFERROR(INDEX(Kontenplan!$C$5:$C$90,MATCH($E780,Kontenplan!$A$5:$A$90,0)),"?"))</f>
        <v/>
      </c>
      <c r="V780" s="35" t="str">
        <f aca="false">IF($F780="","",IF(OR($D780="",$E780="",$T780="?",$U780="?"),"Konto prüfen!",IF($A780="","Datum fehlt",IF(YEAR($A780)&lt;&gt;Einstellungen!$B$7,"anderes Jahr!",IF($G780="","MWST-Code fehlt","OK")))))</f>
        <v/>
      </c>
      <c r="W780" s="35" t="str">
        <f aca="false">IF($F780="","",IF(OR($D780=Kontoauszug!$C$4,$E780=Kontoauszug!$C$4),MAX(W$4:W779)+1,""))</f>
        <v/>
      </c>
    </row>
    <row r="781" customFormat="false" ht="15" hidden="false" customHeight="false" outlineLevel="0" collapsed="false">
      <c r="A781" s="33"/>
      <c r="B781" s="32"/>
      <c r="C781" s="32"/>
      <c r="D781" s="32"/>
      <c r="E781" s="32"/>
      <c r="F781" s="30"/>
      <c r="G781" s="32"/>
      <c r="H781" s="34" t="n">
        <f aca="false">IF($G781="",0,IFERROR(INDEX(Einstellungen!$G$5:$G$11,MATCH($G781,Einstellungen!$E$5:$E$11,0)),0))</f>
        <v>0</v>
      </c>
      <c r="I781" s="35" t="str">
        <f aca="false">IF($G781="","-",IFERROR(INDEX(Einstellungen!$H$5:$H$11,MATCH($G781,Einstellungen!$E$5:$E$11,0)),"-"))</f>
        <v>-</v>
      </c>
      <c r="J781" s="35" t="str">
        <f aca="false">IF(AND(Einstellungen!$B$8="Ja",Einstellungen!$B$9="Effektiv"),$I781,"-")</f>
        <v>-</v>
      </c>
      <c r="K781" s="31" t="n">
        <f aca="false">IF(OR($F781="",$J781="-"),0,ROUND($F781-$F781/(1+$H781),2))</f>
        <v>0</v>
      </c>
      <c r="L781" s="31" t="n">
        <f aca="false">IF($F781="",0,$F781-$K781)</f>
        <v>0</v>
      </c>
      <c r="M781" s="31" t="n">
        <f aca="false">IF($F781="",0,IF($J781="V",$L781,$F781))</f>
        <v>0</v>
      </c>
      <c r="N781" s="31" t="n">
        <f aca="false">IF($F781="",0,IF($J781="U",$L781,$F781))</f>
        <v>0</v>
      </c>
      <c r="O781" s="35" t="str">
        <f aca="false">IF($A781="","",MONTH($A781))</f>
        <v/>
      </c>
      <c r="P781" s="35" t="str">
        <f aca="false">IF($A781="","",ROUNDUP(MONTH($A781)/3,0))</f>
        <v/>
      </c>
      <c r="Q781" s="35" t="str">
        <f aca="false">IF($A781="","",IF(MONTH($A781)&lt;=6,1,2))</f>
        <v/>
      </c>
      <c r="R781" s="35" t="str">
        <f aca="false">IF($E781="","",IFERROR(INDEX(Kontenplan!$F$5:$F$90,MATCH($E781,Kontenplan!$A$5:$A$90,0)),""))</f>
        <v/>
      </c>
      <c r="S781" s="35" t="str">
        <f aca="false">IF($D781="","",IFERROR(INDEX(Kontenplan!$F$5:$F$90,MATCH($D781,Kontenplan!$A$5:$A$90,0)),""))</f>
        <v/>
      </c>
      <c r="T781" s="35" t="str">
        <f aca="false">IF($D781="","",IFERROR(INDEX(Kontenplan!$C$5:$C$90,MATCH($D781,Kontenplan!$A$5:$A$90,0)),"?"))</f>
        <v/>
      </c>
      <c r="U781" s="35" t="str">
        <f aca="false">IF($E781="","",IFERROR(INDEX(Kontenplan!$C$5:$C$90,MATCH($E781,Kontenplan!$A$5:$A$90,0)),"?"))</f>
        <v/>
      </c>
      <c r="V781" s="35" t="str">
        <f aca="false">IF($F781="","",IF(OR($D781="",$E781="",$T781="?",$U781="?"),"Konto prüfen!",IF($A781="","Datum fehlt",IF(YEAR($A781)&lt;&gt;Einstellungen!$B$7,"anderes Jahr!",IF($G781="","MWST-Code fehlt","OK")))))</f>
        <v/>
      </c>
      <c r="W781" s="35" t="str">
        <f aca="false">IF($F781="","",IF(OR($D781=Kontoauszug!$C$4,$E781=Kontoauszug!$C$4),MAX(W$4:W780)+1,""))</f>
        <v/>
      </c>
    </row>
    <row r="782" customFormat="false" ht="15" hidden="false" customHeight="false" outlineLevel="0" collapsed="false">
      <c r="A782" s="33"/>
      <c r="B782" s="32"/>
      <c r="C782" s="32"/>
      <c r="D782" s="32"/>
      <c r="E782" s="32"/>
      <c r="F782" s="30"/>
      <c r="G782" s="32"/>
      <c r="H782" s="34" t="n">
        <f aca="false">IF($G782="",0,IFERROR(INDEX(Einstellungen!$G$5:$G$11,MATCH($G782,Einstellungen!$E$5:$E$11,0)),0))</f>
        <v>0</v>
      </c>
      <c r="I782" s="35" t="str">
        <f aca="false">IF($G782="","-",IFERROR(INDEX(Einstellungen!$H$5:$H$11,MATCH($G782,Einstellungen!$E$5:$E$11,0)),"-"))</f>
        <v>-</v>
      </c>
      <c r="J782" s="35" t="str">
        <f aca="false">IF(AND(Einstellungen!$B$8="Ja",Einstellungen!$B$9="Effektiv"),$I782,"-")</f>
        <v>-</v>
      </c>
      <c r="K782" s="31" t="n">
        <f aca="false">IF(OR($F782="",$J782="-"),0,ROUND($F782-$F782/(1+$H782),2))</f>
        <v>0</v>
      </c>
      <c r="L782" s="31" t="n">
        <f aca="false">IF($F782="",0,$F782-$K782)</f>
        <v>0</v>
      </c>
      <c r="M782" s="31" t="n">
        <f aca="false">IF($F782="",0,IF($J782="V",$L782,$F782))</f>
        <v>0</v>
      </c>
      <c r="N782" s="31" t="n">
        <f aca="false">IF($F782="",0,IF($J782="U",$L782,$F782))</f>
        <v>0</v>
      </c>
      <c r="O782" s="35" t="str">
        <f aca="false">IF($A782="","",MONTH($A782))</f>
        <v/>
      </c>
      <c r="P782" s="35" t="str">
        <f aca="false">IF($A782="","",ROUNDUP(MONTH($A782)/3,0))</f>
        <v/>
      </c>
      <c r="Q782" s="35" t="str">
        <f aca="false">IF($A782="","",IF(MONTH($A782)&lt;=6,1,2))</f>
        <v/>
      </c>
      <c r="R782" s="35" t="str">
        <f aca="false">IF($E782="","",IFERROR(INDEX(Kontenplan!$F$5:$F$90,MATCH($E782,Kontenplan!$A$5:$A$90,0)),""))</f>
        <v/>
      </c>
      <c r="S782" s="35" t="str">
        <f aca="false">IF($D782="","",IFERROR(INDEX(Kontenplan!$F$5:$F$90,MATCH($D782,Kontenplan!$A$5:$A$90,0)),""))</f>
        <v/>
      </c>
      <c r="T782" s="35" t="str">
        <f aca="false">IF($D782="","",IFERROR(INDEX(Kontenplan!$C$5:$C$90,MATCH($D782,Kontenplan!$A$5:$A$90,0)),"?"))</f>
        <v/>
      </c>
      <c r="U782" s="35" t="str">
        <f aca="false">IF($E782="","",IFERROR(INDEX(Kontenplan!$C$5:$C$90,MATCH($E782,Kontenplan!$A$5:$A$90,0)),"?"))</f>
        <v/>
      </c>
      <c r="V782" s="35" t="str">
        <f aca="false">IF($F782="","",IF(OR($D782="",$E782="",$T782="?",$U782="?"),"Konto prüfen!",IF($A782="","Datum fehlt",IF(YEAR($A782)&lt;&gt;Einstellungen!$B$7,"anderes Jahr!",IF($G782="","MWST-Code fehlt","OK")))))</f>
        <v/>
      </c>
      <c r="W782" s="35" t="str">
        <f aca="false">IF($F782="","",IF(OR($D782=Kontoauszug!$C$4,$E782=Kontoauszug!$C$4),MAX(W$4:W781)+1,""))</f>
        <v/>
      </c>
    </row>
    <row r="783" customFormat="false" ht="15" hidden="false" customHeight="false" outlineLevel="0" collapsed="false">
      <c r="A783" s="33"/>
      <c r="B783" s="32"/>
      <c r="C783" s="32"/>
      <c r="D783" s="32"/>
      <c r="E783" s="32"/>
      <c r="F783" s="30"/>
      <c r="G783" s="32"/>
      <c r="H783" s="34" t="n">
        <f aca="false">IF($G783="",0,IFERROR(INDEX(Einstellungen!$G$5:$G$11,MATCH($G783,Einstellungen!$E$5:$E$11,0)),0))</f>
        <v>0</v>
      </c>
      <c r="I783" s="35" t="str">
        <f aca="false">IF($G783="","-",IFERROR(INDEX(Einstellungen!$H$5:$H$11,MATCH($G783,Einstellungen!$E$5:$E$11,0)),"-"))</f>
        <v>-</v>
      </c>
      <c r="J783" s="35" t="str">
        <f aca="false">IF(AND(Einstellungen!$B$8="Ja",Einstellungen!$B$9="Effektiv"),$I783,"-")</f>
        <v>-</v>
      </c>
      <c r="K783" s="31" t="n">
        <f aca="false">IF(OR($F783="",$J783="-"),0,ROUND($F783-$F783/(1+$H783),2))</f>
        <v>0</v>
      </c>
      <c r="L783" s="31" t="n">
        <f aca="false">IF($F783="",0,$F783-$K783)</f>
        <v>0</v>
      </c>
      <c r="M783" s="31" t="n">
        <f aca="false">IF($F783="",0,IF($J783="V",$L783,$F783))</f>
        <v>0</v>
      </c>
      <c r="N783" s="31" t="n">
        <f aca="false">IF($F783="",0,IF($J783="U",$L783,$F783))</f>
        <v>0</v>
      </c>
      <c r="O783" s="35" t="str">
        <f aca="false">IF($A783="","",MONTH($A783))</f>
        <v/>
      </c>
      <c r="P783" s="35" t="str">
        <f aca="false">IF($A783="","",ROUNDUP(MONTH($A783)/3,0))</f>
        <v/>
      </c>
      <c r="Q783" s="35" t="str">
        <f aca="false">IF($A783="","",IF(MONTH($A783)&lt;=6,1,2))</f>
        <v/>
      </c>
      <c r="R783" s="35" t="str">
        <f aca="false">IF($E783="","",IFERROR(INDEX(Kontenplan!$F$5:$F$90,MATCH($E783,Kontenplan!$A$5:$A$90,0)),""))</f>
        <v/>
      </c>
      <c r="S783" s="35" t="str">
        <f aca="false">IF($D783="","",IFERROR(INDEX(Kontenplan!$F$5:$F$90,MATCH($D783,Kontenplan!$A$5:$A$90,0)),""))</f>
        <v/>
      </c>
      <c r="T783" s="35" t="str">
        <f aca="false">IF($D783="","",IFERROR(INDEX(Kontenplan!$C$5:$C$90,MATCH($D783,Kontenplan!$A$5:$A$90,0)),"?"))</f>
        <v/>
      </c>
      <c r="U783" s="35" t="str">
        <f aca="false">IF($E783="","",IFERROR(INDEX(Kontenplan!$C$5:$C$90,MATCH($E783,Kontenplan!$A$5:$A$90,0)),"?"))</f>
        <v/>
      </c>
      <c r="V783" s="35" t="str">
        <f aca="false">IF($F783="","",IF(OR($D783="",$E783="",$T783="?",$U783="?"),"Konto prüfen!",IF($A783="","Datum fehlt",IF(YEAR($A783)&lt;&gt;Einstellungen!$B$7,"anderes Jahr!",IF($G783="","MWST-Code fehlt","OK")))))</f>
        <v/>
      </c>
      <c r="W783" s="35" t="str">
        <f aca="false">IF($F783="","",IF(OR($D783=Kontoauszug!$C$4,$E783=Kontoauszug!$C$4),MAX(W$4:W782)+1,""))</f>
        <v/>
      </c>
    </row>
    <row r="784" customFormat="false" ht="15" hidden="false" customHeight="false" outlineLevel="0" collapsed="false">
      <c r="A784" s="33"/>
      <c r="B784" s="32"/>
      <c r="C784" s="32"/>
      <c r="D784" s="32"/>
      <c r="E784" s="32"/>
      <c r="F784" s="30"/>
      <c r="G784" s="32"/>
      <c r="H784" s="34" t="n">
        <f aca="false">IF($G784="",0,IFERROR(INDEX(Einstellungen!$G$5:$G$11,MATCH($G784,Einstellungen!$E$5:$E$11,0)),0))</f>
        <v>0</v>
      </c>
      <c r="I784" s="35" t="str">
        <f aca="false">IF($G784="","-",IFERROR(INDEX(Einstellungen!$H$5:$H$11,MATCH($G784,Einstellungen!$E$5:$E$11,0)),"-"))</f>
        <v>-</v>
      </c>
      <c r="J784" s="35" t="str">
        <f aca="false">IF(AND(Einstellungen!$B$8="Ja",Einstellungen!$B$9="Effektiv"),$I784,"-")</f>
        <v>-</v>
      </c>
      <c r="K784" s="31" t="n">
        <f aca="false">IF(OR($F784="",$J784="-"),0,ROUND($F784-$F784/(1+$H784),2))</f>
        <v>0</v>
      </c>
      <c r="L784" s="31" t="n">
        <f aca="false">IF($F784="",0,$F784-$K784)</f>
        <v>0</v>
      </c>
      <c r="M784" s="31" t="n">
        <f aca="false">IF($F784="",0,IF($J784="V",$L784,$F784))</f>
        <v>0</v>
      </c>
      <c r="N784" s="31" t="n">
        <f aca="false">IF($F784="",0,IF($J784="U",$L784,$F784))</f>
        <v>0</v>
      </c>
      <c r="O784" s="35" t="str">
        <f aca="false">IF($A784="","",MONTH($A784))</f>
        <v/>
      </c>
      <c r="P784" s="35" t="str">
        <f aca="false">IF($A784="","",ROUNDUP(MONTH($A784)/3,0))</f>
        <v/>
      </c>
      <c r="Q784" s="35" t="str">
        <f aca="false">IF($A784="","",IF(MONTH($A784)&lt;=6,1,2))</f>
        <v/>
      </c>
      <c r="R784" s="35" t="str">
        <f aca="false">IF($E784="","",IFERROR(INDEX(Kontenplan!$F$5:$F$90,MATCH($E784,Kontenplan!$A$5:$A$90,0)),""))</f>
        <v/>
      </c>
      <c r="S784" s="35" t="str">
        <f aca="false">IF($D784="","",IFERROR(INDEX(Kontenplan!$F$5:$F$90,MATCH($D784,Kontenplan!$A$5:$A$90,0)),""))</f>
        <v/>
      </c>
      <c r="T784" s="35" t="str">
        <f aca="false">IF($D784="","",IFERROR(INDEX(Kontenplan!$C$5:$C$90,MATCH($D784,Kontenplan!$A$5:$A$90,0)),"?"))</f>
        <v/>
      </c>
      <c r="U784" s="35" t="str">
        <f aca="false">IF($E784="","",IFERROR(INDEX(Kontenplan!$C$5:$C$90,MATCH($E784,Kontenplan!$A$5:$A$90,0)),"?"))</f>
        <v/>
      </c>
      <c r="V784" s="35" t="str">
        <f aca="false">IF($F784="","",IF(OR($D784="",$E784="",$T784="?",$U784="?"),"Konto prüfen!",IF($A784="","Datum fehlt",IF(YEAR($A784)&lt;&gt;Einstellungen!$B$7,"anderes Jahr!",IF($G784="","MWST-Code fehlt","OK")))))</f>
        <v/>
      </c>
      <c r="W784" s="35" t="str">
        <f aca="false">IF($F784="","",IF(OR($D784=Kontoauszug!$C$4,$E784=Kontoauszug!$C$4),MAX(W$4:W783)+1,""))</f>
        <v/>
      </c>
    </row>
    <row r="785" customFormat="false" ht="15" hidden="false" customHeight="false" outlineLevel="0" collapsed="false">
      <c r="A785" s="33"/>
      <c r="B785" s="32"/>
      <c r="C785" s="32"/>
      <c r="D785" s="32"/>
      <c r="E785" s="32"/>
      <c r="F785" s="30"/>
      <c r="G785" s="32"/>
      <c r="H785" s="34" t="n">
        <f aca="false">IF($G785="",0,IFERROR(INDEX(Einstellungen!$G$5:$G$11,MATCH($G785,Einstellungen!$E$5:$E$11,0)),0))</f>
        <v>0</v>
      </c>
      <c r="I785" s="35" t="str">
        <f aca="false">IF($G785="","-",IFERROR(INDEX(Einstellungen!$H$5:$H$11,MATCH($G785,Einstellungen!$E$5:$E$11,0)),"-"))</f>
        <v>-</v>
      </c>
      <c r="J785" s="35" t="str">
        <f aca="false">IF(AND(Einstellungen!$B$8="Ja",Einstellungen!$B$9="Effektiv"),$I785,"-")</f>
        <v>-</v>
      </c>
      <c r="K785" s="31" t="n">
        <f aca="false">IF(OR($F785="",$J785="-"),0,ROUND($F785-$F785/(1+$H785),2))</f>
        <v>0</v>
      </c>
      <c r="L785" s="31" t="n">
        <f aca="false">IF($F785="",0,$F785-$K785)</f>
        <v>0</v>
      </c>
      <c r="M785" s="31" t="n">
        <f aca="false">IF($F785="",0,IF($J785="V",$L785,$F785))</f>
        <v>0</v>
      </c>
      <c r="N785" s="31" t="n">
        <f aca="false">IF($F785="",0,IF($J785="U",$L785,$F785))</f>
        <v>0</v>
      </c>
      <c r="O785" s="35" t="str">
        <f aca="false">IF($A785="","",MONTH($A785))</f>
        <v/>
      </c>
      <c r="P785" s="35" t="str">
        <f aca="false">IF($A785="","",ROUNDUP(MONTH($A785)/3,0))</f>
        <v/>
      </c>
      <c r="Q785" s="35" t="str">
        <f aca="false">IF($A785="","",IF(MONTH($A785)&lt;=6,1,2))</f>
        <v/>
      </c>
      <c r="R785" s="35" t="str">
        <f aca="false">IF($E785="","",IFERROR(INDEX(Kontenplan!$F$5:$F$90,MATCH($E785,Kontenplan!$A$5:$A$90,0)),""))</f>
        <v/>
      </c>
      <c r="S785" s="35" t="str">
        <f aca="false">IF($D785="","",IFERROR(INDEX(Kontenplan!$F$5:$F$90,MATCH($D785,Kontenplan!$A$5:$A$90,0)),""))</f>
        <v/>
      </c>
      <c r="T785" s="35" t="str">
        <f aca="false">IF($D785="","",IFERROR(INDEX(Kontenplan!$C$5:$C$90,MATCH($D785,Kontenplan!$A$5:$A$90,0)),"?"))</f>
        <v/>
      </c>
      <c r="U785" s="35" t="str">
        <f aca="false">IF($E785="","",IFERROR(INDEX(Kontenplan!$C$5:$C$90,MATCH($E785,Kontenplan!$A$5:$A$90,0)),"?"))</f>
        <v/>
      </c>
      <c r="V785" s="35" t="str">
        <f aca="false">IF($F785="","",IF(OR($D785="",$E785="",$T785="?",$U785="?"),"Konto prüfen!",IF($A785="","Datum fehlt",IF(YEAR($A785)&lt;&gt;Einstellungen!$B$7,"anderes Jahr!",IF($G785="","MWST-Code fehlt","OK")))))</f>
        <v/>
      </c>
      <c r="W785" s="35" t="str">
        <f aca="false">IF($F785="","",IF(OR($D785=Kontoauszug!$C$4,$E785=Kontoauszug!$C$4),MAX(W$4:W784)+1,""))</f>
        <v/>
      </c>
    </row>
    <row r="786" customFormat="false" ht="15" hidden="false" customHeight="false" outlineLevel="0" collapsed="false">
      <c r="A786" s="33"/>
      <c r="B786" s="32"/>
      <c r="C786" s="32"/>
      <c r="D786" s="32"/>
      <c r="E786" s="32"/>
      <c r="F786" s="30"/>
      <c r="G786" s="32"/>
      <c r="H786" s="34" t="n">
        <f aca="false">IF($G786="",0,IFERROR(INDEX(Einstellungen!$G$5:$G$11,MATCH($G786,Einstellungen!$E$5:$E$11,0)),0))</f>
        <v>0</v>
      </c>
      <c r="I786" s="35" t="str">
        <f aca="false">IF($G786="","-",IFERROR(INDEX(Einstellungen!$H$5:$H$11,MATCH($G786,Einstellungen!$E$5:$E$11,0)),"-"))</f>
        <v>-</v>
      </c>
      <c r="J786" s="35" t="str">
        <f aca="false">IF(AND(Einstellungen!$B$8="Ja",Einstellungen!$B$9="Effektiv"),$I786,"-")</f>
        <v>-</v>
      </c>
      <c r="K786" s="31" t="n">
        <f aca="false">IF(OR($F786="",$J786="-"),0,ROUND($F786-$F786/(1+$H786),2))</f>
        <v>0</v>
      </c>
      <c r="L786" s="31" t="n">
        <f aca="false">IF($F786="",0,$F786-$K786)</f>
        <v>0</v>
      </c>
      <c r="M786" s="31" t="n">
        <f aca="false">IF($F786="",0,IF($J786="V",$L786,$F786))</f>
        <v>0</v>
      </c>
      <c r="N786" s="31" t="n">
        <f aca="false">IF($F786="",0,IF($J786="U",$L786,$F786))</f>
        <v>0</v>
      </c>
      <c r="O786" s="35" t="str">
        <f aca="false">IF($A786="","",MONTH($A786))</f>
        <v/>
      </c>
      <c r="P786" s="35" t="str">
        <f aca="false">IF($A786="","",ROUNDUP(MONTH($A786)/3,0))</f>
        <v/>
      </c>
      <c r="Q786" s="35" t="str">
        <f aca="false">IF($A786="","",IF(MONTH($A786)&lt;=6,1,2))</f>
        <v/>
      </c>
      <c r="R786" s="35" t="str">
        <f aca="false">IF($E786="","",IFERROR(INDEX(Kontenplan!$F$5:$F$90,MATCH($E786,Kontenplan!$A$5:$A$90,0)),""))</f>
        <v/>
      </c>
      <c r="S786" s="35" t="str">
        <f aca="false">IF($D786="","",IFERROR(INDEX(Kontenplan!$F$5:$F$90,MATCH($D786,Kontenplan!$A$5:$A$90,0)),""))</f>
        <v/>
      </c>
      <c r="T786" s="35" t="str">
        <f aca="false">IF($D786="","",IFERROR(INDEX(Kontenplan!$C$5:$C$90,MATCH($D786,Kontenplan!$A$5:$A$90,0)),"?"))</f>
        <v/>
      </c>
      <c r="U786" s="35" t="str">
        <f aca="false">IF($E786="","",IFERROR(INDEX(Kontenplan!$C$5:$C$90,MATCH($E786,Kontenplan!$A$5:$A$90,0)),"?"))</f>
        <v/>
      </c>
      <c r="V786" s="35" t="str">
        <f aca="false">IF($F786="","",IF(OR($D786="",$E786="",$T786="?",$U786="?"),"Konto prüfen!",IF($A786="","Datum fehlt",IF(YEAR($A786)&lt;&gt;Einstellungen!$B$7,"anderes Jahr!",IF($G786="","MWST-Code fehlt","OK")))))</f>
        <v/>
      </c>
      <c r="W786" s="35" t="str">
        <f aca="false">IF($F786="","",IF(OR($D786=Kontoauszug!$C$4,$E786=Kontoauszug!$C$4),MAX(W$4:W785)+1,""))</f>
        <v/>
      </c>
    </row>
    <row r="787" customFormat="false" ht="15" hidden="false" customHeight="false" outlineLevel="0" collapsed="false">
      <c r="A787" s="33"/>
      <c r="B787" s="32"/>
      <c r="C787" s="32"/>
      <c r="D787" s="32"/>
      <c r="E787" s="32"/>
      <c r="F787" s="30"/>
      <c r="G787" s="32"/>
      <c r="H787" s="34" t="n">
        <f aca="false">IF($G787="",0,IFERROR(INDEX(Einstellungen!$G$5:$G$11,MATCH($G787,Einstellungen!$E$5:$E$11,0)),0))</f>
        <v>0</v>
      </c>
      <c r="I787" s="35" t="str">
        <f aca="false">IF($G787="","-",IFERROR(INDEX(Einstellungen!$H$5:$H$11,MATCH($G787,Einstellungen!$E$5:$E$11,0)),"-"))</f>
        <v>-</v>
      </c>
      <c r="J787" s="35" t="str">
        <f aca="false">IF(AND(Einstellungen!$B$8="Ja",Einstellungen!$B$9="Effektiv"),$I787,"-")</f>
        <v>-</v>
      </c>
      <c r="K787" s="31" t="n">
        <f aca="false">IF(OR($F787="",$J787="-"),0,ROUND($F787-$F787/(1+$H787),2))</f>
        <v>0</v>
      </c>
      <c r="L787" s="31" t="n">
        <f aca="false">IF($F787="",0,$F787-$K787)</f>
        <v>0</v>
      </c>
      <c r="M787" s="31" t="n">
        <f aca="false">IF($F787="",0,IF($J787="V",$L787,$F787))</f>
        <v>0</v>
      </c>
      <c r="N787" s="31" t="n">
        <f aca="false">IF($F787="",0,IF($J787="U",$L787,$F787))</f>
        <v>0</v>
      </c>
      <c r="O787" s="35" t="str">
        <f aca="false">IF($A787="","",MONTH($A787))</f>
        <v/>
      </c>
      <c r="P787" s="35" t="str">
        <f aca="false">IF($A787="","",ROUNDUP(MONTH($A787)/3,0))</f>
        <v/>
      </c>
      <c r="Q787" s="35" t="str">
        <f aca="false">IF($A787="","",IF(MONTH($A787)&lt;=6,1,2))</f>
        <v/>
      </c>
      <c r="R787" s="35" t="str">
        <f aca="false">IF($E787="","",IFERROR(INDEX(Kontenplan!$F$5:$F$90,MATCH($E787,Kontenplan!$A$5:$A$90,0)),""))</f>
        <v/>
      </c>
      <c r="S787" s="35" t="str">
        <f aca="false">IF($D787="","",IFERROR(INDEX(Kontenplan!$F$5:$F$90,MATCH($D787,Kontenplan!$A$5:$A$90,0)),""))</f>
        <v/>
      </c>
      <c r="T787" s="35" t="str">
        <f aca="false">IF($D787="","",IFERROR(INDEX(Kontenplan!$C$5:$C$90,MATCH($D787,Kontenplan!$A$5:$A$90,0)),"?"))</f>
        <v/>
      </c>
      <c r="U787" s="35" t="str">
        <f aca="false">IF($E787="","",IFERROR(INDEX(Kontenplan!$C$5:$C$90,MATCH($E787,Kontenplan!$A$5:$A$90,0)),"?"))</f>
        <v/>
      </c>
      <c r="V787" s="35" t="str">
        <f aca="false">IF($F787="","",IF(OR($D787="",$E787="",$T787="?",$U787="?"),"Konto prüfen!",IF($A787="","Datum fehlt",IF(YEAR($A787)&lt;&gt;Einstellungen!$B$7,"anderes Jahr!",IF($G787="","MWST-Code fehlt","OK")))))</f>
        <v/>
      </c>
      <c r="W787" s="35" t="str">
        <f aca="false">IF($F787="","",IF(OR($D787=Kontoauszug!$C$4,$E787=Kontoauszug!$C$4),MAX(W$4:W786)+1,""))</f>
        <v/>
      </c>
    </row>
    <row r="788" customFormat="false" ht="15" hidden="false" customHeight="false" outlineLevel="0" collapsed="false">
      <c r="A788" s="33"/>
      <c r="B788" s="32"/>
      <c r="C788" s="32"/>
      <c r="D788" s="32"/>
      <c r="E788" s="32"/>
      <c r="F788" s="30"/>
      <c r="G788" s="32"/>
      <c r="H788" s="34" t="n">
        <f aca="false">IF($G788="",0,IFERROR(INDEX(Einstellungen!$G$5:$G$11,MATCH($G788,Einstellungen!$E$5:$E$11,0)),0))</f>
        <v>0</v>
      </c>
      <c r="I788" s="35" t="str">
        <f aca="false">IF($G788="","-",IFERROR(INDEX(Einstellungen!$H$5:$H$11,MATCH($G788,Einstellungen!$E$5:$E$11,0)),"-"))</f>
        <v>-</v>
      </c>
      <c r="J788" s="35" t="str">
        <f aca="false">IF(AND(Einstellungen!$B$8="Ja",Einstellungen!$B$9="Effektiv"),$I788,"-")</f>
        <v>-</v>
      </c>
      <c r="K788" s="31" t="n">
        <f aca="false">IF(OR($F788="",$J788="-"),0,ROUND($F788-$F788/(1+$H788),2))</f>
        <v>0</v>
      </c>
      <c r="L788" s="31" t="n">
        <f aca="false">IF($F788="",0,$F788-$K788)</f>
        <v>0</v>
      </c>
      <c r="M788" s="31" t="n">
        <f aca="false">IF($F788="",0,IF($J788="V",$L788,$F788))</f>
        <v>0</v>
      </c>
      <c r="N788" s="31" t="n">
        <f aca="false">IF($F788="",0,IF($J788="U",$L788,$F788))</f>
        <v>0</v>
      </c>
      <c r="O788" s="35" t="str">
        <f aca="false">IF($A788="","",MONTH($A788))</f>
        <v/>
      </c>
      <c r="P788" s="35" t="str">
        <f aca="false">IF($A788="","",ROUNDUP(MONTH($A788)/3,0))</f>
        <v/>
      </c>
      <c r="Q788" s="35" t="str">
        <f aca="false">IF($A788="","",IF(MONTH($A788)&lt;=6,1,2))</f>
        <v/>
      </c>
      <c r="R788" s="35" t="str">
        <f aca="false">IF($E788="","",IFERROR(INDEX(Kontenplan!$F$5:$F$90,MATCH($E788,Kontenplan!$A$5:$A$90,0)),""))</f>
        <v/>
      </c>
      <c r="S788" s="35" t="str">
        <f aca="false">IF($D788="","",IFERROR(INDEX(Kontenplan!$F$5:$F$90,MATCH($D788,Kontenplan!$A$5:$A$90,0)),""))</f>
        <v/>
      </c>
      <c r="T788" s="35" t="str">
        <f aca="false">IF($D788="","",IFERROR(INDEX(Kontenplan!$C$5:$C$90,MATCH($D788,Kontenplan!$A$5:$A$90,0)),"?"))</f>
        <v/>
      </c>
      <c r="U788" s="35" t="str">
        <f aca="false">IF($E788="","",IFERROR(INDEX(Kontenplan!$C$5:$C$90,MATCH($E788,Kontenplan!$A$5:$A$90,0)),"?"))</f>
        <v/>
      </c>
      <c r="V788" s="35" t="str">
        <f aca="false">IF($F788="","",IF(OR($D788="",$E788="",$T788="?",$U788="?"),"Konto prüfen!",IF($A788="","Datum fehlt",IF(YEAR($A788)&lt;&gt;Einstellungen!$B$7,"anderes Jahr!",IF($G788="","MWST-Code fehlt","OK")))))</f>
        <v/>
      </c>
      <c r="W788" s="35" t="str">
        <f aca="false">IF($F788="","",IF(OR($D788=Kontoauszug!$C$4,$E788=Kontoauszug!$C$4),MAX(W$4:W787)+1,""))</f>
        <v/>
      </c>
    </row>
    <row r="789" customFormat="false" ht="15" hidden="false" customHeight="false" outlineLevel="0" collapsed="false">
      <c r="A789" s="33"/>
      <c r="B789" s="32"/>
      <c r="C789" s="32"/>
      <c r="D789" s="32"/>
      <c r="E789" s="32"/>
      <c r="F789" s="30"/>
      <c r="G789" s="32"/>
      <c r="H789" s="34" t="n">
        <f aca="false">IF($G789="",0,IFERROR(INDEX(Einstellungen!$G$5:$G$11,MATCH($G789,Einstellungen!$E$5:$E$11,0)),0))</f>
        <v>0</v>
      </c>
      <c r="I789" s="35" t="str">
        <f aca="false">IF($G789="","-",IFERROR(INDEX(Einstellungen!$H$5:$H$11,MATCH($G789,Einstellungen!$E$5:$E$11,0)),"-"))</f>
        <v>-</v>
      </c>
      <c r="J789" s="35" t="str">
        <f aca="false">IF(AND(Einstellungen!$B$8="Ja",Einstellungen!$B$9="Effektiv"),$I789,"-")</f>
        <v>-</v>
      </c>
      <c r="K789" s="31" t="n">
        <f aca="false">IF(OR($F789="",$J789="-"),0,ROUND($F789-$F789/(1+$H789),2))</f>
        <v>0</v>
      </c>
      <c r="L789" s="31" t="n">
        <f aca="false">IF($F789="",0,$F789-$K789)</f>
        <v>0</v>
      </c>
      <c r="M789" s="31" t="n">
        <f aca="false">IF($F789="",0,IF($J789="V",$L789,$F789))</f>
        <v>0</v>
      </c>
      <c r="N789" s="31" t="n">
        <f aca="false">IF($F789="",0,IF($J789="U",$L789,$F789))</f>
        <v>0</v>
      </c>
      <c r="O789" s="35" t="str">
        <f aca="false">IF($A789="","",MONTH($A789))</f>
        <v/>
      </c>
      <c r="P789" s="35" t="str">
        <f aca="false">IF($A789="","",ROUNDUP(MONTH($A789)/3,0))</f>
        <v/>
      </c>
      <c r="Q789" s="35" t="str">
        <f aca="false">IF($A789="","",IF(MONTH($A789)&lt;=6,1,2))</f>
        <v/>
      </c>
      <c r="R789" s="35" t="str">
        <f aca="false">IF($E789="","",IFERROR(INDEX(Kontenplan!$F$5:$F$90,MATCH($E789,Kontenplan!$A$5:$A$90,0)),""))</f>
        <v/>
      </c>
      <c r="S789" s="35" t="str">
        <f aca="false">IF($D789="","",IFERROR(INDEX(Kontenplan!$F$5:$F$90,MATCH($D789,Kontenplan!$A$5:$A$90,0)),""))</f>
        <v/>
      </c>
      <c r="T789" s="35" t="str">
        <f aca="false">IF($D789="","",IFERROR(INDEX(Kontenplan!$C$5:$C$90,MATCH($D789,Kontenplan!$A$5:$A$90,0)),"?"))</f>
        <v/>
      </c>
      <c r="U789" s="35" t="str">
        <f aca="false">IF($E789="","",IFERROR(INDEX(Kontenplan!$C$5:$C$90,MATCH($E789,Kontenplan!$A$5:$A$90,0)),"?"))</f>
        <v/>
      </c>
      <c r="V789" s="35" t="str">
        <f aca="false">IF($F789="","",IF(OR($D789="",$E789="",$T789="?",$U789="?"),"Konto prüfen!",IF($A789="","Datum fehlt",IF(YEAR($A789)&lt;&gt;Einstellungen!$B$7,"anderes Jahr!",IF($G789="","MWST-Code fehlt","OK")))))</f>
        <v/>
      </c>
      <c r="W789" s="35" t="str">
        <f aca="false">IF($F789="","",IF(OR($D789=Kontoauszug!$C$4,$E789=Kontoauszug!$C$4),MAX(W$4:W788)+1,""))</f>
        <v/>
      </c>
    </row>
    <row r="790" customFormat="false" ht="15" hidden="false" customHeight="false" outlineLevel="0" collapsed="false">
      <c r="A790" s="33"/>
      <c r="B790" s="32"/>
      <c r="C790" s="32"/>
      <c r="D790" s="32"/>
      <c r="E790" s="32"/>
      <c r="F790" s="30"/>
      <c r="G790" s="32"/>
      <c r="H790" s="34" t="n">
        <f aca="false">IF($G790="",0,IFERROR(INDEX(Einstellungen!$G$5:$G$11,MATCH($G790,Einstellungen!$E$5:$E$11,0)),0))</f>
        <v>0</v>
      </c>
      <c r="I790" s="35" t="str">
        <f aca="false">IF($G790="","-",IFERROR(INDEX(Einstellungen!$H$5:$H$11,MATCH($G790,Einstellungen!$E$5:$E$11,0)),"-"))</f>
        <v>-</v>
      </c>
      <c r="J790" s="35" t="str">
        <f aca="false">IF(AND(Einstellungen!$B$8="Ja",Einstellungen!$B$9="Effektiv"),$I790,"-")</f>
        <v>-</v>
      </c>
      <c r="K790" s="31" t="n">
        <f aca="false">IF(OR($F790="",$J790="-"),0,ROUND($F790-$F790/(1+$H790),2))</f>
        <v>0</v>
      </c>
      <c r="L790" s="31" t="n">
        <f aca="false">IF($F790="",0,$F790-$K790)</f>
        <v>0</v>
      </c>
      <c r="M790" s="31" t="n">
        <f aca="false">IF($F790="",0,IF($J790="V",$L790,$F790))</f>
        <v>0</v>
      </c>
      <c r="N790" s="31" t="n">
        <f aca="false">IF($F790="",0,IF($J790="U",$L790,$F790))</f>
        <v>0</v>
      </c>
      <c r="O790" s="35" t="str">
        <f aca="false">IF($A790="","",MONTH($A790))</f>
        <v/>
      </c>
      <c r="P790" s="35" t="str">
        <f aca="false">IF($A790="","",ROUNDUP(MONTH($A790)/3,0))</f>
        <v/>
      </c>
      <c r="Q790" s="35" t="str">
        <f aca="false">IF($A790="","",IF(MONTH($A790)&lt;=6,1,2))</f>
        <v/>
      </c>
      <c r="R790" s="35" t="str">
        <f aca="false">IF($E790="","",IFERROR(INDEX(Kontenplan!$F$5:$F$90,MATCH($E790,Kontenplan!$A$5:$A$90,0)),""))</f>
        <v/>
      </c>
      <c r="S790" s="35" t="str">
        <f aca="false">IF($D790="","",IFERROR(INDEX(Kontenplan!$F$5:$F$90,MATCH($D790,Kontenplan!$A$5:$A$90,0)),""))</f>
        <v/>
      </c>
      <c r="T790" s="35" t="str">
        <f aca="false">IF($D790="","",IFERROR(INDEX(Kontenplan!$C$5:$C$90,MATCH($D790,Kontenplan!$A$5:$A$90,0)),"?"))</f>
        <v/>
      </c>
      <c r="U790" s="35" t="str">
        <f aca="false">IF($E790="","",IFERROR(INDEX(Kontenplan!$C$5:$C$90,MATCH($E790,Kontenplan!$A$5:$A$90,0)),"?"))</f>
        <v/>
      </c>
      <c r="V790" s="35" t="str">
        <f aca="false">IF($F790="","",IF(OR($D790="",$E790="",$T790="?",$U790="?"),"Konto prüfen!",IF($A790="","Datum fehlt",IF(YEAR($A790)&lt;&gt;Einstellungen!$B$7,"anderes Jahr!",IF($G790="","MWST-Code fehlt","OK")))))</f>
        <v/>
      </c>
      <c r="W790" s="35" t="str">
        <f aca="false">IF($F790="","",IF(OR($D790=Kontoauszug!$C$4,$E790=Kontoauszug!$C$4),MAX(W$4:W789)+1,""))</f>
        <v/>
      </c>
    </row>
    <row r="791" customFormat="false" ht="15" hidden="false" customHeight="false" outlineLevel="0" collapsed="false">
      <c r="A791" s="33"/>
      <c r="B791" s="32"/>
      <c r="C791" s="32"/>
      <c r="D791" s="32"/>
      <c r="E791" s="32"/>
      <c r="F791" s="30"/>
      <c r="G791" s="32"/>
      <c r="H791" s="34" t="n">
        <f aca="false">IF($G791="",0,IFERROR(INDEX(Einstellungen!$G$5:$G$11,MATCH($G791,Einstellungen!$E$5:$E$11,0)),0))</f>
        <v>0</v>
      </c>
      <c r="I791" s="35" t="str">
        <f aca="false">IF($G791="","-",IFERROR(INDEX(Einstellungen!$H$5:$H$11,MATCH($G791,Einstellungen!$E$5:$E$11,0)),"-"))</f>
        <v>-</v>
      </c>
      <c r="J791" s="35" t="str">
        <f aca="false">IF(AND(Einstellungen!$B$8="Ja",Einstellungen!$B$9="Effektiv"),$I791,"-")</f>
        <v>-</v>
      </c>
      <c r="K791" s="31" t="n">
        <f aca="false">IF(OR($F791="",$J791="-"),0,ROUND($F791-$F791/(1+$H791),2))</f>
        <v>0</v>
      </c>
      <c r="L791" s="31" t="n">
        <f aca="false">IF($F791="",0,$F791-$K791)</f>
        <v>0</v>
      </c>
      <c r="M791" s="31" t="n">
        <f aca="false">IF($F791="",0,IF($J791="V",$L791,$F791))</f>
        <v>0</v>
      </c>
      <c r="N791" s="31" t="n">
        <f aca="false">IF($F791="",0,IF($J791="U",$L791,$F791))</f>
        <v>0</v>
      </c>
      <c r="O791" s="35" t="str">
        <f aca="false">IF($A791="","",MONTH($A791))</f>
        <v/>
      </c>
      <c r="P791" s="35" t="str">
        <f aca="false">IF($A791="","",ROUNDUP(MONTH($A791)/3,0))</f>
        <v/>
      </c>
      <c r="Q791" s="35" t="str">
        <f aca="false">IF($A791="","",IF(MONTH($A791)&lt;=6,1,2))</f>
        <v/>
      </c>
      <c r="R791" s="35" t="str">
        <f aca="false">IF($E791="","",IFERROR(INDEX(Kontenplan!$F$5:$F$90,MATCH($E791,Kontenplan!$A$5:$A$90,0)),""))</f>
        <v/>
      </c>
      <c r="S791" s="35" t="str">
        <f aca="false">IF($D791="","",IFERROR(INDEX(Kontenplan!$F$5:$F$90,MATCH($D791,Kontenplan!$A$5:$A$90,0)),""))</f>
        <v/>
      </c>
      <c r="T791" s="35" t="str">
        <f aca="false">IF($D791="","",IFERROR(INDEX(Kontenplan!$C$5:$C$90,MATCH($D791,Kontenplan!$A$5:$A$90,0)),"?"))</f>
        <v/>
      </c>
      <c r="U791" s="35" t="str">
        <f aca="false">IF($E791="","",IFERROR(INDEX(Kontenplan!$C$5:$C$90,MATCH($E791,Kontenplan!$A$5:$A$90,0)),"?"))</f>
        <v/>
      </c>
      <c r="V791" s="35" t="str">
        <f aca="false">IF($F791="","",IF(OR($D791="",$E791="",$T791="?",$U791="?"),"Konto prüfen!",IF($A791="","Datum fehlt",IF(YEAR($A791)&lt;&gt;Einstellungen!$B$7,"anderes Jahr!",IF($G791="","MWST-Code fehlt","OK")))))</f>
        <v/>
      </c>
      <c r="W791" s="35" t="str">
        <f aca="false">IF($F791="","",IF(OR($D791=Kontoauszug!$C$4,$E791=Kontoauszug!$C$4),MAX(W$4:W790)+1,""))</f>
        <v/>
      </c>
    </row>
    <row r="792" customFormat="false" ht="15" hidden="false" customHeight="false" outlineLevel="0" collapsed="false">
      <c r="A792" s="33"/>
      <c r="B792" s="32"/>
      <c r="C792" s="32"/>
      <c r="D792" s="32"/>
      <c r="E792" s="32"/>
      <c r="F792" s="30"/>
      <c r="G792" s="32"/>
      <c r="H792" s="34" t="n">
        <f aca="false">IF($G792="",0,IFERROR(INDEX(Einstellungen!$G$5:$G$11,MATCH($G792,Einstellungen!$E$5:$E$11,0)),0))</f>
        <v>0</v>
      </c>
      <c r="I792" s="35" t="str">
        <f aca="false">IF($G792="","-",IFERROR(INDEX(Einstellungen!$H$5:$H$11,MATCH($G792,Einstellungen!$E$5:$E$11,0)),"-"))</f>
        <v>-</v>
      </c>
      <c r="J792" s="35" t="str">
        <f aca="false">IF(AND(Einstellungen!$B$8="Ja",Einstellungen!$B$9="Effektiv"),$I792,"-")</f>
        <v>-</v>
      </c>
      <c r="K792" s="31" t="n">
        <f aca="false">IF(OR($F792="",$J792="-"),0,ROUND($F792-$F792/(1+$H792),2))</f>
        <v>0</v>
      </c>
      <c r="L792" s="31" t="n">
        <f aca="false">IF($F792="",0,$F792-$K792)</f>
        <v>0</v>
      </c>
      <c r="M792" s="31" t="n">
        <f aca="false">IF($F792="",0,IF($J792="V",$L792,$F792))</f>
        <v>0</v>
      </c>
      <c r="N792" s="31" t="n">
        <f aca="false">IF($F792="",0,IF($J792="U",$L792,$F792))</f>
        <v>0</v>
      </c>
      <c r="O792" s="35" t="str">
        <f aca="false">IF($A792="","",MONTH($A792))</f>
        <v/>
      </c>
      <c r="P792" s="35" t="str">
        <f aca="false">IF($A792="","",ROUNDUP(MONTH($A792)/3,0))</f>
        <v/>
      </c>
      <c r="Q792" s="35" t="str">
        <f aca="false">IF($A792="","",IF(MONTH($A792)&lt;=6,1,2))</f>
        <v/>
      </c>
      <c r="R792" s="35" t="str">
        <f aca="false">IF($E792="","",IFERROR(INDEX(Kontenplan!$F$5:$F$90,MATCH($E792,Kontenplan!$A$5:$A$90,0)),""))</f>
        <v/>
      </c>
      <c r="S792" s="35" t="str">
        <f aca="false">IF($D792="","",IFERROR(INDEX(Kontenplan!$F$5:$F$90,MATCH($D792,Kontenplan!$A$5:$A$90,0)),""))</f>
        <v/>
      </c>
      <c r="T792" s="35" t="str">
        <f aca="false">IF($D792="","",IFERROR(INDEX(Kontenplan!$C$5:$C$90,MATCH($D792,Kontenplan!$A$5:$A$90,0)),"?"))</f>
        <v/>
      </c>
      <c r="U792" s="35" t="str">
        <f aca="false">IF($E792="","",IFERROR(INDEX(Kontenplan!$C$5:$C$90,MATCH($E792,Kontenplan!$A$5:$A$90,0)),"?"))</f>
        <v/>
      </c>
      <c r="V792" s="35" t="str">
        <f aca="false">IF($F792="","",IF(OR($D792="",$E792="",$T792="?",$U792="?"),"Konto prüfen!",IF($A792="","Datum fehlt",IF(YEAR($A792)&lt;&gt;Einstellungen!$B$7,"anderes Jahr!",IF($G792="","MWST-Code fehlt","OK")))))</f>
        <v/>
      </c>
      <c r="W792" s="35" t="str">
        <f aca="false">IF($F792="","",IF(OR($D792=Kontoauszug!$C$4,$E792=Kontoauszug!$C$4),MAX(W$4:W791)+1,""))</f>
        <v/>
      </c>
    </row>
    <row r="793" customFormat="false" ht="15" hidden="false" customHeight="false" outlineLevel="0" collapsed="false">
      <c r="A793" s="33"/>
      <c r="B793" s="32"/>
      <c r="C793" s="32"/>
      <c r="D793" s="32"/>
      <c r="E793" s="32"/>
      <c r="F793" s="30"/>
      <c r="G793" s="32"/>
      <c r="H793" s="34" t="n">
        <f aca="false">IF($G793="",0,IFERROR(INDEX(Einstellungen!$G$5:$G$11,MATCH($G793,Einstellungen!$E$5:$E$11,0)),0))</f>
        <v>0</v>
      </c>
      <c r="I793" s="35" t="str">
        <f aca="false">IF($G793="","-",IFERROR(INDEX(Einstellungen!$H$5:$H$11,MATCH($G793,Einstellungen!$E$5:$E$11,0)),"-"))</f>
        <v>-</v>
      </c>
      <c r="J793" s="35" t="str">
        <f aca="false">IF(AND(Einstellungen!$B$8="Ja",Einstellungen!$B$9="Effektiv"),$I793,"-")</f>
        <v>-</v>
      </c>
      <c r="K793" s="31" t="n">
        <f aca="false">IF(OR($F793="",$J793="-"),0,ROUND($F793-$F793/(1+$H793),2))</f>
        <v>0</v>
      </c>
      <c r="L793" s="31" t="n">
        <f aca="false">IF($F793="",0,$F793-$K793)</f>
        <v>0</v>
      </c>
      <c r="M793" s="31" t="n">
        <f aca="false">IF($F793="",0,IF($J793="V",$L793,$F793))</f>
        <v>0</v>
      </c>
      <c r="N793" s="31" t="n">
        <f aca="false">IF($F793="",0,IF($J793="U",$L793,$F793))</f>
        <v>0</v>
      </c>
      <c r="O793" s="35" t="str">
        <f aca="false">IF($A793="","",MONTH($A793))</f>
        <v/>
      </c>
      <c r="P793" s="35" t="str">
        <f aca="false">IF($A793="","",ROUNDUP(MONTH($A793)/3,0))</f>
        <v/>
      </c>
      <c r="Q793" s="35" t="str">
        <f aca="false">IF($A793="","",IF(MONTH($A793)&lt;=6,1,2))</f>
        <v/>
      </c>
      <c r="R793" s="35" t="str">
        <f aca="false">IF($E793="","",IFERROR(INDEX(Kontenplan!$F$5:$F$90,MATCH($E793,Kontenplan!$A$5:$A$90,0)),""))</f>
        <v/>
      </c>
      <c r="S793" s="35" t="str">
        <f aca="false">IF($D793="","",IFERROR(INDEX(Kontenplan!$F$5:$F$90,MATCH($D793,Kontenplan!$A$5:$A$90,0)),""))</f>
        <v/>
      </c>
      <c r="T793" s="35" t="str">
        <f aca="false">IF($D793="","",IFERROR(INDEX(Kontenplan!$C$5:$C$90,MATCH($D793,Kontenplan!$A$5:$A$90,0)),"?"))</f>
        <v/>
      </c>
      <c r="U793" s="35" t="str">
        <f aca="false">IF($E793="","",IFERROR(INDEX(Kontenplan!$C$5:$C$90,MATCH($E793,Kontenplan!$A$5:$A$90,0)),"?"))</f>
        <v/>
      </c>
      <c r="V793" s="35" t="str">
        <f aca="false">IF($F793="","",IF(OR($D793="",$E793="",$T793="?",$U793="?"),"Konto prüfen!",IF($A793="","Datum fehlt",IF(YEAR($A793)&lt;&gt;Einstellungen!$B$7,"anderes Jahr!",IF($G793="","MWST-Code fehlt","OK")))))</f>
        <v/>
      </c>
      <c r="W793" s="35" t="str">
        <f aca="false">IF($F793="","",IF(OR($D793=Kontoauszug!$C$4,$E793=Kontoauszug!$C$4),MAX(W$4:W792)+1,""))</f>
        <v/>
      </c>
    </row>
    <row r="794" customFormat="false" ht="15" hidden="false" customHeight="false" outlineLevel="0" collapsed="false">
      <c r="A794" s="33"/>
      <c r="B794" s="32"/>
      <c r="C794" s="32"/>
      <c r="D794" s="32"/>
      <c r="E794" s="32"/>
      <c r="F794" s="30"/>
      <c r="G794" s="32"/>
      <c r="H794" s="34" t="n">
        <f aca="false">IF($G794="",0,IFERROR(INDEX(Einstellungen!$G$5:$G$11,MATCH($G794,Einstellungen!$E$5:$E$11,0)),0))</f>
        <v>0</v>
      </c>
      <c r="I794" s="35" t="str">
        <f aca="false">IF($G794="","-",IFERROR(INDEX(Einstellungen!$H$5:$H$11,MATCH($G794,Einstellungen!$E$5:$E$11,0)),"-"))</f>
        <v>-</v>
      </c>
      <c r="J794" s="35" t="str">
        <f aca="false">IF(AND(Einstellungen!$B$8="Ja",Einstellungen!$B$9="Effektiv"),$I794,"-")</f>
        <v>-</v>
      </c>
      <c r="K794" s="31" t="n">
        <f aca="false">IF(OR($F794="",$J794="-"),0,ROUND($F794-$F794/(1+$H794),2))</f>
        <v>0</v>
      </c>
      <c r="L794" s="31" t="n">
        <f aca="false">IF($F794="",0,$F794-$K794)</f>
        <v>0</v>
      </c>
      <c r="M794" s="31" t="n">
        <f aca="false">IF($F794="",0,IF($J794="V",$L794,$F794))</f>
        <v>0</v>
      </c>
      <c r="N794" s="31" t="n">
        <f aca="false">IF($F794="",0,IF($J794="U",$L794,$F794))</f>
        <v>0</v>
      </c>
      <c r="O794" s="35" t="str">
        <f aca="false">IF($A794="","",MONTH($A794))</f>
        <v/>
      </c>
      <c r="P794" s="35" t="str">
        <f aca="false">IF($A794="","",ROUNDUP(MONTH($A794)/3,0))</f>
        <v/>
      </c>
      <c r="Q794" s="35" t="str">
        <f aca="false">IF($A794="","",IF(MONTH($A794)&lt;=6,1,2))</f>
        <v/>
      </c>
      <c r="R794" s="35" t="str">
        <f aca="false">IF($E794="","",IFERROR(INDEX(Kontenplan!$F$5:$F$90,MATCH($E794,Kontenplan!$A$5:$A$90,0)),""))</f>
        <v/>
      </c>
      <c r="S794" s="35" t="str">
        <f aca="false">IF($D794="","",IFERROR(INDEX(Kontenplan!$F$5:$F$90,MATCH($D794,Kontenplan!$A$5:$A$90,0)),""))</f>
        <v/>
      </c>
      <c r="T794" s="35" t="str">
        <f aca="false">IF($D794="","",IFERROR(INDEX(Kontenplan!$C$5:$C$90,MATCH($D794,Kontenplan!$A$5:$A$90,0)),"?"))</f>
        <v/>
      </c>
      <c r="U794" s="35" t="str">
        <f aca="false">IF($E794="","",IFERROR(INDEX(Kontenplan!$C$5:$C$90,MATCH($E794,Kontenplan!$A$5:$A$90,0)),"?"))</f>
        <v/>
      </c>
      <c r="V794" s="35" t="str">
        <f aca="false">IF($F794="","",IF(OR($D794="",$E794="",$T794="?",$U794="?"),"Konto prüfen!",IF($A794="","Datum fehlt",IF(YEAR($A794)&lt;&gt;Einstellungen!$B$7,"anderes Jahr!",IF($G794="","MWST-Code fehlt","OK")))))</f>
        <v/>
      </c>
      <c r="W794" s="35" t="str">
        <f aca="false">IF($F794="","",IF(OR($D794=Kontoauszug!$C$4,$E794=Kontoauszug!$C$4),MAX(W$4:W793)+1,""))</f>
        <v/>
      </c>
    </row>
    <row r="795" customFormat="false" ht="15" hidden="false" customHeight="false" outlineLevel="0" collapsed="false">
      <c r="A795" s="33"/>
      <c r="B795" s="32"/>
      <c r="C795" s="32"/>
      <c r="D795" s="32"/>
      <c r="E795" s="32"/>
      <c r="F795" s="30"/>
      <c r="G795" s="32"/>
      <c r="H795" s="34" t="n">
        <f aca="false">IF($G795="",0,IFERROR(INDEX(Einstellungen!$G$5:$G$11,MATCH($G795,Einstellungen!$E$5:$E$11,0)),0))</f>
        <v>0</v>
      </c>
      <c r="I795" s="35" t="str">
        <f aca="false">IF($G795="","-",IFERROR(INDEX(Einstellungen!$H$5:$H$11,MATCH($G795,Einstellungen!$E$5:$E$11,0)),"-"))</f>
        <v>-</v>
      </c>
      <c r="J795" s="35" t="str">
        <f aca="false">IF(AND(Einstellungen!$B$8="Ja",Einstellungen!$B$9="Effektiv"),$I795,"-")</f>
        <v>-</v>
      </c>
      <c r="K795" s="31" t="n">
        <f aca="false">IF(OR($F795="",$J795="-"),0,ROUND($F795-$F795/(1+$H795),2))</f>
        <v>0</v>
      </c>
      <c r="L795" s="31" t="n">
        <f aca="false">IF($F795="",0,$F795-$K795)</f>
        <v>0</v>
      </c>
      <c r="M795" s="31" t="n">
        <f aca="false">IF($F795="",0,IF($J795="V",$L795,$F795))</f>
        <v>0</v>
      </c>
      <c r="N795" s="31" t="n">
        <f aca="false">IF($F795="",0,IF($J795="U",$L795,$F795))</f>
        <v>0</v>
      </c>
      <c r="O795" s="35" t="str">
        <f aca="false">IF($A795="","",MONTH($A795))</f>
        <v/>
      </c>
      <c r="P795" s="35" t="str">
        <f aca="false">IF($A795="","",ROUNDUP(MONTH($A795)/3,0))</f>
        <v/>
      </c>
      <c r="Q795" s="35" t="str">
        <f aca="false">IF($A795="","",IF(MONTH($A795)&lt;=6,1,2))</f>
        <v/>
      </c>
      <c r="R795" s="35" t="str">
        <f aca="false">IF($E795="","",IFERROR(INDEX(Kontenplan!$F$5:$F$90,MATCH($E795,Kontenplan!$A$5:$A$90,0)),""))</f>
        <v/>
      </c>
      <c r="S795" s="35" t="str">
        <f aca="false">IF($D795="","",IFERROR(INDEX(Kontenplan!$F$5:$F$90,MATCH($D795,Kontenplan!$A$5:$A$90,0)),""))</f>
        <v/>
      </c>
      <c r="T795" s="35" t="str">
        <f aca="false">IF($D795="","",IFERROR(INDEX(Kontenplan!$C$5:$C$90,MATCH($D795,Kontenplan!$A$5:$A$90,0)),"?"))</f>
        <v/>
      </c>
      <c r="U795" s="35" t="str">
        <f aca="false">IF($E795="","",IFERROR(INDEX(Kontenplan!$C$5:$C$90,MATCH($E795,Kontenplan!$A$5:$A$90,0)),"?"))</f>
        <v/>
      </c>
      <c r="V795" s="35" t="str">
        <f aca="false">IF($F795="","",IF(OR($D795="",$E795="",$T795="?",$U795="?"),"Konto prüfen!",IF($A795="","Datum fehlt",IF(YEAR($A795)&lt;&gt;Einstellungen!$B$7,"anderes Jahr!",IF($G795="","MWST-Code fehlt","OK")))))</f>
        <v/>
      </c>
      <c r="W795" s="35" t="str">
        <f aca="false">IF($F795="","",IF(OR($D795=Kontoauszug!$C$4,$E795=Kontoauszug!$C$4),MAX(W$4:W794)+1,""))</f>
        <v/>
      </c>
    </row>
    <row r="796" customFormat="false" ht="15" hidden="false" customHeight="false" outlineLevel="0" collapsed="false">
      <c r="A796" s="33"/>
      <c r="B796" s="32"/>
      <c r="C796" s="32"/>
      <c r="D796" s="32"/>
      <c r="E796" s="32"/>
      <c r="F796" s="30"/>
      <c r="G796" s="32"/>
      <c r="H796" s="34" t="n">
        <f aca="false">IF($G796="",0,IFERROR(INDEX(Einstellungen!$G$5:$G$11,MATCH($G796,Einstellungen!$E$5:$E$11,0)),0))</f>
        <v>0</v>
      </c>
      <c r="I796" s="35" t="str">
        <f aca="false">IF($G796="","-",IFERROR(INDEX(Einstellungen!$H$5:$H$11,MATCH($G796,Einstellungen!$E$5:$E$11,0)),"-"))</f>
        <v>-</v>
      </c>
      <c r="J796" s="35" t="str">
        <f aca="false">IF(AND(Einstellungen!$B$8="Ja",Einstellungen!$B$9="Effektiv"),$I796,"-")</f>
        <v>-</v>
      </c>
      <c r="K796" s="31" t="n">
        <f aca="false">IF(OR($F796="",$J796="-"),0,ROUND($F796-$F796/(1+$H796),2))</f>
        <v>0</v>
      </c>
      <c r="L796" s="31" t="n">
        <f aca="false">IF($F796="",0,$F796-$K796)</f>
        <v>0</v>
      </c>
      <c r="M796" s="31" t="n">
        <f aca="false">IF($F796="",0,IF($J796="V",$L796,$F796))</f>
        <v>0</v>
      </c>
      <c r="N796" s="31" t="n">
        <f aca="false">IF($F796="",0,IF($J796="U",$L796,$F796))</f>
        <v>0</v>
      </c>
      <c r="O796" s="35" t="str">
        <f aca="false">IF($A796="","",MONTH($A796))</f>
        <v/>
      </c>
      <c r="P796" s="35" t="str">
        <f aca="false">IF($A796="","",ROUNDUP(MONTH($A796)/3,0))</f>
        <v/>
      </c>
      <c r="Q796" s="35" t="str">
        <f aca="false">IF($A796="","",IF(MONTH($A796)&lt;=6,1,2))</f>
        <v/>
      </c>
      <c r="R796" s="35" t="str">
        <f aca="false">IF($E796="","",IFERROR(INDEX(Kontenplan!$F$5:$F$90,MATCH($E796,Kontenplan!$A$5:$A$90,0)),""))</f>
        <v/>
      </c>
      <c r="S796" s="35" t="str">
        <f aca="false">IF($D796="","",IFERROR(INDEX(Kontenplan!$F$5:$F$90,MATCH($D796,Kontenplan!$A$5:$A$90,0)),""))</f>
        <v/>
      </c>
      <c r="T796" s="35" t="str">
        <f aca="false">IF($D796="","",IFERROR(INDEX(Kontenplan!$C$5:$C$90,MATCH($D796,Kontenplan!$A$5:$A$90,0)),"?"))</f>
        <v/>
      </c>
      <c r="U796" s="35" t="str">
        <f aca="false">IF($E796="","",IFERROR(INDEX(Kontenplan!$C$5:$C$90,MATCH($E796,Kontenplan!$A$5:$A$90,0)),"?"))</f>
        <v/>
      </c>
      <c r="V796" s="35" t="str">
        <f aca="false">IF($F796="","",IF(OR($D796="",$E796="",$T796="?",$U796="?"),"Konto prüfen!",IF($A796="","Datum fehlt",IF(YEAR($A796)&lt;&gt;Einstellungen!$B$7,"anderes Jahr!",IF($G796="","MWST-Code fehlt","OK")))))</f>
        <v/>
      </c>
      <c r="W796" s="35" t="str">
        <f aca="false">IF($F796="","",IF(OR($D796=Kontoauszug!$C$4,$E796=Kontoauszug!$C$4),MAX(W$4:W795)+1,""))</f>
        <v/>
      </c>
    </row>
    <row r="797" customFormat="false" ht="15" hidden="false" customHeight="false" outlineLevel="0" collapsed="false">
      <c r="A797" s="33"/>
      <c r="B797" s="32"/>
      <c r="C797" s="32"/>
      <c r="D797" s="32"/>
      <c r="E797" s="32"/>
      <c r="F797" s="30"/>
      <c r="G797" s="32"/>
      <c r="H797" s="34" t="n">
        <f aca="false">IF($G797="",0,IFERROR(INDEX(Einstellungen!$G$5:$G$11,MATCH($G797,Einstellungen!$E$5:$E$11,0)),0))</f>
        <v>0</v>
      </c>
      <c r="I797" s="35" t="str">
        <f aca="false">IF($G797="","-",IFERROR(INDEX(Einstellungen!$H$5:$H$11,MATCH($G797,Einstellungen!$E$5:$E$11,0)),"-"))</f>
        <v>-</v>
      </c>
      <c r="J797" s="35" t="str">
        <f aca="false">IF(AND(Einstellungen!$B$8="Ja",Einstellungen!$B$9="Effektiv"),$I797,"-")</f>
        <v>-</v>
      </c>
      <c r="K797" s="31" t="n">
        <f aca="false">IF(OR($F797="",$J797="-"),0,ROUND($F797-$F797/(1+$H797),2))</f>
        <v>0</v>
      </c>
      <c r="L797" s="31" t="n">
        <f aca="false">IF($F797="",0,$F797-$K797)</f>
        <v>0</v>
      </c>
      <c r="M797" s="31" t="n">
        <f aca="false">IF($F797="",0,IF($J797="V",$L797,$F797))</f>
        <v>0</v>
      </c>
      <c r="N797" s="31" t="n">
        <f aca="false">IF($F797="",0,IF($J797="U",$L797,$F797))</f>
        <v>0</v>
      </c>
      <c r="O797" s="35" t="str">
        <f aca="false">IF($A797="","",MONTH($A797))</f>
        <v/>
      </c>
      <c r="P797" s="35" t="str">
        <f aca="false">IF($A797="","",ROUNDUP(MONTH($A797)/3,0))</f>
        <v/>
      </c>
      <c r="Q797" s="35" t="str">
        <f aca="false">IF($A797="","",IF(MONTH($A797)&lt;=6,1,2))</f>
        <v/>
      </c>
      <c r="R797" s="35" t="str">
        <f aca="false">IF($E797="","",IFERROR(INDEX(Kontenplan!$F$5:$F$90,MATCH($E797,Kontenplan!$A$5:$A$90,0)),""))</f>
        <v/>
      </c>
      <c r="S797" s="35" t="str">
        <f aca="false">IF($D797="","",IFERROR(INDEX(Kontenplan!$F$5:$F$90,MATCH($D797,Kontenplan!$A$5:$A$90,0)),""))</f>
        <v/>
      </c>
      <c r="T797" s="35" t="str">
        <f aca="false">IF($D797="","",IFERROR(INDEX(Kontenplan!$C$5:$C$90,MATCH($D797,Kontenplan!$A$5:$A$90,0)),"?"))</f>
        <v/>
      </c>
      <c r="U797" s="35" t="str">
        <f aca="false">IF($E797="","",IFERROR(INDEX(Kontenplan!$C$5:$C$90,MATCH($E797,Kontenplan!$A$5:$A$90,0)),"?"))</f>
        <v/>
      </c>
      <c r="V797" s="35" t="str">
        <f aca="false">IF($F797="","",IF(OR($D797="",$E797="",$T797="?",$U797="?"),"Konto prüfen!",IF($A797="","Datum fehlt",IF(YEAR($A797)&lt;&gt;Einstellungen!$B$7,"anderes Jahr!",IF($G797="","MWST-Code fehlt","OK")))))</f>
        <v/>
      </c>
      <c r="W797" s="35" t="str">
        <f aca="false">IF($F797="","",IF(OR($D797=Kontoauszug!$C$4,$E797=Kontoauszug!$C$4),MAX(W$4:W796)+1,""))</f>
        <v/>
      </c>
    </row>
    <row r="798" customFormat="false" ht="15" hidden="false" customHeight="false" outlineLevel="0" collapsed="false">
      <c r="A798" s="33"/>
      <c r="B798" s="32"/>
      <c r="C798" s="32"/>
      <c r="D798" s="32"/>
      <c r="E798" s="32"/>
      <c r="F798" s="30"/>
      <c r="G798" s="32"/>
      <c r="H798" s="34" t="n">
        <f aca="false">IF($G798="",0,IFERROR(INDEX(Einstellungen!$G$5:$G$11,MATCH($G798,Einstellungen!$E$5:$E$11,0)),0))</f>
        <v>0</v>
      </c>
      <c r="I798" s="35" t="str">
        <f aca="false">IF($G798="","-",IFERROR(INDEX(Einstellungen!$H$5:$H$11,MATCH($G798,Einstellungen!$E$5:$E$11,0)),"-"))</f>
        <v>-</v>
      </c>
      <c r="J798" s="35" t="str">
        <f aca="false">IF(AND(Einstellungen!$B$8="Ja",Einstellungen!$B$9="Effektiv"),$I798,"-")</f>
        <v>-</v>
      </c>
      <c r="K798" s="31" t="n">
        <f aca="false">IF(OR($F798="",$J798="-"),0,ROUND($F798-$F798/(1+$H798),2))</f>
        <v>0</v>
      </c>
      <c r="L798" s="31" t="n">
        <f aca="false">IF($F798="",0,$F798-$K798)</f>
        <v>0</v>
      </c>
      <c r="M798" s="31" t="n">
        <f aca="false">IF($F798="",0,IF($J798="V",$L798,$F798))</f>
        <v>0</v>
      </c>
      <c r="N798" s="31" t="n">
        <f aca="false">IF($F798="",0,IF($J798="U",$L798,$F798))</f>
        <v>0</v>
      </c>
      <c r="O798" s="35" t="str">
        <f aca="false">IF($A798="","",MONTH($A798))</f>
        <v/>
      </c>
      <c r="P798" s="35" t="str">
        <f aca="false">IF($A798="","",ROUNDUP(MONTH($A798)/3,0))</f>
        <v/>
      </c>
      <c r="Q798" s="35" t="str">
        <f aca="false">IF($A798="","",IF(MONTH($A798)&lt;=6,1,2))</f>
        <v/>
      </c>
      <c r="R798" s="35" t="str">
        <f aca="false">IF($E798="","",IFERROR(INDEX(Kontenplan!$F$5:$F$90,MATCH($E798,Kontenplan!$A$5:$A$90,0)),""))</f>
        <v/>
      </c>
      <c r="S798" s="35" t="str">
        <f aca="false">IF($D798="","",IFERROR(INDEX(Kontenplan!$F$5:$F$90,MATCH($D798,Kontenplan!$A$5:$A$90,0)),""))</f>
        <v/>
      </c>
      <c r="T798" s="35" t="str">
        <f aca="false">IF($D798="","",IFERROR(INDEX(Kontenplan!$C$5:$C$90,MATCH($D798,Kontenplan!$A$5:$A$90,0)),"?"))</f>
        <v/>
      </c>
      <c r="U798" s="35" t="str">
        <f aca="false">IF($E798="","",IFERROR(INDEX(Kontenplan!$C$5:$C$90,MATCH($E798,Kontenplan!$A$5:$A$90,0)),"?"))</f>
        <v/>
      </c>
      <c r="V798" s="35" t="str">
        <f aca="false">IF($F798="","",IF(OR($D798="",$E798="",$T798="?",$U798="?"),"Konto prüfen!",IF($A798="","Datum fehlt",IF(YEAR($A798)&lt;&gt;Einstellungen!$B$7,"anderes Jahr!",IF($G798="","MWST-Code fehlt","OK")))))</f>
        <v/>
      </c>
      <c r="W798" s="35" t="str">
        <f aca="false">IF($F798="","",IF(OR($D798=Kontoauszug!$C$4,$E798=Kontoauszug!$C$4),MAX(W$4:W797)+1,""))</f>
        <v/>
      </c>
    </row>
    <row r="799" customFormat="false" ht="15" hidden="false" customHeight="false" outlineLevel="0" collapsed="false">
      <c r="A799" s="33"/>
      <c r="B799" s="32"/>
      <c r="C799" s="32"/>
      <c r="D799" s="32"/>
      <c r="E799" s="32"/>
      <c r="F799" s="30"/>
      <c r="G799" s="32"/>
      <c r="H799" s="34" t="n">
        <f aca="false">IF($G799="",0,IFERROR(INDEX(Einstellungen!$G$5:$G$11,MATCH($G799,Einstellungen!$E$5:$E$11,0)),0))</f>
        <v>0</v>
      </c>
      <c r="I799" s="35" t="str">
        <f aca="false">IF($G799="","-",IFERROR(INDEX(Einstellungen!$H$5:$H$11,MATCH($G799,Einstellungen!$E$5:$E$11,0)),"-"))</f>
        <v>-</v>
      </c>
      <c r="J799" s="35" t="str">
        <f aca="false">IF(AND(Einstellungen!$B$8="Ja",Einstellungen!$B$9="Effektiv"),$I799,"-")</f>
        <v>-</v>
      </c>
      <c r="K799" s="31" t="n">
        <f aca="false">IF(OR($F799="",$J799="-"),0,ROUND($F799-$F799/(1+$H799),2))</f>
        <v>0</v>
      </c>
      <c r="L799" s="31" t="n">
        <f aca="false">IF($F799="",0,$F799-$K799)</f>
        <v>0</v>
      </c>
      <c r="M799" s="31" t="n">
        <f aca="false">IF($F799="",0,IF($J799="V",$L799,$F799))</f>
        <v>0</v>
      </c>
      <c r="N799" s="31" t="n">
        <f aca="false">IF($F799="",0,IF($J799="U",$L799,$F799))</f>
        <v>0</v>
      </c>
      <c r="O799" s="35" t="str">
        <f aca="false">IF($A799="","",MONTH($A799))</f>
        <v/>
      </c>
      <c r="P799" s="35" t="str">
        <f aca="false">IF($A799="","",ROUNDUP(MONTH($A799)/3,0))</f>
        <v/>
      </c>
      <c r="Q799" s="35" t="str">
        <f aca="false">IF($A799="","",IF(MONTH($A799)&lt;=6,1,2))</f>
        <v/>
      </c>
      <c r="R799" s="35" t="str">
        <f aca="false">IF($E799="","",IFERROR(INDEX(Kontenplan!$F$5:$F$90,MATCH($E799,Kontenplan!$A$5:$A$90,0)),""))</f>
        <v/>
      </c>
      <c r="S799" s="35" t="str">
        <f aca="false">IF($D799="","",IFERROR(INDEX(Kontenplan!$F$5:$F$90,MATCH($D799,Kontenplan!$A$5:$A$90,0)),""))</f>
        <v/>
      </c>
      <c r="T799" s="35" t="str">
        <f aca="false">IF($D799="","",IFERROR(INDEX(Kontenplan!$C$5:$C$90,MATCH($D799,Kontenplan!$A$5:$A$90,0)),"?"))</f>
        <v/>
      </c>
      <c r="U799" s="35" t="str">
        <f aca="false">IF($E799="","",IFERROR(INDEX(Kontenplan!$C$5:$C$90,MATCH($E799,Kontenplan!$A$5:$A$90,0)),"?"))</f>
        <v/>
      </c>
      <c r="V799" s="35" t="str">
        <f aca="false">IF($F799="","",IF(OR($D799="",$E799="",$T799="?",$U799="?"),"Konto prüfen!",IF($A799="","Datum fehlt",IF(YEAR($A799)&lt;&gt;Einstellungen!$B$7,"anderes Jahr!",IF($G799="","MWST-Code fehlt","OK")))))</f>
        <v/>
      </c>
      <c r="W799" s="35" t="str">
        <f aca="false">IF($F799="","",IF(OR($D799=Kontoauszug!$C$4,$E799=Kontoauszug!$C$4),MAX(W$4:W798)+1,""))</f>
        <v/>
      </c>
    </row>
    <row r="800" customFormat="false" ht="15" hidden="false" customHeight="false" outlineLevel="0" collapsed="false">
      <c r="A800" s="33"/>
      <c r="B800" s="32"/>
      <c r="C800" s="32"/>
      <c r="D800" s="32"/>
      <c r="E800" s="32"/>
      <c r="F800" s="30"/>
      <c r="G800" s="32"/>
      <c r="H800" s="34" t="n">
        <f aca="false">IF($G800="",0,IFERROR(INDEX(Einstellungen!$G$5:$G$11,MATCH($G800,Einstellungen!$E$5:$E$11,0)),0))</f>
        <v>0</v>
      </c>
      <c r="I800" s="35" t="str">
        <f aca="false">IF($G800="","-",IFERROR(INDEX(Einstellungen!$H$5:$H$11,MATCH($G800,Einstellungen!$E$5:$E$11,0)),"-"))</f>
        <v>-</v>
      </c>
      <c r="J800" s="35" t="str">
        <f aca="false">IF(AND(Einstellungen!$B$8="Ja",Einstellungen!$B$9="Effektiv"),$I800,"-")</f>
        <v>-</v>
      </c>
      <c r="K800" s="31" t="n">
        <f aca="false">IF(OR($F800="",$J800="-"),0,ROUND($F800-$F800/(1+$H800),2))</f>
        <v>0</v>
      </c>
      <c r="L800" s="31" t="n">
        <f aca="false">IF($F800="",0,$F800-$K800)</f>
        <v>0</v>
      </c>
      <c r="M800" s="31" t="n">
        <f aca="false">IF($F800="",0,IF($J800="V",$L800,$F800))</f>
        <v>0</v>
      </c>
      <c r="N800" s="31" t="n">
        <f aca="false">IF($F800="",0,IF($J800="U",$L800,$F800))</f>
        <v>0</v>
      </c>
      <c r="O800" s="35" t="str">
        <f aca="false">IF($A800="","",MONTH($A800))</f>
        <v/>
      </c>
      <c r="P800" s="35" t="str">
        <f aca="false">IF($A800="","",ROUNDUP(MONTH($A800)/3,0))</f>
        <v/>
      </c>
      <c r="Q800" s="35" t="str">
        <f aca="false">IF($A800="","",IF(MONTH($A800)&lt;=6,1,2))</f>
        <v/>
      </c>
      <c r="R800" s="35" t="str">
        <f aca="false">IF($E800="","",IFERROR(INDEX(Kontenplan!$F$5:$F$90,MATCH($E800,Kontenplan!$A$5:$A$90,0)),""))</f>
        <v/>
      </c>
      <c r="S800" s="35" t="str">
        <f aca="false">IF($D800="","",IFERROR(INDEX(Kontenplan!$F$5:$F$90,MATCH($D800,Kontenplan!$A$5:$A$90,0)),""))</f>
        <v/>
      </c>
      <c r="T800" s="35" t="str">
        <f aca="false">IF($D800="","",IFERROR(INDEX(Kontenplan!$C$5:$C$90,MATCH($D800,Kontenplan!$A$5:$A$90,0)),"?"))</f>
        <v/>
      </c>
      <c r="U800" s="35" t="str">
        <f aca="false">IF($E800="","",IFERROR(INDEX(Kontenplan!$C$5:$C$90,MATCH($E800,Kontenplan!$A$5:$A$90,0)),"?"))</f>
        <v/>
      </c>
      <c r="V800" s="35" t="str">
        <f aca="false">IF($F800="","",IF(OR($D800="",$E800="",$T800="?",$U800="?"),"Konto prüfen!",IF($A800="","Datum fehlt",IF(YEAR($A800)&lt;&gt;Einstellungen!$B$7,"anderes Jahr!",IF($G800="","MWST-Code fehlt","OK")))))</f>
        <v/>
      </c>
      <c r="W800" s="35" t="str">
        <f aca="false">IF($F800="","",IF(OR($D800=Kontoauszug!$C$4,$E800=Kontoauszug!$C$4),MAX(W$4:W799)+1,""))</f>
        <v/>
      </c>
    </row>
    <row r="801" customFormat="false" ht="15" hidden="false" customHeight="false" outlineLevel="0" collapsed="false">
      <c r="A801" s="33"/>
      <c r="B801" s="32"/>
      <c r="C801" s="32"/>
      <c r="D801" s="32"/>
      <c r="E801" s="32"/>
      <c r="F801" s="30"/>
      <c r="G801" s="32"/>
      <c r="H801" s="34" t="n">
        <f aca="false">IF($G801="",0,IFERROR(INDEX(Einstellungen!$G$5:$G$11,MATCH($G801,Einstellungen!$E$5:$E$11,0)),0))</f>
        <v>0</v>
      </c>
      <c r="I801" s="35" t="str">
        <f aca="false">IF($G801="","-",IFERROR(INDEX(Einstellungen!$H$5:$H$11,MATCH($G801,Einstellungen!$E$5:$E$11,0)),"-"))</f>
        <v>-</v>
      </c>
      <c r="J801" s="35" t="str">
        <f aca="false">IF(AND(Einstellungen!$B$8="Ja",Einstellungen!$B$9="Effektiv"),$I801,"-")</f>
        <v>-</v>
      </c>
      <c r="K801" s="31" t="n">
        <f aca="false">IF(OR($F801="",$J801="-"),0,ROUND($F801-$F801/(1+$H801),2))</f>
        <v>0</v>
      </c>
      <c r="L801" s="31" t="n">
        <f aca="false">IF($F801="",0,$F801-$K801)</f>
        <v>0</v>
      </c>
      <c r="M801" s="31" t="n">
        <f aca="false">IF($F801="",0,IF($J801="V",$L801,$F801))</f>
        <v>0</v>
      </c>
      <c r="N801" s="31" t="n">
        <f aca="false">IF($F801="",0,IF($J801="U",$L801,$F801))</f>
        <v>0</v>
      </c>
      <c r="O801" s="35" t="str">
        <f aca="false">IF($A801="","",MONTH($A801))</f>
        <v/>
      </c>
      <c r="P801" s="35" t="str">
        <f aca="false">IF($A801="","",ROUNDUP(MONTH($A801)/3,0))</f>
        <v/>
      </c>
      <c r="Q801" s="35" t="str">
        <f aca="false">IF($A801="","",IF(MONTH($A801)&lt;=6,1,2))</f>
        <v/>
      </c>
      <c r="R801" s="35" t="str">
        <f aca="false">IF($E801="","",IFERROR(INDEX(Kontenplan!$F$5:$F$90,MATCH($E801,Kontenplan!$A$5:$A$90,0)),""))</f>
        <v/>
      </c>
      <c r="S801" s="35" t="str">
        <f aca="false">IF($D801="","",IFERROR(INDEX(Kontenplan!$F$5:$F$90,MATCH($D801,Kontenplan!$A$5:$A$90,0)),""))</f>
        <v/>
      </c>
      <c r="T801" s="35" t="str">
        <f aca="false">IF($D801="","",IFERROR(INDEX(Kontenplan!$C$5:$C$90,MATCH($D801,Kontenplan!$A$5:$A$90,0)),"?"))</f>
        <v/>
      </c>
      <c r="U801" s="35" t="str">
        <f aca="false">IF($E801="","",IFERROR(INDEX(Kontenplan!$C$5:$C$90,MATCH($E801,Kontenplan!$A$5:$A$90,0)),"?"))</f>
        <v/>
      </c>
      <c r="V801" s="35" t="str">
        <f aca="false">IF($F801="","",IF(OR($D801="",$E801="",$T801="?",$U801="?"),"Konto prüfen!",IF($A801="","Datum fehlt",IF(YEAR($A801)&lt;&gt;Einstellungen!$B$7,"anderes Jahr!",IF($G801="","MWST-Code fehlt","OK")))))</f>
        <v/>
      </c>
      <c r="W801" s="35" t="str">
        <f aca="false">IF($F801="","",IF(OR($D801=Kontoauszug!$C$4,$E801=Kontoauszug!$C$4),MAX(W$4:W800)+1,""))</f>
        <v/>
      </c>
    </row>
    <row r="802" customFormat="false" ht="15" hidden="false" customHeight="false" outlineLevel="0" collapsed="false">
      <c r="A802" s="33"/>
      <c r="B802" s="32"/>
      <c r="C802" s="32"/>
      <c r="D802" s="32"/>
      <c r="E802" s="32"/>
      <c r="F802" s="30"/>
      <c r="G802" s="32"/>
      <c r="H802" s="34" t="n">
        <f aca="false">IF($G802="",0,IFERROR(INDEX(Einstellungen!$G$5:$G$11,MATCH($G802,Einstellungen!$E$5:$E$11,0)),0))</f>
        <v>0</v>
      </c>
      <c r="I802" s="35" t="str">
        <f aca="false">IF($G802="","-",IFERROR(INDEX(Einstellungen!$H$5:$H$11,MATCH($G802,Einstellungen!$E$5:$E$11,0)),"-"))</f>
        <v>-</v>
      </c>
      <c r="J802" s="35" t="str">
        <f aca="false">IF(AND(Einstellungen!$B$8="Ja",Einstellungen!$B$9="Effektiv"),$I802,"-")</f>
        <v>-</v>
      </c>
      <c r="K802" s="31" t="n">
        <f aca="false">IF(OR($F802="",$J802="-"),0,ROUND($F802-$F802/(1+$H802),2))</f>
        <v>0</v>
      </c>
      <c r="L802" s="31" t="n">
        <f aca="false">IF($F802="",0,$F802-$K802)</f>
        <v>0</v>
      </c>
      <c r="M802" s="31" t="n">
        <f aca="false">IF($F802="",0,IF($J802="V",$L802,$F802))</f>
        <v>0</v>
      </c>
      <c r="N802" s="31" t="n">
        <f aca="false">IF($F802="",0,IF($J802="U",$L802,$F802))</f>
        <v>0</v>
      </c>
      <c r="O802" s="35" t="str">
        <f aca="false">IF($A802="","",MONTH($A802))</f>
        <v/>
      </c>
      <c r="P802" s="35" t="str">
        <f aca="false">IF($A802="","",ROUNDUP(MONTH($A802)/3,0))</f>
        <v/>
      </c>
      <c r="Q802" s="35" t="str">
        <f aca="false">IF($A802="","",IF(MONTH($A802)&lt;=6,1,2))</f>
        <v/>
      </c>
      <c r="R802" s="35" t="str">
        <f aca="false">IF($E802="","",IFERROR(INDEX(Kontenplan!$F$5:$F$90,MATCH($E802,Kontenplan!$A$5:$A$90,0)),""))</f>
        <v/>
      </c>
      <c r="S802" s="35" t="str">
        <f aca="false">IF($D802="","",IFERROR(INDEX(Kontenplan!$F$5:$F$90,MATCH($D802,Kontenplan!$A$5:$A$90,0)),""))</f>
        <v/>
      </c>
      <c r="T802" s="35" t="str">
        <f aca="false">IF($D802="","",IFERROR(INDEX(Kontenplan!$C$5:$C$90,MATCH($D802,Kontenplan!$A$5:$A$90,0)),"?"))</f>
        <v/>
      </c>
      <c r="U802" s="35" t="str">
        <f aca="false">IF($E802="","",IFERROR(INDEX(Kontenplan!$C$5:$C$90,MATCH($E802,Kontenplan!$A$5:$A$90,0)),"?"))</f>
        <v/>
      </c>
      <c r="V802" s="35" t="str">
        <f aca="false">IF($F802="","",IF(OR($D802="",$E802="",$T802="?",$U802="?"),"Konto prüfen!",IF($A802="","Datum fehlt",IF(YEAR($A802)&lt;&gt;Einstellungen!$B$7,"anderes Jahr!",IF($G802="","MWST-Code fehlt","OK")))))</f>
        <v/>
      </c>
      <c r="W802" s="35" t="str">
        <f aca="false">IF($F802="","",IF(OR($D802=Kontoauszug!$C$4,$E802=Kontoauszug!$C$4),MAX(W$4:W801)+1,""))</f>
        <v/>
      </c>
    </row>
    <row r="803" customFormat="false" ht="15" hidden="false" customHeight="false" outlineLevel="0" collapsed="false">
      <c r="A803" s="33"/>
      <c r="B803" s="32"/>
      <c r="C803" s="32"/>
      <c r="D803" s="32"/>
      <c r="E803" s="32"/>
      <c r="F803" s="30"/>
      <c r="G803" s="32"/>
      <c r="H803" s="34" t="n">
        <f aca="false">IF($G803="",0,IFERROR(INDEX(Einstellungen!$G$5:$G$11,MATCH($G803,Einstellungen!$E$5:$E$11,0)),0))</f>
        <v>0</v>
      </c>
      <c r="I803" s="35" t="str">
        <f aca="false">IF($G803="","-",IFERROR(INDEX(Einstellungen!$H$5:$H$11,MATCH($G803,Einstellungen!$E$5:$E$11,0)),"-"))</f>
        <v>-</v>
      </c>
      <c r="J803" s="35" t="str">
        <f aca="false">IF(AND(Einstellungen!$B$8="Ja",Einstellungen!$B$9="Effektiv"),$I803,"-")</f>
        <v>-</v>
      </c>
      <c r="K803" s="31" t="n">
        <f aca="false">IF(OR($F803="",$J803="-"),0,ROUND($F803-$F803/(1+$H803),2))</f>
        <v>0</v>
      </c>
      <c r="L803" s="31" t="n">
        <f aca="false">IF($F803="",0,$F803-$K803)</f>
        <v>0</v>
      </c>
      <c r="M803" s="31" t="n">
        <f aca="false">IF($F803="",0,IF($J803="V",$L803,$F803))</f>
        <v>0</v>
      </c>
      <c r="N803" s="31" t="n">
        <f aca="false">IF($F803="",0,IF($J803="U",$L803,$F803))</f>
        <v>0</v>
      </c>
      <c r="O803" s="35" t="str">
        <f aca="false">IF($A803="","",MONTH($A803))</f>
        <v/>
      </c>
      <c r="P803" s="35" t="str">
        <f aca="false">IF($A803="","",ROUNDUP(MONTH($A803)/3,0))</f>
        <v/>
      </c>
      <c r="Q803" s="35" t="str">
        <f aca="false">IF($A803="","",IF(MONTH($A803)&lt;=6,1,2))</f>
        <v/>
      </c>
      <c r="R803" s="35" t="str">
        <f aca="false">IF($E803="","",IFERROR(INDEX(Kontenplan!$F$5:$F$90,MATCH($E803,Kontenplan!$A$5:$A$90,0)),""))</f>
        <v/>
      </c>
      <c r="S803" s="35" t="str">
        <f aca="false">IF($D803="","",IFERROR(INDEX(Kontenplan!$F$5:$F$90,MATCH($D803,Kontenplan!$A$5:$A$90,0)),""))</f>
        <v/>
      </c>
      <c r="T803" s="35" t="str">
        <f aca="false">IF($D803="","",IFERROR(INDEX(Kontenplan!$C$5:$C$90,MATCH($D803,Kontenplan!$A$5:$A$90,0)),"?"))</f>
        <v/>
      </c>
      <c r="U803" s="35" t="str">
        <f aca="false">IF($E803="","",IFERROR(INDEX(Kontenplan!$C$5:$C$90,MATCH($E803,Kontenplan!$A$5:$A$90,0)),"?"))</f>
        <v/>
      </c>
      <c r="V803" s="35" t="str">
        <f aca="false">IF($F803="","",IF(OR($D803="",$E803="",$T803="?",$U803="?"),"Konto prüfen!",IF($A803="","Datum fehlt",IF(YEAR($A803)&lt;&gt;Einstellungen!$B$7,"anderes Jahr!",IF($G803="","MWST-Code fehlt","OK")))))</f>
        <v/>
      </c>
      <c r="W803" s="35" t="str">
        <f aca="false">IF($F803="","",IF(OR($D803=Kontoauszug!$C$4,$E803=Kontoauszug!$C$4),MAX(W$4:W802)+1,""))</f>
        <v/>
      </c>
    </row>
    <row r="804" customFormat="false" ht="15" hidden="false" customHeight="false" outlineLevel="0" collapsed="false">
      <c r="A804" s="33"/>
      <c r="B804" s="32"/>
      <c r="C804" s="32"/>
      <c r="D804" s="32"/>
      <c r="E804" s="32"/>
      <c r="F804" s="30"/>
      <c r="G804" s="32"/>
      <c r="H804" s="34" t="n">
        <f aca="false">IF($G804="",0,IFERROR(INDEX(Einstellungen!$G$5:$G$11,MATCH($G804,Einstellungen!$E$5:$E$11,0)),0))</f>
        <v>0</v>
      </c>
      <c r="I804" s="35" t="str">
        <f aca="false">IF($G804="","-",IFERROR(INDEX(Einstellungen!$H$5:$H$11,MATCH($G804,Einstellungen!$E$5:$E$11,0)),"-"))</f>
        <v>-</v>
      </c>
      <c r="J804" s="35" t="str">
        <f aca="false">IF(AND(Einstellungen!$B$8="Ja",Einstellungen!$B$9="Effektiv"),$I804,"-")</f>
        <v>-</v>
      </c>
      <c r="K804" s="31" t="n">
        <f aca="false">IF(OR($F804="",$J804="-"),0,ROUND($F804-$F804/(1+$H804),2))</f>
        <v>0</v>
      </c>
      <c r="L804" s="31" t="n">
        <f aca="false">IF($F804="",0,$F804-$K804)</f>
        <v>0</v>
      </c>
      <c r="M804" s="31" t="n">
        <f aca="false">IF($F804="",0,IF($J804="V",$L804,$F804))</f>
        <v>0</v>
      </c>
      <c r="N804" s="31" t="n">
        <f aca="false">IF($F804="",0,IF($J804="U",$L804,$F804))</f>
        <v>0</v>
      </c>
      <c r="O804" s="35" t="str">
        <f aca="false">IF($A804="","",MONTH($A804))</f>
        <v/>
      </c>
      <c r="P804" s="35" t="str">
        <f aca="false">IF($A804="","",ROUNDUP(MONTH($A804)/3,0))</f>
        <v/>
      </c>
      <c r="Q804" s="35" t="str">
        <f aca="false">IF($A804="","",IF(MONTH($A804)&lt;=6,1,2))</f>
        <v/>
      </c>
      <c r="R804" s="35" t="str">
        <f aca="false">IF($E804="","",IFERROR(INDEX(Kontenplan!$F$5:$F$90,MATCH($E804,Kontenplan!$A$5:$A$90,0)),""))</f>
        <v/>
      </c>
      <c r="S804" s="35" t="str">
        <f aca="false">IF($D804="","",IFERROR(INDEX(Kontenplan!$F$5:$F$90,MATCH($D804,Kontenplan!$A$5:$A$90,0)),""))</f>
        <v/>
      </c>
      <c r="T804" s="35" t="str">
        <f aca="false">IF($D804="","",IFERROR(INDEX(Kontenplan!$C$5:$C$90,MATCH($D804,Kontenplan!$A$5:$A$90,0)),"?"))</f>
        <v/>
      </c>
      <c r="U804" s="35" t="str">
        <f aca="false">IF($E804="","",IFERROR(INDEX(Kontenplan!$C$5:$C$90,MATCH($E804,Kontenplan!$A$5:$A$90,0)),"?"))</f>
        <v/>
      </c>
      <c r="V804" s="35" t="str">
        <f aca="false">IF($F804="","",IF(OR($D804="",$E804="",$T804="?",$U804="?"),"Konto prüfen!",IF($A804="","Datum fehlt",IF(YEAR($A804)&lt;&gt;Einstellungen!$B$7,"anderes Jahr!",IF($G804="","MWST-Code fehlt","OK")))))</f>
        <v/>
      </c>
      <c r="W804" s="35" t="str">
        <f aca="false">IF($F804="","",IF(OR($D804=Kontoauszug!$C$4,$E804=Kontoauszug!$C$4),MAX(W$4:W803)+1,""))</f>
        <v/>
      </c>
    </row>
    <row r="805" customFormat="false" ht="15" hidden="false" customHeight="false" outlineLevel="0" collapsed="false">
      <c r="A805" s="33"/>
      <c r="B805" s="32"/>
      <c r="C805" s="32"/>
      <c r="D805" s="32"/>
      <c r="E805" s="32"/>
      <c r="F805" s="30"/>
      <c r="G805" s="32"/>
      <c r="H805" s="34" t="n">
        <f aca="false">IF($G805="",0,IFERROR(INDEX(Einstellungen!$G$5:$G$11,MATCH($G805,Einstellungen!$E$5:$E$11,0)),0))</f>
        <v>0</v>
      </c>
      <c r="I805" s="35" t="str">
        <f aca="false">IF($G805="","-",IFERROR(INDEX(Einstellungen!$H$5:$H$11,MATCH($G805,Einstellungen!$E$5:$E$11,0)),"-"))</f>
        <v>-</v>
      </c>
      <c r="J805" s="35" t="str">
        <f aca="false">IF(AND(Einstellungen!$B$8="Ja",Einstellungen!$B$9="Effektiv"),$I805,"-")</f>
        <v>-</v>
      </c>
      <c r="K805" s="31" t="n">
        <f aca="false">IF(OR($F805="",$J805="-"),0,ROUND($F805-$F805/(1+$H805),2))</f>
        <v>0</v>
      </c>
      <c r="L805" s="31" t="n">
        <f aca="false">IF($F805="",0,$F805-$K805)</f>
        <v>0</v>
      </c>
      <c r="M805" s="31" t="n">
        <f aca="false">IF($F805="",0,IF($J805="V",$L805,$F805))</f>
        <v>0</v>
      </c>
      <c r="N805" s="31" t="n">
        <f aca="false">IF($F805="",0,IF($J805="U",$L805,$F805))</f>
        <v>0</v>
      </c>
      <c r="O805" s="35" t="str">
        <f aca="false">IF($A805="","",MONTH($A805))</f>
        <v/>
      </c>
      <c r="P805" s="35" t="str">
        <f aca="false">IF($A805="","",ROUNDUP(MONTH($A805)/3,0))</f>
        <v/>
      </c>
      <c r="Q805" s="35" t="str">
        <f aca="false">IF($A805="","",IF(MONTH($A805)&lt;=6,1,2))</f>
        <v/>
      </c>
      <c r="R805" s="35" t="str">
        <f aca="false">IF($E805="","",IFERROR(INDEX(Kontenplan!$F$5:$F$90,MATCH($E805,Kontenplan!$A$5:$A$90,0)),""))</f>
        <v/>
      </c>
      <c r="S805" s="35" t="str">
        <f aca="false">IF($D805="","",IFERROR(INDEX(Kontenplan!$F$5:$F$90,MATCH($D805,Kontenplan!$A$5:$A$90,0)),""))</f>
        <v/>
      </c>
      <c r="T805" s="35" t="str">
        <f aca="false">IF($D805="","",IFERROR(INDEX(Kontenplan!$C$5:$C$90,MATCH($D805,Kontenplan!$A$5:$A$90,0)),"?"))</f>
        <v/>
      </c>
      <c r="U805" s="35" t="str">
        <f aca="false">IF($E805="","",IFERROR(INDEX(Kontenplan!$C$5:$C$90,MATCH($E805,Kontenplan!$A$5:$A$90,0)),"?"))</f>
        <v/>
      </c>
      <c r="V805" s="35" t="str">
        <f aca="false">IF($F805="","",IF(OR($D805="",$E805="",$T805="?",$U805="?"),"Konto prüfen!",IF($A805="","Datum fehlt",IF(YEAR($A805)&lt;&gt;Einstellungen!$B$7,"anderes Jahr!",IF($G805="","MWST-Code fehlt","OK")))))</f>
        <v/>
      </c>
      <c r="W805" s="35" t="str">
        <f aca="false">IF($F805="","",IF(OR($D805=Kontoauszug!$C$4,$E805=Kontoauszug!$C$4),MAX(W$4:W804)+1,""))</f>
        <v/>
      </c>
    </row>
    <row r="806" customFormat="false" ht="15" hidden="false" customHeight="false" outlineLevel="0" collapsed="false">
      <c r="A806" s="33"/>
      <c r="B806" s="32"/>
      <c r="C806" s="32"/>
      <c r="D806" s="32"/>
      <c r="E806" s="32"/>
      <c r="F806" s="30"/>
      <c r="G806" s="32"/>
      <c r="H806" s="34" t="n">
        <f aca="false">IF($G806="",0,IFERROR(INDEX(Einstellungen!$G$5:$G$11,MATCH($G806,Einstellungen!$E$5:$E$11,0)),0))</f>
        <v>0</v>
      </c>
      <c r="I806" s="35" t="str">
        <f aca="false">IF($G806="","-",IFERROR(INDEX(Einstellungen!$H$5:$H$11,MATCH($G806,Einstellungen!$E$5:$E$11,0)),"-"))</f>
        <v>-</v>
      </c>
      <c r="J806" s="35" t="str">
        <f aca="false">IF(AND(Einstellungen!$B$8="Ja",Einstellungen!$B$9="Effektiv"),$I806,"-")</f>
        <v>-</v>
      </c>
      <c r="K806" s="31" t="n">
        <f aca="false">IF(OR($F806="",$J806="-"),0,ROUND($F806-$F806/(1+$H806),2))</f>
        <v>0</v>
      </c>
      <c r="L806" s="31" t="n">
        <f aca="false">IF($F806="",0,$F806-$K806)</f>
        <v>0</v>
      </c>
      <c r="M806" s="31" t="n">
        <f aca="false">IF($F806="",0,IF($J806="V",$L806,$F806))</f>
        <v>0</v>
      </c>
      <c r="N806" s="31" t="n">
        <f aca="false">IF($F806="",0,IF($J806="U",$L806,$F806))</f>
        <v>0</v>
      </c>
      <c r="O806" s="35" t="str">
        <f aca="false">IF($A806="","",MONTH($A806))</f>
        <v/>
      </c>
      <c r="P806" s="35" t="str">
        <f aca="false">IF($A806="","",ROUNDUP(MONTH($A806)/3,0))</f>
        <v/>
      </c>
      <c r="Q806" s="35" t="str">
        <f aca="false">IF($A806="","",IF(MONTH($A806)&lt;=6,1,2))</f>
        <v/>
      </c>
      <c r="R806" s="35" t="str">
        <f aca="false">IF($E806="","",IFERROR(INDEX(Kontenplan!$F$5:$F$90,MATCH($E806,Kontenplan!$A$5:$A$90,0)),""))</f>
        <v/>
      </c>
      <c r="S806" s="35" t="str">
        <f aca="false">IF($D806="","",IFERROR(INDEX(Kontenplan!$F$5:$F$90,MATCH($D806,Kontenplan!$A$5:$A$90,0)),""))</f>
        <v/>
      </c>
      <c r="T806" s="35" t="str">
        <f aca="false">IF($D806="","",IFERROR(INDEX(Kontenplan!$C$5:$C$90,MATCH($D806,Kontenplan!$A$5:$A$90,0)),"?"))</f>
        <v/>
      </c>
      <c r="U806" s="35" t="str">
        <f aca="false">IF($E806="","",IFERROR(INDEX(Kontenplan!$C$5:$C$90,MATCH($E806,Kontenplan!$A$5:$A$90,0)),"?"))</f>
        <v/>
      </c>
      <c r="V806" s="35" t="str">
        <f aca="false">IF($F806="","",IF(OR($D806="",$E806="",$T806="?",$U806="?"),"Konto prüfen!",IF($A806="","Datum fehlt",IF(YEAR($A806)&lt;&gt;Einstellungen!$B$7,"anderes Jahr!",IF($G806="","MWST-Code fehlt","OK")))))</f>
        <v/>
      </c>
      <c r="W806" s="35" t="str">
        <f aca="false">IF($F806="","",IF(OR($D806=Kontoauszug!$C$4,$E806=Kontoauszug!$C$4),MAX(W$4:W805)+1,""))</f>
        <v/>
      </c>
    </row>
    <row r="807" customFormat="false" ht="15" hidden="false" customHeight="false" outlineLevel="0" collapsed="false">
      <c r="A807" s="33"/>
      <c r="B807" s="32"/>
      <c r="C807" s="32"/>
      <c r="D807" s="32"/>
      <c r="E807" s="32"/>
      <c r="F807" s="30"/>
      <c r="G807" s="32"/>
      <c r="H807" s="34" t="n">
        <f aca="false">IF($G807="",0,IFERROR(INDEX(Einstellungen!$G$5:$G$11,MATCH($G807,Einstellungen!$E$5:$E$11,0)),0))</f>
        <v>0</v>
      </c>
      <c r="I807" s="35" t="str">
        <f aca="false">IF($G807="","-",IFERROR(INDEX(Einstellungen!$H$5:$H$11,MATCH($G807,Einstellungen!$E$5:$E$11,0)),"-"))</f>
        <v>-</v>
      </c>
      <c r="J807" s="35" t="str">
        <f aca="false">IF(AND(Einstellungen!$B$8="Ja",Einstellungen!$B$9="Effektiv"),$I807,"-")</f>
        <v>-</v>
      </c>
      <c r="K807" s="31" t="n">
        <f aca="false">IF(OR($F807="",$J807="-"),0,ROUND($F807-$F807/(1+$H807),2))</f>
        <v>0</v>
      </c>
      <c r="L807" s="31" t="n">
        <f aca="false">IF($F807="",0,$F807-$K807)</f>
        <v>0</v>
      </c>
      <c r="M807" s="31" t="n">
        <f aca="false">IF($F807="",0,IF($J807="V",$L807,$F807))</f>
        <v>0</v>
      </c>
      <c r="N807" s="31" t="n">
        <f aca="false">IF($F807="",0,IF($J807="U",$L807,$F807))</f>
        <v>0</v>
      </c>
      <c r="O807" s="35" t="str">
        <f aca="false">IF($A807="","",MONTH($A807))</f>
        <v/>
      </c>
      <c r="P807" s="35" t="str">
        <f aca="false">IF($A807="","",ROUNDUP(MONTH($A807)/3,0))</f>
        <v/>
      </c>
      <c r="Q807" s="35" t="str">
        <f aca="false">IF($A807="","",IF(MONTH($A807)&lt;=6,1,2))</f>
        <v/>
      </c>
      <c r="R807" s="35" t="str">
        <f aca="false">IF($E807="","",IFERROR(INDEX(Kontenplan!$F$5:$F$90,MATCH($E807,Kontenplan!$A$5:$A$90,0)),""))</f>
        <v/>
      </c>
      <c r="S807" s="35" t="str">
        <f aca="false">IF($D807="","",IFERROR(INDEX(Kontenplan!$F$5:$F$90,MATCH($D807,Kontenplan!$A$5:$A$90,0)),""))</f>
        <v/>
      </c>
      <c r="T807" s="35" t="str">
        <f aca="false">IF($D807="","",IFERROR(INDEX(Kontenplan!$C$5:$C$90,MATCH($D807,Kontenplan!$A$5:$A$90,0)),"?"))</f>
        <v/>
      </c>
      <c r="U807" s="35" t="str">
        <f aca="false">IF($E807="","",IFERROR(INDEX(Kontenplan!$C$5:$C$90,MATCH($E807,Kontenplan!$A$5:$A$90,0)),"?"))</f>
        <v/>
      </c>
      <c r="V807" s="35" t="str">
        <f aca="false">IF($F807="","",IF(OR($D807="",$E807="",$T807="?",$U807="?"),"Konto prüfen!",IF($A807="","Datum fehlt",IF(YEAR($A807)&lt;&gt;Einstellungen!$B$7,"anderes Jahr!",IF($G807="","MWST-Code fehlt","OK")))))</f>
        <v/>
      </c>
      <c r="W807" s="35" t="str">
        <f aca="false">IF($F807="","",IF(OR($D807=Kontoauszug!$C$4,$E807=Kontoauszug!$C$4),MAX(W$4:W806)+1,""))</f>
        <v/>
      </c>
    </row>
    <row r="808" customFormat="false" ht="15" hidden="false" customHeight="false" outlineLevel="0" collapsed="false">
      <c r="A808" s="33"/>
      <c r="B808" s="32"/>
      <c r="C808" s="32"/>
      <c r="D808" s="32"/>
      <c r="E808" s="32"/>
      <c r="F808" s="30"/>
      <c r="G808" s="32"/>
      <c r="H808" s="34" t="n">
        <f aca="false">IF($G808="",0,IFERROR(INDEX(Einstellungen!$G$5:$G$11,MATCH($G808,Einstellungen!$E$5:$E$11,0)),0))</f>
        <v>0</v>
      </c>
      <c r="I808" s="35" t="str">
        <f aca="false">IF($G808="","-",IFERROR(INDEX(Einstellungen!$H$5:$H$11,MATCH($G808,Einstellungen!$E$5:$E$11,0)),"-"))</f>
        <v>-</v>
      </c>
      <c r="J808" s="35" t="str">
        <f aca="false">IF(AND(Einstellungen!$B$8="Ja",Einstellungen!$B$9="Effektiv"),$I808,"-")</f>
        <v>-</v>
      </c>
      <c r="K808" s="31" t="n">
        <f aca="false">IF(OR($F808="",$J808="-"),0,ROUND($F808-$F808/(1+$H808),2))</f>
        <v>0</v>
      </c>
      <c r="L808" s="31" t="n">
        <f aca="false">IF($F808="",0,$F808-$K808)</f>
        <v>0</v>
      </c>
      <c r="M808" s="31" t="n">
        <f aca="false">IF($F808="",0,IF($J808="V",$L808,$F808))</f>
        <v>0</v>
      </c>
      <c r="N808" s="31" t="n">
        <f aca="false">IF($F808="",0,IF($J808="U",$L808,$F808))</f>
        <v>0</v>
      </c>
      <c r="O808" s="35" t="str">
        <f aca="false">IF($A808="","",MONTH($A808))</f>
        <v/>
      </c>
      <c r="P808" s="35" t="str">
        <f aca="false">IF($A808="","",ROUNDUP(MONTH($A808)/3,0))</f>
        <v/>
      </c>
      <c r="Q808" s="35" t="str">
        <f aca="false">IF($A808="","",IF(MONTH($A808)&lt;=6,1,2))</f>
        <v/>
      </c>
      <c r="R808" s="35" t="str">
        <f aca="false">IF($E808="","",IFERROR(INDEX(Kontenplan!$F$5:$F$90,MATCH($E808,Kontenplan!$A$5:$A$90,0)),""))</f>
        <v/>
      </c>
      <c r="S808" s="35" t="str">
        <f aca="false">IF($D808="","",IFERROR(INDEX(Kontenplan!$F$5:$F$90,MATCH($D808,Kontenplan!$A$5:$A$90,0)),""))</f>
        <v/>
      </c>
      <c r="T808" s="35" t="str">
        <f aca="false">IF($D808="","",IFERROR(INDEX(Kontenplan!$C$5:$C$90,MATCH($D808,Kontenplan!$A$5:$A$90,0)),"?"))</f>
        <v/>
      </c>
      <c r="U808" s="35" t="str">
        <f aca="false">IF($E808="","",IFERROR(INDEX(Kontenplan!$C$5:$C$90,MATCH($E808,Kontenplan!$A$5:$A$90,0)),"?"))</f>
        <v/>
      </c>
      <c r="V808" s="35" t="str">
        <f aca="false">IF($F808="","",IF(OR($D808="",$E808="",$T808="?",$U808="?"),"Konto prüfen!",IF($A808="","Datum fehlt",IF(YEAR($A808)&lt;&gt;Einstellungen!$B$7,"anderes Jahr!",IF($G808="","MWST-Code fehlt","OK")))))</f>
        <v/>
      </c>
      <c r="W808" s="35" t="str">
        <f aca="false">IF($F808="","",IF(OR($D808=Kontoauszug!$C$4,$E808=Kontoauszug!$C$4),MAX(W$4:W807)+1,""))</f>
        <v/>
      </c>
    </row>
    <row r="809" customFormat="false" ht="15" hidden="false" customHeight="false" outlineLevel="0" collapsed="false">
      <c r="A809" s="33"/>
      <c r="B809" s="32"/>
      <c r="C809" s="32"/>
      <c r="D809" s="32"/>
      <c r="E809" s="32"/>
      <c r="F809" s="30"/>
      <c r="G809" s="32"/>
      <c r="H809" s="34" t="n">
        <f aca="false">IF($G809="",0,IFERROR(INDEX(Einstellungen!$G$5:$G$11,MATCH($G809,Einstellungen!$E$5:$E$11,0)),0))</f>
        <v>0</v>
      </c>
      <c r="I809" s="35" t="str">
        <f aca="false">IF($G809="","-",IFERROR(INDEX(Einstellungen!$H$5:$H$11,MATCH($G809,Einstellungen!$E$5:$E$11,0)),"-"))</f>
        <v>-</v>
      </c>
      <c r="J809" s="35" t="str">
        <f aca="false">IF(AND(Einstellungen!$B$8="Ja",Einstellungen!$B$9="Effektiv"),$I809,"-")</f>
        <v>-</v>
      </c>
      <c r="K809" s="31" t="n">
        <f aca="false">IF(OR($F809="",$J809="-"),0,ROUND($F809-$F809/(1+$H809),2))</f>
        <v>0</v>
      </c>
      <c r="L809" s="31" t="n">
        <f aca="false">IF($F809="",0,$F809-$K809)</f>
        <v>0</v>
      </c>
      <c r="M809" s="31" t="n">
        <f aca="false">IF($F809="",0,IF($J809="V",$L809,$F809))</f>
        <v>0</v>
      </c>
      <c r="N809" s="31" t="n">
        <f aca="false">IF($F809="",0,IF($J809="U",$L809,$F809))</f>
        <v>0</v>
      </c>
      <c r="O809" s="35" t="str">
        <f aca="false">IF($A809="","",MONTH($A809))</f>
        <v/>
      </c>
      <c r="P809" s="35" t="str">
        <f aca="false">IF($A809="","",ROUNDUP(MONTH($A809)/3,0))</f>
        <v/>
      </c>
      <c r="Q809" s="35" t="str">
        <f aca="false">IF($A809="","",IF(MONTH($A809)&lt;=6,1,2))</f>
        <v/>
      </c>
      <c r="R809" s="35" t="str">
        <f aca="false">IF($E809="","",IFERROR(INDEX(Kontenplan!$F$5:$F$90,MATCH($E809,Kontenplan!$A$5:$A$90,0)),""))</f>
        <v/>
      </c>
      <c r="S809" s="35" t="str">
        <f aca="false">IF($D809="","",IFERROR(INDEX(Kontenplan!$F$5:$F$90,MATCH($D809,Kontenplan!$A$5:$A$90,0)),""))</f>
        <v/>
      </c>
      <c r="T809" s="35" t="str">
        <f aca="false">IF($D809="","",IFERROR(INDEX(Kontenplan!$C$5:$C$90,MATCH($D809,Kontenplan!$A$5:$A$90,0)),"?"))</f>
        <v/>
      </c>
      <c r="U809" s="35" t="str">
        <f aca="false">IF($E809="","",IFERROR(INDEX(Kontenplan!$C$5:$C$90,MATCH($E809,Kontenplan!$A$5:$A$90,0)),"?"))</f>
        <v/>
      </c>
      <c r="V809" s="35" t="str">
        <f aca="false">IF($F809="","",IF(OR($D809="",$E809="",$T809="?",$U809="?"),"Konto prüfen!",IF($A809="","Datum fehlt",IF(YEAR($A809)&lt;&gt;Einstellungen!$B$7,"anderes Jahr!",IF($G809="","MWST-Code fehlt","OK")))))</f>
        <v/>
      </c>
      <c r="W809" s="35" t="str">
        <f aca="false">IF($F809="","",IF(OR($D809=Kontoauszug!$C$4,$E809=Kontoauszug!$C$4),MAX(W$4:W808)+1,""))</f>
        <v/>
      </c>
    </row>
    <row r="810" customFormat="false" ht="15" hidden="false" customHeight="false" outlineLevel="0" collapsed="false">
      <c r="A810" s="33"/>
      <c r="B810" s="32"/>
      <c r="C810" s="32"/>
      <c r="D810" s="32"/>
      <c r="E810" s="32"/>
      <c r="F810" s="30"/>
      <c r="G810" s="32"/>
      <c r="H810" s="34" t="n">
        <f aca="false">IF($G810="",0,IFERROR(INDEX(Einstellungen!$G$5:$G$11,MATCH($G810,Einstellungen!$E$5:$E$11,0)),0))</f>
        <v>0</v>
      </c>
      <c r="I810" s="35" t="str">
        <f aca="false">IF($G810="","-",IFERROR(INDEX(Einstellungen!$H$5:$H$11,MATCH($G810,Einstellungen!$E$5:$E$11,0)),"-"))</f>
        <v>-</v>
      </c>
      <c r="J810" s="35" t="str">
        <f aca="false">IF(AND(Einstellungen!$B$8="Ja",Einstellungen!$B$9="Effektiv"),$I810,"-")</f>
        <v>-</v>
      </c>
      <c r="K810" s="31" t="n">
        <f aca="false">IF(OR($F810="",$J810="-"),0,ROUND($F810-$F810/(1+$H810),2))</f>
        <v>0</v>
      </c>
      <c r="L810" s="31" t="n">
        <f aca="false">IF($F810="",0,$F810-$K810)</f>
        <v>0</v>
      </c>
      <c r="M810" s="31" t="n">
        <f aca="false">IF($F810="",0,IF($J810="V",$L810,$F810))</f>
        <v>0</v>
      </c>
      <c r="N810" s="31" t="n">
        <f aca="false">IF($F810="",0,IF($J810="U",$L810,$F810))</f>
        <v>0</v>
      </c>
      <c r="O810" s="35" t="str">
        <f aca="false">IF($A810="","",MONTH($A810))</f>
        <v/>
      </c>
      <c r="P810" s="35" t="str">
        <f aca="false">IF($A810="","",ROUNDUP(MONTH($A810)/3,0))</f>
        <v/>
      </c>
      <c r="Q810" s="35" t="str">
        <f aca="false">IF($A810="","",IF(MONTH($A810)&lt;=6,1,2))</f>
        <v/>
      </c>
      <c r="R810" s="35" t="str">
        <f aca="false">IF($E810="","",IFERROR(INDEX(Kontenplan!$F$5:$F$90,MATCH($E810,Kontenplan!$A$5:$A$90,0)),""))</f>
        <v/>
      </c>
      <c r="S810" s="35" t="str">
        <f aca="false">IF($D810="","",IFERROR(INDEX(Kontenplan!$F$5:$F$90,MATCH($D810,Kontenplan!$A$5:$A$90,0)),""))</f>
        <v/>
      </c>
      <c r="T810" s="35" t="str">
        <f aca="false">IF($D810="","",IFERROR(INDEX(Kontenplan!$C$5:$C$90,MATCH($D810,Kontenplan!$A$5:$A$90,0)),"?"))</f>
        <v/>
      </c>
      <c r="U810" s="35" t="str">
        <f aca="false">IF($E810="","",IFERROR(INDEX(Kontenplan!$C$5:$C$90,MATCH($E810,Kontenplan!$A$5:$A$90,0)),"?"))</f>
        <v/>
      </c>
      <c r="V810" s="35" t="str">
        <f aca="false">IF($F810="","",IF(OR($D810="",$E810="",$T810="?",$U810="?"),"Konto prüfen!",IF($A810="","Datum fehlt",IF(YEAR($A810)&lt;&gt;Einstellungen!$B$7,"anderes Jahr!",IF($G810="","MWST-Code fehlt","OK")))))</f>
        <v/>
      </c>
      <c r="W810" s="35" t="str">
        <f aca="false">IF($F810="","",IF(OR($D810=Kontoauszug!$C$4,$E810=Kontoauszug!$C$4),MAX(W$4:W809)+1,""))</f>
        <v/>
      </c>
    </row>
    <row r="811" customFormat="false" ht="15" hidden="false" customHeight="false" outlineLevel="0" collapsed="false">
      <c r="A811" s="33"/>
      <c r="B811" s="32"/>
      <c r="C811" s="32"/>
      <c r="D811" s="32"/>
      <c r="E811" s="32"/>
      <c r="F811" s="30"/>
      <c r="G811" s="32"/>
      <c r="H811" s="34" t="n">
        <f aca="false">IF($G811="",0,IFERROR(INDEX(Einstellungen!$G$5:$G$11,MATCH($G811,Einstellungen!$E$5:$E$11,0)),0))</f>
        <v>0</v>
      </c>
      <c r="I811" s="35" t="str">
        <f aca="false">IF($G811="","-",IFERROR(INDEX(Einstellungen!$H$5:$H$11,MATCH($G811,Einstellungen!$E$5:$E$11,0)),"-"))</f>
        <v>-</v>
      </c>
      <c r="J811" s="35" t="str">
        <f aca="false">IF(AND(Einstellungen!$B$8="Ja",Einstellungen!$B$9="Effektiv"),$I811,"-")</f>
        <v>-</v>
      </c>
      <c r="K811" s="31" t="n">
        <f aca="false">IF(OR($F811="",$J811="-"),0,ROUND($F811-$F811/(1+$H811),2))</f>
        <v>0</v>
      </c>
      <c r="L811" s="31" t="n">
        <f aca="false">IF($F811="",0,$F811-$K811)</f>
        <v>0</v>
      </c>
      <c r="M811" s="31" t="n">
        <f aca="false">IF($F811="",0,IF($J811="V",$L811,$F811))</f>
        <v>0</v>
      </c>
      <c r="N811" s="31" t="n">
        <f aca="false">IF($F811="",0,IF($J811="U",$L811,$F811))</f>
        <v>0</v>
      </c>
      <c r="O811" s="35" t="str">
        <f aca="false">IF($A811="","",MONTH($A811))</f>
        <v/>
      </c>
      <c r="P811" s="35" t="str">
        <f aca="false">IF($A811="","",ROUNDUP(MONTH($A811)/3,0))</f>
        <v/>
      </c>
      <c r="Q811" s="35" t="str">
        <f aca="false">IF($A811="","",IF(MONTH($A811)&lt;=6,1,2))</f>
        <v/>
      </c>
      <c r="R811" s="35" t="str">
        <f aca="false">IF($E811="","",IFERROR(INDEX(Kontenplan!$F$5:$F$90,MATCH($E811,Kontenplan!$A$5:$A$90,0)),""))</f>
        <v/>
      </c>
      <c r="S811" s="35" t="str">
        <f aca="false">IF($D811="","",IFERROR(INDEX(Kontenplan!$F$5:$F$90,MATCH($D811,Kontenplan!$A$5:$A$90,0)),""))</f>
        <v/>
      </c>
      <c r="T811" s="35" t="str">
        <f aca="false">IF($D811="","",IFERROR(INDEX(Kontenplan!$C$5:$C$90,MATCH($D811,Kontenplan!$A$5:$A$90,0)),"?"))</f>
        <v/>
      </c>
      <c r="U811" s="35" t="str">
        <f aca="false">IF($E811="","",IFERROR(INDEX(Kontenplan!$C$5:$C$90,MATCH($E811,Kontenplan!$A$5:$A$90,0)),"?"))</f>
        <v/>
      </c>
      <c r="V811" s="35" t="str">
        <f aca="false">IF($F811="","",IF(OR($D811="",$E811="",$T811="?",$U811="?"),"Konto prüfen!",IF($A811="","Datum fehlt",IF(YEAR($A811)&lt;&gt;Einstellungen!$B$7,"anderes Jahr!",IF($G811="","MWST-Code fehlt","OK")))))</f>
        <v/>
      </c>
      <c r="W811" s="35" t="str">
        <f aca="false">IF($F811="","",IF(OR($D811=Kontoauszug!$C$4,$E811=Kontoauszug!$C$4),MAX(W$4:W810)+1,""))</f>
        <v/>
      </c>
    </row>
    <row r="812" customFormat="false" ht="15" hidden="false" customHeight="false" outlineLevel="0" collapsed="false">
      <c r="A812" s="33"/>
      <c r="B812" s="32"/>
      <c r="C812" s="32"/>
      <c r="D812" s="32"/>
      <c r="E812" s="32"/>
      <c r="F812" s="30"/>
      <c r="G812" s="32"/>
      <c r="H812" s="34" t="n">
        <f aca="false">IF($G812="",0,IFERROR(INDEX(Einstellungen!$G$5:$G$11,MATCH($G812,Einstellungen!$E$5:$E$11,0)),0))</f>
        <v>0</v>
      </c>
      <c r="I812" s="35" t="str">
        <f aca="false">IF($G812="","-",IFERROR(INDEX(Einstellungen!$H$5:$H$11,MATCH($G812,Einstellungen!$E$5:$E$11,0)),"-"))</f>
        <v>-</v>
      </c>
      <c r="J812" s="35" t="str">
        <f aca="false">IF(AND(Einstellungen!$B$8="Ja",Einstellungen!$B$9="Effektiv"),$I812,"-")</f>
        <v>-</v>
      </c>
      <c r="K812" s="31" t="n">
        <f aca="false">IF(OR($F812="",$J812="-"),0,ROUND($F812-$F812/(1+$H812),2))</f>
        <v>0</v>
      </c>
      <c r="L812" s="31" t="n">
        <f aca="false">IF($F812="",0,$F812-$K812)</f>
        <v>0</v>
      </c>
      <c r="M812" s="31" t="n">
        <f aca="false">IF($F812="",0,IF($J812="V",$L812,$F812))</f>
        <v>0</v>
      </c>
      <c r="N812" s="31" t="n">
        <f aca="false">IF($F812="",0,IF($J812="U",$L812,$F812))</f>
        <v>0</v>
      </c>
      <c r="O812" s="35" t="str">
        <f aca="false">IF($A812="","",MONTH($A812))</f>
        <v/>
      </c>
      <c r="P812" s="35" t="str">
        <f aca="false">IF($A812="","",ROUNDUP(MONTH($A812)/3,0))</f>
        <v/>
      </c>
      <c r="Q812" s="35" t="str">
        <f aca="false">IF($A812="","",IF(MONTH($A812)&lt;=6,1,2))</f>
        <v/>
      </c>
      <c r="R812" s="35" t="str">
        <f aca="false">IF($E812="","",IFERROR(INDEX(Kontenplan!$F$5:$F$90,MATCH($E812,Kontenplan!$A$5:$A$90,0)),""))</f>
        <v/>
      </c>
      <c r="S812" s="35" t="str">
        <f aca="false">IF($D812="","",IFERROR(INDEX(Kontenplan!$F$5:$F$90,MATCH($D812,Kontenplan!$A$5:$A$90,0)),""))</f>
        <v/>
      </c>
      <c r="T812" s="35" t="str">
        <f aca="false">IF($D812="","",IFERROR(INDEX(Kontenplan!$C$5:$C$90,MATCH($D812,Kontenplan!$A$5:$A$90,0)),"?"))</f>
        <v/>
      </c>
      <c r="U812" s="35" t="str">
        <f aca="false">IF($E812="","",IFERROR(INDEX(Kontenplan!$C$5:$C$90,MATCH($E812,Kontenplan!$A$5:$A$90,0)),"?"))</f>
        <v/>
      </c>
      <c r="V812" s="35" t="str">
        <f aca="false">IF($F812="","",IF(OR($D812="",$E812="",$T812="?",$U812="?"),"Konto prüfen!",IF($A812="","Datum fehlt",IF(YEAR($A812)&lt;&gt;Einstellungen!$B$7,"anderes Jahr!",IF($G812="","MWST-Code fehlt","OK")))))</f>
        <v/>
      </c>
      <c r="W812" s="35" t="str">
        <f aca="false">IF($F812="","",IF(OR($D812=Kontoauszug!$C$4,$E812=Kontoauszug!$C$4),MAX(W$4:W811)+1,""))</f>
        <v/>
      </c>
    </row>
    <row r="813" customFormat="false" ht="15" hidden="false" customHeight="false" outlineLevel="0" collapsed="false">
      <c r="A813" s="33"/>
      <c r="B813" s="32"/>
      <c r="C813" s="32"/>
      <c r="D813" s="32"/>
      <c r="E813" s="32"/>
      <c r="F813" s="30"/>
      <c r="G813" s="32"/>
      <c r="H813" s="34" t="n">
        <f aca="false">IF($G813="",0,IFERROR(INDEX(Einstellungen!$G$5:$G$11,MATCH($G813,Einstellungen!$E$5:$E$11,0)),0))</f>
        <v>0</v>
      </c>
      <c r="I813" s="35" t="str">
        <f aca="false">IF($G813="","-",IFERROR(INDEX(Einstellungen!$H$5:$H$11,MATCH($G813,Einstellungen!$E$5:$E$11,0)),"-"))</f>
        <v>-</v>
      </c>
      <c r="J813" s="35" t="str">
        <f aca="false">IF(AND(Einstellungen!$B$8="Ja",Einstellungen!$B$9="Effektiv"),$I813,"-")</f>
        <v>-</v>
      </c>
      <c r="K813" s="31" t="n">
        <f aca="false">IF(OR($F813="",$J813="-"),0,ROUND($F813-$F813/(1+$H813),2))</f>
        <v>0</v>
      </c>
      <c r="L813" s="31" t="n">
        <f aca="false">IF($F813="",0,$F813-$K813)</f>
        <v>0</v>
      </c>
      <c r="M813" s="31" t="n">
        <f aca="false">IF($F813="",0,IF($J813="V",$L813,$F813))</f>
        <v>0</v>
      </c>
      <c r="N813" s="31" t="n">
        <f aca="false">IF($F813="",0,IF($J813="U",$L813,$F813))</f>
        <v>0</v>
      </c>
      <c r="O813" s="35" t="str">
        <f aca="false">IF($A813="","",MONTH($A813))</f>
        <v/>
      </c>
      <c r="P813" s="35" t="str">
        <f aca="false">IF($A813="","",ROUNDUP(MONTH($A813)/3,0))</f>
        <v/>
      </c>
      <c r="Q813" s="35" t="str">
        <f aca="false">IF($A813="","",IF(MONTH($A813)&lt;=6,1,2))</f>
        <v/>
      </c>
      <c r="R813" s="35" t="str">
        <f aca="false">IF($E813="","",IFERROR(INDEX(Kontenplan!$F$5:$F$90,MATCH($E813,Kontenplan!$A$5:$A$90,0)),""))</f>
        <v/>
      </c>
      <c r="S813" s="35" t="str">
        <f aca="false">IF($D813="","",IFERROR(INDEX(Kontenplan!$F$5:$F$90,MATCH($D813,Kontenplan!$A$5:$A$90,0)),""))</f>
        <v/>
      </c>
      <c r="T813" s="35" t="str">
        <f aca="false">IF($D813="","",IFERROR(INDEX(Kontenplan!$C$5:$C$90,MATCH($D813,Kontenplan!$A$5:$A$90,0)),"?"))</f>
        <v/>
      </c>
      <c r="U813" s="35" t="str">
        <f aca="false">IF($E813="","",IFERROR(INDEX(Kontenplan!$C$5:$C$90,MATCH($E813,Kontenplan!$A$5:$A$90,0)),"?"))</f>
        <v/>
      </c>
      <c r="V813" s="35" t="str">
        <f aca="false">IF($F813="","",IF(OR($D813="",$E813="",$T813="?",$U813="?"),"Konto prüfen!",IF($A813="","Datum fehlt",IF(YEAR($A813)&lt;&gt;Einstellungen!$B$7,"anderes Jahr!",IF($G813="","MWST-Code fehlt","OK")))))</f>
        <v/>
      </c>
      <c r="W813" s="35" t="str">
        <f aca="false">IF($F813="","",IF(OR($D813=Kontoauszug!$C$4,$E813=Kontoauszug!$C$4),MAX(W$4:W812)+1,""))</f>
        <v/>
      </c>
    </row>
    <row r="814" customFormat="false" ht="15" hidden="false" customHeight="false" outlineLevel="0" collapsed="false">
      <c r="A814" s="33"/>
      <c r="B814" s="32"/>
      <c r="C814" s="32"/>
      <c r="D814" s="32"/>
      <c r="E814" s="32"/>
      <c r="F814" s="30"/>
      <c r="G814" s="32"/>
      <c r="H814" s="34" t="n">
        <f aca="false">IF($G814="",0,IFERROR(INDEX(Einstellungen!$G$5:$G$11,MATCH($G814,Einstellungen!$E$5:$E$11,0)),0))</f>
        <v>0</v>
      </c>
      <c r="I814" s="35" t="str">
        <f aca="false">IF($G814="","-",IFERROR(INDEX(Einstellungen!$H$5:$H$11,MATCH($G814,Einstellungen!$E$5:$E$11,0)),"-"))</f>
        <v>-</v>
      </c>
      <c r="J814" s="35" t="str">
        <f aca="false">IF(AND(Einstellungen!$B$8="Ja",Einstellungen!$B$9="Effektiv"),$I814,"-")</f>
        <v>-</v>
      </c>
      <c r="K814" s="31" t="n">
        <f aca="false">IF(OR($F814="",$J814="-"),0,ROUND($F814-$F814/(1+$H814),2))</f>
        <v>0</v>
      </c>
      <c r="L814" s="31" t="n">
        <f aca="false">IF($F814="",0,$F814-$K814)</f>
        <v>0</v>
      </c>
      <c r="M814" s="31" t="n">
        <f aca="false">IF($F814="",0,IF($J814="V",$L814,$F814))</f>
        <v>0</v>
      </c>
      <c r="N814" s="31" t="n">
        <f aca="false">IF($F814="",0,IF($J814="U",$L814,$F814))</f>
        <v>0</v>
      </c>
      <c r="O814" s="35" t="str">
        <f aca="false">IF($A814="","",MONTH($A814))</f>
        <v/>
      </c>
      <c r="P814" s="35" t="str">
        <f aca="false">IF($A814="","",ROUNDUP(MONTH($A814)/3,0))</f>
        <v/>
      </c>
      <c r="Q814" s="35" t="str">
        <f aca="false">IF($A814="","",IF(MONTH($A814)&lt;=6,1,2))</f>
        <v/>
      </c>
      <c r="R814" s="35" t="str">
        <f aca="false">IF($E814="","",IFERROR(INDEX(Kontenplan!$F$5:$F$90,MATCH($E814,Kontenplan!$A$5:$A$90,0)),""))</f>
        <v/>
      </c>
      <c r="S814" s="35" t="str">
        <f aca="false">IF($D814="","",IFERROR(INDEX(Kontenplan!$F$5:$F$90,MATCH($D814,Kontenplan!$A$5:$A$90,0)),""))</f>
        <v/>
      </c>
      <c r="T814" s="35" t="str">
        <f aca="false">IF($D814="","",IFERROR(INDEX(Kontenplan!$C$5:$C$90,MATCH($D814,Kontenplan!$A$5:$A$90,0)),"?"))</f>
        <v/>
      </c>
      <c r="U814" s="35" t="str">
        <f aca="false">IF($E814="","",IFERROR(INDEX(Kontenplan!$C$5:$C$90,MATCH($E814,Kontenplan!$A$5:$A$90,0)),"?"))</f>
        <v/>
      </c>
      <c r="V814" s="35" t="str">
        <f aca="false">IF($F814="","",IF(OR($D814="",$E814="",$T814="?",$U814="?"),"Konto prüfen!",IF($A814="","Datum fehlt",IF(YEAR($A814)&lt;&gt;Einstellungen!$B$7,"anderes Jahr!",IF($G814="","MWST-Code fehlt","OK")))))</f>
        <v/>
      </c>
      <c r="W814" s="35" t="str">
        <f aca="false">IF($F814="","",IF(OR($D814=Kontoauszug!$C$4,$E814=Kontoauszug!$C$4),MAX(W$4:W813)+1,""))</f>
        <v/>
      </c>
    </row>
    <row r="815" customFormat="false" ht="15" hidden="false" customHeight="false" outlineLevel="0" collapsed="false">
      <c r="A815" s="33"/>
      <c r="B815" s="32"/>
      <c r="C815" s="32"/>
      <c r="D815" s="32"/>
      <c r="E815" s="32"/>
      <c r="F815" s="30"/>
      <c r="G815" s="32"/>
      <c r="H815" s="34" t="n">
        <f aca="false">IF($G815="",0,IFERROR(INDEX(Einstellungen!$G$5:$G$11,MATCH($G815,Einstellungen!$E$5:$E$11,0)),0))</f>
        <v>0</v>
      </c>
      <c r="I815" s="35" t="str">
        <f aca="false">IF($G815="","-",IFERROR(INDEX(Einstellungen!$H$5:$H$11,MATCH($G815,Einstellungen!$E$5:$E$11,0)),"-"))</f>
        <v>-</v>
      </c>
      <c r="J815" s="35" t="str">
        <f aca="false">IF(AND(Einstellungen!$B$8="Ja",Einstellungen!$B$9="Effektiv"),$I815,"-")</f>
        <v>-</v>
      </c>
      <c r="K815" s="31" t="n">
        <f aca="false">IF(OR($F815="",$J815="-"),0,ROUND($F815-$F815/(1+$H815),2))</f>
        <v>0</v>
      </c>
      <c r="L815" s="31" t="n">
        <f aca="false">IF($F815="",0,$F815-$K815)</f>
        <v>0</v>
      </c>
      <c r="M815" s="31" t="n">
        <f aca="false">IF($F815="",0,IF($J815="V",$L815,$F815))</f>
        <v>0</v>
      </c>
      <c r="N815" s="31" t="n">
        <f aca="false">IF($F815="",0,IF($J815="U",$L815,$F815))</f>
        <v>0</v>
      </c>
      <c r="O815" s="35" t="str">
        <f aca="false">IF($A815="","",MONTH($A815))</f>
        <v/>
      </c>
      <c r="P815" s="35" t="str">
        <f aca="false">IF($A815="","",ROUNDUP(MONTH($A815)/3,0))</f>
        <v/>
      </c>
      <c r="Q815" s="35" t="str">
        <f aca="false">IF($A815="","",IF(MONTH($A815)&lt;=6,1,2))</f>
        <v/>
      </c>
      <c r="R815" s="35" t="str">
        <f aca="false">IF($E815="","",IFERROR(INDEX(Kontenplan!$F$5:$F$90,MATCH($E815,Kontenplan!$A$5:$A$90,0)),""))</f>
        <v/>
      </c>
      <c r="S815" s="35" t="str">
        <f aca="false">IF($D815="","",IFERROR(INDEX(Kontenplan!$F$5:$F$90,MATCH($D815,Kontenplan!$A$5:$A$90,0)),""))</f>
        <v/>
      </c>
      <c r="T815" s="35" t="str">
        <f aca="false">IF($D815="","",IFERROR(INDEX(Kontenplan!$C$5:$C$90,MATCH($D815,Kontenplan!$A$5:$A$90,0)),"?"))</f>
        <v/>
      </c>
      <c r="U815" s="35" t="str">
        <f aca="false">IF($E815="","",IFERROR(INDEX(Kontenplan!$C$5:$C$90,MATCH($E815,Kontenplan!$A$5:$A$90,0)),"?"))</f>
        <v/>
      </c>
      <c r="V815" s="35" t="str">
        <f aca="false">IF($F815="","",IF(OR($D815="",$E815="",$T815="?",$U815="?"),"Konto prüfen!",IF($A815="","Datum fehlt",IF(YEAR($A815)&lt;&gt;Einstellungen!$B$7,"anderes Jahr!",IF($G815="","MWST-Code fehlt","OK")))))</f>
        <v/>
      </c>
      <c r="W815" s="35" t="str">
        <f aca="false">IF($F815="","",IF(OR($D815=Kontoauszug!$C$4,$E815=Kontoauszug!$C$4),MAX(W$4:W814)+1,""))</f>
        <v/>
      </c>
    </row>
    <row r="816" customFormat="false" ht="15" hidden="false" customHeight="false" outlineLevel="0" collapsed="false">
      <c r="A816" s="33"/>
      <c r="B816" s="32"/>
      <c r="C816" s="32"/>
      <c r="D816" s="32"/>
      <c r="E816" s="32"/>
      <c r="F816" s="30"/>
      <c r="G816" s="32"/>
      <c r="H816" s="34" t="n">
        <f aca="false">IF($G816="",0,IFERROR(INDEX(Einstellungen!$G$5:$G$11,MATCH($G816,Einstellungen!$E$5:$E$11,0)),0))</f>
        <v>0</v>
      </c>
      <c r="I816" s="35" t="str">
        <f aca="false">IF($G816="","-",IFERROR(INDEX(Einstellungen!$H$5:$H$11,MATCH($G816,Einstellungen!$E$5:$E$11,0)),"-"))</f>
        <v>-</v>
      </c>
      <c r="J816" s="35" t="str">
        <f aca="false">IF(AND(Einstellungen!$B$8="Ja",Einstellungen!$B$9="Effektiv"),$I816,"-")</f>
        <v>-</v>
      </c>
      <c r="K816" s="31" t="n">
        <f aca="false">IF(OR($F816="",$J816="-"),0,ROUND($F816-$F816/(1+$H816),2))</f>
        <v>0</v>
      </c>
      <c r="L816" s="31" t="n">
        <f aca="false">IF($F816="",0,$F816-$K816)</f>
        <v>0</v>
      </c>
      <c r="M816" s="31" t="n">
        <f aca="false">IF($F816="",0,IF($J816="V",$L816,$F816))</f>
        <v>0</v>
      </c>
      <c r="N816" s="31" t="n">
        <f aca="false">IF($F816="",0,IF($J816="U",$L816,$F816))</f>
        <v>0</v>
      </c>
      <c r="O816" s="35" t="str">
        <f aca="false">IF($A816="","",MONTH($A816))</f>
        <v/>
      </c>
      <c r="P816" s="35" t="str">
        <f aca="false">IF($A816="","",ROUNDUP(MONTH($A816)/3,0))</f>
        <v/>
      </c>
      <c r="Q816" s="35" t="str">
        <f aca="false">IF($A816="","",IF(MONTH($A816)&lt;=6,1,2))</f>
        <v/>
      </c>
      <c r="R816" s="35" t="str">
        <f aca="false">IF($E816="","",IFERROR(INDEX(Kontenplan!$F$5:$F$90,MATCH($E816,Kontenplan!$A$5:$A$90,0)),""))</f>
        <v/>
      </c>
      <c r="S816" s="35" t="str">
        <f aca="false">IF($D816="","",IFERROR(INDEX(Kontenplan!$F$5:$F$90,MATCH($D816,Kontenplan!$A$5:$A$90,0)),""))</f>
        <v/>
      </c>
      <c r="T816" s="35" t="str">
        <f aca="false">IF($D816="","",IFERROR(INDEX(Kontenplan!$C$5:$C$90,MATCH($D816,Kontenplan!$A$5:$A$90,0)),"?"))</f>
        <v/>
      </c>
      <c r="U816" s="35" t="str">
        <f aca="false">IF($E816="","",IFERROR(INDEX(Kontenplan!$C$5:$C$90,MATCH($E816,Kontenplan!$A$5:$A$90,0)),"?"))</f>
        <v/>
      </c>
      <c r="V816" s="35" t="str">
        <f aca="false">IF($F816="","",IF(OR($D816="",$E816="",$T816="?",$U816="?"),"Konto prüfen!",IF($A816="","Datum fehlt",IF(YEAR($A816)&lt;&gt;Einstellungen!$B$7,"anderes Jahr!",IF($G816="","MWST-Code fehlt","OK")))))</f>
        <v/>
      </c>
      <c r="W816" s="35" t="str">
        <f aca="false">IF($F816="","",IF(OR($D816=Kontoauszug!$C$4,$E816=Kontoauszug!$C$4),MAX(W$4:W815)+1,""))</f>
        <v/>
      </c>
    </row>
    <row r="817" customFormat="false" ht="15" hidden="false" customHeight="false" outlineLevel="0" collapsed="false">
      <c r="A817" s="33"/>
      <c r="B817" s="32"/>
      <c r="C817" s="32"/>
      <c r="D817" s="32"/>
      <c r="E817" s="32"/>
      <c r="F817" s="30"/>
      <c r="G817" s="32"/>
      <c r="H817" s="34" t="n">
        <f aca="false">IF($G817="",0,IFERROR(INDEX(Einstellungen!$G$5:$G$11,MATCH($G817,Einstellungen!$E$5:$E$11,0)),0))</f>
        <v>0</v>
      </c>
      <c r="I817" s="35" t="str">
        <f aca="false">IF($G817="","-",IFERROR(INDEX(Einstellungen!$H$5:$H$11,MATCH($G817,Einstellungen!$E$5:$E$11,0)),"-"))</f>
        <v>-</v>
      </c>
      <c r="J817" s="35" t="str">
        <f aca="false">IF(AND(Einstellungen!$B$8="Ja",Einstellungen!$B$9="Effektiv"),$I817,"-")</f>
        <v>-</v>
      </c>
      <c r="K817" s="31" t="n">
        <f aca="false">IF(OR($F817="",$J817="-"),0,ROUND($F817-$F817/(1+$H817),2))</f>
        <v>0</v>
      </c>
      <c r="L817" s="31" t="n">
        <f aca="false">IF($F817="",0,$F817-$K817)</f>
        <v>0</v>
      </c>
      <c r="M817" s="31" t="n">
        <f aca="false">IF($F817="",0,IF($J817="V",$L817,$F817))</f>
        <v>0</v>
      </c>
      <c r="N817" s="31" t="n">
        <f aca="false">IF($F817="",0,IF($J817="U",$L817,$F817))</f>
        <v>0</v>
      </c>
      <c r="O817" s="35" t="str">
        <f aca="false">IF($A817="","",MONTH($A817))</f>
        <v/>
      </c>
      <c r="P817" s="35" t="str">
        <f aca="false">IF($A817="","",ROUNDUP(MONTH($A817)/3,0))</f>
        <v/>
      </c>
      <c r="Q817" s="35" t="str">
        <f aca="false">IF($A817="","",IF(MONTH($A817)&lt;=6,1,2))</f>
        <v/>
      </c>
      <c r="R817" s="35" t="str">
        <f aca="false">IF($E817="","",IFERROR(INDEX(Kontenplan!$F$5:$F$90,MATCH($E817,Kontenplan!$A$5:$A$90,0)),""))</f>
        <v/>
      </c>
      <c r="S817" s="35" t="str">
        <f aca="false">IF($D817="","",IFERROR(INDEX(Kontenplan!$F$5:$F$90,MATCH($D817,Kontenplan!$A$5:$A$90,0)),""))</f>
        <v/>
      </c>
      <c r="T817" s="35" t="str">
        <f aca="false">IF($D817="","",IFERROR(INDEX(Kontenplan!$C$5:$C$90,MATCH($D817,Kontenplan!$A$5:$A$90,0)),"?"))</f>
        <v/>
      </c>
      <c r="U817" s="35" t="str">
        <f aca="false">IF($E817="","",IFERROR(INDEX(Kontenplan!$C$5:$C$90,MATCH($E817,Kontenplan!$A$5:$A$90,0)),"?"))</f>
        <v/>
      </c>
      <c r="V817" s="35" t="str">
        <f aca="false">IF($F817="","",IF(OR($D817="",$E817="",$T817="?",$U817="?"),"Konto prüfen!",IF($A817="","Datum fehlt",IF(YEAR($A817)&lt;&gt;Einstellungen!$B$7,"anderes Jahr!",IF($G817="","MWST-Code fehlt","OK")))))</f>
        <v/>
      </c>
      <c r="W817" s="35" t="str">
        <f aca="false">IF($F817="","",IF(OR($D817=Kontoauszug!$C$4,$E817=Kontoauszug!$C$4),MAX(W$4:W816)+1,""))</f>
        <v/>
      </c>
    </row>
    <row r="818" customFormat="false" ht="15" hidden="false" customHeight="false" outlineLevel="0" collapsed="false">
      <c r="A818" s="33"/>
      <c r="B818" s="32"/>
      <c r="C818" s="32"/>
      <c r="D818" s="32"/>
      <c r="E818" s="32"/>
      <c r="F818" s="30"/>
      <c r="G818" s="32"/>
      <c r="H818" s="34" t="n">
        <f aca="false">IF($G818="",0,IFERROR(INDEX(Einstellungen!$G$5:$G$11,MATCH($G818,Einstellungen!$E$5:$E$11,0)),0))</f>
        <v>0</v>
      </c>
      <c r="I818" s="35" t="str">
        <f aca="false">IF($G818="","-",IFERROR(INDEX(Einstellungen!$H$5:$H$11,MATCH($G818,Einstellungen!$E$5:$E$11,0)),"-"))</f>
        <v>-</v>
      </c>
      <c r="J818" s="35" t="str">
        <f aca="false">IF(AND(Einstellungen!$B$8="Ja",Einstellungen!$B$9="Effektiv"),$I818,"-")</f>
        <v>-</v>
      </c>
      <c r="K818" s="31" t="n">
        <f aca="false">IF(OR($F818="",$J818="-"),0,ROUND($F818-$F818/(1+$H818),2))</f>
        <v>0</v>
      </c>
      <c r="L818" s="31" t="n">
        <f aca="false">IF($F818="",0,$F818-$K818)</f>
        <v>0</v>
      </c>
      <c r="M818" s="31" t="n">
        <f aca="false">IF($F818="",0,IF($J818="V",$L818,$F818))</f>
        <v>0</v>
      </c>
      <c r="N818" s="31" t="n">
        <f aca="false">IF($F818="",0,IF($J818="U",$L818,$F818))</f>
        <v>0</v>
      </c>
      <c r="O818" s="35" t="str">
        <f aca="false">IF($A818="","",MONTH($A818))</f>
        <v/>
      </c>
      <c r="P818" s="35" t="str">
        <f aca="false">IF($A818="","",ROUNDUP(MONTH($A818)/3,0))</f>
        <v/>
      </c>
      <c r="Q818" s="35" t="str">
        <f aca="false">IF($A818="","",IF(MONTH($A818)&lt;=6,1,2))</f>
        <v/>
      </c>
      <c r="R818" s="35" t="str">
        <f aca="false">IF($E818="","",IFERROR(INDEX(Kontenplan!$F$5:$F$90,MATCH($E818,Kontenplan!$A$5:$A$90,0)),""))</f>
        <v/>
      </c>
      <c r="S818" s="35" t="str">
        <f aca="false">IF($D818="","",IFERROR(INDEX(Kontenplan!$F$5:$F$90,MATCH($D818,Kontenplan!$A$5:$A$90,0)),""))</f>
        <v/>
      </c>
      <c r="T818" s="35" t="str">
        <f aca="false">IF($D818="","",IFERROR(INDEX(Kontenplan!$C$5:$C$90,MATCH($D818,Kontenplan!$A$5:$A$90,0)),"?"))</f>
        <v/>
      </c>
      <c r="U818" s="35" t="str">
        <f aca="false">IF($E818="","",IFERROR(INDEX(Kontenplan!$C$5:$C$90,MATCH($E818,Kontenplan!$A$5:$A$90,0)),"?"))</f>
        <v/>
      </c>
      <c r="V818" s="35" t="str">
        <f aca="false">IF($F818="","",IF(OR($D818="",$E818="",$T818="?",$U818="?"),"Konto prüfen!",IF($A818="","Datum fehlt",IF(YEAR($A818)&lt;&gt;Einstellungen!$B$7,"anderes Jahr!",IF($G818="","MWST-Code fehlt","OK")))))</f>
        <v/>
      </c>
      <c r="W818" s="35" t="str">
        <f aca="false">IF($F818="","",IF(OR($D818=Kontoauszug!$C$4,$E818=Kontoauszug!$C$4),MAX(W$4:W817)+1,""))</f>
        <v/>
      </c>
    </row>
    <row r="819" customFormat="false" ht="15" hidden="false" customHeight="false" outlineLevel="0" collapsed="false">
      <c r="A819" s="33"/>
      <c r="B819" s="32"/>
      <c r="C819" s="32"/>
      <c r="D819" s="32"/>
      <c r="E819" s="32"/>
      <c r="F819" s="30"/>
      <c r="G819" s="32"/>
      <c r="H819" s="34" t="n">
        <f aca="false">IF($G819="",0,IFERROR(INDEX(Einstellungen!$G$5:$G$11,MATCH($G819,Einstellungen!$E$5:$E$11,0)),0))</f>
        <v>0</v>
      </c>
      <c r="I819" s="35" t="str">
        <f aca="false">IF($G819="","-",IFERROR(INDEX(Einstellungen!$H$5:$H$11,MATCH($G819,Einstellungen!$E$5:$E$11,0)),"-"))</f>
        <v>-</v>
      </c>
      <c r="J819" s="35" t="str">
        <f aca="false">IF(AND(Einstellungen!$B$8="Ja",Einstellungen!$B$9="Effektiv"),$I819,"-")</f>
        <v>-</v>
      </c>
      <c r="K819" s="31" t="n">
        <f aca="false">IF(OR($F819="",$J819="-"),0,ROUND($F819-$F819/(1+$H819),2))</f>
        <v>0</v>
      </c>
      <c r="L819" s="31" t="n">
        <f aca="false">IF($F819="",0,$F819-$K819)</f>
        <v>0</v>
      </c>
      <c r="M819" s="31" t="n">
        <f aca="false">IF($F819="",0,IF($J819="V",$L819,$F819))</f>
        <v>0</v>
      </c>
      <c r="N819" s="31" t="n">
        <f aca="false">IF($F819="",0,IF($J819="U",$L819,$F819))</f>
        <v>0</v>
      </c>
      <c r="O819" s="35" t="str">
        <f aca="false">IF($A819="","",MONTH($A819))</f>
        <v/>
      </c>
      <c r="P819" s="35" t="str">
        <f aca="false">IF($A819="","",ROUNDUP(MONTH($A819)/3,0))</f>
        <v/>
      </c>
      <c r="Q819" s="35" t="str">
        <f aca="false">IF($A819="","",IF(MONTH($A819)&lt;=6,1,2))</f>
        <v/>
      </c>
      <c r="R819" s="35" t="str">
        <f aca="false">IF($E819="","",IFERROR(INDEX(Kontenplan!$F$5:$F$90,MATCH($E819,Kontenplan!$A$5:$A$90,0)),""))</f>
        <v/>
      </c>
      <c r="S819" s="35" t="str">
        <f aca="false">IF($D819="","",IFERROR(INDEX(Kontenplan!$F$5:$F$90,MATCH($D819,Kontenplan!$A$5:$A$90,0)),""))</f>
        <v/>
      </c>
      <c r="T819" s="35" t="str">
        <f aca="false">IF($D819="","",IFERROR(INDEX(Kontenplan!$C$5:$C$90,MATCH($D819,Kontenplan!$A$5:$A$90,0)),"?"))</f>
        <v/>
      </c>
      <c r="U819" s="35" t="str">
        <f aca="false">IF($E819="","",IFERROR(INDEX(Kontenplan!$C$5:$C$90,MATCH($E819,Kontenplan!$A$5:$A$90,0)),"?"))</f>
        <v/>
      </c>
      <c r="V819" s="35" t="str">
        <f aca="false">IF($F819="","",IF(OR($D819="",$E819="",$T819="?",$U819="?"),"Konto prüfen!",IF($A819="","Datum fehlt",IF(YEAR($A819)&lt;&gt;Einstellungen!$B$7,"anderes Jahr!",IF($G819="","MWST-Code fehlt","OK")))))</f>
        <v/>
      </c>
      <c r="W819" s="35" t="str">
        <f aca="false">IF($F819="","",IF(OR($D819=Kontoauszug!$C$4,$E819=Kontoauszug!$C$4),MAX(W$4:W818)+1,""))</f>
        <v/>
      </c>
    </row>
    <row r="820" customFormat="false" ht="15" hidden="false" customHeight="false" outlineLevel="0" collapsed="false">
      <c r="A820" s="33"/>
      <c r="B820" s="32"/>
      <c r="C820" s="32"/>
      <c r="D820" s="32"/>
      <c r="E820" s="32"/>
      <c r="F820" s="30"/>
      <c r="G820" s="32"/>
      <c r="H820" s="34" t="n">
        <f aca="false">IF($G820="",0,IFERROR(INDEX(Einstellungen!$G$5:$G$11,MATCH($G820,Einstellungen!$E$5:$E$11,0)),0))</f>
        <v>0</v>
      </c>
      <c r="I820" s="35" t="str">
        <f aca="false">IF($G820="","-",IFERROR(INDEX(Einstellungen!$H$5:$H$11,MATCH($G820,Einstellungen!$E$5:$E$11,0)),"-"))</f>
        <v>-</v>
      </c>
      <c r="J820" s="35" t="str">
        <f aca="false">IF(AND(Einstellungen!$B$8="Ja",Einstellungen!$B$9="Effektiv"),$I820,"-")</f>
        <v>-</v>
      </c>
      <c r="K820" s="31" t="n">
        <f aca="false">IF(OR($F820="",$J820="-"),0,ROUND($F820-$F820/(1+$H820),2))</f>
        <v>0</v>
      </c>
      <c r="L820" s="31" t="n">
        <f aca="false">IF($F820="",0,$F820-$K820)</f>
        <v>0</v>
      </c>
      <c r="M820" s="31" t="n">
        <f aca="false">IF($F820="",0,IF($J820="V",$L820,$F820))</f>
        <v>0</v>
      </c>
      <c r="N820" s="31" t="n">
        <f aca="false">IF($F820="",0,IF($J820="U",$L820,$F820))</f>
        <v>0</v>
      </c>
      <c r="O820" s="35" t="str">
        <f aca="false">IF($A820="","",MONTH($A820))</f>
        <v/>
      </c>
      <c r="P820" s="35" t="str">
        <f aca="false">IF($A820="","",ROUNDUP(MONTH($A820)/3,0))</f>
        <v/>
      </c>
      <c r="Q820" s="35" t="str">
        <f aca="false">IF($A820="","",IF(MONTH($A820)&lt;=6,1,2))</f>
        <v/>
      </c>
      <c r="R820" s="35" t="str">
        <f aca="false">IF($E820="","",IFERROR(INDEX(Kontenplan!$F$5:$F$90,MATCH($E820,Kontenplan!$A$5:$A$90,0)),""))</f>
        <v/>
      </c>
      <c r="S820" s="35" t="str">
        <f aca="false">IF($D820="","",IFERROR(INDEX(Kontenplan!$F$5:$F$90,MATCH($D820,Kontenplan!$A$5:$A$90,0)),""))</f>
        <v/>
      </c>
      <c r="T820" s="35" t="str">
        <f aca="false">IF($D820="","",IFERROR(INDEX(Kontenplan!$C$5:$C$90,MATCH($D820,Kontenplan!$A$5:$A$90,0)),"?"))</f>
        <v/>
      </c>
      <c r="U820" s="35" t="str">
        <f aca="false">IF($E820="","",IFERROR(INDEX(Kontenplan!$C$5:$C$90,MATCH($E820,Kontenplan!$A$5:$A$90,0)),"?"))</f>
        <v/>
      </c>
      <c r="V820" s="35" t="str">
        <f aca="false">IF($F820="","",IF(OR($D820="",$E820="",$T820="?",$U820="?"),"Konto prüfen!",IF($A820="","Datum fehlt",IF(YEAR($A820)&lt;&gt;Einstellungen!$B$7,"anderes Jahr!",IF($G820="","MWST-Code fehlt","OK")))))</f>
        <v/>
      </c>
      <c r="W820" s="35" t="str">
        <f aca="false">IF($F820="","",IF(OR($D820=Kontoauszug!$C$4,$E820=Kontoauszug!$C$4),MAX(W$4:W819)+1,""))</f>
        <v/>
      </c>
    </row>
    <row r="821" customFormat="false" ht="15" hidden="false" customHeight="false" outlineLevel="0" collapsed="false">
      <c r="A821" s="33"/>
      <c r="B821" s="32"/>
      <c r="C821" s="32"/>
      <c r="D821" s="32"/>
      <c r="E821" s="32"/>
      <c r="F821" s="30"/>
      <c r="G821" s="32"/>
      <c r="H821" s="34" t="n">
        <f aca="false">IF($G821="",0,IFERROR(INDEX(Einstellungen!$G$5:$G$11,MATCH($G821,Einstellungen!$E$5:$E$11,0)),0))</f>
        <v>0</v>
      </c>
      <c r="I821" s="35" t="str">
        <f aca="false">IF($G821="","-",IFERROR(INDEX(Einstellungen!$H$5:$H$11,MATCH($G821,Einstellungen!$E$5:$E$11,0)),"-"))</f>
        <v>-</v>
      </c>
      <c r="J821" s="35" t="str">
        <f aca="false">IF(AND(Einstellungen!$B$8="Ja",Einstellungen!$B$9="Effektiv"),$I821,"-")</f>
        <v>-</v>
      </c>
      <c r="K821" s="31" t="n">
        <f aca="false">IF(OR($F821="",$J821="-"),0,ROUND($F821-$F821/(1+$H821),2))</f>
        <v>0</v>
      </c>
      <c r="L821" s="31" t="n">
        <f aca="false">IF($F821="",0,$F821-$K821)</f>
        <v>0</v>
      </c>
      <c r="M821" s="31" t="n">
        <f aca="false">IF($F821="",0,IF($J821="V",$L821,$F821))</f>
        <v>0</v>
      </c>
      <c r="N821" s="31" t="n">
        <f aca="false">IF($F821="",0,IF($J821="U",$L821,$F821))</f>
        <v>0</v>
      </c>
      <c r="O821" s="35" t="str">
        <f aca="false">IF($A821="","",MONTH($A821))</f>
        <v/>
      </c>
      <c r="P821" s="35" t="str">
        <f aca="false">IF($A821="","",ROUNDUP(MONTH($A821)/3,0))</f>
        <v/>
      </c>
      <c r="Q821" s="35" t="str">
        <f aca="false">IF($A821="","",IF(MONTH($A821)&lt;=6,1,2))</f>
        <v/>
      </c>
      <c r="R821" s="35" t="str">
        <f aca="false">IF($E821="","",IFERROR(INDEX(Kontenplan!$F$5:$F$90,MATCH($E821,Kontenplan!$A$5:$A$90,0)),""))</f>
        <v/>
      </c>
      <c r="S821" s="35" t="str">
        <f aca="false">IF($D821="","",IFERROR(INDEX(Kontenplan!$F$5:$F$90,MATCH($D821,Kontenplan!$A$5:$A$90,0)),""))</f>
        <v/>
      </c>
      <c r="T821" s="35" t="str">
        <f aca="false">IF($D821="","",IFERROR(INDEX(Kontenplan!$C$5:$C$90,MATCH($D821,Kontenplan!$A$5:$A$90,0)),"?"))</f>
        <v/>
      </c>
      <c r="U821" s="35" t="str">
        <f aca="false">IF($E821="","",IFERROR(INDEX(Kontenplan!$C$5:$C$90,MATCH($E821,Kontenplan!$A$5:$A$90,0)),"?"))</f>
        <v/>
      </c>
      <c r="V821" s="35" t="str">
        <f aca="false">IF($F821="","",IF(OR($D821="",$E821="",$T821="?",$U821="?"),"Konto prüfen!",IF($A821="","Datum fehlt",IF(YEAR($A821)&lt;&gt;Einstellungen!$B$7,"anderes Jahr!",IF($G821="","MWST-Code fehlt","OK")))))</f>
        <v/>
      </c>
      <c r="W821" s="35" t="str">
        <f aca="false">IF($F821="","",IF(OR($D821=Kontoauszug!$C$4,$E821=Kontoauszug!$C$4),MAX(W$4:W820)+1,""))</f>
        <v/>
      </c>
    </row>
    <row r="822" customFormat="false" ht="15" hidden="false" customHeight="false" outlineLevel="0" collapsed="false">
      <c r="A822" s="33"/>
      <c r="B822" s="32"/>
      <c r="C822" s="32"/>
      <c r="D822" s="32"/>
      <c r="E822" s="32"/>
      <c r="F822" s="30"/>
      <c r="G822" s="32"/>
      <c r="H822" s="34" t="n">
        <f aca="false">IF($G822="",0,IFERROR(INDEX(Einstellungen!$G$5:$G$11,MATCH($G822,Einstellungen!$E$5:$E$11,0)),0))</f>
        <v>0</v>
      </c>
      <c r="I822" s="35" t="str">
        <f aca="false">IF($G822="","-",IFERROR(INDEX(Einstellungen!$H$5:$H$11,MATCH($G822,Einstellungen!$E$5:$E$11,0)),"-"))</f>
        <v>-</v>
      </c>
      <c r="J822" s="35" t="str">
        <f aca="false">IF(AND(Einstellungen!$B$8="Ja",Einstellungen!$B$9="Effektiv"),$I822,"-")</f>
        <v>-</v>
      </c>
      <c r="K822" s="31" t="n">
        <f aca="false">IF(OR($F822="",$J822="-"),0,ROUND($F822-$F822/(1+$H822),2))</f>
        <v>0</v>
      </c>
      <c r="L822" s="31" t="n">
        <f aca="false">IF($F822="",0,$F822-$K822)</f>
        <v>0</v>
      </c>
      <c r="M822" s="31" t="n">
        <f aca="false">IF($F822="",0,IF($J822="V",$L822,$F822))</f>
        <v>0</v>
      </c>
      <c r="N822" s="31" t="n">
        <f aca="false">IF($F822="",0,IF($J822="U",$L822,$F822))</f>
        <v>0</v>
      </c>
      <c r="O822" s="35" t="str">
        <f aca="false">IF($A822="","",MONTH($A822))</f>
        <v/>
      </c>
      <c r="P822" s="35" t="str">
        <f aca="false">IF($A822="","",ROUNDUP(MONTH($A822)/3,0))</f>
        <v/>
      </c>
      <c r="Q822" s="35" t="str">
        <f aca="false">IF($A822="","",IF(MONTH($A822)&lt;=6,1,2))</f>
        <v/>
      </c>
      <c r="R822" s="35" t="str">
        <f aca="false">IF($E822="","",IFERROR(INDEX(Kontenplan!$F$5:$F$90,MATCH($E822,Kontenplan!$A$5:$A$90,0)),""))</f>
        <v/>
      </c>
      <c r="S822" s="35" t="str">
        <f aca="false">IF($D822="","",IFERROR(INDEX(Kontenplan!$F$5:$F$90,MATCH($D822,Kontenplan!$A$5:$A$90,0)),""))</f>
        <v/>
      </c>
      <c r="T822" s="35" t="str">
        <f aca="false">IF($D822="","",IFERROR(INDEX(Kontenplan!$C$5:$C$90,MATCH($D822,Kontenplan!$A$5:$A$90,0)),"?"))</f>
        <v/>
      </c>
      <c r="U822" s="35" t="str">
        <f aca="false">IF($E822="","",IFERROR(INDEX(Kontenplan!$C$5:$C$90,MATCH($E822,Kontenplan!$A$5:$A$90,0)),"?"))</f>
        <v/>
      </c>
      <c r="V822" s="35" t="str">
        <f aca="false">IF($F822="","",IF(OR($D822="",$E822="",$T822="?",$U822="?"),"Konto prüfen!",IF($A822="","Datum fehlt",IF(YEAR($A822)&lt;&gt;Einstellungen!$B$7,"anderes Jahr!",IF($G822="","MWST-Code fehlt","OK")))))</f>
        <v/>
      </c>
      <c r="W822" s="35" t="str">
        <f aca="false">IF($F822="","",IF(OR($D822=Kontoauszug!$C$4,$E822=Kontoauszug!$C$4),MAX(W$4:W821)+1,""))</f>
        <v/>
      </c>
    </row>
    <row r="823" customFormat="false" ht="15" hidden="false" customHeight="false" outlineLevel="0" collapsed="false">
      <c r="A823" s="33"/>
      <c r="B823" s="32"/>
      <c r="C823" s="32"/>
      <c r="D823" s="32"/>
      <c r="E823" s="32"/>
      <c r="F823" s="30"/>
      <c r="G823" s="32"/>
      <c r="H823" s="34" t="n">
        <f aca="false">IF($G823="",0,IFERROR(INDEX(Einstellungen!$G$5:$G$11,MATCH($G823,Einstellungen!$E$5:$E$11,0)),0))</f>
        <v>0</v>
      </c>
      <c r="I823" s="35" t="str">
        <f aca="false">IF($G823="","-",IFERROR(INDEX(Einstellungen!$H$5:$H$11,MATCH($G823,Einstellungen!$E$5:$E$11,0)),"-"))</f>
        <v>-</v>
      </c>
      <c r="J823" s="35" t="str">
        <f aca="false">IF(AND(Einstellungen!$B$8="Ja",Einstellungen!$B$9="Effektiv"),$I823,"-")</f>
        <v>-</v>
      </c>
      <c r="K823" s="31" t="n">
        <f aca="false">IF(OR($F823="",$J823="-"),0,ROUND($F823-$F823/(1+$H823),2))</f>
        <v>0</v>
      </c>
      <c r="L823" s="31" t="n">
        <f aca="false">IF($F823="",0,$F823-$K823)</f>
        <v>0</v>
      </c>
      <c r="M823" s="31" t="n">
        <f aca="false">IF($F823="",0,IF($J823="V",$L823,$F823))</f>
        <v>0</v>
      </c>
      <c r="N823" s="31" t="n">
        <f aca="false">IF($F823="",0,IF($J823="U",$L823,$F823))</f>
        <v>0</v>
      </c>
      <c r="O823" s="35" t="str">
        <f aca="false">IF($A823="","",MONTH($A823))</f>
        <v/>
      </c>
      <c r="P823" s="35" t="str">
        <f aca="false">IF($A823="","",ROUNDUP(MONTH($A823)/3,0))</f>
        <v/>
      </c>
      <c r="Q823" s="35" t="str">
        <f aca="false">IF($A823="","",IF(MONTH($A823)&lt;=6,1,2))</f>
        <v/>
      </c>
      <c r="R823" s="35" t="str">
        <f aca="false">IF($E823="","",IFERROR(INDEX(Kontenplan!$F$5:$F$90,MATCH($E823,Kontenplan!$A$5:$A$90,0)),""))</f>
        <v/>
      </c>
      <c r="S823" s="35" t="str">
        <f aca="false">IF($D823="","",IFERROR(INDEX(Kontenplan!$F$5:$F$90,MATCH($D823,Kontenplan!$A$5:$A$90,0)),""))</f>
        <v/>
      </c>
      <c r="T823" s="35" t="str">
        <f aca="false">IF($D823="","",IFERROR(INDEX(Kontenplan!$C$5:$C$90,MATCH($D823,Kontenplan!$A$5:$A$90,0)),"?"))</f>
        <v/>
      </c>
      <c r="U823" s="35" t="str">
        <f aca="false">IF($E823="","",IFERROR(INDEX(Kontenplan!$C$5:$C$90,MATCH($E823,Kontenplan!$A$5:$A$90,0)),"?"))</f>
        <v/>
      </c>
      <c r="V823" s="35" t="str">
        <f aca="false">IF($F823="","",IF(OR($D823="",$E823="",$T823="?",$U823="?"),"Konto prüfen!",IF($A823="","Datum fehlt",IF(YEAR($A823)&lt;&gt;Einstellungen!$B$7,"anderes Jahr!",IF($G823="","MWST-Code fehlt","OK")))))</f>
        <v/>
      </c>
      <c r="W823" s="35" t="str">
        <f aca="false">IF($F823="","",IF(OR($D823=Kontoauszug!$C$4,$E823=Kontoauszug!$C$4),MAX(W$4:W822)+1,""))</f>
        <v/>
      </c>
    </row>
    <row r="824" customFormat="false" ht="15" hidden="false" customHeight="false" outlineLevel="0" collapsed="false">
      <c r="A824" s="33"/>
      <c r="B824" s="32"/>
      <c r="C824" s="32"/>
      <c r="D824" s="32"/>
      <c r="E824" s="32"/>
      <c r="F824" s="30"/>
      <c r="G824" s="32"/>
      <c r="H824" s="34" t="n">
        <f aca="false">IF($G824="",0,IFERROR(INDEX(Einstellungen!$G$5:$G$11,MATCH($G824,Einstellungen!$E$5:$E$11,0)),0))</f>
        <v>0</v>
      </c>
      <c r="I824" s="35" t="str">
        <f aca="false">IF($G824="","-",IFERROR(INDEX(Einstellungen!$H$5:$H$11,MATCH($G824,Einstellungen!$E$5:$E$11,0)),"-"))</f>
        <v>-</v>
      </c>
      <c r="J824" s="35" t="str">
        <f aca="false">IF(AND(Einstellungen!$B$8="Ja",Einstellungen!$B$9="Effektiv"),$I824,"-")</f>
        <v>-</v>
      </c>
      <c r="K824" s="31" t="n">
        <f aca="false">IF(OR($F824="",$J824="-"),0,ROUND($F824-$F824/(1+$H824),2))</f>
        <v>0</v>
      </c>
      <c r="L824" s="31" t="n">
        <f aca="false">IF($F824="",0,$F824-$K824)</f>
        <v>0</v>
      </c>
      <c r="M824" s="31" t="n">
        <f aca="false">IF($F824="",0,IF($J824="V",$L824,$F824))</f>
        <v>0</v>
      </c>
      <c r="N824" s="31" t="n">
        <f aca="false">IF($F824="",0,IF($J824="U",$L824,$F824))</f>
        <v>0</v>
      </c>
      <c r="O824" s="35" t="str">
        <f aca="false">IF($A824="","",MONTH($A824))</f>
        <v/>
      </c>
      <c r="P824" s="35" t="str">
        <f aca="false">IF($A824="","",ROUNDUP(MONTH($A824)/3,0))</f>
        <v/>
      </c>
      <c r="Q824" s="35" t="str">
        <f aca="false">IF($A824="","",IF(MONTH($A824)&lt;=6,1,2))</f>
        <v/>
      </c>
      <c r="R824" s="35" t="str">
        <f aca="false">IF($E824="","",IFERROR(INDEX(Kontenplan!$F$5:$F$90,MATCH($E824,Kontenplan!$A$5:$A$90,0)),""))</f>
        <v/>
      </c>
      <c r="S824" s="35" t="str">
        <f aca="false">IF($D824="","",IFERROR(INDEX(Kontenplan!$F$5:$F$90,MATCH($D824,Kontenplan!$A$5:$A$90,0)),""))</f>
        <v/>
      </c>
      <c r="T824" s="35" t="str">
        <f aca="false">IF($D824="","",IFERROR(INDEX(Kontenplan!$C$5:$C$90,MATCH($D824,Kontenplan!$A$5:$A$90,0)),"?"))</f>
        <v/>
      </c>
      <c r="U824" s="35" t="str">
        <f aca="false">IF($E824="","",IFERROR(INDEX(Kontenplan!$C$5:$C$90,MATCH($E824,Kontenplan!$A$5:$A$90,0)),"?"))</f>
        <v/>
      </c>
      <c r="V824" s="35" t="str">
        <f aca="false">IF($F824="","",IF(OR($D824="",$E824="",$T824="?",$U824="?"),"Konto prüfen!",IF($A824="","Datum fehlt",IF(YEAR($A824)&lt;&gt;Einstellungen!$B$7,"anderes Jahr!",IF($G824="","MWST-Code fehlt","OK")))))</f>
        <v/>
      </c>
      <c r="W824" s="35" t="str">
        <f aca="false">IF($F824="","",IF(OR($D824=Kontoauszug!$C$4,$E824=Kontoauszug!$C$4),MAX(W$4:W823)+1,""))</f>
        <v/>
      </c>
    </row>
    <row r="825" customFormat="false" ht="15" hidden="false" customHeight="false" outlineLevel="0" collapsed="false">
      <c r="A825" s="33"/>
      <c r="B825" s="32"/>
      <c r="C825" s="32"/>
      <c r="D825" s="32"/>
      <c r="E825" s="32"/>
      <c r="F825" s="30"/>
      <c r="G825" s="32"/>
      <c r="H825" s="34" t="n">
        <f aca="false">IF($G825="",0,IFERROR(INDEX(Einstellungen!$G$5:$G$11,MATCH($G825,Einstellungen!$E$5:$E$11,0)),0))</f>
        <v>0</v>
      </c>
      <c r="I825" s="35" t="str">
        <f aca="false">IF($G825="","-",IFERROR(INDEX(Einstellungen!$H$5:$H$11,MATCH($G825,Einstellungen!$E$5:$E$11,0)),"-"))</f>
        <v>-</v>
      </c>
      <c r="J825" s="35" t="str">
        <f aca="false">IF(AND(Einstellungen!$B$8="Ja",Einstellungen!$B$9="Effektiv"),$I825,"-")</f>
        <v>-</v>
      </c>
      <c r="K825" s="31" t="n">
        <f aca="false">IF(OR($F825="",$J825="-"),0,ROUND($F825-$F825/(1+$H825),2))</f>
        <v>0</v>
      </c>
      <c r="L825" s="31" t="n">
        <f aca="false">IF($F825="",0,$F825-$K825)</f>
        <v>0</v>
      </c>
      <c r="M825" s="31" t="n">
        <f aca="false">IF($F825="",0,IF($J825="V",$L825,$F825))</f>
        <v>0</v>
      </c>
      <c r="N825" s="31" t="n">
        <f aca="false">IF($F825="",0,IF($J825="U",$L825,$F825))</f>
        <v>0</v>
      </c>
      <c r="O825" s="35" t="str">
        <f aca="false">IF($A825="","",MONTH($A825))</f>
        <v/>
      </c>
      <c r="P825" s="35" t="str">
        <f aca="false">IF($A825="","",ROUNDUP(MONTH($A825)/3,0))</f>
        <v/>
      </c>
      <c r="Q825" s="35" t="str">
        <f aca="false">IF($A825="","",IF(MONTH($A825)&lt;=6,1,2))</f>
        <v/>
      </c>
      <c r="R825" s="35" t="str">
        <f aca="false">IF($E825="","",IFERROR(INDEX(Kontenplan!$F$5:$F$90,MATCH($E825,Kontenplan!$A$5:$A$90,0)),""))</f>
        <v/>
      </c>
      <c r="S825" s="35" t="str">
        <f aca="false">IF($D825="","",IFERROR(INDEX(Kontenplan!$F$5:$F$90,MATCH($D825,Kontenplan!$A$5:$A$90,0)),""))</f>
        <v/>
      </c>
      <c r="T825" s="35" t="str">
        <f aca="false">IF($D825="","",IFERROR(INDEX(Kontenplan!$C$5:$C$90,MATCH($D825,Kontenplan!$A$5:$A$90,0)),"?"))</f>
        <v/>
      </c>
      <c r="U825" s="35" t="str">
        <f aca="false">IF($E825="","",IFERROR(INDEX(Kontenplan!$C$5:$C$90,MATCH($E825,Kontenplan!$A$5:$A$90,0)),"?"))</f>
        <v/>
      </c>
      <c r="V825" s="35" t="str">
        <f aca="false">IF($F825="","",IF(OR($D825="",$E825="",$T825="?",$U825="?"),"Konto prüfen!",IF($A825="","Datum fehlt",IF(YEAR($A825)&lt;&gt;Einstellungen!$B$7,"anderes Jahr!",IF($G825="","MWST-Code fehlt","OK")))))</f>
        <v/>
      </c>
      <c r="W825" s="35" t="str">
        <f aca="false">IF($F825="","",IF(OR($D825=Kontoauszug!$C$4,$E825=Kontoauszug!$C$4),MAX(W$4:W824)+1,""))</f>
        <v/>
      </c>
    </row>
    <row r="826" customFormat="false" ht="15" hidden="false" customHeight="false" outlineLevel="0" collapsed="false">
      <c r="A826" s="33"/>
      <c r="B826" s="32"/>
      <c r="C826" s="32"/>
      <c r="D826" s="32"/>
      <c r="E826" s="32"/>
      <c r="F826" s="30"/>
      <c r="G826" s="32"/>
      <c r="H826" s="34" t="n">
        <f aca="false">IF($G826="",0,IFERROR(INDEX(Einstellungen!$G$5:$G$11,MATCH($G826,Einstellungen!$E$5:$E$11,0)),0))</f>
        <v>0</v>
      </c>
      <c r="I826" s="35" t="str">
        <f aca="false">IF($G826="","-",IFERROR(INDEX(Einstellungen!$H$5:$H$11,MATCH($G826,Einstellungen!$E$5:$E$11,0)),"-"))</f>
        <v>-</v>
      </c>
      <c r="J826" s="35" t="str">
        <f aca="false">IF(AND(Einstellungen!$B$8="Ja",Einstellungen!$B$9="Effektiv"),$I826,"-")</f>
        <v>-</v>
      </c>
      <c r="K826" s="31" t="n">
        <f aca="false">IF(OR($F826="",$J826="-"),0,ROUND($F826-$F826/(1+$H826),2))</f>
        <v>0</v>
      </c>
      <c r="L826" s="31" t="n">
        <f aca="false">IF($F826="",0,$F826-$K826)</f>
        <v>0</v>
      </c>
      <c r="M826" s="31" t="n">
        <f aca="false">IF($F826="",0,IF($J826="V",$L826,$F826))</f>
        <v>0</v>
      </c>
      <c r="N826" s="31" t="n">
        <f aca="false">IF($F826="",0,IF($J826="U",$L826,$F826))</f>
        <v>0</v>
      </c>
      <c r="O826" s="35" t="str">
        <f aca="false">IF($A826="","",MONTH($A826))</f>
        <v/>
      </c>
      <c r="P826" s="35" t="str">
        <f aca="false">IF($A826="","",ROUNDUP(MONTH($A826)/3,0))</f>
        <v/>
      </c>
      <c r="Q826" s="35" t="str">
        <f aca="false">IF($A826="","",IF(MONTH($A826)&lt;=6,1,2))</f>
        <v/>
      </c>
      <c r="R826" s="35" t="str">
        <f aca="false">IF($E826="","",IFERROR(INDEX(Kontenplan!$F$5:$F$90,MATCH($E826,Kontenplan!$A$5:$A$90,0)),""))</f>
        <v/>
      </c>
      <c r="S826" s="35" t="str">
        <f aca="false">IF($D826="","",IFERROR(INDEX(Kontenplan!$F$5:$F$90,MATCH($D826,Kontenplan!$A$5:$A$90,0)),""))</f>
        <v/>
      </c>
      <c r="T826" s="35" t="str">
        <f aca="false">IF($D826="","",IFERROR(INDEX(Kontenplan!$C$5:$C$90,MATCH($D826,Kontenplan!$A$5:$A$90,0)),"?"))</f>
        <v/>
      </c>
      <c r="U826" s="35" t="str">
        <f aca="false">IF($E826="","",IFERROR(INDEX(Kontenplan!$C$5:$C$90,MATCH($E826,Kontenplan!$A$5:$A$90,0)),"?"))</f>
        <v/>
      </c>
      <c r="V826" s="35" t="str">
        <f aca="false">IF($F826="","",IF(OR($D826="",$E826="",$T826="?",$U826="?"),"Konto prüfen!",IF($A826="","Datum fehlt",IF(YEAR($A826)&lt;&gt;Einstellungen!$B$7,"anderes Jahr!",IF($G826="","MWST-Code fehlt","OK")))))</f>
        <v/>
      </c>
      <c r="W826" s="35" t="str">
        <f aca="false">IF($F826="","",IF(OR($D826=Kontoauszug!$C$4,$E826=Kontoauszug!$C$4),MAX(W$4:W825)+1,""))</f>
        <v/>
      </c>
    </row>
    <row r="827" customFormat="false" ht="15" hidden="false" customHeight="false" outlineLevel="0" collapsed="false">
      <c r="A827" s="33"/>
      <c r="B827" s="32"/>
      <c r="C827" s="32"/>
      <c r="D827" s="32"/>
      <c r="E827" s="32"/>
      <c r="F827" s="30"/>
      <c r="G827" s="32"/>
      <c r="H827" s="34" t="n">
        <f aca="false">IF($G827="",0,IFERROR(INDEX(Einstellungen!$G$5:$G$11,MATCH($G827,Einstellungen!$E$5:$E$11,0)),0))</f>
        <v>0</v>
      </c>
      <c r="I827" s="35" t="str">
        <f aca="false">IF($G827="","-",IFERROR(INDEX(Einstellungen!$H$5:$H$11,MATCH($G827,Einstellungen!$E$5:$E$11,0)),"-"))</f>
        <v>-</v>
      </c>
      <c r="J827" s="35" t="str">
        <f aca="false">IF(AND(Einstellungen!$B$8="Ja",Einstellungen!$B$9="Effektiv"),$I827,"-")</f>
        <v>-</v>
      </c>
      <c r="K827" s="31" t="n">
        <f aca="false">IF(OR($F827="",$J827="-"),0,ROUND($F827-$F827/(1+$H827),2))</f>
        <v>0</v>
      </c>
      <c r="L827" s="31" t="n">
        <f aca="false">IF($F827="",0,$F827-$K827)</f>
        <v>0</v>
      </c>
      <c r="M827" s="31" t="n">
        <f aca="false">IF($F827="",0,IF($J827="V",$L827,$F827))</f>
        <v>0</v>
      </c>
      <c r="N827" s="31" t="n">
        <f aca="false">IF($F827="",0,IF($J827="U",$L827,$F827))</f>
        <v>0</v>
      </c>
      <c r="O827" s="35" t="str">
        <f aca="false">IF($A827="","",MONTH($A827))</f>
        <v/>
      </c>
      <c r="P827" s="35" t="str">
        <f aca="false">IF($A827="","",ROUNDUP(MONTH($A827)/3,0))</f>
        <v/>
      </c>
      <c r="Q827" s="35" t="str">
        <f aca="false">IF($A827="","",IF(MONTH($A827)&lt;=6,1,2))</f>
        <v/>
      </c>
      <c r="R827" s="35" t="str">
        <f aca="false">IF($E827="","",IFERROR(INDEX(Kontenplan!$F$5:$F$90,MATCH($E827,Kontenplan!$A$5:$A$90,0)),""))</f>
        <v/>
      </c>
      <c r="S827" s="35" t="str">
        <f aca="false">IF($D827="","",IFERROR(INDEX(Kontenplan!$F$5:$F$90,MATCH($D827,Kontenplan!$A$5:$A$90,0)),""))</f>
        <v/>
      </c>
      <c r="T827" s="35" t="str">
        <f aca="false">IF($D827="","",IFERROR(INDEX(Kontenplan!$C$5:$C$90,MATCH($D827,Kontenplan!$A$5:$A$90,0)),"?"))</f>
        <v/>
      </c>
      <c r="U827" s="35" t="str">
        <f aca="false">IF($E827="","",IFERROR(INDEX(Kontenplan!$C$5:$C$90,MATCH($E827,Kontenplan!$A$5:$A$90,0)),"?"))</f>
        <v/>
      </c>
      <c r="V827" s="35" t="str">
        <f aca="false">IF($F827="","",IF(OR($D827="",$E827="",$T827="?",$U827="?"),"Konto prüfen!",IF($A827="","Datum fehlt",IF(YEAR($A827)&lt;&gt;Einstellungen!$B$7,"anderes Jahr!",IF($G827="","MWST-Code fehlt","OK")))))</f>
        <v/>
      </c>
      <c r="W827" s="35" t="str">
        <f aca="false">IF($F827="","",IF(OR($D827=Kontoauszug!$C$4,$E827=Kontoauszug!$C$4),MAX(W$4:W826)+1,""))</f>
        <v/>
      </c>
    </row>
    <row r="828" customFormat="false" ht="15" hidden="false" customHeight="false" outlineLevel="0" collapsed="false">
      <c r="A828" s="33"/>
      <c r="B828" s="32"/>
      <c r="C828" s="32"/>
      <c r="D828" s="32"/>
      <c r="E828" s="32"/>
      <c r="F828" s="30"/>
      <c r="G828" s="32"/>
      <c r="H828" s="34" t="n">
        <f aca="false">IF($G828="",0,IFERROR(INDEX(Einstellungen!$G$5:$G$11,MATCH($G828,Einstellungen!$E$5:$E$11,0)),0))</f>
        <v>0</v>
      </c>
      <c r="I828" s="35" t="str">
        <f aca="false">IF($G828="","-",IFERROR(INDEX(Einstellungen!$H$5:$H$11,MATCH($G828,Einstellungen!$E$5:$E$11,0)),"-"))</f>
        <v>-</v>
      </c>
      <c r="J828" s="35" t="str">
        <f aca="false">IF(AND(Einstellungen!$B$8="Ja",Einstellungen!$B$9="Effektiv"),$I828,"-")</f>
        <v>-</v>
      </c>
      <c r="K828" s="31" t="n">
        <f aca="false">IF(OR($F828="",$J828="-"),0,ROUND($F828-$F828/(1+$H828),2))</f>
        <v>0</v>
      </c>
      <c r="L828" s="31" t="n">
        <f aca="false">IF($F828="",0,$F828-$K828)</f>
        <v>0</v>
      </c>
      <c r="M828" s="31" t="n">
        <f aca="false">IF($F828="",0,IF($J828="V",$L828,$F828))</f>
        <v>0</v>
      </c>
      <c r="N828" s="31" t="n">
        <f aca="false">IF($F828="",0,IF($J828="U",$L828,$F828))</f>
        <v>0</v>
      </c>
      <c r="O828" s="35" t="str">
        <f aca="false">IF($A828="","",MONTH($A828))</f>
        <v/>
      </c>
      <c r="P828" s="35" t="str">
        <f aca="false">IF($A828="","",ROUNDUP(MONTH($A828)/3,0))</f>
        <v/>
      </c>
      <c r="Q828" s="35" t="str">
        <f aca="false">IF($A828="","",IF(MONTH($A828)&lt;=6,1,2))</f>
        <v/>
      </c>
      <c r="R828" s="35" t="str">
        <f aca="false">IF($E828="","",IFERROR(INDEX(Kontenplan!$F$5:$F$90,MATCH($E828,Kontenplan!$A$5:$A$90,0)),""))</f>
        <v/>
      </c>
      <c r="S828" s="35" t="str">
        <f aca="false">IF($D828="","",IFERROR(INDEX(Kontenplan!$F$5:$F$90,MATCH($D828,Kontenplan!$A$5:$A$90,0)),""))</f>
        <v/>
      </c>
      <c r="T828" s="35" t="str">
        <f aca="false">IF($D828="","",IFERROR(INDEX(Kontenplan!$C$5:$C$90,MATCH($D828,Kontenplan!$A$5:$A$90,0)),"?"))</f>
        <v/>
      </c>
      <c r="U828" s="35" t="str">
        <f aca="false">IF($E828="","",IFERROR(INDEX(Kontenplan!$C$5:$C$90,MATCH($E828,Kontenplan!$A$5:$A$90,0)),"?"))</f>
        <v/>
      </c>
      <c r="V828" s="35" t="str">
        <f aca="false">IF($F828="","",IF(OR($D828="",$E828="",$T828="?",$U828="?"),"Konto prüfen!",IF($A828="","Datum fehlt",IF(YEAR($A828)&lt;&gt;Einstellungen!$B$7,"anderes Jahr!",IF($G828="","MWST-Code fehlt","OK")))))</f>
        <v/>
      </c>
      <c r="W828" s="35" t="str">
        <f aca="false">IF($F828="","",IF(OR($D828=Kontoauszug!$C$4,$E828=Kontoauszug!$C$4),MAX(W$4:W827)+1,""))</f>
        <v/>
      </c>
    </row>
    <row r="829" customFormat="false" ht="15" hidden="false" customHeight="false" outlineLevel="0" collapsed="false">
      <c r="A829" s="33"/>
      <c r="B829" s="32"/>
      <c r="C829" s="32"/>
      <c r="D829" s="32"/>
      <c r="E829" s="32"/>
      <c r="F829" s="30"/>
      <c r="G829" s="32"/>
      <c r="H829" s="34" t="n">
        <f aca="false">IF($G829="",0,IFERROR(INDEX(Einstellungen!$G$5:$G$11,MATCH($G829,Einstellungen!$E$5:$E$11,0)),0))</f>
        <v>0</v>
      </c>
      <c r="I829" s="35" t="str">
        <f aca="false">IF($G829="","-",IFERROR(INDEX(Einstellungen!$H$5:$H$11,MATCH($G829,Einstellungen!$E$5:$E$11,0)),"-"))</f>
        <v>-</v>
      </c>
      <c r="J829" s="35" t="str">
        <f aca="false">IF(AND(Einstellungen!$B$8="Ja",Einstellungen!$B$9="Effektiv"),$I829,"-")</f>
        <v>-</v>
      </c>
      <c r="K829" s="31" t="n">
        <f aca="false">IF(OR($F829="",$J829="-"),0,ROUND($F829-$F829/(1+$H829),2))</f>
        <v>0</v>
      </c>
      <c r="L829" s="31" t="n">
        <f aca="false">IF($F829="",0,$F829-$K829)</f>
        <v>0</v>
      </c>
      <c r="M829" s="31" t="n">
        <f aca="false">IF($F829="",0,IF($J829="V",$L829,$F829))</f>
        <v>0</v>
      </c>
      <c r="N829" s="31" t="n">
        <f aca="false">IF($F829="",0,IF($J829="U",$L829,$F829))</f>
        <v>0</v>
      </c>
      <c r="O829" s="35" t="str">
        <f aca="false">IF($A829="","",MONTH($A829))</f>
        <v/>
      </c>
      <c r="P829" s="35" t="str">
        <f aca="false">IF($A829="","",ROUNDUP(MONTH($A829)/3,0))</f>
        <v/>
      </c>
      <c r="Q829" s="35" t="str">
        <f aca="false">IF($A829="","",IF(MONTH($A829)&lt;=6,1,2))</f>
        <v/>
      </c>
      <c r="R829" s="35" t="str">
        <f aca="false">IF($E829="","",IFERROR(INDEX(Kontenplan!$F$5:$F$90,MATCH($E829,Kontenplan!$A$5:$A$90,0)),""))</f>
        <v/>
      </c>
      <c r="S829" s="35" t="str">
        <f aca="false">IF($D829="","",IFERROR(INDEX(Kontenplan!$F$5:$F$90,MATCH($D829,Kontenplan!$A$5:$A$90,0)),""))</f>
        <v/>
      </c>
      <c r="T829" s="35" t="str">
        <f aca="false">IF($D829="","",IFERROR(INDEX(Kontenplan!$C$5:$C$90,MATCH($D829,Kontenplan!$A$5:$A$90,0)),"?"))</f>
        <v/>
      </c>
      <c r="U829" s="35" t="str">
        <f aca="false">IF($E829="","",IFERROR(INDEX(Kontenplan!$C$5:$C$90,MATCH($E829,Kontenplan!$A$5:$A$90,0)),"?"))</f>
        <v/>
      </c>
      <c r="V829" s="35" t="str">
        <f aca="false">IF($F829="","",IF(OR($D829="",$E829="",$T829="?",$U829="?"),"Konto prüfen!",IF($A829="","Datum fehlt",IF(YEAR($A829)&lt;&gt;Einstellungen!$B$7,"anderes Jahr!",IF($G829="","MWST-Code fehlt","OK")))))</f>
        <v/>
      </c>
      <c r="W829" s="35" t="str">
        <f aca="false">IF($F829="","",IF(OR($D829=Kontoauszug!$C$4,$E829=Kontoauszug!$C$4),MAX(W$4:W828)+1,""))</f>
        <v/>
      </c>
    </row>
    <row r="830" customFormat="false" ht="15" hidden="false" customHeight="false" outlineLevel="0" collapsed="false">
      <c r="A830" s="33"/>
      <c r="B830" s="32"/>
      <c r="C830" s="32"/>
      <c r="D830" s="32"/>
      <c r="E830" s="32"/>
      <c r="F830" s="30"/>
      <c r="G830" s="32"/>
      <c r="H830" s="34" t="n">
        <f aca="false">IF($G830="",0,IFERROR(INDEX(Einstellungen!$G$5:$G$11,MATCH($G830,Einstellungen!$E$5:$E$11,0)),0))</f>
        <v>0</v>
      </c>
      <c r="I830" s="35" t="str">
        <f aca="false">IF($G830="","-",IFERROR(INDEX(Einstellungen!$H$5:$H$11,MATCH($G830,Einstellungen!$E$5:$E$11,0)),"-"))</f>
        <v>-</v>
      </c>
      <c r="J830" s="35" t="str">
        <f aca="false">IF(AND(Einstellungen!$B$8="Ja",Einstellungen!$B$9="Effektiv"),$I830,"-")</f>
        <v>-</v>
      </c>
      <c r="K830" s="31" t="n">
        <f aca="false">IF(OR($F830="",$J830="-"),0,ROUND($F830-$F830/(1+$H830),2))</f>
        <v>0</v>
      </c>
      <c r="L830" s="31" t="n">
        <f aca="false">IF($F830="",0,$F830-$K830)</f>
        <v>0</v>
      </c>
      <c r="M830" s="31" t="n">
        <f aca="false">IF($F830="",0,IF($J830="V",$L830,$F830))</f>
        <v>0</v>
      </c>
      <c r="N830" s="31" t="n">
        <f aca="false">IF($F830="",0,IF($J830="U",$L830,$F830))</f>
        <v>0</v>
      </c>
      <c r="O830" s="35" t="str">
        <f aca="false">IF($A830="","",MONTH($A830))</f>
        <v/>
      </c>
      <c r="P830" s="35" t="str">
        <f aca="false">IF($A830="","",ROUNDUP(MONTH($A830)/3,0))</f>
        <v/>
      </c>
      <c r="Q830" s="35" t="str">
        <f aca="false">IF($A830="","",IF(MONTH($A830)&lt;=6,1,2))</f>
        <v/>
      </c>
      <c r="R830" s="35" t="str">
        <f aca="false">IF($E830="","",IFERROR(INDEX(Kontenplan!$F$5:$F$90,MATCH($E830,Kontenplan!$A$5:$A$90,0)),""))</f>
        <v/>
      </c>
      <c r="S830" s="35" t="str">
        <f aca="false">IF($D830="","",IFERROR(INDEX(Kontenplan!$F$5:$F$90,MATCH($D830,Kontenplan!$A$5:$A$90,0)),""))</f>
        <v/>
      </c>
      <c r="T830" s="35" t="str">
        <f aca="false">IF($D830="","",IFERROR(INDEX(Kontenplan!$C$5:$C$90,MATCH($D830,Kontenplan!$A$5:$A$90,0)),"?"))</f>
        <v/>
      </c>
      <c r="U830" s="35" t="str">
        <f aca="false">IF($E830="","",IFERROR(INDEX(Kontenplan!$C$5:$C$90,MATCH($E830,Kontenplan!$A$5:$A$90,0)),"?"))</f>
        <v/>
      </c>
      <c r="V830" s="35" t="str">
        <f aca="false">IF($F830="","",IF(OR($D830="",$E830="",$T830="?",$U830="?"),"Konto prüfen!",IF($A830="","Datum fehlt",IF(YEAR($A830)&lt;&gt;Einstellungen!$B$7,"anderes Jahr!",IF($G830="","MWST-Code fehlt","OK")))))</f>
        <v/>
      </c>
      <c r="W830" s="35" t="str">
        <f aca="false">IF($F830="","",IF(OR($D830=Kontoauszug!$C$4,$E830=Kontoauszug!$C$4),MAX(W$4:W829)+1,""))</f>
        <v/>
      </c>
    </row>
    <row r="831" customFormat="false" ht="15" hidden="false" customHeight="false" outlineLevel="0" collapsed="false">
      <c r="A831" s="33"/>
      <c r="B831" s="32"/>
      <c r="C831" s="32"/>
      <c r="D831" s="32"/>
      <c r="E831" s="32"/>
      <c r="F831" s="30"/>
      <c r="G831" s="32"/>
      <c r="H831" s="34" t="n">
        <f aca="false">IF($G831="",0,IFERROR(INDEX(Einstellungen!$G$5:$G$11,MATCH($G831,Einstellungen!$E$5:$E$11,0)),0))</f>
        <v>0</v>
      </c>
      <c r="I831" s="35" t="str">
        <f aca="false">IF($G831="","-",IFERROR(INDEX(Einstellungen!$H$5:$H$11,MATCH($G831,Einstellungen!$E$5:$E$11,0)),"-"))</f>
        <v>-</v>
      </c>
      <c r="J831" s="35" t="str">
        <f aca="false">IF(AND(Einstellungen!$B$8="Ja",Einstellungen!$B$9="Effektiv"),$I831,"-")</f>
        <v>-</v>
      </c>
      <c r="K831" s="31" t="n">
        <f aca="false">IF(OR($F831="",$J831="-"),0,ROUND($F831-$F831/(1+$H831),2))</f>
        <v>0</v>
      </c>
      <c r="L831" s="31" t="n">
        <f aca="false">IF($F831="",0,$F831-$K831)</f>
        <v>0</v>
      </c>
      <c r="M831" s="31" t="n">
        <f aca="false">IF($F831="",0,IF($J831="V",$L831,$F831))</f>
        <v>0</v>
      </c>
      <c r="N831" s="31" t="n">
        <f aca="false">IF($F831="",0,IF($J831="U",$L831,$F831))</f>
        <v>0</v>
      </c>
      <c r="O831" s="35" t="str">
        <f aca="false">IF($A831="","",MONTH($A831))</f>
        <v/>
      </c>
      <c r="P831" s="35" t="str">
        <f aca="false">IF($A831="","",ROUNDUP(MONTH($A831)/3,0))</f>
        <v/>
      </c>
      <c r="Q831" s="35" t="str">
        <f aca="false">IF($A831="","",IF(MONTH($A831)&lt;=6,1,2))</f>
        <v/>
      </c>
      <c r="R831" s="35" t="str">
        <f aca="false">IF($E831="","",IFERROR(INDEX(Kontenplan!$F$5:$F$90,MATCH($E831,Kontenplan!$A$5:$A$90,0)),""))</f>
        <v/>
      </c>
      <c r="S831" s="35" t="str">
        <f aca="false">IF($D831="","",IFERROR(INDEX(Kontenplan!$F$5:$F$90,MATCH($D831,Kontenplan!$A$5:$A$90,0)),""))</f>
        <v/>
      </c>
      <c r="T831" s="35" t="str">
        <f aca="false">IF($D831="","",IFERROR(INDEX(Kontenplan!$C$5:$C$90,MATCH($D831,Kontenplan!$A$5:$A$90,0)),"?"))</f>
        <v/>
      </c>
      <c r="U831" s="35" t="str">
        <f aca="false">IF($E831="","",IFERROR(INDEX(Kontenplan!$C$5:$C$90,MATCH($E831,Kontenplan!$A$5:$A$90,0)),"?"))</f>
        <v/>
      </c>
      <c r="V831" s="35" t="str">
        <f aca="false">IF($F831="","",IF(OR($D831="",$E831="",$T831="?",$U831="?"),"Konto prüfen!",IF($A831="","Datum fehlt",IF(YEAR($A831)&lt;&gt;Einstellungen!$B$7,"anderes Jahr!",IF($G831="","MWST-Code fehlt","OK")))))</f>
        <v/>
      </c>
      <c r="W831" s="35" t="str">
        <f aca="false">IF($F831="","",IF(OR($D831=Kontoauszug!$C$4,$E831=Kontoauszug!$C$4),MAX(W$4:W830)+1,""))</f>
        <v/>
      </c>
    </row>
    <row r="832" customFormat="false" ht="15" hidden="false" customHeight="false" outlineLevel="0" collapsed="false">
      <c r="A832" s="33"/>
      <c r="B832" s="32"/>
      <c r="C832" s="32"/>
      <c r="D832" s="32"/>
      <c r="E832" s="32"/>
      <c r="F832" s="30"/>
      <c r="G832" s="32"/>
      <c r="H832" s="34" t="n">
        <f aca="false">IF($G832="",0,IFERROR(INDEX(Einstellungen!$G$5:$G$11,MATCH($G832,Einstellungen!$E$5:$E$11,0)),0))</f>
        <v>0</v>
      </c>
      <c r="I832" s="35" t="str">
        <f aca="false">IF($G832="","-",IFERROR(INDEX(Einstellungen!$H$5:$H$11,MATCH($G832,Einstellungen!$E$5:$E$11,0)),"-"))</f>
        <v>-</v>
      </c>
      <c r="J832" s="35" t="str">
        <f aca="false">IF(AND(Einstellungen!$B$8="Ja",Einstellungen!$B$9="Effektiv"),$I832,"-")</f>
        <v>-</v>
      </c>
      <c r="K832" s="31" t="n">
        <f aca="false">IF(OR($F832="",$J832="-"),0,ROUND($F832-$F832/(1+$H832),2))</f>
        <v>0</v>
      </c>
      <c r="L832" s="31" t="n">
        <f aca="false">IF($F832="",0,$F832-$K832)</f>
        <v>0</v>
      </c>
      <c r="M832" s="31" t="n">
        <f aca="false">IF($F832="",0,IF($J832="V",$L832,$F832))</f>
        <v>0</v>
      </c>
      <c r="N832" s="31" t="n">
        <f aca="false">IF($F832="",0,IF($J832="U",$L832,$F832))</f>
        <v>0</v>
      </c>
      <c r="O832" s="35" t="str">
        <f aca="false">IF($A832="","",MONTH($A832))</f>
        <v/>
      </c>
      <c r="P832" s="35" t="str">
        <f aca="false">IF($A832="","",ROUNDUP(MONTH($A832)/3,0))</f>
        <v/>
      </c>
      <c r="Q832" s="35" t="str">
        <f aca="false">IF($A832="","",IF(MONTH($A832)&lt;=6,1,2))</f>
        <v/>
      </c>
      <c r="R832" s="35" t="str">
        <f aca="false">IF($E832="","",IFERROR(INDEX(Kontenplan!$F$5:$F$90,MATCH($E832,Kontenplan!$A$5:$A$90,0)),""))</f>
        <v/>
      </c>
      <c r="S832" s="35" t="str">
        <f aca="false">IF($D832="","",IFERROR(INDEX(Kontenplan!$F$5:$F$90,MATCH($D832,Kontenplan!$A$5:$A$90,0)),""))</f>
        <v/>
      </c>
      <c r="T832" s="35" t="str">
        <f aca="false">IF($D832="","",IFERROR(INDEX(Kontenplan!$C$5:$C$90,MATCH($D832,Kontenplan!$A$5:$A$90,0)),"?"))</f>
        <v/>
      </c>
      <c r="U832" s="35" t="str">
        <f aca="false">IF($E832="","",IFERROR(INDEX(Kontenplan!$C$5:$C$90,MATCH($E832,Kontenplan!$A$5:$A$90,0)),"?"))</f>
        <v/>
      </c>
      <c r="V832" s="35" t="str">
        <f aca="false">IF($F832="","",IF(OR($D832="",$E832="",$T832="?",$U832="?"),"Konto prüfen!",IF($A832="","Datum fehlt",IF(YEAR($A832)&lt;&gt;Einstellungen!$B$7,"anderes Jahr!",IF($G832="","MWST-Code fehlt","OK")))))</f>
        <v/>
      </c>
      <c r="W832" s="35" t="str">
        <f aca="false">IF($F832="","",IF(OR($D832=Kontoauszug!$C$4,$E832=Kontoauszug!$C$4),MAX(W$4:W831)+1,""))</f>
        <v/>
      </c>
    </row>
    <row r="833" customFormat="false" ht="15" hidden="false" customHeight="false" outlineLevel="0" collapsed="false">
      <c r="A833" s="33"/>
      <c r="B833" s="32"/>
      <c r="C833" s="32"/>
      <c r="D833" s="32"/>
      <c r="E833" s="32"/>
      <c r="F833" s="30"/>
      <c r="G833" s="32"/>
      <c r="H833" s="34" t="n">
        <f aca="false">IF($G833="",0,IFERROR(INDEX(Einstellungen!$G$5:$G$11,MATCH($G833,Einstellungen!$E$5:$E$11,0)),0))</f>
        <v>0</v>
      </c>
      <c r="I833" s="35" t="str">
        <f aca="false">IF($G833="","-",IFERROR(INDEX(Einstellungen!$H$5:$H$11,MATCH($G833,Einstellungen!$E$5:$E$11,0)),"-"))</f>
        <v>-</v>
      </c>
      <c r="J833" s="35" t="str">
        <f aca="false">IF(AND(Einstellungen!$B$8="Ja",Einstellungen!$B$9="Effektiv"),$I833,"-")</f>
        <v>-</v>
      </c>
      <c r="K833" s="31" t="n">
        <f aca="false">IF(OR($F833="",$J833="-"),0,ROUND($F833-$F833/(1+$H833),2))</f>
        <v>0</v>
      </c>
      <c r="L833" s="31" t="n">
        <f aca="false">IF($F833="",0,$F833-$K833)</f>
        <v>0</v>
      </c>
      <c r="M833" s="31" t="n">
        <f aca="false">IF($F833="",0,IF($J833="V",$L833,$F833))</f>
        <v>0</v>
      </c>
      <c r="N833" s="31" t="n">
        <f aca="false">IF($F833="",0,IF($J833="U",$L833,$F833))</f>
        <v>0</v>
      </c>
      <c r="O833" s="35" t="str">
        <f aca="false">IF($A833="","",MONTH($A833))</f>
        <v/>
      </c>
      <c r="P833" s="35" t="str">
        <f aca="false">IF($A833="","",ROUNDUP(MONTH($A833)/3,0))</f>
        <v/>
      </c>
      <c r="Q833" s="35" t="str">
        <f aca="false">IF($A833="","",IF(MONTH($A833)&lt;=6,1,2))</f>
        <v/>
      </c>
      <c r="R833" s="35" t="str">
        <f aca="false">IF($E833="","",IFERROR(INDEX(Kontenplan!$F$5:$F$90,MATCH($E833,Kontenplan!$A$5:$A$90,0)),""))</f>
        <v/>
      </c>
      <c r="S833" s="35" t="str">
        <f aca="false">IF($D833="","",IFERROR(INDEX(Kontenplan!$F$5:$F$90,MATCH($D833,Kontenplan!$A$5:$A$90,0)),""))</f>
        <v/>
      </c>
      <c r="T833" s="35" t="str">
        <f aca="false">IF($D833="","",IFERROR(INDEX(Kontenplan!$C$5:$C$90,MATCH($D833,Kontenplan!$A$5:$A$90,0)),"?"))</f>
        <v/>
      </c>
      <c r="U833" s="35" t="str">
        <f aca="false">IF($E833="","",IFERROR(INDEX(Kontenplan!$C$5:$C$90,MATCH($E833,Kontenplan!$A$5:$A$90,0)),"?"))</f>
        <v/>
      </c>
      <c r="V833" s="35" t="str">
        <f aca="false">IF($F833="","",IF(OR($D833="",$E833="",$T833="?",$U833="?"),"Konto prüfen!",IF($A833="","Datum fehlt",IF(YEAR($A833)&lt;&gt;Einstellungen!$B$7,"anderes Jahr!",IF($G833="","MWST-Code fehlt","OK")))))</f>
        <v/>
      </c>
      <c r="W833" s="35" t="str">
        <f aca="false">IF($F833="","",IF(OR($D833=Kontoauszug!$C$4,$E833=Kontoauszug!$C$4),MAX(W$4:W832)+1,""))</f>
        <v/>
      </c>
    </row>
    <row r="834" customFormat="false" ht="15" hidden="false" customHeight="false" outlineLevel="0" collapsed="false">
      <c r="A834" s="33"/>
      <c r="B834" s="32"/>
      <c r="C834" s="32"/>
      <c r="D834" s="32"/>
      <c r="E834" s="32"/>
      <c r="F834" s="30"/>
      <c r="G834" s="32"/>
      <c r="H834" s="34" t="n">
        <f aca="false">IF($G834="",0,IFERROR(INDEX(Einstellungen!$G$5:$G$11,MATCH($G834,Einstellungen!$E$5:$E$11,0)),0))</f>
        <v>0</v>
      </c>
      <c r="I834" s="35" t="str">
        <f aca="false">IF($G834="","-",IFERROR(INDEX(Einstellungen!$H$5:$H$11,MATCH($G834,Einstellungen!$E$5:$E$11,0)),"-"))</f>
        <v>-</v>
      </c>
      <c r="J834" s="35" t="str">
        <f aca="false">IF(AND(Einstellungen!$B$8="Ja",Einstellungen!$B$9="Effektiv"),$I834,"-")</f>
        <v>-</v>
      </c>
      <c r="K834" s="31" t="n">
        <f aca="false">IF(OR($F834="",$J834="-"),0,ROUND($F834-$F834/(1+$H834),2))</f>
        <v>0</v>
      </c>
      <c r="L834" s="31" t="n">
        <f aca="false">IF($F834="",0,$F834-$K834)</f>
        <v>0</v>
      </c>
      <c r="M834" s="31" t="n">
        <f aca="false">IF($F834="",0,IF($J834="V",$L834,$F834))</f>
        <v>0</v>
      </c>
      <c r="N834" s="31" t="n">
        <f aca="false">IF($F834="",0,IF($J834="U",$L834,$F834))</f>
        <v>0</v>
      </c>
      <c r="O834" s="35" t="str">
        <f aca="false">IF($A834="","",MONTH($A834))</f>
        <v/>
      </c>
      <c r="P834" s="35" t="str">
        <f aca="false">IF($A834="","",ROUNDUP(MONTH($A834)/3,0))</f>
        <v/>
      </c>
      <c r="Q834" s="35" t="str">
        <f aca="false">IF($A834="","",IF(MONTH($A834)&lt;=6,1,2))</f>
        <v/>
      </c>
      <c r="R834" s="35" t="str">
        <f aca="false">IF($E834="","",IFERROR(INDEX(Kontenplan!$F$5:$F$90,MATCH($E834,Kontenplan!$A$5:$A$90,0)),""))</f>
        <v/>
      </c>
      <c r="S834" s="35" t="str">
        <f aca="false">IF($D834="","",IFERROR(INDEX(Kontenplan!$F$5:$F$90,MATCH($D834,Kontenplan!$A$5:$A$90,0)),""))</f>
        <v/>
      </c>
      <c r="T834" s="35" t="str">
        <f aca="false">IF($D834="","",IFERROR(INDEX(Kontenplan!$C$5:$C$90,MATCH($D834,Kontenplan!$A$5:$A$90,0)),"?"))</f>
        <v/>
      </c>
      <c r="U834" s="35" t="str">
        <f aca="false">IF($E834="","",IFERROR(INDEX(Kontenplan!$C$5:$C$90,MATCH($E834,Kontenplan!$A$5:$A$90,0)),"?"))</f>
        <v/>
      </c>
      <c r="V834" s="35" t="str">
        <f aca="false">IF($F834="","",IF(OR($D834="",$E834="",$T834="?",$U834="?"),"Konto prüfen!",IF($A834="","Datum fehlt",IF(YEAR($A834)&lt;&gt;Einstellungen!$B$7,"anderes Jahr!",IF($G834="","MWST-Code fehlt","OK")))))</f>
        <v/>
      </c>
      <c r="W834" s="35" t="str">
        <f aca="false">IF($F834="","",IF(OR($D834=Kontoauszug!$C$4,$E834=Kontoauszug!$C$4),MAX(W$4:W833)+1,""))</f>
        <v/>
      </c>
    </row>
    <row r="835" customFormat="false" ht="15" hidden="false" customHeight="false" outlineLevel="0" collapsed="false">
      <c r="A835" s="33"/>
      <c r="B835" s="32"/>
      <c r="C835" s="32"/>
      <c r="D835" s="32"/>
      <c r="E835" s="32"/>
      <c r="F835" s="30"/>
      <c r="G835" s="32"/>
      <c r="H835" s="34" t="n">
        <f aca="false">IF($G835="",0,IFERROR(INDEX(Einstellungen!$G$5:$G$11,MATCH($G835,Einstellungen!$E$5:$E$11,0)),0))</f>
        <v>0</v>
      </c>
      <c r="I835" s="35" t="str">
        <f aca="false">IF($G835="","-",IFERROR(INDEX(Einstellungen!$H$5:$H$11,MATCH($G835,Einstellungen!$E$5:$E$11,0)),"-"))</f>
        <v>-</v>
      </c>
      <c r="J835" s="35" t="str">
        <f aca="false">IF(AND(Einstellungen!$B$8="Ja",Einstellungen!$B$9="Effektiv"),$I835,"-")</f>
        <v>-</v>
      </c>
      <c r="K835" s="31" t="n">
        <f aca="false">IF(OR($F835="",$J835="-"),0,ROUND($F835-$F835/(1+$H835),2))</f>
        <v>0</v>
      </c>
      <c r="L835" s="31" t="n">
        <f aca="false">IF($F835="",0,$F835-$K835)</f>
        <v>0</v>
      </c>
      <c r="M835" s="31" t="n">
        <f aca="false">IF($F835="",0,IF($J835="V",$L835,$F835))</f>
        <v>0</v>
      </c>
      <c r="N835" s="31" t="n">
        <f aca="false">IF($F835="",0,IF($J835="U",$L835,$F835))</f>
        <v>0</v>
      </c>
      <c r="O835" s="35" t="str">
        <f aca="false">IF($A835="","",MONTH($A835))</f>
        <v/>
      </c>
      <c r="P835" s="35" t="str">
        <f aca="false">IF($A835="","",ROUNDUP(MONTH($A835)/3,0))</f>
        <v/>
      </c>
      <c r="Q835" s="35" t="str">
        <f aca="false">IF($A835="","",IF(MONTH($A835)&lt;=6,1,2))</f>
        <v/>
      </c>
      <c r="R835" s="35" t="str">
        <f aca="false">IF($E835="","",IFERROR(INDEX(Kontenplan!$F$5:$F$90,MATCH($E835,Kontenplan!$A$5:$A$90,0)),""))</f>
        <v/>
      </c>
      <c r="S835" s="35" t="str">
        <f aca="false">IF($D835="","",IFERROR(INDEX(Kontenplan!$F$5:$F$90,MATCH($D835,Kontenplan!$A$5:$A$90,0)),""))</f>
        <v/>
      </c>
      <c r="T835" s="35" t="str">
        <f aca="false">IF($D835="","",IFERROR(INDEX(Kontenplan!$C$5:$C$90,MATCH($D835,Kontenplan!$A$5:$A$90,0)),"?"))</f>
        <v/>
      </c>
      <c r="U835" s="35" t="str">
        <f aca="false">IF($E835="","",IFERROR(INDEX(Kontenplan!$C$5:$C$90,MATCH($E835,Kontenplan!$A$5:$A$90,0)),"?"))</f>
        <v/>
      </c>
      <c r="V835" s="35" t="str">
        <f aca="false">IF($F835="","",IF(OR($D835="",$E835="",$T835="?",$U835="?"),"Konto prüfen!",IF($A835="","Datum fehlt",IF(YEAR($A835)&lt;&gt;Einstellungen!$B$7,"anderes Jahr!",IF($G835="","MWST-Code fehlt","OK")))))</f>
        <v/>
      </c>
      <c r="W835" s="35" t="str">
        <f aca="false">IF($F835="","",IF(OR($D835=Kontoauszug!$C$4,$E835=Kontoauszug!$C$4),MAX(W$4:W834)+1,""))</f>
        <v/>
      </c>
    </row>
    <row r="836" customFormat="false" ht="15" hidden="false" customHeight="false" outlineLevel="0" collapsed="false">
      <c r="A836" s="33"/>
      <c r="B836" s="32"/>
      <c r="C836" s="32"/>
      <c r="D836" s="32"/>
      <c r="E836" s="32"/>
      <c r="F836" s="30"/>
      <c r="G836" s="32"/>
      <c r="H836" s="34" t="n">
        <f aca="false">IF($G836="",0,IFERROR(INDEX(Einstellungen!$G$5:$G$11,MATCH($G836,Einstellungen!$E$5:$E$11,0)),0))</f>
        <v>0</v>
      </c>
      <c r="I836" s="35" t="str">
        <f aca="false">IF($G836="","-",IFERROR(INDEX(Einstellungen!$H$5:$H$11,MATCH($G836,Einstellungen!$E$5:$E$11,0)),"-"))</f>
        <v>-</v>
      </c>
      <c r="J836" s="35" t="str">
        <f aca="false">IF(AND(Einstellungen!$B$8="Ja",Einstellungen!$B$9="Effektiv"),$I836,"-")</f>
        <v>-</v>
      </c>
      <c r="K836" s="31" t="n">
        <f aca="false">IF(OR($F836="",$J836="-"),0,ROUND($F836-$F836/(1+$H836),2))</f>
        <v>0</v>
      </c>
      <c r="L836" s="31" t="n">
        <f aca="false">IF($F836="",0,$F836-$K836)</f>
        <v>0</v>
      </c>
      <c r="M836" s="31" t="n">
        <f aca="false">IF($F836="",0,IF($J836="V",$L836,$F836))</f>
        <v>0</v>
      </c>
      <c r="N836" s="31" t="n">
        <f aca="false">IF($F836="",0,IF($J836="U",$L836,$F836))</f>
        <v>0</v>
      </c>
      <c r="O836" s="35" t="str">
        <f aca="false">IF($A836="","",MONTH($A836))</f>
        <v/>
      </c>
      <c r="P836" s="35" t="str">
        <f aca="false">IF($A836="","",ROUNDUP(MONTH($A836)/3,0))</f>
        <v/>
      </c>
      <c r="Q836" s="35" t="str">
        <f aca="false">IF($A836="","",IF(MONTH($A836)&lt;=6,1,2))</f>
        <v/>
      </c>
      <c r="R836" s="35" t="str">
        <f aca="false">IF($E836="","",IFERROR(INDEX(Kontenplan!$F$5:$F$90,MATCH($E836,Kontenplan!$A$5:$A$90,0)),""))</f>
        <v/>
      </c>
      <c r="S836" s="35" t="str">
        <f aca="false">IF($D836="","",IFERROR(INDEX(Kontenplan!$F$5:$F$90,MATCH($D836,Kontenplan!$A$5:$A$90,0)),""))</f>
        <v/>
      </c>
      <c r="T836" s="35" t="str">
        <f aca="false">IF($D836="","",IFERROR(INDEX(Kontenplan!$C$5:$C$90,MATCH($D836,Kontenplan!$A$5:$A$90,0)),"?"))</f>
        <v/>
      </c>
      <c r="U836" s="35" t="str">
        <f aca="false">IF($E836="","",IFERROR(INDEX(Kontenplan!$C$5:$C$90,MATCH($E836,Kontenplan!$A$5:$A$90,0)),"?"))</f>
        <v/>
      </c>
      <c r="V836" s="35" t="str">
        <f aca="false">IF($F836="","",IF(OR($D836="",$E836="",$T836="?",$U836="?"),"Konto prüfen!",IF($A836="","Datum fehlt",IF(YEAR($A836)&lt;&gt;Einstellungen!$B$7,"anderes Jahr!",IF($G836="","MWST-Code fehlt","OK")))))</f>
        <v/>
      </c>
      <c r="W836" s="35" t="str">
        <f aca="false">IF($F836="","",IF(OR($D836=Kontoauszug!$C$4,$E836=Kontoauszug!$C$4),MAX(W$4:W835)+1,""))</f>
        <v/>
      </c>
    </row>
    <row r="837" customFormat="false" ht="15" hidden="false" customHeight="false" outlineLevel="0" collapsed="false">
      <c r="A837" s="33"/>
      <c r="B837" s="32"/>
      <c r="C837" s="32"/>
      <c r="D837" s="32"/>
      <c r="E837" s="32"/>
      <c r="F837" s="30"/>
      <c r="G837" s="32"/>
      <c r="H837" s="34" t="n">
        <f aca="false">IF($G837="",0,IFERROR(INDEX(Einstellungen!$G$5:$G$11,MATCH($G837,Einstellungen!$E$5:$E$11,0)),0))</f>
        <v>0</v>
      </c>
      <c r="I837" s="35" t="str">
        <f aca="false">IF($G837="","-",IFERROR(INDEX(Einstellungen!$H$5:$H$11,MATCH($G837,Einstellungen!$E$5:$E$11,0)),"-"))</f>
        <v>-</v>
      </c>
      <c r="J837" s="35" t="str">
        <f aca="false">IF(AND(Einstellungen!$B$8="Ja",Einstellungen!$B$9="Effektiv"),$I837,"-")</f>
        <v>-</v>
      </c>
      <c r="K837" s="31" t="n">
        <f aca="false">IF(OR($F837="",$J837="-"),0,ROUND($F837-$F837/(1+$H837),2))</f>
        <v>0</v>
      </c>
      <c r="L837" s="31" t="n">
        <f aca="false">IF($F837="",0,$F837-$K837)</f>
        <v>0</v>
      </c>
      <c r="M837" s="31" t="n">
        <f aca="false">IF($F837="",0,IF($J837="V",$L837,$F837))</f>
        <v>0</v>
      </c>
      <c r="N837" s="31" t="n">
        <f aca="false">IF($F837="",0,IF($J837="U",$L837,$F837))</f>
        <v>0</v>
      </c>
      <c r="O837" s="35" t="str">
        <f aca="false">IF($A837="","",MONTH($A837))</f>
        <v/>
      </c>
      <c r="P837" s="35" t="str">
        <f aca="false">IF($A837="","",ROUNDUP(MONTH($A837)/3,0))</f>
        <v/>
      </c>
      <c r="Q837" s="35" t="str">
        <f aca="false">IF($A837="","",IF(MONTH($A837)&lt;=6,1,2))</f>
        <v/>
      </c>
      <c r="R837" s="35" t="str">
        <f aca="false">IF($E837="","",IFERROR(INDEX(Kontenplan!$F$5:$F$90,MATCH($E837,Kontenplan!$A$5:$A$90,0)),""))</f>
        <v/>
      </c>
      <c r="S837" s="35" t="str">
        <f aca="false">IF($D837="","",IFERROR(INDEX(Kontenplan!$F$5:$F$90,MATCH($D837,Kontenplan!$A$5:$A$90,0)),""))</f>
        <v/>
      </c>
      <c r="T837" s="35" t="str">
        <f aca="false">IF($D837="","",IFERROR(INDEX(Kontenplan!$C$5:$C$90,MATCH($D837,Kontenplan!$A$5:$A$90,0)),"?"))</f>
        <v/>
      </c>
      <c r="U837" s="35" t="str">
        <f aca="false">IF($E837="","",IFERROR(INDEX(Kontenplan!$C$5:$C$90,MATCH($E837,Kontenplan!$A$5:$A$90,0)),"?"))</f>
        <v/>
      </c>
      <c r="V837" s="35" t="str">
        <f aca="false">IF($F837="","",IF(OR($D837="",$E837="",$T837="?",$U837="?"),"Konto prüfen!",IF($A837="","Datum fehlt",IF(YEAR($A837)&lt;&gt;Einstellungen!$B$7,"anderes Jahr!",IF($G837="","MWST-Code fehlt","OK")))))</f>
        <v/>
      </c>
      <c r="W837" s="35" t="str">
        <f aca="false">IF($F837="","",IF(OR($D837=Kontoauszug!$C$4,$E837=Kontoauszug!$C$4),MAX(W$4:W836)+1,""))</f>
        <v/>
      </c>
    </row>
    <row r="838" customFormat="false" ht="15" hidden="false" customHeight="false" outlineLevel="0" collapsed="false">
      <c r="A838" s="33"/>
      <c r="B838" s="32"/>
      <c r="C838" s="32"/>
      <c r="D838" s="32"/>
      <c r="E838" s="32"/>
      <c r="F838" s="30"/>
      <c r="G838" s="32"/>
      <c r="H838" s="34" t="n">
        <f aca="false">IF($G838="",0,IFERROR(INDEX(Einstellungen!$G$5:$G$11,MATCH($G838,Einstellungen!$E$5:$E$11,0)),0))</f>
        <v>0</v>
      </c>
      <c r="I838" s="35" t="str">
        <f aca="false">IF($G838="","-",IFERROR(INDEX(Einstellungen!$H$5:$H$11,MATCH($G838,Einstellungen!$E$5:$E$11,0)),"-"))</f>
        <v>-</v>
      </c>
      <c r="J838" s="35" t="str">
        <f aca="false">IF(AND(Einstellungen!$B$8="Ja",Einstellungen!$B$9="Effektiv"),$I838,"-")</f>
        <v>-</v>
      </c>
      <c r="K838" s="31" t="n">
        <f aca="false">IF(OR($F838="",$J838="-"),0,ROUND($F838-$F838/(1+$H838),2))</f>
        <v>0</v>
      </c>
      <c r="L838" s="31" t="n">
        <f aca="false">IF($F838="",0,$F838-$K838)</f>
        <v>0</v>
      </c>
      <c r="M838" s="31" t="n">
        <f aca="false">IF($F838="",0,IF($J838="V",$L838,$F838))</f>
        <v>0</v>
      </c>
      <c r="N838" s="31" t="n">
        <f aca="false">IF($F838="",0,IF($J838="U",$L838,$F838))</f>
        <v>0</v>
      </c>
      <c r="O838" s="35" t="str">
        <f aca="false">IF($A838="","",MONTH($A838))</f>
        <v/>
      </c>
      <c r="P838" s="35" t="str">
        <f aca="false">IF($A838="","",ROUNDUP(MONTH($A838)/3,0))</f>
        <v/>
      </c>
      <c r="Q838" s="35" t="str">
        <f aca="false">IF($A838="","",IF(MONTH($A838)&lt;=6,1,2))</f>
        <v/>
      </c>
      <c r="R838" s="35" t="str">
        <f aca="false">IF($E838="","",IFERROR(INDEX(Kontenplan!$F$5:$F$90,MATCH($E838,Kontenplan!$A$5:$A$90,0)),""))</f>
        <v/>
      </c>
      <c r="S838" s="35" t="str">
        <f aca="false">IF($D838="","",IFERROR(INDEX(Kontenplan!$F$5:$F$90,MATCH($D838,Kontenplan!$A$5:$A$90,0)),""))</f>
        <v/>
      </c>
      <c r="T838" s="35" t="str">
        <f aca="false">IF($D838="","",IFERROR(INDEX(Kontenplan!$C$5:$C$90,MATCH($D838,Kontenplan!$A$5:$A$90,0)),"?"))</f>
        <v/>
      </c>
      <c r="U838" s="35" t="str">
        <f aca="false">IF($E838="","",IFERROR(INDEX(Kontenplan!$C$5:$C$90,MATCH($E838,Kontenplan!$A$5:$A$90,0)),"?"))</f>
        <v/>
      </c>
      <c r="V838" s="35" t="str">
        <f aca="false">IF($F838="","",IF(OR($D838="",$E838="",$T838="?",$U838="?"),"Konto prüfen!",IF($A838="","Datum fehlt",IF(YEAR($A838)&lt;&gt;Einstellungen!$B$7,"anderes Jahr!",IF($G838="","MWST-Code fehlt","OK")))))</f>
        <v/>
      </c>
      <c r="W838" s="35" t="str">
        <f aca="false">IF($F838="","",IF(OR($D838=Kontoauszug!$C$4,$E838=Kontoauszug!$C$4),MAX(W$4:W837)+1,""))</f>
        <v/>
      </c>
    </row>
    <row r="839" customFormat="false" ht="15" hidden="false" customHeight="false" outlineLevel="0" collapsed="false">
      <c r="A839" s="33"/>
      <c r="B839" s="32"/>
      <c r="C839" s="32"/>
      <c r="D839" s="32"/>
      <c r="E839" s="32"/>
      <c r="F839" s="30"/>
      <c r="G839" s="32"/>
      <c r="H839" s="34" t="n">
        <f aca="false">IF($G839="",0,IFERROR(INDEX(Einstellungen!$G$5:$G$11,MATCH($G839,Einstellungen!$E$5:$E$11,0)),0))</f>
        <v>0</v>
      </c>
      <c r="I839" s="35" t="str">
        <f aca="false">IF($G839="","-",IFERROR(INDEX(Einstellungen!$H$5:$H$11,MATCH($G839,Einstellungen!$E$5:$E$11,0)),"-"))</f>
        <v>-</v>
      </c>
      <c r="J839" s="35" t="str">
        <f aca="false">IF(AND(Einstellungen!$B$8="Ja",Einstellungen!$B$9="Effektiv"),$I839,"-")</f>
        <v>-</v>
      </c>
      <c r="K839" s="31" t="n">
        <f aca="false">IF(OR($F839="",$J839="-"),0,ROUND($F839-$F839/(1+$H839),2))</f>
        <v>0</v>
      </c>
      <c r="L839" s="31" t="n">
        <f aca="false">IF($F839="",0,$F839-$K839)</f>
        <v>0</v>
      </c>
      <c r="M839" s="31" t="n">
        <f aca="false">IF($F839="",0,IF($J839="V",$L839,$F839))</f>
        <v>0</v>
      </c>
      <c r="N839" s="31" t="n">
        <f aca="false">IF($F839="",0,IF($J839="U",$L839,$F839))</f>
        <v>0</v>
      </c>
      <c r="O839" s="35" t="str">
        <f aca="false">IF($A839="","",MONTH($A839))</f>
        <v/>
      </c>
      <c r="P839" s="35" t="str">
        <f aca="false">IF($A839="","",ROUNDUP(MONTH($A839)/3,0))</f>
        <v/>
      </c>
      <c r="Q839" s="35" t="str">
        <f aca="false">IF($A839="","",IF(MONTH($A839)&lt;=6,1,2))</f>
        <v/>
      </c>
      <c r="R839" s="35" t="str">
        <f aca="false">IF($E839="","",IFERROR(INDEX(Kontenplan!$F$5:$F$90,MATCH($E839,Kontenplan!$A$5:$A$90,0)),""))</f>
        <v/>
      </c>
      <c r="S839" s="35" t="str">
        <f aca="false">IF($D839="","",IFERROR(INDEX(Kontenplan!$F$5:$F$90,MATCH($D839,Kontenplan!$A$5:$A$90,0)),""))</f>
        <v/>
      </c>
      <c r="T839" s="35" t="str">
        <f aca="false">IF($D839="","",IFERROR(INDEX(Kontenplan!$C$5:$C$90,MATCH($D839,Kontenplan!$A$5:$A$90,0)),"?"))</f>
        <v/>
      </c>
      <c r="U839" s="35" t="str">
        <f aca="false">IF($E839="","",IFERROR(INDEX(Kontenplan!$C$5:$C$90,MATCH($E839,Kontenplan!$A$5:$A$90,0)),"?"))</f>
        <v/>
      </c>
      <c r="V839" s="35" t="str">
        <f aca="false">IF($F839="","",IF(OR($D839="",$E839="",$T839="?",$U839="?"),"Konto prüfen!",IF($A839="","Datum fehlt",IF(YEAR($A839)&lt;&gt;Einstellungen!$B$7,"anderes Jahr!",IF($G839="","MWST-Code fehlt","OK")))))</f>
        <v/>
      </c>
      <c r="W839" s="35" t="str">
        <f aca="false">IF($F839="","",IF(OR($D839=Kontoauszug!$C$4,$E839=Kontoauszug!$C$4),MAX(W$4:W838)+1,""))</f>
        <v/>
      </c>
    </row>
    <row r="840" customFormat="false" ht="15" hidden="false" customHeight="false" outlineLevel="0" collapsed="false">
      <c r="A840" s="33"/>
      <c r="B840" s="32"/>
      <c r="C840" s="32"/>
      <c r="D840" s="32"/>
      <c r="E840" s="32"/>
      <c r="F840" s="30"/>
      <c r="G840" s="32"/>
      <c r="H840" s="34" t="n">
        <f aca="false">IF($G840="",0,IFERROR(INDEX(Einstellungen!$G$5:$G$11,MATCH($G840,Einstellungen!$E$5:$E$11,0)),0))</f>
        <v>0</v>
      </c>
      <c r="I840" s="35" t="str">
        <f aca="false">IF($G840="","-",IFERROR(INDEX(Einstellungen!$H$5:$H$11,MATCH($G840,Einstellungen!$E$5:$E$11,0)),"-"))</f>
        <v>-</v>
      </c>
      <c r="J840" s="35" t="str">
        <f aca="false">IF(AND(Einstellungen!$B$8="Ja",Einstellungen!$B$9="Effektiv"),$I840,"-")</f>
        <v>-</v>
      </c>
      <c r="K840" s="31" t="n">
        <f aca="false">IF(OR($F840="",$J840="-"),0,ROUND($F840-$F840/(1+$H840),2))</f>
        <v>0</v>
      </c>
      <c r="L840" s="31" t="n">
        <f aca="false">IF($F840="",0,$F840-$K840)</f>
        <v>0</v>
      </c>
      <c r="M840" s="31" t="n">
        <f aca="false">IF($F840="",0,IF($J840="V",$L840,$F840))</f>
        <v>0</v>
      </c>
      <c r="N840" s="31" t="n">
        <f aca="false">IF($F840="",0,IF($J840="U",$L840,$F840))</f>
        <v>0</v>
      </c>
      <c r="O840" s="35" t="str">
        <f aca="false">IF($A840="","",MONTH($A840))</f>
        <v/>
      </c>
      <c r="P840" s="35" t="str">
        <f aca="false">IF($A840="","",ROUNDUP(MONTH($A840)/3,0))</f>
        <v/>
      </c>
      <c r="Q840" s="35" t="str">
        <f aca="false">IF($A840="","",IF(MONTH($A840)&lt;=6,1,2))</f>
        <v/>
      </c>
      <c r="R840" s="35" t="str">
        <f aca="false">IF($E840="","",IFERROR(INDEX(Kontenplan!$F$5:$F$90,MATCH($E840,Kontenplan!$A$5:$A$90,0)),""))</f>
        <v/>
      </c>
      <c r="S840" s="35" t="str">
        <f aca="false">IF($D840="","",IFERROR(INDEX(Kontenplan!$F$5:$F$90,MATCH($D840,Kontenplan!$A$5:$A$90,0)),""))</f>
        <v/>
      </c>
      <c r="T840" s="35" t="str">
        <f aca="false">IF($D840="","",IFERROR(INDEX(Kontenplan!$C$5:$C$90,MATCH($D840,Kontenplan!$A$5:$A$90,0)),"?"))</f>
        <v/>
      </c>
      <c r="U840" s="35" t="str">
        <f aca="false">IF($E840="","",IFERROR(INDEX(Kontenplan!$C$5:$C$90,MATCH($E840,Kontenplan!$A$5:$A$90,0)),"?"))</f>
        <v/>
      </c>
      <c r="V840" s="35" t="str">
        <f aca="false">IF($F840="","",IF(OR($D840="",$E840="",$T840="?",$U840="?"),"Konto prüfen!",IF($A840="","Datum fehlt",IF(YEAR($A840)&lt;&gt;Einstellungen!$B$7,"anderes Jahr!",IF($G840="","MWST-Code fehlt","OK")))))</f>
        <v/>
      </c>
      <c r="W840" s="35" t="str">
        <f aca="false">IF($F840="","",IF(OR($D840=Kontoauszug!$C$4,$E840=Kontoauszug!$C$4),MAX(W$4:W839)+1,""))</f>
        <v/>
      </c>
    </row>
    <row r="841" customFormat="false" ht="15" hidden="false" customHeight="false" outlineLevel="0" collapsed="false">
      <c r="A841" s="33"/>
      <c r="B841" s="32"/>
      <c r="C841" s="32"/>
      <c r="D841" s="32"/>
      <c r="E841" s="32"/>
      <c r="F841" s="30"/>
      <c r="G841" s="32"/>
      <c r="H841" s="34" t="n">
        <f aca="false">IF($G841="",0,IFERROR(INDEX(Einstellungen!$G$5:$G$11,MATCH($G841,Einstellungen!$E$5:$E$11,0)),0))</f>
        <v>0</v>
      </c>
      <c r="I841" s="35" t="str">
        <f aca="false">IF($G841="","-",IFERROR(INDEX(Einstellungen!$H$5:$H$11,MATCH($G841,Einstellungen!$E$5:$E$11,0)),"-"))</f>
        <v>-</v>
      </c>
      <c r="J841" s="35" t="str">
        <f aca="false">IF(AND(Einstellungen!$B$8="Ja",Einstellungen!$B$9="Effektiv"),$I841,"-")</f>
        <v>-</v>
      </c>
      <c r="K841" s="31" t="n">
        <f aca="false">IF(OR($F841="",$J841="-"),0,ROUND($F841-$F841/(1+$H841),2))</f>
        <v>0</v>
      </c>
      <c r="L841" s="31" t="n">
        <f aca="false">IF($F841="",0,$F841-$K841)</f>
        <v>0</v>
      </c>
      <c r="M841" s="31" t="n">
        <f aca="false">IF($F841="",0,IF($J841="V",$L841,$F841))</f>
        <v>0</v>
      </c>
      <c r="N841" s="31" t="n">
        <f aca="false">IF($F841="",0,IF($J841="U",$L841,$F841))</f>
        <v>0</v>
      </c>
      <c r="O841" s="35" t="str">
        <f aca="false">IF($A841="","",MONTH($A841))</f>
        <v/>
      </c>
      <c r="P841" s="35" t="str">
        <f aca="false">IF($A841="","",ROUNDUP(MONTH($A841)/3,0))</f>
        <v/>
      </c>
      <c r="Q841" s="35" t="str">
        <f aca="false">IF($A841="","",IF(MONTH($A841)&lt;=6,1,2))</f>
        <v/>
      </c>
      <c r="R841" s="35" t="str">
        <f aca="false">IF($E841="","",IFERROR(INDEX(Kontenplan!$F$5:$F$90,MATCH($E841,Kontenplan!$A$5:$A$90,0)),""))</f>
        <v/>
      </c>
      <c r="S841" s="35" t="str">
        <f aca="false">IF($D841="","",IFERROR(INDEX(Kontenplan!$F$5:$F$90,MATCH($D841,Kontenplan!$A$5:$A$90,0)),""))</f>
        <v/>
      </c>
      <c r="T841" s="35" t="str">
        <f aca="false">IF($D841="","",IFERROR(INDEX(Kontenplan!$C$5:$C$90,MATCH($D841,Kontenplan!$A$5:$A$90,0)),"?"))</f>
        <v/>
      </c>
      <c r="U841" s="35" t="str">
        <f aca="false">IF($E841="","",IFERROR(INDEX(Kontenplan!$C$5:$C$90,MATCH($E841,Kontenplan!$A$5:$A$90,0)),"?"))</f>
        <v/>
      </c>
      <c r="V841" s="35" t="str">
        <f aca="false">IF($F841="","",IF(OR($D841="",$E841="",$T841="?",$U841="?"),"Konto prüfen!",IF($A841="","Datum fehlt",IF(YEAR($A841)&lt;&gt;Einstellungen!$B$7,"anderes Jahr!",IF($G841="","MWST-Code fehlt","OK")))))</f>
        <v/>
      </c>
      <c r="W841" s="35" t="str">
        <f aca="false">IF($F841="","",IF(OR($D841=Kontoauszug!$C$4,$E841=Kontoauszug!$C$4),MAX(W$4:W840)+1,""))</f>
        <v/>
      </c>
    </row>
    <row r="842" customFormat="false" ht="15" hidden="false" customHeight="false" outlineLevel="0" collapsed="false">
      <c r="A842" s="33"/>
      <c r="B842" s="32"/>
      <c r="C842" s="32"/>
      <c r="D842" s="32"/>
      <c r="E842" s="32"/>
      <c r="F842" s="30"/>
      <c r="G842" s="32"/>
      <c r="H842" s="34" t="n">
        <f aca="false">IF($G842="",0,IFERROR(INDEX(Einstellungen!$G$5:$G$11,MATCH($G842,Einstellungen!$E$5:$E$11,0)),0))</f>
        <v>0</v>
      </c>
      <c r="I842" s="35" t="str">
        <f aca="false">IF($G842="","-",IFERROR(INDEX(Einstellungen!$H$5:$H$11,MATCH($G842,Einstellungen!$E$5:$E$11,0)),"-"))</f>
        <v>-</v>
      </c>
      <c r="J842" s="35" t="str">
        <f aca="false">IF(AND(Einstellungen!$B$8="Ja",Einstellungen!$B$9="Effektiv"),$I842,"-")</f>
        <v>-</v>
      </c>
      <c r="K842" s="31" t="n">
        <f aca="false">IF(OR($F842="",$J842="-"),0,ROUND($F842-$F842/(1+$H842),2))</f>
        <v>0</v>
      </c>
      <c r="L842" s="31" t="n">
        <f aca="false">IF($F842="",0,$F842-$K842)</f>
        <v>0</v>
      </c>
      <c r="M842" s="31" t="n">
        <f aca="false">IF($F842="",0,IF($J842="V",$L842,$F842))</f>
        <v>0</v>
      </c>
      <c r="N842" s="31" t="n">
        <f aca="false">IF($F842="",0,IF($J842="U",$L842,$F842))</f>
        <v>0</v>
      </c>
      <c r="O842" s="35" t="str">
        <f aca="false">IF($A842="","",MONTH($A842))</f>
        <v/>
      </c>
      <c r="P842" s="35" t="str">
        <f aca="false">IF($A842="","",ROUNDUP(MONTH($A842)/3,0))</f>
        <v/>
      </c>
      <c r="Q842" s="35" t="str">
        <f aca="false">IF($A842="","",IF(MONTH($A842)&lt;=6,1,2))</f>
        <v/>
      </c>
      <c r="R842" s="35" t="str">
        <f aca="false">IF($E842="","",IFERROR(INDEX(Kontenplan!$F$5:$F$90,MATCH($E842,Kontenplan!$A$5:$A$90,0)),""))</f>
        <v/>
      </c>
      <c r="S842" s="35" t="str">
        <f aca="false">IF($D842="","",IFERROR(INDEX(Kontenplan!$F$5:$F$90,MATCH($D842,Kontenplan!$A$5:$A$90,0)),""))</f>
        <v/>
      </c>
      <c r="T842" s="35" t="str">
        <f aca="false">IF($D842="","",IFERROR(INDEX(Kontenplan!$C$5:$C$90,MATCH($D842,Kontenplan!$A$5:$A$90,0)),"?"))</f>
        <v/>
      </c>
      <c r="U842" s="35" t="str">
        <f aca="false">IF($E842="","",IFERROR(INDEX(Kontenplan!$C$5:$C$90,MATCH($E842,Kontenplan!$A$5:$A$90,0)),"?"))</f>
        <v/>
      </c>
      <c r="V842" s="35" t="str">
        <f aca="false">IF($F842="","",IF(OR($D842="",$E842="",$T842="?",$U842="?"),"Konto prüfen!",IF($A842="","Datum fehlt",IF(YEAR($A842)&lt;&gt;Einstellungen!$B$7,"anderes Jahr!",IF($G842="","MWST-Code fehlt","OK")))))</f>
        <v/>
      </c>
      <c r="W842" s="35" t="str">
        <f aca="false">IF($F842="","",IF(OR($D842=Kontoauszug!$C$4,$E842=Kontoauszug!$C$4),MAX(W$4:W841)+1,""))</f>
        <v/>
      </c>
    </row>
    <row r="843" customFormat="false" ht="15" hidden="false" customHeight="false" outlineLevel="0" collapsed="false">
      <c r="A843" s="33"/>
      <c r="B843" s="32"/>
      <c r="C843" s="32"/>
      <c r="D843" s="32"/>
      <c r="E843" s="32"/>
      <c r="F843" s="30"/>
      <c r="G843" s="32"/>
      <c r="H843" s="34" t="n">
        <f aca="false">IF($G843="",0,IFERROR(INDEX(Einstellungen!$G$5:$G$11,MATCH($G843,Einstellungen!$E$5:$E$11,0)),0))</f>
        <v>0</v>
      </c>
      <c r="I843" s="35" t="str">
        <f aca="false">IF($G843="","-",IFERROR(INDEX(Einstellungen!$H$5:$H$11,MATCH($G843,Einstellungen!$E$5:$E$11,0)),"-"))</f>
        <v>-</v>
      </c>
      <c r="J843" s="35" t="str">
        <f aca="false">IF(AND(Einstellungen!$B$8="Ja",Einstellungen!$B$9="Effektiv"),$I843,"-")</f>
        <v>-</v>
      </c>
      <c r="K843" s="31" t="n">
        <f aca="false">IF(OR($F843="",$J843="-"),0,ROUND($F843-$F843/(1+$H843),2))</f>
        <v>0</v>
      </c>
      <c r="L843" s="31" t="n">
        <f aca="false">IF($F843="",0,$F843-$K843)</f>
        <v>0</v>
      </c>
      <c r="M843" s="31" t="n">
        <f aca="false">IF($F843="",0,IF($J843="V",$L843,$F843))</f>
        <v>0</v>
      </c>
      <c r="N843" s="31" t="n">
        <f aca="false">IF($F843="",0,IF($J843="U",$L843,$F843))</f>
        <v>0</v>
      </c>
      <c r="O843" s="35" t="str">
        <f aca="false">IF($A843="","",MONTH($A843))</f>
        <v/>
      </c>
      <c r="P843" s="35" t="str">
        <f aca="false">IF($A843="","",ROUNDUP(MONTH($A843)/3,0))</f>
        <v/>
      </c>
      <c r="Q843" s="35" t="str">
        <f aca="false">IF($A843="","",IF(MONTH($A843)&lt;=6,1,2))</f>
        <v/>
      </c>
      <c r="R843" s="35" t="str">
        <f aca="false">IF($E843="","",IFERROR(INDEX(Kontenplan!$F$5:$F$90,MATCH($E843,Kontenplan!$A$5:$A$90,0)),""))</f>
        <v/>
      </c>
      <c r="S843" s="35" t="str">
        <f aca="false">IF($D843="","",IFERROR(INDEX(Kontenplan!$F$5:$F$90,MATCH($D843,Kontenplan!$A$5:$A$90,0)),""))</f>
        <v/>
      </c>
      <c r="T843" s="35" t="str">
        <f aca="false">IF($D843="","",IFERROR(INDEX(Kontenplan!$C$5:$C$90,MATCH($D843,Kontenplan!$A$5:$A$90,0)),"?"))</f>
        <v/>
      </c>
      <c r="U843" s="35" t="str">
        <f aca="false">IF($E843="","",IFERROR(INDEX(Kontenplan!$C$5:$C$90,MATCH($E843,Kontenplan!$A$5:$A$90,0)),"?"))</f>
        <v/>
      </c>
      <c r="V843" s="35" t="str">
        <f aca="false">IF($F843="","",IF(OR($D843="",$E843="",$T843="?",$U843="?"),"Konto prüfen!",IF($A843="","Datum fehlt",IF(YEAR($A843)&lt;&gt;Einstellungen!$B$7,"anderes Jahr!",IF($G843="","MWST-Code fehlt","OK")))))</f>
        <v/>
      </c>
      <c r="W843" s="35" t="str">
        <f aca="false">IF($F843="","",IF(OR($D843=Kontoauszug!$C$4,$E843=Kontoauszug!$C$4),MAX(W$4:W842)+1,""))</f>
        <v/>
      </c>
    </row>
    <row r="844" customFormat="false" ht="15" hidden="false" customHeight="false" outlineLevel="0" collapsed="false">
      <c r="A844" s="33"/>
      <c r="B844" s="32"/>
      <c r="C844" s="32"/>
      <c r="D844" s="32"/>
      <c r="E844" s="32"/>
      <c r="F844" s="30"/>
      <c r="G844" s="32"/>
      <c r="H844" s="34" t="n">
        <f aca="false">IF($G844="",0,IFERROR(INDEX(Einstellungen!$G$5:$G$11,MATCH($G844,Einstellungen!$E$5:$E$11,0)),0))</f>
        <v>0</v>
      </c>
      <c r="I844" s="35" t="str">
        <f aca="false">IF($G844="","-",IFERROR(INDEX(Einstellungen!$H$5:$H$11,MATCH($G844,Einstellungen!$E$5:$E$11,0)),"-"))</f>
        <v>-</v>
      </c>
      <c r="J844" s="35" t="str">
        <f aca="false">IF(AND(Einstellungen!$B$8="Ja",Einstellungen!$B$9="Effektiv"),$I844,"-")</f>
        <v>-</v>
      </c>
      <c r="K844" s="31" t="n">
        <f aca="false">IF(OR($F844="",$J844="-"),0,ROUND($F844-$F844/(1+$H844),2))</f>
        <v>0</v>
      </c>
      <c r="L844" s="31" t="n">
        <f aca="false">IF($F844="",0,$F844-$K844)</f>
        <v>0</v>
      </c>
      <c r="M844" s="31" t="n">
        <f aca="false">IF($F844="",0,IF($J844="V",$L844,$F844))</f>
        <v>0</v>
      </c>
      <c r="N844" s="31" t="n">
        <f aca="false">IF($F844="",0,IF($J844="U",$L844,$F844))</f>
        <v>0</v>
      </c>
      <c r="O844" s="35" t="str">
        <f aca="false">IF($A844="","",MONTH($A844))</f>
        <v/>
      </c>
      <c r="P844" s="35" t="str">
        <f aca="false">IF($A844="","",ROUNDUP(MONTH($A844)/3,0))</f>
        <v/>
      </c>
      <c r="Q844" s="35" t="str">
        <f aca="false">IF($A844="","",IF(MONTH($A844)&lt;=6,1,2))</f>
        <v/>
      </c>
      <c r="R844" s="35" t="str">
        <f aca="false">IF($E844="","",IFERROR(INDEX(Kontenplan!$F$5:$F$90,MATCH($E844,Kontenplan!$A$5:$A$90,0)),""))</f>
        <v/>
      </c>
      <c r="S844" s="35" t="str">
        <f aca="false">IF($D844="","",IFERROR(INDEX(Kontenplan!$F$5:$F$90,MATCH($D844,Kontenplan!$A$5:$A$90,0)),""))</f>
        <v/>
      </c>
      <c r="T844" s="35" t="str">
        <f aca="false">IF($D844="","",IFERROR(INDEX(Kontenplan!$C$5:$C$90,MATCH($D844,Kontenplan!$A$5:$A$90,0)),"?"))</f>
        <v/>
      </c>
      <c r="U844" s="35" t="str">
        <f aca="false">IF($E844="","",IFERROR(INDEX(Kontenplan!$C$5:$C$90,MATCH($E844,Kontenplan!$A$5:$A$90,0)),"?"))</f>
        <v/>
      </c>
      <c r="V844" s="35" t="str">
        <f aca="false">IF($F844="","",IF(OR($D844="",$E844="",$T844="?",$U844="?"),"Konto prüfen!",IF($A844="","Datum fehlt",IF(YEAR($A844)&lt;&gt;Einstellungen!$B$7,"anderes Jahr!",IF($G844="","MWST-Code fehlt","OK")))))</f>
        <v/>
      </c>
      <c r="W844" s="35" t="str">
        <f aca="false">IF($F844="","",IF(OR($D844=Kontoauszug!$C$4,$E844=Kontoauszug!$C$4),MAX(W$4:W843)+1,""))</f>
        <v/>
      </c>
    </row>
    <row r="845" customFormat="false" ht="15" hidden="false" customHeight="false" outlineLevel="0" collapsed="false">
      <c r="A845" s="33"/>
      <c r="B845" s="32"/>
      <c r="C845" s="32"/>
      <c r="D845" s="32"/>
      <c r="E845" s="32"/>
      <c r="F845" s="30"/>
      <c r="G845" s="32"/>
      <c r="H845" s="34" t="n">
        <f aca="false">IF($G845="",0,IFERROR(INDEX(Einstellungen!$G$5:$G$11,MATCH($G845,Einstellungen!$E$5:$E$11,0)),0))</f>
        <v>0</v>
      </c>
      <c r="I845" s="35" t="str">
        <f aca="false">IF($G845="","-",IFERROR(INDEX(Einstellungen!$H$5:$H$11,MATCH($G845,Einstellungen!$E$5:$E$11,0)),"-"))</f>
        <v>-</v>
      </c>
      <c r="J845" s="35" t="str">
        <f aca="false">IF(AND(Einstellungen!$B$8="Ja",Einstellungen!$B$9="Effektiv"),$I845,"-")</f>
        <v>-</v>
      </c>
      <c r="K845" s="31" t="n">
        <f aca="false">IF(OR($F845="",$J845="-"),0,ROUND($F845-$F845/(1+$H845),2))</f>
        <v>0</v>
      </c>
      <c r="L845" s="31" t="n">
        <f aca="false">IF($F845="",0,$F845-$K845)</f>
        <v>0</v>
      </c>
      <c r="M845" s="31" t="n">
        <f aca="false">IF($F845="",0,IF($J845="V",$L845,$F845))</f>
        <v>0</v>
      </c>
      <c r="N845" s="31" t="n">
        <f aca="false">IF($F845="",0,IF($J845="U",$L845,$F845))</f>
        <v>0</v>
      </c>
      <c r="O845" s="35" t="str">
        <f aca="false">IF($A845="","",MONTH($A845))</f>
        <v/>
      </c>
      <c r="P845" s="35" t="str">
        <f aca="false">IF($A845="","",ROUNDUP(MONTH($A845)/3,0))</f>
        <v/>
      </c>
      <c r="Q845" s="35" t="str">
        <f aca="false">IF($A845="","",IF(MONTH($A845)&lt;=6,1,2))</f>
        <v/>
      </c>
      <c r="R845" s="35" t="str">
        <f aca="false">IF($E845="","",IFERROR(INDEX(Kontenplan!$F$5:$F$90,MATCH($E845,Kontenplan!$A$5:$A$90,0)),""))</f>
        <v/>
      </c>
      <c r="S845" s="35" t="str">
        <f aca="false">IF($D845="","",IFERROR(INDEX(Kontenplan!$F$5:$F$90,MATCH($D845,Kontenplan!$A$5:$A$90,0)),""))</f>
        <v/>
      </c>
      <c r="T845" s="35" t="str">
        <f aca="false">IF($D845="","",IFERROR(INDEX(Kontenplan!$C$5:$C$90,MATCH($D845,Kontenplan!$A$5:$A$90,0)),"?"))</f>
        <v/>
      </c>
      <c r="U845" s="35" t="str">
        <f aca="false">IF($E845="","",IFERROR(INDEX(Kontenplan!$C$5:$C$90,MATCH($E845,Kontenplan!$A$5:$A$90,0)),"?"))</f>
        <v/>
      </c>
      <c r="V845" s="35" t="str">
        <f aca="false">IF($F845="","",IF(OR($D845="",$E845="",$T845="?",$U845="?"),"Konto prüfen!",IF($A845="","Datum fehlt",IF(YEAR($A845)&lt;&gt;Einstellungen!$B$7,"anderes Jahr!",IF($G845="","MWST-Code fehlt","OK")))))</f>
        <v/>
      </c>
      <c r="W845" s="35" t="str">
        <f aca="false">IF($F845="","",IF(OR($D845=Kontoauszug!$C$4,$E845=Kontoauszug!$C$4),MAX(W$4:W844)+1,""))</f>
        <v/>
      </c>
    </row>
    <row r="846" customFormat="false" ht="15" hidden="false" customHeight="false" outlineLevel="0" collapsed="false">
      <c r="A846" s="33"/>
      <c r="B846" s="32"/>
      <c r="C846" s="32"/>
      <c r="D846" s="32"/>
      <c r="E846" s="32"/>
      <c r="F846" s="30"/>
      <c r="G846" s="32"/>
      <c r="H846" s="34" t="n">
        <f aca="false">IF($G846="",0,IFERROR(INDEX(Einstellungen!$G$5:$G$11,MATCH($G846,Einstellungen!$E$5:$E$11,0)),0))</f>
        <v>0</v>
      </c>
      <c r="I846" s="35" t="str">
        <f aca="false">IF($G846="","-",IFERROR(INDEX(Einstellungen!$H$5:$H$11,MATCH($G846,Einstellungen!$E$5:$E$11,0)),"-"))</f>
        <v>-</v>
      </c>
      <c r="J846" s="35" t="str">
        <f aca="false">IF(AND(Einstellungen!$B$8="Ja",Einstellungen!$B$9="Effektiv"),$I846,"-")</f>
        <v>-</v>
      </c>
      <c r="K846" s="31" t="n">
        <f aca="false">IF(OR($F846="",$J846="-"),0,ROUND($F846-$F846/(1+$H846),2))</f>
        <v>0</v>
      </c>
      <c r="L846" s="31" t="n">
        <f aca="false">IF($F846="",0,$F846-$K846)</f>
        <v>0</v>
      </c>
      <c r="M846" s="31" t="n">
        <f aca="false">IF($F846="",0,IF($J846="V",$L846,$F846))</f>
        <v>0</v>
      </c>
      <c r="N846" s="31" t="n">
        <f aca="false">IF($F846="",0,IF($J846="U",$L846,$F846))</f>
        <v>0</v>
      </c>
      <c r="O846" s="35" t="str">
        <f aca="false">IF($A846="","",MONTH($A846))</f>
        <v/>
      </c>
      <c r="P846" s="35" t="str">
        <f aca="false">IF($A846="","",ROUNDUP(MONTH($A846)/3,0))</f>
        <v/>
      </c>
      <c r="Q846" s="35" t="str">
        <f aca="false">IF($A846="","",IF(MONTH($A846)&lt;=6,1,2))</f>
        <v/>
      </c>
      <c r="R846" s="35" t="str">
        <f aca="false">IF($E846="","",IFERROR(INDEX(Kontenplan!$F$5:$F$90,MATCH($E846,Kontenplan!$A$5:$A$90,0)),""))</f>
        <v/>
      </c>
      <c r="S846" s="35" t="str">
        <f aca="false">IF($D846="","",IFERROR(INDEX(Kontenplan!$F$5:$F$90,MATCH($D846,Kontenplan!$A$5:$A$90,0)),""))</f>
        <v/>
      </c>
      <c r="T846" s="35" t="str">
        <f aca="false">IF($D846="","",IFERROR(INDEX(Kontenplan!$C$5:$C$90,MATCH($D846,Kontenplan!$A$5:$A$90,0)),"?"))</f>
        <v/>
      </c>
      <c r="U846" s="35" t="str">
        <f aca="false">IF($E846="","",IFERROR(INDEX(Kontenplan!$C$5:$C$90,MATCH($E846,Kontenplan!$A$5:$A$90,0)),"?"))</f>
        <v/>
      </c>
      <c r="V846" s="35" t="str">
        <f aca="false">IF($F846="","",IF(OR($D846="",$E846="",$T846="?",$U846="?"),"Konto prüfen!",IF($A846="","Datum fehlt",IF(YEAR($A846)&lt;&gt;Einstellungen!$B$7,"anderes Jahr!",IF($G846="","MWST-Code fehlt","OK")))))</f>
        <v/>
      </c>
      <c r="W846" s="35" t="str">
        <f aca="false">IF($F846="","",IF(OR($D846=Kontoauszug!$C$4,$E846=Kontoauszug!$C$4),MAX(W$4:W845)+1,""))</f>
        <v/>
      </c>
    </row>
    <row r="847" customFormat="false" ht="15" hidden="false" customHeight="false" outlineLevel="0" collapsed="false">
      <c r="A847" s="33"/>
      <c r="B847" s="32"/>
      <c r="C847" s="32"/>
      <c r="D847" s="32"/>
      <c r="E847" s="32"/>
      <c r="F847" s="30"/>
      <c r="G847" s="32"/>
      <c r="H847" s="34" t="n">
        <f aca="false">IF($G847="",0,IFERROR(INDEX(Einstellungen!$G$5:$G$11,MATCH($G847,Einstellungen!$E$5:$E$11,0)),0))</f>
        <v>0</v>
      </c>
      <c r="I847" s="35" t="str">
        <f aca="false">IF($G847="","-",IFERROR(INDEX(Einstellungen!$H$5:$H$11,MATCH($G847,Einstellungen!$E$5:$E$11,0)),"-"))</f>
        <v>-</v>
      </c>
      <c r="J847" s="35" t="str">
        <f aca="false">IF(AND(Einstellungen!$B$8="Ja",Einstellungen!$B$9="Effektiv"),$I847,"-")</f>
        <v>-</v>
      </c>
      <c r="K847" s="31" t="n">
        <f aca="false">IF(OR($F847="",$J847="-"),0,ROUND($F847-$F847/(1+$H847),2))</f>
        <v>0</v>
      </c>
      <c r="L847" s="31" t="n">
        <f aca="false">IF($F847="",0,$F847-$K847)</f>
        <v>0</v>
      </c>
      <c r="M847" s="31" t="n">
        <f aca="false">IF($F847="",0,IF($J847="V",$L847,$F847))</f>
        <v>0</v>
      </c>
      <c r="N847" s="31" t="n">
        <f aca="false">IF($F847="",0,IF($J847="U",$L847,$F847))</f>
        <v>0</v>
      </c>
      <c r="O847" s="35" t="str">
        <f aca="false">IF($A847="","",MONTH($A847))</f>
        <v/>
      </c>
      <c r="P847" s="35" t="str">
        <f aca="false">IF($A847="","",ROUNDUP(MONTH($A847)/3,0))</f>
        <v/>
      </c>
      <c r="Q847" s="35" t="str">
        <f aca="false">IF($A847="","",IF(MONTH($A847)&lt;=6,1,2))</f>
        <v/>
      </c>
      <c r="R847" s="35" t="str">
        <f aca="false">IF($E847="","",IFERROR(INDEX(Kontenplan!$F$5:$F$90,MATCH($E847,Kontenplan!$A$5:$A$90,0)),""))</f>
        <v/>
      </c>
      <c r="S847" s="35" t="str">
        <f aca="false">IF($D847="","",IFERROR(INDEX(Kontenplan!$F$5:$F$90,MATCH($D847,Kontenplan!$A$5:$A$90,0)),""))</f>
        <v/>
      </c>
      <c r="T847" s="35" t="str">
        <f aca="false">IF($D847="","",IFERROR(INDEX(Kontenplan!$C$5:$C$90,MATCH($D847,Kontenplan!$A$5:$A$90,0)),"?"))</f>
        <v/>
      </c>
      <c r="U847" s="35" t="str">
        <f aca="false">IF($E847="","",IFERROR(INDEX(Kontenplan!$C$5:$C$90,MATCH($E847,Kontenplan!$A$5:$A$90,0)),"?"))</f>
        <v/>
      </c>
      <c r="V847" s="35" t="str">
        <f aca="false">IF($F847="","",IF(OR($D847="",$E847="",$T847="?",$U847="?"),"Konto prüfen!",IF($A847="","Datum fehlt",IF(YEAR($A847)&lt;&gt;Einstellungen!$B$7,"anderes Jahr!",IF($G847="","MWST-Code fehlt","OK")))))</f>
        <v/>
      </c>
      <c r="W847" s="35" t="str">
        <f aca="false">IF($F847="","",IF(OR($D847=Kontoauszug!$C$4,$E847=Kontoauszug!$C$4),MAX(W$4:W846)+1,""))</f>
        <v/>
      </c>
    </row>
    <row r="848" customFormat="false" ht="15" hidden="false" customHeight="false" outlineLevel="0" collapsed="false">
      <c r="A848" s="33"/>
      <c r="B848" s="32"/>
      <c r="C848" s="32"/>
      <c r="D848" s="32"/>
      <c r="E848" s="32"/>
      <c r="F848" s="30"/>
      <c r="G848" s="32"/>
      <c r="H848" s="34" t="n">
        <f aca="false">IF($G848="",0,IFERROR(INDEX(Einstellungen!$G$5:$G$11,MATCH($G848,Einstellungen!$E$5:$E$11,0)),0))</f>
        <v>0</v>
      </c>
      <c r="I848" s="35" t="str">
        <f aca="false">IF($G848="","-",IFERROR(INDEX(Einstellungen!$H$5:$H$11,MATCH($G848,Einstellungen!$E$5:$E$11,0)),"-"))</f>
        <v>-</v>
      </c>
      <c r="J848" s="35" t="str">
        <f aca="false">IF(AND(Einstellungen!$B$8="Ja",Einstellungen!$B$9="Effektiv"),$I848,"-")</f>
        <v>-</v>
      </c>
      <c r="K848" s="31" t="n">
        <f aca="false">IF(OR($F848="",$J848="-"),0,ROUND($F848-$F848/(1+$H848),2))</f>
        <v>0</v>
      </c>
      <c r="L848" s="31" t="n">
        <f aca="false">IF($F848="",0,$F848-$K848)</f>
        <v>0</v>
      </c>
      <c r="M848" s="31" t="n">
        <f aca="false">IF($F848="",0,IF($J848="V",$L848,$F848))</f>
        <v>0</v>
      </c>
      <c r="N848" s="31" t="n">
        <f aca="false">IF($F848="",0,IF($J848="U",$L848,$F848))</f>
        <v>0</v>
      </c>
      <c r="O848" s="35" t="str">
        <f aca="false">IF($A848="","",MONTH($A848))</f>
        <v/>
      </c>
      <c r="P848" s="35" t="str">
        <f aca="false">IF($A848="","",ROUNDUP(MONTH($A848)/3,0))</f>
        <v/>
      </c>
      <c r="Q848" s="35" t="str">
        <f aca="false">IF($A848="","",IF(MONTH($A848)&lt;=6,1,2))</f>
        <v/>
      </c>
      <c r="R848" s="35" t="str">
        <f aca="false">IF($E848="","",IFERROR(INDEX(Kontenplan!$F$5:$F$90,MATCH($E848,Kontenplan!$A$5:$A$90,0)),""))</f>
        <v/>
      </c>
      <c r="S848" s="35" t="str">
        <f aca="false">IF($D848="","",IFERROR(INDEX(Kontenplan!$F$5:$F$90,MATCH($D848,Kontenplan!$A$5:$A$90,0)),""))</f>
        <v/>
      </c>
      <c r="T848" s="35" t="str">
        <f aca="false">IF($D848="","",IFERROR(INDEX(Kontenplan!$C$5:$C$90,MATCH($D848,Kontenplan!$A$5:$A$90,0)),"?"))</f>
        <v/>
      </c>
      <c r="U848" s="35" t="str">
        <f aca="false">IF($E848="","",IFERROR(INDEX(Kontenplan!$C$5:$C$90,MATCH($E848,Kontenplan!$A$5:$A$90,0)),"?"))</f>
        <v/>
      </c>
      <c r="V848" s="35" t="str">
        <f aca="false">IF($F848="","",IF(OR($D848="",$E848="",$T848="?",$U848="?"),"Konto prüfen!",IF($A848="","Datum fehlt",IF(YEAR($A848)&lt;&gt;Einstellungen!$B$7,"anderes Jahr!",IF($G848="","MWST-Code fehlt","OK")))))</f>
        <v/>
      </c>
      <c r="W848" s="35" t="str">
        <f aca="false">IF($F848="","",IF(OR($D848=Kontoauszug!$C$4,$E848=Kontoauszug!$C$4),MAX(W$4:W847)+1,""))</f>
        <v/>
      </c>
    </row>
    <row r="849" customFormat="false" ht="15" hidden="false" customHeight="false" outlineLevel="0" collapsed="false">
      <c r="A849" s="33"/>
      <c r="B849" s="32"/>
      <c r="C849" s="32"/>
      <c r="D849" s="32"/>
      <c r="E849" s="32"/>
      <c r="F849" s="30"/>
      <c r="G849" s="32"/>
      <c r="H849" s="34" t="n">
        <f aca="false">IF($G849="",0,IFERROR(INDEX(Einstellungen!$G$5:$G$11,MATCH($G849,Einstellungen!$E$5:$E$11,0)),0))</f>
        <v>0</v>
      </c>
      <c r="I849" s="35" t="str">
        <f aca="false">IF($G849="","-",IFERROR(INDEX(Einstellungen!$H$5:$H$11,MATCH($G849,Einstellungen!$E$5:$E$11,0)),"-"))</f>
        <v>-</v>
      </c>
      <c r="J849" s="35" t="str">
        <f aca="false">IF(AND(Einstellungen!$B$8="Ja",Einstellungen!$B$9="Effektiv"),$I849,"-")</f>
        <v>-</v>
      </c>
      <c r="K849" s="31" t="n">
        <f aca="false">IF(OR($F849="",$J849="-"),0,ROUND($F849-$F849/(1+$H849),2))</f>
        <v>0</v>
      </c>
      <c r="L849" s="31" t="n">
        <f aca="false">IF($F849="",0,$F849-$K849)</f>
        <v>0</v>
      </c>
      <c r="M849" s="31" t="n">
        <f aca="false">IF($F849="",0,IF($J849="V",$L849,$F849))</f>
        <v>0</v>
      </c>
      <c r="N849" s="31" t="n">
        <f aca="false">IF($F849="",0,IF($J849="U",$L849,$F849))</f>
        <v>0</v>
      </c>
      <c r="O849" s="35" t="str">
        <f aca="false">IF($A849="","",MONTH($A849))</f>
        <v/>
      </c>
      <c r="P849" s="35" t="str">
        <f aca="false">IF($A849="","",ROUNDUP(MONTH($A849)/3,0))</f>
        <v/>
      </c>
      <c r="Q849" s="35" t="str">
        <f aca="false">IF($A849="","",IF(MONTH($A849)&lt;=6,1,2))</f>
        <v/>
      </c>
      <c r="R849" s="35" t="str">
        <f aca="false">IF($E849="","",IFERROR(INDEX(Kontenplan!$F$5:$F$90,MATCH($E849,Kontenplan!$A$5:$A$90,0)),""))</f>
        <v/>
      </c>
      <c r="S849" s="35" t="str">
        <f aca="false">IF($D849="","",IFERROR(INDEX(Kontenplan!$F$5:$F$90,MATCH($D849,Kontenplan!$A$5:$A$90,0)),""))</f>
        <v/>
      </c>
      <c r="T849" s="35" t="str">
        <f aca="false">IF($D849="","",IFERROR(INDEX(Kontenplan!$C$5:$C$90,MATCH($D849,Kontenplan!$A$5:$A$90,0)),"?"))</f>
        <v/>
      </c>
      <c r="U849" s="35" t="str">
        <f aca="false">IF($E849="","",IFERROR(INDEX(Kontenplan!$C$5:$C$90,MATCH($E849,Kontenplan!$A$5:$A$90,0)),"?"))</f>
        <v/>
      </c>
      <c r="V849" s="35" t="str">
        <f aca="false">IF($F849="","",IF(OR($D849="",$E849="",$T849="?",$U849="?"),"Konto prüfen!",IF($A849="","Datum fehlt",IF(YEAR($A849)&lt;&gt;Einstellungen!$B$7,"anderes Jahr!",IF($G849="","MWST-Code fehlt","OK")))))</f>
        <v/>
      </c>
      <c r="W849" s="35" t="str">
        <f aca="false">IF($F849="","",IF(OR($D849=Kontoauszug!$C$4,$E849=Kontoauszug!$C$4),MAX(W$4:W848)+1,""))</f>
        <v/>
      </c>
    </row>
    <row r="850" customFormat="false" ht="15" hidden="false" customHeight="false" outlineLevel="0" collapsed="false">
      <c r="A850" s="33"/>
      <c r="B850" s="32"/>
      <c r="C850" s="32"/>
      <c r="D850" s="32"/>
      <c r="E850" s="32"/>
      <c r="F850" s="30"/>
      <c r="G850" s="32"/>
      <c r="H850" s="34" t="n">
        <f aca="false">IF($G850="",0,IFERROR(INDEX(Einstellungen!$G$5:$G$11,MATCH($G850,Einstellungen!$E$5:$E$11,0)),0))</f>
        <v>0</v>
      </c>
      <c r="I850" s="35" t="str">
        <f aca="false">IF($G850="","-",IFERROR(INDEX(Einstellungen!$H$5:$H$11,MATCH($G850,Einstellungen!$E$5:$E$11,0)),"-"))</f>
        <v>-</v>
      </c>
      <c r="J850" s="35" t="str">
        <f aca="false">IF(AND(Einstellungen!$B$8="Ja",Einstellungen!$B$9="Effektiv"),$I850,"-")</f>
        <v>-</v>
      </c>
      <c r="K850" s="31" t="n">
        <f aca="false">IF(OR($F850="",$J850="-"),0,ROUND($F850-$F850/(1+$H850),2))</f>
        <v>0</v>
      </c>
      <c r="L850" s="31" t="n">
        <f aca="false">IF($F850="",0,$F850-$K850)</f>
        <v>0</v>
      </c>
      <c r="M850" s="31" t="n">
        <f aca="false">IF($F850="",0,IF($J850="V",$L850,$F850))</f>
        <v>0</v>
      </c>
      <c r="N850" s="31" t="n">
        <f aca="false">IF($F850="",0,IF($J850="U",$L850,$F850))</f>
        <v>0</v>
      </c>
      <c r="O850" s="35" t="str">
        <f aca="false">IF($A850="","",MONTH($A850))</f>
        <v/>
      </c>
      <c r="P850" s="35" t="str">
        <f aca="false">IF($A850="","",ROUNDUP(MONTH($A850)/3,0))</f>
        <v/>
      </c>
      <c r="Q850" s="35" t="str">
        <f aca="false">IF($A850="","",IF(MONTH($A850)&lt;=6,1,2))</f>
        <v/>
      </c>
      <c r="R850" s="35" t="str">
        <f aca="false">IF($E850="","",IFERROR(INDEX(Kontenplan!$F$5:$F$90,MATCH($E850,Kontenplan!$A$5:$A$90,0)),""))</f>
        <v/>
      </c>
      <c r="S850" s="35" t="str">
        <f aca="false">IF($D850="","",IFERROR(INDEX(Kontenplan!$F$5:$F$90,MATCH($D850,Kontenplan!$A$5:$A$90,0)),""))</f>
        <v/>
      </c>
      <c r="T850" s="35" t="str">
        <f aca="false">IF($D850="","",IFERROR(INDEX(Kontenplan!$C$5:$C$90,MATCH($D850,Kontenplan!$A$5:$A$90,0)),"?"))</f>
        <v/>
      </c>
      <c r="U850" s="35" t="str">
        <f aca="false">IF($E850="","",IFERROR(INDEX(Kontenplan!$C$5:$C$90,MATCH($E850,Kontenplan!$A$5:$A$90,0)),"?"))</f>
        <v/>
      </c>
      <c r="V850" s="35" t="str">
        <f aca="false">IF($F850="","",IF(OR($D850="",$E850="",$T850="?",$U850="?"),"Konto prüfen!",IF($A850="","Datum fehlt",IF(YEAR($A850)&lt;&gt;Einstellungen!$B$7,"anderes Jahr!",IF($G850="","MWST-Code fehlt","OK")))))</f>
        <v/>
      </c>
      <c r="W850" s="35" t="str">
        <f aca="false">IF($F850="","",IF(OR($D850=Kontoauszug!$C$4,$E850=Kontoauszug!$C$4),MAX(W$4:W849)+1,""))</f>
        <v/>
      </c>
    </row>
    <row r="851" customFormat="false" ht="15" hidden="false" customHeight="false" outlineLevel="0" collapsed="false">
      <c r="A851" s="33"/>
      <c r="B851" s="32"/>
      <c r="C851" s="32"/>
      <c r="D851" s="32"/>
      <c r="E851" s="32"/>
      <c r="F851" s="30"/>
      <c r="G851" s="32"/>
      <c r="H851" s="34" t="n">
        <f aca="false">IF($G851="",0,IFERROR(INDEX(Einstellungen!$G$5:$G$11,MATCH($G851,Einstellungen!$E$5:$E$11,0)),0))</f>
        <v>0</v>
      </c>
      <c r="I851" s="35" t="str">
        <f aca="false">IF($G851="","-",IFERROR(INDEX(Einstellungen!$H$5:$H$11,MATCH($G851,Einstellungen!$E$5:$E$11,0)),"-"))</f>
        <v>-</v>
      </c>
      <c r="J851" s="35" t="str">
        <f aca="false">IF(AND(Einstellungen!$B$8="Ja",Einstellungen!$B$9="Effektiv"),$I851,"-")</f>
        <v>-</v>
      </c>
      <c r="K851" s="31" t="n">
        <f aca="false">IF(OR($F851="",$J851="-"),0,ROUND($F851-$F851/(1+$H851),2))</f>
        <v>0</v>
      </c>
      <c r="L851" s="31" t="n">
        <f aca="false">IF($F851="",0,$F851-$K851)</f>
        <v>0</v>
      </c>
      <c r="M851" s="31" t="n">
        <f aca="false">IF($F851="",0,IF($J851="V",$L851,$F851))</f>
        <v>0</v>
      </c>
      <c r="N851" s="31" t="n">
        <f aca="false">IF($F851="",0,IF($J851="U",$L851,$F851))</f>
        <v>0</v>
      </c>
      <c r="O851" s="35" t="str">
        <f aca="false">IF($A851="","",MONTH($A851))</f>
        <v/>
      </c>
      <c r="P851" s="35" t="str">
        <f aca="false">IF($A851="","",ROUNDUP(MONTH($A851)/3,0))</f>
        <v/>
      </c>
      <c r="Q851" s="35" t="str">
        <f aca="false">IF($A851="","",IF(MONTH($A851)&lt;=6,1,2))</f>
        <v/>
      </c>
      <c r="R851" s="35" t="str">
        <f aca="false">IF($E851="","",IFERROR(INDEX(Kontenplan!$F$5:$F$90,MATCH($E851,Kontenplan!$A$5:$A$90,0)),""))</f>
        <v/>
      </c>
      <c r="S851" s="35" t="str">
        <f aca="false">IF($D851="","",IFERROR(INDEX(Kontenplan!$F$5:$F$90,MATCH($D851,Kontenplan!$A$5:$A$90,0)),""))</f>
        <v/>
      </c>
      <c r="T851" s="35" t="str">
        <f aca="false">IF($D851="","",IFERROR(INDEX(Kontenplan!$C$5:$C$90,MATCH($D851,Kontenplan!$A$5:$A$90,0)),"?"))</f>
        <v/>
      </c>
      <c r="U851" s="35" t="str">
        <f aca="false">IF($E851="","",IFERROR(INDEX(Kontenplan!$C$5:$C$90,MATCH($E851,Kontenplan!$A$5:$A$90,0)),"?"))</f>
        <v/>
      </c>
      <c r="V851" s="35" t="str">
        <f aca="false">IF($F851="","",IF(OR($D851="",$E851="",$T851="?",$U851="?"),"Konto prüfen!",IF($A851="","Datum fehlt",IF(YEAR($A851)&lt;&gt;Einstellungen!$B$7,"anderes Jahr!",IF($G851="","MWST-Code fehlt","OK")))))</f>
        <v/>
      </c>
      <c r="W851" s="35" t="str">
        <f aca="false">IF($F851="","",IF(OR($D851=Kontoauszug!$C$4,$E851=Kontoauszug!$C$4),MAX(W$4:W850)+1,""))</f>
        <v/>
      </c>
    </row>
    <row r="852" customFormat="false" ht="15" hidden="false" customHeight="false" outlineLevel="0" collapsed="false">
      <c r="A852" s="33"/>
      <c r="B852" s="32"/>
      <c r="C852" s="32"/>
      <c r="D852" s="32"/>
      <c r="E852" s="32"/>
      <c r="F852" s="30"/>
      <c r="G852" s="32"/>
      <c r="H852" s="34" t="n">
        <f aca="false">IF($G852="",0,IFERROR(INDEX(Einstellungen!$G$5:$G$11,MATCH($G852,Einstellungen!$E$5:$E$11,0)),0))</f>
        <v>0</v>
      </c>
      <c r="I852" s="35" t="str">
        <f aca="false">IF($G852="","-",IFERROR(INDEX(Einstellungen!$H$5:$H$11,MATCH($G852,Einstellungen!$E$5:$E$11,0)),"-"))</f>
        <v>-</v>
      </c>
      <c r="J852" s="35" t="str">
        <f aca="false">IF(AND(Einstellungen!$B$8="Ja",Einstellungen!$B$9="Effektiv"),$I852,"-")</f>
        <v>-</v>
      </c>
      <c r="K852" s="31" t="n">
        <f aca="false">IF(OR($F852="",$J852="-"),0,ROUND($F852-$F852/(1+$H852),2))</f>
        <v>0</v>
      </c>
      <c r="L852" s="31" t="n">
        <f aca="false">IF($F852="",0,$F852-$K852)</f>
        <v>0</v>
      </c>
      <c r="M852" s="31" t="n">
        <f aca="false">IF($F852="",0,IF($J852="V",$L852,$F852))</f>
        <v>0</v>
      </c>
      <c r="N852" s="31" t="n">
        <f aca="false">IF($F852="",0,IF($J852="U",$L852,$F852))</f>
        <v>0</v>
      </c>
      <c r="O852" s="35" t="str">
        <f aca="false">IF($A852="","",MONTH($A852))</f>
        <v/>
      </c>
      <c r="P852" s="35" t="str">
        <f aca="false">IF($A852="","",ROUNDUP(MONTH($A852)/3,0))</f>
        <v/>
      </c>
      <c r="Q852" s="35" t="str">
        <f aca="false">IF($A852="","",IF(MONTH($A852)&lt;=6,1,2))</f>
        <v/>
      </c>
      <c r="R852" s="35" t="str">
        <f aca="false">IF($E852="","",IFERROR(INDEX(Kontenplan!$F$5:$F$90,MATCH($E852,Kontenplan!$A$5:$A$90,0)),""))</f>
        <v/>
      </c>
      <c r="S852" s="35" t="str">
        <f aca="false">IF($D852="","",IFERROR(INDEX(Kontenplan!$F$5:$F$90,MATCH($D852,Kontenplan!$A$5:$A$90,0)),""))</f>
        <v/>
      </c>
      <c r="T852" s="35" t="str">
        <f aca="false">IF($D852="","",IFERROR(INDEX(Kontenplan!$C$5:$C$90,MATCH($D852,Kontenplan!$A$5:$A$90,0)),"?"))</f>
        <v/>
      </c>
      <c r="U852" s="35" t="str">
        <f aca="false">IF($E852="","",IFERROR(INDEX(Kontenplan!$C$5:$C$90,MATCH($E852,Kontenplan!$A$5:$A$90,0)),"?"))</f>
        <v/>
      </c>
      <c r="V852" s="35" t="str">
        <f aca="false">IF($F852="","",IF(OR($D852="",$E852="",$T852="?",$U852="?"),"Konto prüfen!",IF($A852="","Datum fehlt",IF(YEAR($A852)&lt;&gt;Einstellungen!$B$7,"anderes Jahr!",IF($G852="","MWST-Code fehlt","OK")))))</f>
        <v/>
      </c>
      <c r="W852" s="35" t="str">
        <f aca="false">IF($F852="","",IF(OR($D852=Kontoauszug!$C$4,$E852=Kontoauszug!$C$4),MAX(W$4:W851)+1,""))</f>
        <v/>
      </c>
    </row>
    <row r="853" customFormat="false" ht="15" hidden="false" customHeight="false" outlineLevel="0" collapsed="false">
      <c r="A853" s="33"/>
      <c r="B853" s="32"/>
      <c r="C853" s="32"/>
      <c r="D853" s="32"/>
      <c r="E853" s="32"/>
      <c r="F853" s="30"/>
      <c r="G853" s="32"/>
      <c r="H853" s="34" t="n">
        <f aca="false">IF($G853="",0,IFERROR(INDEX(Einstellungen!$G$5:$G$11,MATCH($G853,Einstellungen!$E$5:$E$11,0)),0))</f>
        <v>0</v>
      </c>
      <c r="I853" s="35" t="str">
        <f aca="false">IF($G853="","-",IFERROR(INDEX(Einstellungen!$H$5:$H$11,MATCH($G853,Einstellungen!$E$5:$E$11,0)),"-"))</f>
        <v>-</v>
      </c>
      <c r="J853" s="35" t="str">
        <f aca="false">IF(AND(Einstellungen!$B$8="Ja",Einstellungen!$B$9="Effektiv"),$I853,"-")</f>
        <v>-</v>
      </c>
      <c r="K853" s="31" t="n">
        <f aca="false">IF(OR($F853="",$J853="-"),0,ROUND($F853-$F853/(1+$H853),2))</f>
        <v>0</v>
      </c>
      <c r="L853" s="31" t="n">
        <f aca="false">IF($F853="",0,$F853-$K853)</f>
        <v>0</v>
      </c>
      <c r="M853" s="31" t="n">
        <f aca="false">IF($F853="",0,IF($J853="V",$L853,$F853))</f>
        <v>0</v>
      </c>
      <c r="N853" s="31" t="n">
        <f aca="false">IF($F853="",0,IF($J853="U",$L853,$F853))</f>
        <v>0</v>
      </c>
      <c r="O853" s="35" t="str">
        <f aca="false">IF($A853="","",MONTH($A853))</f>
        <v/>
      </c>
      <c r="P853" s="35" t="str">
        <f aca="false">IF($A853="","",ROUNDUP(MONTH($A853)/3,0))</f>
        <v/>
      </c>
      <c r="Q853" s="35" t="str">
        <f aca="false">IF($A853="","",IF(MONTH($A853)&lt;=6,1,2))</f>
        <v/>
      </c>
      <c r="R853" s="35" t="str">
        <f aca="false">IF($E853="","",IFERROR(INDEX(Kontenplan!$F$5:$F$90,MATCH($E853,Kontenplan!$A$5:$A$90,0)),""))</f>
        <v/>
      </c>
      <c r="S853" s="35" t="str">
        <f aca="false">IF($D853="","",IFERROR(INDEX(Kontenplan!$F$5:$F$90,MATCH($D853,Kontenplan!$A$5:$A$90,0)),""))</f>
        <v/>
      </c>
      <c r="T853" s="35" t="str">
        <f aca="false">IF($D853="","",IFERROR(INDEX(Kontenplan!$C$5:$C$90,MATCH($D853,Kontenplan!$A$5:$A$90,0)),"?"))</f>
        <v/>
      </c>
      <c r="U853" s="35" t="str">
        <f aca="false">IF($E853="","",IFERROR(INDEX(Kontenplan!$C$5:$C$90,MATCH($E853,Kontenplan!$A$5:$A$90,0)),"?"))</f>
        <v/>
      </c>
      <c r="V853" s="35" t="str">
        <f aca="false">IF($F853="","",IF(OR($D853="",$E853="",$T853="?",$U853="?"),"Konto prüfen!",IF($A853="","Datum fehlt",IF(YEAR($A853)&lt;&gt;Einstellungen!$B$7,"anderes Jahr!",IF($G853="","MWST-Code fehlt","OK")))))</f>
        <v/>
      </c>
      <c r="W853" s="35" t="str">
        <f aca="false">IF($F853="","",IF(OR($D853=Kontoauszug!$C$4,$E853=Kontoauszug!$C$4),MAX(W$4:W852)+1,""))</f>
        <v/>
      </c>
    </row>
    <row r="854" customFormat="false" ht="15" hidden="false" customHeight="false" outlineLevel="0" collapsed="false">
      <c r="A854" s="33"/>
      <c r="B854" s="32"/>
      <c r="C854" s="32"/>
      <c r="D854" s="32"/>
      <c r="E854" s="32"/>
      <c r="F854" s="30"/>
      <c r="G854" s="32"/>
      <c r="H854" s="34" t="n">
        <f aca="false">IF($G854="",0,IFERROR(INDEX(Einstellungen!$G$5:$G$11,MATCH($G854,Einstellungen!$E$5:$E$11,0)),0))</f>
        <v>0</v>
      </c>
      <c r="I854" s="35" t="str">
        <f aca="false">IF($G854="","-",IFERROR(INDEX(Einstellungen!$H$5:$H$11,MATCH($G854,Einstellungen!$E$5:$E$11,0)),"-"))</f>
        <v>-</v>
      </c>
      <c r="J854" s="35" t="str">
        <f aca="false">IF(AND(Einstellungen!$B$8="Ja",Einstellungen!$B$9="Effektiv"),$I854,"-")</f>
        <v>-</v>
      </c>
      <c r="K854" s="31" t="n">
        <f aca="false">IF(OR($F854="",$J854="-"),0,ROUND($F854-$F854/(1+$H854),2))</f>
        <v>0</v>
      </c>
      <c r="L854" s="31" t="n">
        <f aca="false">IF($F854="",0,$F854-$K854)</f>
        <v>0</v>
      </c>
      <c r="M854" s="31" t="n">
        <f aca="false">IF($F854="",0,IF($J854="V",$L854,$F854))</f>
        <v>0</v>
      </c>
      <c r="N854" s="31" t="n">
        <f aca="false">IF($F854="",0,IF($J854="U",$L854,$F854))</f>
        <v>0</v>
      </c>
      <c r="O854" s="35" t="str">
        <f aca="false">IF($A854="","",MONTH($A854))</f>
        <v/>
      </c>
      <c r="P854" s="35" t="str">
        <f aca="false">IF($A854="","",ROUNDUP(MONTH($A854)/3,0))</f>
        <v/>
      </c>
      <c r="Q854" s="35" t="str">
        <f aca="false">IF($A854="","",IF(MONTH($A854)&lt;=6,1,2))</f>
        <v/>
      </c>
      <c r="R854" s="35" t="str">
        <f aca="false">IF($E854="","",IFERROR(INDEX(Kontenplan!$F$5:$F$90,MATCH($E854,Kontenplan!$A$5:$A$90,0)),""))</f>
        <v/>
      </c>
      <c r="S854" s="35" t="str">
        <f aca="false">IF($D854="","",IFERROR(INDEX(Kontenplan!$F$5:$F$90,MATCH($D854,Kontenplan!$A$5:$A$90,0)),""))</f>
        <v/>
      </c>
      <c r="T854" s="35" t="str">
        <f aca="false">IF($D854="","",IFERROR(INDEX(Kontenplan!$C$5:$C$90,MATCH($D854,Kontenplan!$A$5:$A$90,0)),"?"))</f>
        <v/>
      </c>
      <c r="U854" s="35" t="str">
        <f aca="false">IF($E854="","",IFERROR(INDEX(Kontenplan!$C$5:$C$90,MATCH($E854,Kontenplan!$A$5:$A$90,0)),"?"))</f>
        <v/>
      </c>
      <c r="V854" s="35" t="str">
        <f aca="false">IF($F854="","",IF(OR($D854="",$E854="",$T854="?",$U854="?"),"Konto prüfen!",IF($A854="","Datum fehlt",IF(YEAR($A854)&lt;&gt;Einstellungen!$B$7,"anderes Jahr!",IF($G854="","MWST-Code fehlt","OK")))))</f>
        <v/>
      </c>
      <c r="W854" s="35" t="str">
        <f aca="false">IF($F854="","",IF(OR($D854=Kontoauszug!$C$4,$E854=Kontoauszug!$C$4),MAX(W$4:W853)+1,""))</f>
        <v/>
      </c>
    </row>
    <row r="855" customFormat="false" ht="15" hidden="false" customHeight="false" outlineLevel="0" collapsed="false">
      <c r="A855" s="33"/>
      <c r="B855" s="32"/>
      <c r="C855" s="32"/>
      <c r="D855" s="32"/>
      <c r="E855" s="32"/>
      <c r="F855" s="30"/>
      <c r="G855" s="32"/>
      <c r="H855" s="34" t="n">
        <f aca="false">IF($G855="",0,IFERROR(INDEX(Einstellungen!$G$5:$G$11,MATCH($G855,Einstellungen!$E$5:$E$11,0)),0))</f>
        <v>0</v>
      </c>
      <c r="I855" s="35" t="str">
        <f aca="false">IF($G855="","-",IFERROR(INDEX(Einstellungen!$H$5:$H$11,MATCH($G855,Einstellungen!$E$5:$E$11,0)),"-"))</f>
        <v>-</v>
      </c>
      <c r="J855" s="35" t="str">
        <f aca="false">IF(AND(Einstellungen!$B$8="Ja",Einstellungen!$B$9="Effektiv"),$I855,"-")</f>
        <v>-</v>
      </c>
      <c r="K855" s="31" t="n">
        <f aca="false">IF(OR($F855="",$J855="-"),0,ROUND($F855-$F855/(1+$H855),2))</f>
        <v>0</v>
      </c>
      <c r="L855" s="31" t="n">
        <f aca="false">IF($F855="",0,$F855-$K855)</f>
        <v>0</v>
      </c>
      <c r="M855" s="31" t="n">
        <f aca="false">IF($F855="",0,IF($J855="V",$L855,$F855))</f>
        <v>0</v>
      </c>
      <c r="N855" s="31" t="n">
        <f aca="false">IF($F855="",0,IF($J855="U",$L855,$F855))</f>
        <v>0</v>
      </c>
      <c r="O855" s="35" t="str">
        <f aca="false">IF($A855="","",MONTH($A855))</f>
        <v/>
      </c>
      <c r="P855" s="35" t="str">
        <f aca="false">IF($A855="","",ROUNDUP(MONTH($A855)/3,0))</f>
        <v/>
      </c>
      <c r="Q855" s="35" t="str">
        <f aca="false">IF($A855="","",IF(MONTH($A855)&lt;=6,1,2))</f>
        <v/>
      </c>
      <c r="R855" s="35" t="str">
        <f aca="false">IF($E855="","",IFERROR(INDEX(Kontenplan!$F$5:$F$90,MATCH($E855,Kontenplan!$A$5:$A$90,0)),""))</f>
        <v/>
      </c>
      <c r="S855" s="35" t="str">
        <f aca="false">IF($D855="","",IFERROR(INDEX(Kontenplan!$F$5:$F$90,MATCH($D855,Kontenplan!$A$5:$A$90,0)),""))</f>
        <v/>
      </c>
      <c r="T855" s="35" t="str">
        <f aca="false">IF($D855="","",IFERROR(INDEX(Kontenplan!$C$5:$C$90,MATCH($D855,Kontenplan!$A$5:$A$90,0)),"?"))</f>
        <v/>
      </c>
      <c r="U855" s="35" t="str">
        <f aca="false">IF($E855="","",IFERROR(INDEX(Kontenplan!$C$5:$C$90,MATCH($E855,Kontenplan!$A$5:$A$90,0)),"?"))</f>
        <v/>
      </c>
      <c r="V855" s="35" t="str">
        <f aca="false">IF($F855="","",IF(OR($D855="",$E855="",$T855="?",$U855="?"),"Konto prüfen!",IF($A855="","Datum fehlt",IF(YEAR($A855)&lt;&gt;Einstellungen!$B$7,"anderes Jahr!",IF($G855="","MWST-Code fehlt","OK")))))</f>
        <v/>
      </c>
      <c r="W855" s="35" t="str">
        <f aca="false">IF($F855="","",IF(OR($D855=Kontoauszug!$C$4,$E855=Kontoauszug!$C$4),MAX(W$4:W854)+1,""))</f>
        <v/>
      </c>
    </row>
    <row r="856" customFormat="false" ht="15" hidden="false" customHeight="false" outlineLevel="0" collapsed="false">
      <c r="A856" s="33"/>
      <c r="B856" s="32"/>
      <c r="C856" s="32"/>
      <c r="D856" s="32"/>
      <c r="E856" s="32"/>
      <c r="F856" s="30"/>
      <c r="G856" s="32"/>
      <c r="H856" s="34" t="n">
        <f aca="false">IF($G856="",0,IFERROR(INDEX(Einstellungen!$G$5:$G$11,MATCH($G856,Einstellungen!$E$5:$E$11,0)),0))</f>
        <v>0</v>
      </c>
      <c r="I856" s="35" t="str">
        <f aca="false">IF($G856="","-",IFERROR(INDEX(Einstellungen!$H$5:$H$11,MATCH($G856,Einstellungen!$E$5:$E$11,0)),"-"))</f>
        <v>-</v>
      </c>
      <c r="J856" s="35" t="str">
        <f aca="false">IF(AND(Einstellungen!$B$8="Ja",Einstellungen!$B$9="Effektiv"),$I856,"-")</f>
        <v>-</v>
      </c>
      <c r="K856" s="31" t="n">
        <f aca="false">IF(OR($F856="",$J856="-"),0,ROUND($F856-$F856/(1+$H856),2))</f>
        <v>0</v>
      </c>
      <c r="L856" s="31" t="n">
        <f aca="false">IF($F856="",0,$F856-$K856)</f>
        <v>0</v>
      </c>
      <c r="M856" s="31" t="n">
        <f aca="false">IF($F856="",0,IF($J856="V",$L856,$F856))</f>
        <v>0</v>
      </c>
      <c r="N856" s="31" t="n">
        <f aca="false">IF($F856="",0,IF($J856="U",$L856,$F856))</f>
        <v>0</v>
      </c>
      <c r="O856" s="35" t="str">
        <f aca="false">IF($A856="","",MONTH($A856))</f>
        <v/>
      </c>
      <c r="P856" s="35" t="str">
        <f aca="false">IF($A856="","",ROUNDUP(MONTH($A856)/3,0))</f>
        <v/>
      </c>
      <c r="Q856" s="35" t="str">
        <f aca="false">IF($A856="","",IF(MONTH($A856)&lt;=6,1,2))</f>
        <v/>
      </c>
      <c r="R856" s="35" t="str">
        <f aca="false">IF($E856="","",IFERROR(INDEX(Kontenplan!$F$5:$F$90,MATCH($E856,Kontenplan!$A$5:$A$90,0)),""))</f>
        <v/>
      </c>
      <c r="S856" s="35" t="str">
        <f aca="false">IF($D856="","",IFERROR(INDEX(Kontenplan!$F$5:$F$90,MATCH($D856,Kontenplan!$A$5:$A$90,0)),""))</f>
        <v/>
      </c>
      <c r="T856" s="35" t="str">
        <f aca="false">IF($D856="","",IFERROR(INDEX(Kontenplan!$C$5:$C$90,MATCH($D856,Kontenplan!$A$5:$A$90,0)),"?"))</f>
        <v/>
      </c>
      <c r="U856" s="35" t="str">
        <f aca="false">IF($E856="","",IFERROR(INDEX(Kontenplan!$C$5:$C$90,MATCH($E856,Kontenplan!$A$5:$A$90,0)),"?"))</f>
        <v/>
      </c>
      <c r="V856" s="35" t="str">
        <f aca="false">IF($F856="","",IF(OR($D856="",$E856="",$T856="?",$U856="?"),"Konto prüfen!",IF($A856="","Datum fehlt",IF(YEAR($A856)&lt;&gt;Einstellungen!$B$7,"anderes Jahr!",IF($G856="","MWST-Code fehlt","OK")))))</f>
        <v/>
      </c>
      <c r="W856" s="35" t="str">
        <f aca="false">IF($F856="","",IF(OR($D856=Kontoauszug!$C$4,$E856=Kontoauszug!$C$4),MAX(W$4:W855)+1,""))</f>
        <v/>
      </c>
    </row>
    <row r="857" customFormat="false" ht="15" hidden="false" customHeight="false" outlineLevel="0" collapsed="false">
      <c r="A857" s="33"/>
      <c r="B857" s="32"/>
      <c r="C857" s="32"/>
      <c r="D857" s="32"/>
      <c r="E857" s="32"/>
      <c r="F857" s="30"/>
      <c r="G857" s="32"/>
      <c r="H857" s="34" t="n">
        <f aca="false">IF($G857="",0,IFERROR(INDEX(Einstellungen!$G$5:$G$11,MATCH($G857,Einstellungen!$E$5:$E$11,0)),0))</f>
        <v>0</v>
      </c>
      <c r="I857" s="35" t="str">
        <f aca="false">IF($G857="","-",IFERROR(INDEX(Einstellungen!$H$5:$H$11,MATCH($G857,Einstellungen!$E$5:$E$11,0)),"-"))</f>
        <v>-</v>
      </c>
      <c r="J857" s="35" t="str">
        <f aca="false">IF(AND(Einstellungen!$B$8="Ja",Einstellungen!$B$9="Effektiv"),$I857,"-")</f>
        <v>-</v>
      </c>
      <c r="K857" s="31" t="n">
        <f aca="false">IF(OR($F857="",$J857="-"),0,ROUND($F857-$F857/(1+$H857),2))</f>
        <v>0</v>
      </c>
      <c r="L857" s="31" t="n">
        <f aca="false">IF($F857="",0,$F857-$K857)</f>
        <v>0</v>
      </c>
      <c r="M857" s="31" t="n">
        <f aca="false">IF($F857="",0,IF($J857="V",$L857,$F857))</f>
        <v>0</v>
      </c>
      <c r="N857" s="31" t="n">
        <f aca="false">IF($F857="",0,IF($J857="U",$L857,$F857))</f>
        <v>0</v>
      </c>
      <c r="O857" s="35" t="str">
        <f aca="false">IF($A857="","",MONTH($A857))</f>
        <v/>
      </c>
      <c r="P857" s="35" t="str">
        <f aca="false">IF($A857="","",ROUNDUP(MONTH($A857)/3,0))</f>
        <v/>
      </c>
      <c r="Q857" s="35" t="str">
        <f aca="false">IF($A857="","",IF(MONTH($A857)&lt;=6,1,2))</f>
        <v/>
      </c>
      <c r="R857" s="35" t="str">
        <f aca="false">IF($E857="","",IFERROR(INDEX(Kontenplan!$F$5:$F$90,MATCH($E857,Kontenplan!$A$5:$A$90,0)),""))</f>
        <v/>
      </c>
      <c r="S857" s="35" t="str">
        <f aca="false">IF($D857="","",IFERROR(INDEX(Kontenplan!$F$5:$F$90,MATCH($D857,Kontenplan!$A$5:$A$90,0)),""))</f>
        <v/>
      </c>
      <c r="T857" s="35" t="str">
        <f aca="false">IF($D857="","",IFERROR(INDEX(Kontenplan!$C$5:$C$90,MATCH($D857,Kontenplan!$A$5:$A$90,0)),"?"))</f>
        <v/>
      </c>
      <c r="U857" s="35" t="str">
        <f aca="false">IF($E857="","",IFERROR(INDEX(Kontenplan!$C$5:$C$90,MATCH($E857,Kontenplan!$A$5:$A$90,0)),"?"))</f>
        <v/>
      </c>
      <c r="V857" s="35" t="str">
        <f aca="false">IF($F857="","",IF(OR($D857="",$E857="",$T857="?",$U857="?"),"Konto prüfen!",IF($A857="","Datum fehlt",IF(YEAR($A857)&lt;&gt;Einstellungen!$B$7,"anderes Jahr!",IF($G857="","MWST-Code fehlt","OK")))))</f>
        <v/>
      </c>
      <c r="W857" s="35" t="str">
        <f aca="false">IF($F857="","",IF(OR($D857=Kontoauszug!$C$4,$E857=Kontoauszug!$C$4),MAX(W$4:W856)+1,""))</f>
        <v/>
      </c>
    </row>
    <row r="858" customFormat="false" ht="15" hidden="false" customHeight="false" outlineLevel="0" collapsed="false">
      <c r="A858" s="33"/>
      <c r="B858" s="32"/>
      <c r="C858" s="32"/>
      <c r="D858" s="32"/>
      <c r="E858" s="32"/>
      <c r="F858" s="30"/>
      <c r="G858" s="32"/>
      <c r="H858" s="34" t="n">
        <f aca="false">IF($G858="",0,IFERROR(INDEX(Einstellungen!$G$5:$G$11,MATCH($G858,Einstellungen!$E$5:$E$11,0)),0))</f>
        <v>0</v>
      </c>
      <c r="I858" s="35" t="str">
        <f aca="false">IF($G858="","-",IFERROR(INDEX(Einstellungen!$H$5:$H$11,MATCH($G858,Einstellungen!$E$5:$E$11,0)),"-"))</f>
        <v>-</v>
      </c>
      <c r="J858" s="35" t="str">
        <f aca="false">IF(AND(Einstellungen!$B$8="Ja",Einstellungen!$B$9="Effektiv"),$I858,"-")</f>
        <v>-</v>
      </c>
      <c r="K858" s="31" t="n">
        <f aca="false">IF(OR($F858="",$J858="-"),0,ROUND($F858-$F858/(1+$H858),2))</f>
        <v>0</v>
      </c>
      <c r="L858" s="31" t="n">
        <f aca="false">IF($F858="",0,$F858-$K858)</f>
        <v>0</v>
      </c>
      <c r="M858" s="31" t="n">
        <f aca="false">IF($F858="",0,IF($J858="V",$L858,$F858))</f>
        <v>0</v>
      </c>
      <c r="N858" s="31" t="n">
        <f aca="false">IF($F858="",0,IF($J858="U",$L858,$F858))</f>
        <v>0</v>
      </c>
      <c r="O858" s="35" t="str">
        <f aca="false">IF($A858="","",MONTH($A858))</f>
        <v/>
      </c>
      <c r="P858" s="35" t="str">
        <f aca="false">IF($A858="","",ROUNDUP(MONTH($A858)/3,0))</f>
        <v/>
      </c>
      <c r="Q858" s="35" t="str">
        <f aca="false">IF($A858="","",IF(MONTH($A858)&lt;=6,1,2))</f>
        <v/>
      </c>
      <c r="R858" s="35" t="str">
        <f aca="false">IF($E858="","",IFERROR(INDEX(Kontenplan!$F$5:$F$90,MATCH($E858,Kontenplan!$A$5:$A$90,0)),""))</f>
        <v/>
      </c>
      <c r="S858" s="35" t="str">
        <f aca="false">IF($D858="","",IFERROR(INDEX(Kontenplan!$F$5:$F$90,MATCH($D858,Kontenplan!$A$5:$A$90,0)),""))</f>
        <v/>
      </c>
      <c r="T858" s="35" t="str">
        <f aca="false">IF($D858="","",IFERROR(INDEX(Kontenplan!$C$5:$C$90,MATCH($D858,Kontenplan!$A$5:$A$90,0)),"?"))</f>
        <v/>
      </c>
      <c r="U858" s="35" t="str">
        <f aca="false">IF($E858="","",IFERROR(INDEX(Kontenplan!$C$5:$C$90,MATCH($E858,Kontenplan!$A$5:$A$90,0)),"?"))</f>
        <v/>
      </c>
      <c r="V858" s="35" t="str">
        <f aca="false">IF($F858="","",IF(OR($D858="",$E858="",$T858="?",$U858="?"),"Konto prüfen!",IF($A858="","Datum fehlt",IF(YEAR($A858)&lt;&gt;Einstellungen!$B$7,"anderes Jahr!",IF($G858="","MWST-Code fehlt","OK")))))</f>
        <v/>
      </c>
      <c r="W858" s="35" t="str">
        <f aca="false">IF($F858="","",IF(OR($D858=Kontoauszug!$C$4,$E858=Kontoauszug!$C$4),MAX(W$4:W857)+1,""))</f>
        <v/>
      </c>
    </row>
    <row r="859" customFormat="false" ht="15" hidden="false" customHeight="false" outlineLevel="0" collapsed="false">
      <c r="A859" s="33"/>
      <c r="B859" s="32"/>
      <c r="C859" s="32"/>
      <c r="D859" s="32"/>
      <c r="E859" s="32"/>
      <c r="F859" s="30"/>
      <c r="G859" s="32"/>
      <c r="H859" s="34" t="n">
        <f aca="false">IF($G859="",0,IFERROR(INDEX(Einstellungen!$G$5:$G$11,MATCH($G859,Einstellungen!$E$5:$E$11,0)),0))</f>
        <v>0</v>
      </c>
      <c r="I859" s="35" t="str">
        <f aca="false">IF($G859="","-",IFERROR(INDEX(Einstellungen!$H$5:$H$11,MATCH($G859,Einstellungen!$E$5:$E$11,0)),"-"))</f>
        <v>-</v>
      </c>
      <c r="J859" s="35" t="str">
        <f aca="false">IF(AND(Einstellungen!$B$8="Ja",Einstellungen!$B$9="Effektiv"),$I859,"-")</f>
        <v>-</v>
      </c>
      <c r="K859" s="31" t="n">
        <f aca="false">IF(OR($F859="",$J859="-"),0,ROUND($F859-$F859/(1+$H859),2))</f>
        <v>0</v>
      </c>
      <c r="L859" s="31" t="n">
        <f aca="false">IF($F859="",0,$F859-$K859)</f>
        <v>0</v>
      </c>
      <c r="M859" s="31" t="n">
        <f aca="false">IF($F859="",0,IF($J859="V",$L859,$F859))</f>
        <v>0</v>
      </c>
      <c r="N859" s="31" t="n">
        <f aca="false">IF($F859="",0,IF($J859="U",$L859,$F859))</f>
        <v>0</v>
      </c>
      <c r="O859" s="35" t="str">
        <f aca="false">IF($A859="","",MONTH($A859))</f>
        <v/>
      </c>
      <c r="P859" s="35" t="str">
        <f aca="false">IF($A859="","",ROUNDUP(MONTH($A859)/3,0))</f>
        <v/>
      </c>
      <c r="Q859" s="35" t="str">
        <f aca="false">IF($A859="","",IF(MONTH($A859)&lt;=6,1,2))</f>
        <v/>
      </c>
      <c r="R859" s="35" t="str">
        <f aca="false">IF($E859="","",IFERROR(INDEX(Kontenplan!$F$5:$F$90,MATCH($E859,Kontenplan!$A$5:$A$90,0)),""))</f>
        <v/>
      </c>
      <c r="S859" s="35" t="str">
        <f aca="false">IF($D859="","",IFERROR(INDEX(Kontenplan!$F$5:$F$90,MATCH($D859,Kontenplan!$A$5:$A$90,0)),""))</f>
        <v/>
      </c>
      <c r="T859" s="35" t="str">
        <f aca="false">IF($D859="","",IFERROR(INDEX(Kontenplan!$C$5:$C$90,MATCH($D859,Kontenplan!$A$5:$A$90,0)),"?"))</f>
        <v/>
      </c>
      <c r="U859" s="35" t="str">
        <f aca="false">IF($E859="","",IFERROR(INDEX(Kontenplan!$C$5:$C$90,MATCH($E859,Kontenplan!$A$5:$A$90,0)),"?"))</f>
        <v/>
      </c>
      <c r="V859" s="35" t="str">
        <f aca="false">IF($F859="","",IF(OR($D859="",$E859="",$T859="?",$U859="?"),"Konto prüfen!",IF($A859="","Datum fehlt",IF(YEAR($A859)&lt;&gt;Einstellungen!$B$7,"anderes Jahr!",IF($G859="","MWST-Code fehlt","OK")))))</f>
        <v/>
      </c>
      <c r="W859" s="35" t="str">
        <f aca="false">IF($F859="","",IF(OR($D859=Kontoauszug!$C$4,$E859=Kontoauszug!$C$4),MAX(W$4:W858)+1,""))</f>
        <v/>
      </c>
    </row>
    <row r="860" customFormat="false" ht="15" hidden="false" customHeight="false" outlineLevel="0" collapsed="false">
      <c r="A860" s="33"/>
      <c r="B860" s="32"/>
      <c r="C860" s="32"/>
      <c r="D860" s="32"/>
      <c r="E860" s="32"/>
      <c r="F860" s="30"/>
      <c r="G860" s="32"/>
      <c r="H860" s="34" t="n">
        <f aca="false">IF($G860="",0,IFERROR(INDEX(Einstellungen!$G$5:$G$11,MATCH($G860,Einstellungen!$E$5:$E$11,0)),0))</f>
        <v>0</v>
      </c>
      <c r="I860" s="35" t="str">
        <f aca="false">IF($G860="","-",IFERROR(INDEX(Einstellungen!$H$5:$H$11,MATCH($G860,Einstellungen!$E$5:$E$11,0)),"-"))</f>
        <v>-</v>
      </c>
      <c r="J860" s="35" t="str">
        <f aca="false">IF(AND(Einstellungen!$B$8="Ja",Einstellungen!$B$9="Effektiv"),$I860,"-")</f>
        <v>-</v>
      </c>
      <c r="K860" s="31" t="n">
        <f aca="false">IF(OR($F860="",$J860="-"),0,ROUND($F860-$F860/(1+$H860),2))</f>
        <v>0</v>
      </c>
      <c r="L860" s="31" t="n">
        <f aca="false">IF($F860="",0,$F860-$K860)</f>
        <v>0</v>
      </c>
      <c r="M860" s="31" t="n">
        <f aca="false">IF($F860="",0,IF($J860="V",$L860,$F860))</f>
        <v>0</v>
      </c>
      <c r="N860" s="31" t="n">
        <f aca="false">IF($F860="",0,IF($J860="U",$L860,$F860))</f>
        <v>0</v>
      </c>
      <c r="O860" s="35" t="str">
        <f aca="false">IF($A860="","",MONTH($A860))</f>
        <v/>
      </c>
      <c r="P860" s="35" t="str">
        <f aca="false">IF($A860="","",ROUNDUP(MONTH($A860)/3,0))</f>
        <v/>
      </c>
      <c r="Q860" s="35" t="str">
        <f aca="false">IF($A860="","",IF(MONTH($A860)&lt;=6,1,2))</f>
        <v/>
      </c>
      <c r="R860" s="35" t="str">
        <f aca="false">IF($E860="","",IFERROR(INDEX(Kontenplan!$F$5:$F$90,MATCH($E860,Kontenplan!$A$5:$A$90,0)),""))</f>
        <v/>
      </c>
      <c r="S860" s="35" t="str">
        <f aca="false">IF($D860="","",IFERROR(INDEX(Kontenplan!$F$5:$F$90,MATCH($D860,Kontenplan!$A$5:$A$90,0)),""))</f>
        <v/>
      </c>
      <c r="T860" s="35" t="str">
        <f aca="false">IF($D860="","",IFERROR(INDEX(Kontenplan!$C$5:$C$90,MATCH($D860,Kontenplan!$A$5:$A$90,0)),"?"))</f>
        <v/>
      </c>
      <c r="U860" s="35" t="str">
        <f aca="false">IF($E860="","",IFERROR(INDEX(Kontenplan!$C$5:$C$90,MATCH($E860,Kontenplan!$A$5:$A$90,0)),"?"))</f>
        <v/>
      </c>
      <c r="V860" s="35" t="str">
        <f aca="false">IF($F860="","",IF(OR($D860="",$E860="",$T860="?",$U860="?"),"Konto prüfen!",IF($A860="","Datum fehlt",IF(YEAR($A860)&lt;&gt;Einstellungen!$B$7,"anderes Jahr!",IF($G860="","MWST-Code fehlt","OK")))))</f>
        <v/>
      </c>
      <c r="W860" s="35" t="str">
        <f aca="false">IF($F860="","",IF(OR($D860=Kontoauszug!$C$4,$E860=Kontoauszug!$C$4),MAX(W$4:W859)+1,""))</f>
        <v/>
      </c>
    </row>
    <row r="861" customFormat="false" ht="15" hidden="false" customHeight="false" outlineLevel="0" collapsed="false">
      <c r="A861" s="33"/>
      <c r="B861" s="32"/>
      <c r="C861" s="32"/>
      <c r="D861" s="32"/>
      <c r="E861" s="32"/>
      <c r="F861" s="30"/>
      <c r="G861" s="32"/>
      <c r="H861" s="34" t="n">
        <f aca="false">IF($G861="",0,IFERROR(INDEX(Einstellungen!$G$5:$G$11,MATCH($G861,Einstellungen!$E$5:$E$11,0)),0))</f>
        <v>0</v>
      </c>
      <c r="I861" s="35" t="str">
        <f aca="false">IF($G861="","-",IFERROR(INDEX(Einstellungen!$H$5:$H$11,MATCH($G861,Einstellungen!$E$5:$E$11,0)),"-"))</f>
        <v>-</v>
      </c>
      <c r="J861" s="35" t="str">
        <f aca="false">IF(AND(Einstellungen!$B$8="Ja",Einstellungen!$B$9="Effektiv"),$I861,"-")</f>
        <v>-</v>
      </c>
      <c r="K861" s="31" t="n">
        <f aca="false">IF(OR($F861="",$J861="-"),0,ROUND($F861-$F861/(1+$H861),2))</f>
        <v>0</v>
      </c>
      <c r="L861" s="31" t="n">
        <f aca="false">IF($F861="",0,$F861-$K861)</f>
        <v>0</v>
      </c>
      <c r="M861" s="31" t="n">
        <f aca="false">IF($F861="",0,IF($J861="V",$L861,$F861))</f>
        <v>0</v>
      </c>
      <c r="N861" s="31" t="n">
        <f aca="false">IF($F861="",0,IF($J861="U",$L861,$F861))</f>
        <v>0</v>
      </c>
      <c r="O861" s="35" t="str">
        <f aca="false">IF($A861="","",MONTH($A861))</f>
        <v/>
      </c>
      <c r="P861" s="35" t="str">
        <f aca="false">IF($A861="","",ROUNDUP(MONTH($A861)/3,0))</f>
        <v/>
      </c>
      <c r="Q861" s="35" t="str">
        <f aca="false">IF($A861="","",IF(MONTH($A861)&lt;=6,1,2))</f>
        <v/>
      </c>
      <c r="R861" s="35" t="str">
        <f aca="false">IF($E861="","",IFERROR(INDEX(Kontenplan!$F$5:$F$90,MATCH($E861,Kontenplan!$A$5:$A$90,0)),""))</f>
        <v/>
      </c>
      <c r="S861" s="35" t="str">
        <f aca="false">IF($D861="","",IFERROR(INDEX(Kontenplan!$F$5:$F$90,MATCH($D861,Kontenplan!$A$5:$A$90,0)),""))</f>
        <v/>
      </c>
      <c r="T861" s="35" t="str">
        <f aca="false">IF($D861="","",IFERROR(INDEX(Kontenplan!$C$5:$C$90,MATCH($D861,Kontenplan!$A$5:$A$90,0)),"?"))</f>
        <v/>
      </c>
      <c r="U861" s="35" t="str">
        <f aca="false">IF($E861="","",IFERROR(INDEX(Kontenplan!$C$5:$C$90,MATCH($E861,Kontenplan!$A$5:$A$90,0)),"?"))</f>
        <v/>
      </c>
      <c r="V861" s="35" t="str">
        <f aca="false">IF($F861="","",IF(OR($D861="",$E861="",$T861="?",$U861="?"),"Konto prüfen!",IF($A861="","Datum fehlt",IF(YEAR($A861)&lt;&gt;Einstellungen!$B$7,"anderes Jahr!",IF($G861="","MWST-Code fehlt","OK")))))</f>
        <v/>
      </c>
      <c r="W861" s="35" t="str">
        <f aca="false">IF($F861="","",IF(OR($D861=Kontoauszug!$C$4,$E861=Kontoauszug!$C$4),MAX(W$4:W860)+1,""))</f>
        <v/>
      </c>
    </row>
    <row r="862" customFormat="false" ht="15" hidden="false" customHeight="false" outlineLevel="0" collapsed="false">
      <c r="A862" s="33"/>
      <c r="B862" s="32"/>
      <c r="C862" s="32"/>
      <c r="D862" s="32"/>
      <c r="E862" s="32"/>
      <c r="F862" s="30"/>
      <c r="G862" s="32"/>
      <c r="H862" s="34" t="n">
        <f aca="false">IF($G862="",0,IFERROR(INDEX(Einstellungen!$G$5:$G$11,MATCH($G862,Einstellungen!$E$5:$E$11,0)),0))</f>
        <v>0</v>
      </c>
      <c r="I862" s="35" t="str">
        <f aca="false">IF($G862="","-",IFERROR(INDEX(Einstellungen!$H$5:$H$11,MATCH($G862,Einstellungen!$E$5:$E$11,0)),"-"))</f>
        <v>-</v>
      </c>
      <c r="J862" s="35" t="str">
        <f aca="false">IF(AND(Einstellungen!$B$8="Ja",Einstellungen!$B$9="Effektiv"),$I862,"-")</f>
        <v>-</v>
      </c>
      <c r="K862" s="31" t="n">
        <f aca="false">IF(OR($F862="",$J862="-"),0,ROUND($F862-$F862/(1+$H862),2))</f>
        <v>0</v>
      </c>
      <c r="L862" s="31" t="n">
        <f aca="false">IF($F862="",0,$F862-$K862)</f>
        <v>0</v>
      </c>
      <c r="M862" s="31" t="n">
        <f aca="false">IF($F862="",0,IF($J862="V",$L862,$F862))</f>
        <v>0</v>
      </c>
      <c r="N862" s="31" t="n">
        <f aca="false">IF($F862="",0,IF($J862="U",$L862,$F862))</f>
        <v>0</v>
      </c>
      <c r="O862" s="35" t="str">
        <f aca="false">IF($A862="","",MONTH($A862))</f>
        <v/>
      </c>
      <c r="P862" s="35" t="str">
        <f aca="false">IF($A862="","",ROUNDUP(MONTH($A862)/3,0))</f>
        <v/>
      </c>
      <c r="Q862" s="35" t="str">
        <f aca="false">IF($A862="","",IF(MONTH($A862)&lt;=6,1,2))</f>
        <v/>
      </c>
      <c r="R862" s="35" t="str">
        <f aca="false">IF($E862="","",IFERROR(INDEX(Kontenplan!$F$5:$F$90,MATCH($E862,Kontenplan!$A$5:$A$90,0)),""))</f>
        <v/>
      </c>
      <c r="S862" s="35" t="str">
        <f aca="false">IF($D862="","",IFERROR(INDEX(Kontenplan!$F$5:$F$90,MATCH($D862,Kontenplan!$A$5:$A$90,0)),""))</f>
        <v/>
      </c>
      <c r="T862" s="35" t="str">
        <f aca="false">IF($D862="","",IFERROR(INDEX(Kontenplan!$C$5:$C$90,MATCH($D862,Kontenplan!$A$5:$A$90,0)),"?"))</f>
        <v/>
      </c>
      <c r="U862" s="35" t="str">
        <f aca="false">IF($E862="","",IFERROR(INDEX(Kontenplan!$C$5:$C$90,MATCH($E862,Kontenplan!$A$5:$A$90,0)),"?"))</f>
        <v/>
      </c>
      <c r="V862" s="35" t="str">
        <f aca="false">IF($F862="","",IF(OR($D862="",$E862="",$T862="?",$U862="?"),"Konto prüfen!",IF($A862="","Datum fehlt",IF(YEAR($A862)&lt;&gt;Einstellungen!$B$7,"anderes Jahr!",IF($G862="","MWST-Code fehlt","OK")))))</f>
        <v/>
      </c>
      <c r="W862" s="35" t="str">
        <f aca="false">IF($F862="","",IF(OR($D862=Kontoauszug!$C$4,$E862=Kontoauszug!$C$4),MAX(W$4:W861)+1,""))</f>
        <v/>
      </c>
    </row>
    <row r="863" customFormat="false" ht="15" hidden="false" customHeight="false" outlineLevel="0" collapsed="false">
      <c r="A863" s="33"/>
      <c r="B863" s="32"/>
      <c r="C863" s="32"/>
      <c r="D863" s="32"/>
      <c r="E863" s="32"/>
      <c r="F863" s="30"/>
      <c r="G863" s="32"/>
      <c r="H863" s="34" t="n">
        <f aca="false">IF($G863="",0,IFERROR(INDEX(Einstellungen!$G$5:$G$11,MATCH($G863,Einstellungen!$E$5:$E$11,0)),0))</f>
        <v>0</v>
      </c>
      <c r="I863" s="35" t="str">
        <f aca="false">IF($G863="","-",IFERROR(INDEX(Einstellungen!$H$5:$H$11,MATCH($G863,Einstellungen!$E$5:$E$11,0)),"-"))</f>
        <v>-</v>
      </c>
      <c r="J863" s="35" t="str">
        <f aca="false">IF(AND(Einstellungen!$B$8="Ja",Einstellungen!$B$9="Effektiv"),$I863,"-")</f>
        <v>-</v>
      </c>
      <c r="K863" s="31" t="n">
        <f aca="false">IF(OR($F863="",$J863="-"),0,ROUND($F863-$F863/(1+$H863),2))</f>
        <v>0</v>
      </c>
      <c r="L863" s="31" t="n">
        <f aca="false">IF($F863="",0,$F863-$K863)</f>
        <v>0</v>
      </c>
      <c r="M863" s="31" t="n">
        <f aca="false">IF($F863="",0,IF($J863="V",$L863,$F863))</f>
        <v>0</v>
      </c>
      <c r="N863" s="31" t="n">
        <f aca="false">IF($F863="",0,IF($J863="U",$L863,$F863))</f>
        <v>0</v>
      </c>
      <c r="O863" s="35" t="str">
        <f aca="false">IF($A863="","",MONTH($A863))</f>
        <v/>
      </c>
      <c r="P863" s="35" t="str">
        <f aca="false">IF($A863="","",ROUNDUP(MONTH($A863)/3,0))</f>
        <v/>
      </c>
      <c r="Q863" s="35" t="str">
        <f aca="false">IF($A863="","",IF(MONTH($A863)&lt;=6,1,2))</f>
        <v/>
      </c>
      <c r="R863" s="35" t="str">
        <f aca="false">IF($E863="","",IFERROR(INDEX(Kontenplan!$F$5:$F$90,MATCH($E863,Kontenplan!$A$5:$A$90,0)),""))</f>
        <v/>
      </c>
      <c r="S863" s="35" t="str">
        <f aca="false">IF($D863="","",IFERROR(INDEX(Kontenplan!$F$5:$F$90,MATCH($D863,Kontenplan!$A$5:$A$90,0)),""))</f>
        <v/>
      </c>
      <c r="T863" s="35" t="str">
        <f aca="false">IF($D863="","",IFERROR(INDEX(Kontenplan!$C$5:$C$90,MATCH($D863,Kontenplan!$A$5:$A$90,0)),"?"))</f>
        <v/>
      </c>
      <c r="U863" s="35" t="str">
        <f aca="false">IF($E863="","",IFERROR(INDEX(Kontenplan!$C$5:$C$90,MATCH($E863,Kontenplan!$A$5:$A$90,0)),"?"))</f>
        <v/>
      </c>
      <c r="V863" s="35" t="str">
        <f aca="false">IF($F863="","",IF(OR($D863="",$E863="",$T863="?",$U863="?"),"Konto prüfen!",IF($A863="","Datum fehlt",IF(YEAR($A863)&lt;&gt;Einstellungen!$B$7,"anderes Jahr!",IF($G863="","MWST-Code fehlt","OK")))))</f>
        <v/>
      </c>
      <c r="W863" s="35" t="str">
        <f aca="false">IF($F863="","",IF(OR($D863=Kontoauszug!$C$4,$E863=Kontoauszug!$C$4),MAX(W$4:W862)+1,""))</f>
        <v/>
      </c>
    </row>
    <row r="864" customFormat="false" ht="15" hidden="false" customHeight="false" outlineLevel="0" collapsed="false">
      <c r="A864" s="33"/>
      <c r="B864" s="32"/>
      <c r="C864" s="32"/>
      <c r="D864" s="32"/>
      <c r="E864" s="32"/>
      <c r="F864" s="30"/>
      <c r="G864" s="32"/>
      <c r="H864" s="34" t="n">
        <f aca="false">IF($G864="",0,IFERROR(INDEX(Einstellungen!$G$5:$G$11,MATCH($G864,Einstellungen!$E$5:$E$11,0)),0))</f>
        <v>0</v>
      </c>
      <c r="I864" s="35" t="str">
        <f aca="false">IF($G864="","-",IFERROR(INDEX(Einstellungen!$H$5:$H$11,MATCH($G864,Einstellungen!$E$5:$E$11,0)),"-"))</f>
        <v>-</v>
      </c>
      <c r="J864" s="35" t="str">
        <f aca="false">IF(AND(Einstellungen!$B$8="Ja",Einstellungen!$B$9="Effektiv"),$I864,"-")</f>
        <v>-</v>
      </c>
      <c r="K864" s="31" t="n">
        <f aca="false">IF(OR($F864="",$J864="-"),0,ROUND($F864-$F864/(1+$H864),2))</f>
        <v>0</v>
      </c>
      <c r="L864" s="31" t="n">
        <f aca="false">IF($F864="",0,$F864-$K864)</f>
        <v>0</v>
      </c>
      <c r="M864" s="31" t="n">
        <f aca="false">IF($F864="",0,IF($J864="V",$L864,$F864))</f>
        <v>0</v>
      </c>
      <c r="N864" s="31" t="n">
        <f aca="false">IF($F864="",0,IF($J864="U",$L864,$F864))</f>
        <v>0</v>
      </c>
      <c r="O864" s="35" t="str">
        <f aca="false">IF($A864="","",MONTH($A864))</f>
        <v/>
      </c>
      <c r="P864" s="35" t="str">
        <f aca="false">IF($A864="","",ROUNDUP(MONTH($A864)/3,0))</f>
        <v/>
      </c>
      <c r="Q864" s="35" t="str">
        <f aca="false">IF($A864="","",IF(MONTH($A864)&lt;=6,1,2))</f>
        <v/>
      </c>
      <c r="R864" s="35" t="str">
        <f aca="false">IF($E864="","",IFERROR(INDEX(Kontenplan!$F$5:$F$90,MATCH($E864,Kontenplan!$A$5:$A$90,0)),""))</f>
        <v/>
      </c>
      <c r="S864" s="35" t="str">
        <f aca="false">IF($D864="","",IFERROR(INDEX(Kontenplan!$F$5:$F$90,MATCH($D864,Kontenplan!$A$5:$A$90,0)),""))</f>
        <v/>
      </c>
      <c r="T864" s="35" t="str">
        <f aca="false">IF($D864="","",IFERROR(INDEX(Kontenplan!$C$5:$C$90,MATCH($D864,Kontenplan!$A$5:$A$90,0)),"?"))</f>
        <v/>
      </c>
      <c r="U864" s="35" t="str">
        <f aca="false">IF($E864="","",IFERROR(INDEX(Kontenplan!$C$5:$C$90,MATCH($E864,Kontenplan!$A$5:$A$90,0)),"?"))</f>
        <v/>
      </c>
      <c r="V864" s="35" t="str">
        <f aca="false">IF($F864="","",IF(OR($D864="",$E864="",$T864="?",$U864="?"),"Konto prüfen!",IF($A864="","Datum fehlt",IF(YEAR($A864)&lt;&gt;Einstellungen!$B$7,"anderes Jahr!",IF($G864="","MWST-Code fehlt","OK")))))</f>
        <v/>
      </c>
      <c r="W864" s="35" t="str">
        <f aca="false">IF($F864="","",IF(OR($D864=Kontoauszug!$C$4,$E864=Kontoauszug!$C$4),MAX(W$4:W863)+1,""))</f>
        <v/>
      </c>
    </row>
    <row r="865" customFormat="false" ht="15" hidden="false" customHeight="false" outlineLevel="0" collapsed="false">
      <c r="A865" s="33"/>
      <c r="B865" s="32"/>
      <c r="C865" s="32"/>
      <c r="D865" s="32"/>
      <c r="E865" s="32"/>
      <c r="F865" s="30"/>
      <c r="G865" s="32"/>
      <c r="H865" s="34" t="n">
        <f aca="false">IF($G865="",0,IFERROR(INDEX(Einstellungen!$G$5:$G$11,MATCH($G865,Einstellungen!$E$5:$E$11,0)),0))</f>
        <v>0</v>
      </c>
      <c r="I865" s="35" t="str">
        <f aca="false">IF($G865="","-",IFERROR(INDEX(Einstellungen!$H$5:$H$11,MATCH($G865,Einstellungen!$E$5:$E$11,0)),"-"))</f>
        <v>-</v>
      </c>
      <c r="J865" s="35" t="str">
        <f aca="false">IF(AND(Einstellungen!$B$8="Ja",Einstellungen!$B$9="Effektiv"),$I865,"-")</f>
        <v>-</v>
      </c>
      <c r="K865" s="31" t="n">
        <f aca="false">IF(OR($F865="",$J865="-"),0,ROUND($F865-$F865/(1+$H865),2))</f>
        <v>0</v>
      </c>
      <c r="L865" s="31" t="n">
        <f aca="false">IF($F865="",0,$F865-$K865)</f>
        <v>0</v>
      </c>
      <c r="M865" s="31" t="n">
        <f aca="false">IF($F865="",0,IF($J865="V",$L865,$F865))</f>
        <v>0</v>
      </c>
      <c r="N865" s="31" t="n">
        <f aca="false">IF($F865="",0,IF($J865="U",$L865,$F865))</f>
        <v>0</v>
      </c>
      <c r="O865" s="35" t="str">
        <f aca="false">IF($A865="","",MONTH($A865))</f>
        <v/>
      </c>
      <c r="P865" s="35" t="str">
        <f aca="false">IF($A865="","",ROUNDUP(MONTH($A865)/3,0))</f>
        <v/>
      </c>
      <c r="Q865" s="35" t="str">
        <f aca="false">IF($A865="","",IF(MONTH($A865)&lt;=6,1,2))</f>
        <v/>
      </c>
      <c r="R865" s="35" t="str">
        <f aca="false">IF($E865="","",IFERROR(INDEX(Kontenplan!$F$5:$F$90,MATCH($E865,Kontenplan!$A$5:$A$90,0)),""))</f>
        <v/>
      </c>
      <c r="S865" s="35" t="str">
        <f aca="false">IF($D865="","",IFERROR(INDEX(Kontenplan!$F$5:$F$90,MATCH($D865,Kontenplan!$A$5:$A$90,0)),""))</f>
        <v/>
      </c>
      <c r="T865" s="35" t="str">
        <f aca="false">IF($D865="","",IFERROR(INDEX(Kontenplan!$C$5:$C$90,MATCH($D865,Kontenplan!$A$5:$A$90,0)),"?"))</f>
        <v/>
      </c>
      <c r="U865" s="35" t="str">
        <f aca="false">IF($E865="","",IFERROR(INDEX(Kontenplan!$C$5:$C$90,MATCH($E865,Kontenplan!$A$5:$A$90,0)),"?"))</f>
        <v/>
      </c>
      <c r="V865" s="35" t="str">
        <f aca="false">IF($F865="","",IF(OR($D865="",$E865="",$T865="?",$U865="?"),"Konto prüfen!",IF($A865="","Datum fehlt",IF(YEAR($A865)&lt;&gt;Einstellungen!$B$7,"anderes Jahr!",IF($G865="","MWST-Code fehlt","OK")))))</f>
        <v/>
      </c>
      <c r="W865" s="35" t="str">
        <f aca="false">IF($F865="","",IF(OR($D865=Kontoauszug!$C$4,$E865=Kontoauszug!$C$4),MAX(W$4:W864)+1,""))</f>
        <v/>
      </c>
    </row>
    <row r="866" customFormat="false" ht="15" hidden="false" customHeight="false" outlineLevel="0" collapsed="false">
      <c r="A866" s="33"/>
      <c r="B866" s="32"/>
      <c r="C866" s="32"/>
      <c r="D866" s="32"/>
      <c r="E866" s="32"/>
      <c r="F866" s="30"/>
      <c r="G866" s="32"/>
      <c r="H866" s="34" t="n">
        <f aca="false">IF($G866="",0,IFERROR(INDEX(Einstellungen!$G$5:$G$11,MATCH($G866,Einstellungen!$E$5:$E$11,0)),0))</f>
        <v>0</v>
      </c>
      <c r="I866" s="35" t="str">
        <f aca="false">IF($G866="","-",IFERROR(INDEX(Einstellungen!$H$5:$H$11,MATCH($G866,Einstellungen!$E$5:$E$11,0)),"-"))</f>
        <v>-</v>
      </c>
      <c r="J866" s="35" t="str">
        <f aca="false">IF(AND(Einstellungen!$B$8="Ja",Einstellungen!$B$9="Effektiv"),$I866,"-")</f>
        <v>-</v>
      </c>
      <c r="K866" s="31" t="n">
        <f aca="false">IF(OR($F866="",$J866="-"),0,ROUND($F866-$F866/(1+$H866),2))</f>
        <v>0</v>
      </c>
      <c r="L866" s="31" t="n">
        <f aca="false">IF($F866="",0,$F866-$K866)</f>
        <v>0</v>
      </c>
      <c r="M866" s="31" t="n">
        <f aca="false">IF($F866="",0,IF($J866="V",$L866,$F866))</f>
        <v>0</v>
      </c>
      <c r="N866" s="31" t="n">
        <f aca="false">IF($F866="",0,IF($J866="U",$L866,$F866))</f>
        <v>0</v>
      </c>
      <c r="O866" s="35" t="str">
        <f aca="false">IF($A866="","",MONTH($A866))</f>
        <v/>
      </c>
      <c r="P866" s="35" t="str">
        <f aca="false">IF($A866="","",ROUNDUP(MONTH($A866)/3,0))</f>
        <v/>
      </c>
      <c r="Q866" s="35" t="str">
        <f aca="false">IF($A866="","",IF(MONTH($A866)&lt;=6,1,2))</f>
        <v/>
      </c>
      <c r="R866" s="35" t="str">
        <f aca="false">IF($E866="","",IFERROR(INDEX(Kontenplan!$F$5:$F$90,MATCH($E866,Kontenplan!$A$5:$A$90,0)),""))</f>
        <v/>
      </c>
      <c r="S866" s="35" t="str">
        <f aca="false">IF($D866="","",IFERROR(INDEX(Kontenplan!$F$5:$F$90,MATCH($D866,Kontenplan!$A$5:$A$90,0)),""))</f>
        <v/>
      </c>
      <c r="T866" s="35" t="str">
        <f aca="false">IF($D866="","",IFERROR(INDEX(Kontenplan!$C$5:$C$90,MATCH($D866,Kontenplan!$A$5:$A$90,0)),"?"))</f>
        <v/>
      </c>
      <c r="U866" s="35" t="str">
        <f aca="false">IF($E866="","",IFERROR(INDEX(Kontenplan!$C$5:$C$90,MATCH($E866,Kontenplan!$A$5:$A$90,0)),"?"))</f>
        <v/>
      </c>
      <c r="V866" s="35" t="str">
        <f aca="false">IF($F866="","",IF(OR($D866="",$E866="",$T866="?",$U866="?"),"Konto prüfen!",IF($A866="","Datum fehlt",IF(YEAR($A866)&lt;&gt;Einstellungen!$B$7,"anderes Jahr!",IF($G866="","MWST-Code fehlt","OK")))))</f>
        <v/>
      </c>
      <c r="W866" s="35" t="str">
        <f aca="false">IF($F866="","",IF(OR($D866=Kontoauszug!$C$4,$E866=Kontoauszug!$C$4),MAX(W$4:W865)+1,""))</f>
        <v/>
      </c>
    </row>
    <row r="867" customFormat="false" ht="15" hidden="false" customHeight="false" outlineLevel="0" collapsed="false">
      <c r="A867" s="33"/>
      <c r="B867" s="32"/>
      <c r="C867" s="32"/>
      <c r="D867" s="32"/>
      <c r="E867" s="32"/>
      <c r="F867" s="30"/>
      <c r="G867" s="32"/>
      <c r="H867" s="34" t="n">
        <f aca="false">IF($G867="",0,IFERROR(INDEX(Einstellungen!$G$5:$G$11,MATCH($G867,Einstellungen!$E$5:$E$11,0)),0))</f>
        <v>0</v>
      </c>
      <c r="I867" s="35" t="str">
        <f aca="false">IF($G867="","-",IFERROR(INDEX(Einstellungen!$H$5:$H$11,MATCH($G867,Einstellungen!$E$5:$E$11,0)),"-"))</f>
        <v>-</v>
      </c>
      <c r="J867" s="35" t="str">
        <f aca="false">IF(AND(Einstellungen!$B$8="Ja",Einstellungen!$B$9="Effektiv"),$I867,"-")</f>
        <v>-</v>
      </c>
      <c r="K867" s="31" t="n">
        <f aca="false">IF(OR($F867="",$J867="-"),0,ROUND($F867-$F867/(1+$H867),2))</f>
        <v>0</v>
      </c>
      <c r="L867" s="31" t="n">
        <f aca="false">IF($F867="",0,$F867-$K867)</f>
        <v>0</v>
      </c>
      <c r="M867" s="31" t="n">
        <f aca="false">IF($F867="",0,IF($J867="V",$L867,$F867))</f>
        <v>0</v>
      </c>
      <c r="N867" s="31" t="n">
        <f aca="false">IF($F867="",0,IF($J867="U",$L867,$F867))</f>
        <v>0</v>
      </c>
      <c r="O867" s="35" t="str">
        <f aca="false">IF($A867="","",MONTH($A867))</f>
        <v/>
      </c>
      <c r="P867" s="35" t="str">
        <f aca="false">IF($A867="","",ROUNDUP(MONTH($A867)/3,0))</f>
        <v/>
      </c>
      <c r="Q867" s="35" t="str">
        <f aca="false">IF($A867="","",IF(MONTH($A867)&lt;=6,1,2))</f>
        <v/>
      </c>
      <c r="R867" s="35" t="str">
        <f aca="false">IF($E867="","",IFERROR(INDEX(Kontenplan!$F$5:$F$90,MATCH($E867,Kontenplan!$A$5:$A$90,0)),""))</f>
        <v/>
      </c>
      <c r="S867" s="35" t="str">
        <f aca="false">IF($D867="","",IFERROR(INDEX(Kontenplan!$F$5:$F$90,MATCH($D867,Kontenplan!$A$5:$A$90,0)),""))</f>
        <v/>
      </c>
      <c r="T867" s="35" t="str">
        <f aca="false">IF($D867="","",IFERROR(INDEX(Kontenplan!$C$5:$C$90,MATCH($D867,Kontenplan!$A$5:$A$90,0)),"?"))</f>
        <v/>
      </c>
      <c r="U867" s="35" t="str">
        <f aca="false">IF($E867="","",IFERROR(INDEX(Kontenplan!$C$5:$C$90,MATCH($E867,Kontenplan!$A$5:$A$90,0)),"?"))</f>
        <v/>
      </c>
      <c r="V867" s="35" t="str">
        <f aca="false">IF($F867="","",IF(OR($D867="",$E867="",$T867="?",$U867="?"),"Konto prüfen!",IF($A867="","Datum fehlt",IF(YEAR($A867)&lt;&gt;Einstellungen!$B$7,"anderes Jahr!",IF($G867="","MWST-Code fehlt","OK")))))</f>
        <v/>
      </c>
      <c r="W867" s="35" t="str">
        <f aca="false">IF($F867="","",IF(OR($D867=Kontoauszug!$C$4,$E867=Kontoauszug!$C$4),MAX(W$4:W866)+1,""))</f>
        <v/>
      </c>
    </row>
    <row r="868" customFormat="false" ht="15" hidden="false" customHeight="false" outlineLevel="0" collapsed="false">
      <c r="A868" s="33"/>
      <c r="B868" s="32"/>
      <c r="C868" s="32"/>
      <c r="D868" s="32"/>
      <c r="E868" s="32"/>
      <c r="F868" s="30"/>
      <c r="G868" s="32"/>
      <c r="H868" s="34" t="n">
        <f aca="false">IF($G868="",0,IFERROR(INDEX(Einstellungen!$G$5:$G$11,MATCH($G868,Einstellungen!$E$5:$E$11,0)),0))</f>
        <v>0</v>
      </c>
      <c r="I868" s="35" t="str">
        <f aca="false">IF($G868="","-",IFERROR(INDEX(Einstellungen!$H$5:$H$11,MATCH($G868,Einstellungen!$E$5:$E$11,0)),"-"))</f>
        <v>-</v>
      </c>
      <c r="J868" s="35" t="str">
        <f aca="false">IF(AND(Einstellungen!$B$8="Ja",Einstellungen!$B$9="Effektiv"),$I868,"-")</f>
        <v>-</v>
      </c>
      <c r="K868" s="31" t="n">
        <f aca="false">IF(OR($F868="",$J868="-"),0,ROUND($F868-$F868/(1+$H868),2))</f>
        <v>0</v>
      </c>
      <c r="L868" s="31" t="n">
        <f aca="false">IF($F868="",0,$F868-$K868)</f>
        <v>0</v>
      </c>
      <c r="M868" s="31" t="n">
        <f aca="false">IF($F868="",0,IF($J868="V",$L868,$F868))</f>
        <v>0</v>
      </c>
      <c r="N868" s="31" t="n">
        <f aca="false">IF($F868="",0,IF($J868="U",$L868,$F868))</f>
        <v>0</v>
      </c>
      <c r="O868" s="35" t="str">
        <f aca="false">IF($A868="","",MONTH($A868))</f>
        <v/>
      </c>
      <c r="P868" s="35" t="str">
        <f aca="false">IF($A868="","",ROUNDUP(MONTH($A868)/3,0))</f>
        <v/>
      </c>
      <c r="Q868" s="35" t="str">
        <f aca="false">IF($A868="","",IF(MONTH($A868)&lt;=6,1,2))</f>
        <v/>
      </c>
      <c r="R868" s="35" t="str">
        <f aca="false">IF($E868="","",IFERROR(INDEX(Kontenplan!$F$5:$F$90,MATCH($E868,Kontenplan!$A$5:$A$90,0)),""))</f>
        <v/>
      </c>
      <c r="S868" s="35" t="str">
        <f aca="false">IF($D868="","",IFERROR(INDEX(Kontenplan!$F$5:$F$90,MATCH($D868,Kontenplan!$A$5:$A$90,0)),""))</f>
        <v/>
      </c>
      <c r="T868" s="35" t="str">
        <f aca="false">IF($D868="","",IFERROR(INDEX(Kontenplan!$C$5:$C$90,MATCH($D868,Kontenplan!$A$5:$A$90,0)),"?"))</f>
        <v/>
      </c>
      <c r="U868" s="35" t="str">
        <f aca="false">IF($E868="","",IFERROR(INDEX(Kontenplan!$C$5:$C$90,MATCH($E868,Kontenplan!$A$5:$A$90,0)),"?"))</f>
        <v/>
      </c>
      <c r="V868" s="35" t="str">
        <f aca="false">IF($F868="","",IF(OR($D868="",$E868="",$T868="?",$U868="?"),"Konto prüfen!",IF($A868="","Datum fehlt",IF(YEAR($A868)&lt;&gt;Einstellungen!$B$7,"anderes Jahr!",IF($G868="","MWST-Code fehlt","OK")))))</f>
        <v/>
      </c>
      <c r="W868" s="35" t="str">
        <f aca="false">IF($F868="","",IF(OR($D868=Kontoauszug!$C$4,$E868=Kontoauszug!$C$4),MAX(W$4:W867)+1,""))</f>
        <v/>
      </c>
    </row>
    <row r="869" customFormat="false" ht="15" hidden="false" customHeight="false" outlineLevel="0" collapsed="false">
      <c r="A869" s="33"/>
      <c r="B869" s="32"/>
      <c r="C869" s="32"/>
      <c r="D869" s="32"/>
      <c r="E869" s="32"/>
      <c r="F869" s="30"/>
      <c r="G869" s="32"/>
      <c r="H869" s="34" t="n">
        <f aca="false">IF($G869="",0,IFERROR(INDEX(Einstellungen!$G$5:$G$11,MATCH($G869,Einstellungen!$E$5:$E$11,0)),0))</f>
        <v>0</v>
      </c>
      <c r="I869" s="35" t="str">
        <f aca="false">IF($G869="","-",IFERROR(INDEX(Einstellungen!$H$5:$H$11,MATCH($G869,Einstellungen!$E$5:$E$11,0)),"-"))</f>
        <v>-</v>
      </c>
      <c r="J869" s="35" t="str">
        <f aca="false">IF(AND(Einstellungen!$B$8="Ja",Einstellungen!$B$9="Effektiv"),$I869,"-")</f>
        <v>-</v>
      </c>
      <c r="K869" s="31" t="n">
        <f aca="false">IF(OR($F869="",$J869="-"),0,ROUND($F869-$F869/(1+$H869),2))</f>
        <v>0</v>
      </c>
      <c r="L869" s="31" t="n">
        <f aca="false">IF($F869="",0,$F869-$K869)</f>
        <v>0</v>
      </c>
      <c r="M869" s="31" t="n">
        <f aca="false">IF($F869="",0,IF($J869="V",$L869,$F869))</f>
        <v>0</v>
      </c>
      <c r="N869" s="31" t="n">
        <f aca="false">IF($F869="",0,IF($J869="U",$L869,$F869))</f>
        <v>0</v>
      </c>
      <c r="O869" s="35" t="str">
        <f aca="false">IF($A869="","",MONTH($A869))</f>
        <v/>
      </c>
      <c r="P869" s="35" t="str">
        <f aca="false">IF($A869="","",ROUNDUP(MONTH($A869)/3,0))</f>
        <v/>
      </c>
      <c r="Q869" s="35" t="str">
        <f aca="false">IF($A869="","",IF(MONTH($A869)&lt;=6,1,2))</f>
        <v/>
      </c>
      <c r="R869" s="35" t="str">
        <f aca="false">IF($E869="","",IFERROR(INDEX(Kontenplan!$F$5:$F$90,MATCH($E869,Kontenplan!$A$5:$A$90,0)),""))</f>
        <v/>
      </c>
      <c r="S869" s="35" t="str">
        <f aca="false">IF($D869="","",IFERROR(INDEX(Kontenplan!$F$5:$F$90,MATCH($D869,Kontenplan!$A$5:$A$90,0)),""))</f>
        <v/>
      </c>
      <c r="T869" s="35" t="str">
        <f aca="false">IF($D869="","",IFERROR(INDEX(Kontenplan!$C$5:$C$90,MATCH($D869,Kontenplan!$A$5:$A$90,0)),"?"))</f>
        <v/>
      </c>
      <c r="U869" s="35" t="str">
        <f aca="false">IF($E869="","",IFERROR(INDEX(Kontenplan!$C$5:$C$90,MATCH($E869,Kontenplan!$A$5:$A$90,0)),"?"))</f>
        <v/>
      </c>
      <c r="V869" s="35" t="str">
        <f aca="false">IF($F869="","",IF(OR($D869="",$E869="",$T869="?",$U869="?"),"Konto prüfen!",IF($A869="","Datum fehlt",IF(YEAR($A869)&lt;&gt;Einstellungen!$B$7,"anderes Jahr!",IF($G869="","MWST-Code fehlt","OK")))))</f>
        <v/>
      </c>
      <c r="W869" s="35" t="str">
        <f aca="false">IF($F869="","",IF(OR($D869=Kontoauszug!$C$4,$E869=Kontoauszug!$C$4),MAX(W$4:W868)+1,""))</f>
        <v/>
      </c>
    </row>
    <row r="870" customFormat="false" ht="15" hidden="false" customHeight="false" outlineLevel="0" collapsed="false">
      <c r="A870" s="33"/>
      <c r="B870" s="32"/>
      <c r="C870" s="32"/>
      <c r="D870" s="32"/>
      <c r="E870" s="32"/>
      <c r="F870" s="30"/>
      <c r="G870" s="32"/>
      <c r="H870" s="34" t="n">
        <f aca="false">IF($G870="",0,IFERROR(INDEX(Einstellungen!$G$5:$G$11,MATCH($G870,Einstellungen!$E$5:$E$11,0)),0))</f>
        <v>0</v>
      </c>
      <c r="I870" s="35" t="str">
        <f aca="false">IF($G870="","-",IFERROR(INDEX(Einstellungen!$H$5:$H$11,MATCH($G870,Einstellungen!$E$5:$E$11,0)),"-"))</f>
        <v>-</v>
      </c>
      <c r="J870" s="35" t="str">
        <f aca="false">IF(AND(Einstellungen!$B$8="Ja",Einstellungen!$B$9="Effektiv"),$I870,"-")</f>
        <v>-</v>
      </c>
      <c r="K870" s="31" t="n">
        <f aca="false">IF(OR($F870="",$J870="-"),0,ROUND($F870-$F870/(1+$H870),2))</f>
        <v>0</v>
      </c>
      <c r="L870" s="31" t="n">
        <f aca="false">IF($F870="",0,$F870-$K870)</f>
        <v>0</v>
      </c>
      <c r="M870" s="31" t="n">
        <f aca="false">IF($F870="",0,IF($J870="V",$L870,$F870))</f>
        <v>0</v>
      </c>
      <c r="N870" s="31" t="n">
        <f aca="false">IF($F870="",0,IF($J870="U",$L870,$F870))</f>
        <v>0</v>
      </c>
      <c r="O870" s="35" t="str">
        <f aca="false">IF($A870="","",MONTH($A870))</f>
        <v/>
      </c>
      <c r="P870" s="35" t="str">
        <f aca="false">IF($A870="","",ROUNDUP(MONTH($A870)/3,0))</f>
        <v/>
      </c>
      <c r="Q870" s="35" t="str">
        <f aca="false">IF($A870="","",IF(MONTH($A870)&lt;=6,1,2))</f>
        <v/>
      </c>
      <c r="R870" s="35" t="str">
        <f aca="false">IF($E870="","",IFERROR(INDEX(Kontenplan!$F$5:$F$90,MATCH($E870,Kontenplan!$A$5:$A$90,0)),""))</f>
        <v/>
      </c>
      <c r="S870" s="35" t="str">
        <f aca="false">IF($D870="","",IFERROR(INDEX(Kontenplan!$F$5:$F$90,MATCH($D870,Kontenplan!$A$5:$A$90,0)),""))</f>
        <v/>
      </c>
      <c r="T870" s="35" t="str">
        <f aca="false">IF($D870="","",IFERROR(INDEX(Kontenplan!$C$5:$C$90,MATCH($D870,Kontenplan!$A$5:$A$90,0)),"?"))</f>
        <v/>
      </c>
      <c r="U870" s="35" t="str">
        <f aca="false">IF($E870="","",IFERROR(INDEX(Kontenplan!$C$5:$C$90,MATCH($E870,Kontenplan!$A$5:$A$90,0)),"?"))</f>
        <v/>
      </c>
      <c r="V870" s="35" t="str">
        <f aca="false">IF($F870="","",IF(OR($D870="",$E870="",$T870="?",$U870="?"),"Konto prüfen!",IF($A870="","Datum fehlt",IF(YEAR($A870)&lt;&gt;Einstellungen!$B$7,"anderes Jahr!",IF($G870="","MWST-Code fehlt","OK")))))</f>
        <v/>
      </c>
      <c r="W870" s="35" t="str">
        <f aca="false">IF($F870="","",IF(OR($D870=Kontoauszug!$C$4,$E870=Kontoauszug!$C$4),MAX(W$4:W869)+1,""))</f>
        <v/>
      </c>
    </row>
    <row r="871" customFormat="false" ht="15" hidden="false" customHeight="false" outlineLevel="0" collapsed="false">
      <c r="A871" s="33"/>
      <c r="B871" s="32"/>
      <c r="C871" s="32"/>
      <c r="D871" s="32"/>
      <c r="E871" s="32"/>
      <c r="F871" s="30"/>
      <c r="G871" s="32"/>
      <c r="H871" s="34" t="n">
        <f aca="false">IF($G871="",0,IFERROR(INDEX(Einstellungen!$G$5:$G$11,MATCH($G871,Einstellungen!$E$5:$E$11,0)),0))</f>
        <v>0</v>
      </c>
      <c r="I871" s="35" t="str">
        <f aca="false">IF($G871="","-",IFERROR(INDEX(Einstellungen!$H$5:$H$11,MATCH($G871,Einstellungen!$E$5:$E$11,0)),"-"))</f>
        <v>-</v>
      </c>
      <c r="J871" s="35" t="str">
        <f aca="false">IF(AND(Einstellungen!$B$8="Ja",Einstellungen!$B$9="Effektiv"),$I871,"-")</f>
        <v>-</v>
      </c>
      <c r="K871" s="31" t="n">
        <f aca="false">IF(OR($F871="",$J871="-"),0,ROUND($F871-$F871/(1+$H871),2))</f>
        <v>0</v>
      </c>
      <c r="L871" s="31" t="n">
        <f aca="false">IF($F871="",0,$F871-$K871)</f>
        <v>0</v>
      </c>
      <c r="M871" s="31" t="n">
        <f aca="false">IF($F871="",0,IF($J871="V",$L871,$F871))</f>
        <v>0</v>
      </c>
      <c r="N871" s="31" t="n">
        <f aca="false">IF($F871="",0,IF($J871="U",$L871,$F871))</f>
        <v>0</v>
      </c>
      <c r="O871" s="35" t="str">
        <f aca="false">IF($A871="","",MONTH($A871))</f>
        <v/>
      </c>
      <c r="P871" s="35" t="str">
        <f aca="false">IF($A871="","",ROUNDUP(MONTH($A871)/3,0))</f>
        <v/>
      </c>
      <c r="Q871" s="35" t="str">
        <f aca="false">IF($A871="","",IF(MONTH($A871)&lt;=6,1,2))</f>
        <v/>
      </c>
      <c r="R871" s="35" t="str">
        <f aca="false">IF($E871="","",IFERROR(INDEX(Kontenplan!$F$5:$F$90,MATCH($E871,Kontenplan!$A$5:$A$90,0)),""))</f>
        <v/>
      </c>
      <c r="S871" s="35" t="str">
        <f aca="false">IF($D871="","",IFERROR(INDEX(Kontenplan!$F$5:$F$90,MATCH($D871,Kontenplan!$A$5:$A$90,0)),""))</f>
        <v/>
      </c>
      <c r="T871" s="35" t="str">
        <f aca="false">IF($D871="","",IFERROR(INDEX(Kontenplan!$C$5:$C$90,MATCH($D871,Kontenplan!$A$5:$A$90,0)),"?"))</f>
        <v/>
      </c>
      <c r="U871" s="35" t="str">
        <f aca="false">IF($E871="","",IFERROR(INDEX(Kontenplan!$C$5:$C$90,MATCH($E871,Kontenplan!$A$5:$A$90,0)),"?"))</f>
        <v/>
      </c>
      <c r="V871" s="35" t="str">
        <f aca="false">IF($F871="","",IF(OR($D871="",$E871="",$T871="?",$U871="?"),"Konto prüfen!",IF($A871="","Datum fehlt",IF(YEAR($A871)&lt;&gt;Einstellungen!$B$7,"anderes Jahr!",IF($G871="","MWST-Code fehlt","OK")))))</f>
        <v/>
      </c>
      <c r="W871" s="35" t="str">
        <f aca="false">IF($F871="","",IF(OR($D871=Kontoauszug!$C$4,$E871=Kontoauszug!$C$4),MAX(W$4:W870)+1,""))</f>
        <v/>
      </c>
    </row>
    <row r="872" customFormat="false" ht="15" hidden="false" customHeight="false" outlineLevel="0" collapsed="false">
      <c r="A872" s="33"/>
      <c r="B872" s="32"/>
      <c r="C872" s="32"/>
      <c r="D872" s="32"/>
      <c r="E872" s="32"/>
      <c r="F872" s="30"/>
      <c r="G872" s="32"/>
      <c r="H872" s="34" t="n">
        <f aca="false">IF($G872="",0,IFERROR(INDEX(Einstellungen!$G$5:$G$11,MATCH($G872,Einstellungen!$E$5:$E$11,0)),0))</f>
        <v>0</v>
      </c>
      <c r="I872" s="35" t="str">
        <f aca="false">IF($G872="","-",IFERROR(INDEX(Einstellungen!$H$5:$H$11,MATCH($G872,Einstellungen!$E$5:$E$11,0)),"-"))</f>
        <v>-</v>
      </c>
      <c r="J872" s="35" t="str">
        <f aca="false">IF(AND(Einstellungen!$B$8="Ja",Einstellungen!$B$9="Effektiv"),$I872,"-")</f>
        <v>-</v>
      </c>
      <c r="K872" s="31" t="n">
        <f aca="false">IF(OR($F872="",$J872="-"),0,ROUND($F872-$F872/(1+$H872),2))</f>
        <v>0</v>
      </c>
      <c r="L872" s="31" t="n">
        <f aca="false">IF($F872="",0,$F872-$K872)</f>
        <v>0</v>
      </c>
      <c r="M872" s="31" t="n">
        <f aca="false">IF($F872="",0,IF($J872="V",$L872,$F872))</f>
        <v>0</v>
      </c>
      <c r="N872" s="31" t="n">
        <f aca="false">IF($F872="",0,IF($J872="U",$L872,$F872))</f>
        <v>0</v>
      </c>
      <c r="O872" s="35" t="str">
        <f aca="false">IF($A872="","",MONTH($A872))</f>
        <v/>
      </c>
      <c r="P872" s="35" t="str">
        <f aca="false">IF($A872="","",ROUNDUP(MONTH($A872)/3,0))</f>
        <v/>
      </c>
      <c r="Q872" s="35" t="str">
        <f aca="false">IF($A872="","",IF(MONTH($A872)&lt;=6,1,2))</f>
        <v/>
      </c>
      <c r="R872" s="35" t="str">
        <f aca="false">IF($E872="","",IFERROR(INDEX(Kontenplan!$F$5:$F$90,MATCH($E872,Kontenplan!$A$5:$A$90,0)),""))</f>
        <v/>
      </c>
      <c r="S872" s="35" t="str">
        <f aca="false">IF($D872="","",IFERROR(INDEX(Kontenplan!$F$5:$F$90,MATCH($D872,Kontenplan!$A$5:$A$90,0)),""))</f>
        <v/>
      </c>
      <c r="T872" s="35" t="str">
        <f aca="false">IF($D872="","",IFERROR(INDEX(Kontenplan!$C$5:$C$90,MATCH($D872,Kontenplan!$A$5:$A$90,0)),"?"))</f>
        <v/>
      </c>
      <c r="U872" s="35" t="str">
        <f aca="false">IF($E872="","",IFERROR(INDEX(Kontenplan!$C$5:$C$90,MATCH($E872,Kontenplan!$A$5:$A$90,0)),"?"))</f>
        <v/>
      </c>
      <c r="V872" s="35" t="str">
        <f aca="false">IF($F872="","",IF(OR($D872="",$E872="",$T872="?",$U872="?"),"Konto prüfen!",IF($A872="","Datum fehlt",IF(YEAR($A872)&lt;&gt;Einstellungen!$B$7,"anderes Jahr!",IF($G872="","MWST-Code fehlt","OK")))))</f>
        <v/>
      </c>
      <c r="W872" s="35" t="str">
        <f aca="false">IF($F872="","",IF(OR($D872=Kontoauszug!$C$4,$E872=Kontoauszug!$C$4),MAX(W$4:W871)+1,""))</f>
        <v/>
      </c>
    </row>
    <row r="873" customFormat="false" ht="15" hidden="false" customHeight="false" outlineLevel="0" collapsed="false">
      <c r="A873" s="33"/>
      <c r="B873" s="32"/>
      <c r="C873" s="32"/>
      <c r="D873" s="32"/>
      <c r="E873" s="32"/>
      <c r="F873" s="30"/>
      <c r="G873" s="32"/>
      <c r="H873" s="34" t="n">
        <f aca="false">IF($G873="",0,IFERROR(INDEX(Einstellungen!$G$5:$G$11,MATCH($G873,Einstellungen!$E$5:$E$11,0)),0))</f>
        <v>0</v>
      </c>
      <c r="I873" s="35" t="str">
        <f aca="false">IF($G873="","-",IFERROR(INDEX(Einstellungen!$H$5:$H$11,MATCH($G873,Einstellungen!$E$5:$E$11,0)),"-"))</f>
        <v>-</v>
      </c>
      <c r="J873" s="35" t="str">
        <f aca="false">IF(AND(Einstellungen!$B$8="Ja",Einstellungen!$B$9="Effektiv"),$I873,"-")</f>
        <v>-</v>
      </c>
      <c r="K873" s="31" t="n">
        <f aca="false">IF(OR($F873="",$J873="-"),0,ROUND($F873-$F873/(1+$H873),2))</f>
        <v>0</v>
      </c>
      <c r="L873" s="31" t="n">
        <f aca="false">IF($F873="",0,$F873-$K873)</f>
        <v>0</v>
      </c>
      <c r="M873" s="31" t="n">
        <f aca="false">IF($F873="",0,IF($J873="V",$L873,$F873))</f>
        <v>0</v>
      </c>
      <c r="N873" s="31" t="n">
        <f aca="false">IF($F873="",0,IF($J873="U",$L873,$F873))</f>
        <v>0</v>
      </c>
      <c r="O873" s="35" t="str">
        <f aca="false">IF($A873="","",MONTH($A873))</f>
        <v/>
      </c>
      <c r="P873" s="35" t="str">
        <f aca="false">IF($A873="","",ROUNDUP(MONTH($A873)/3,0))</f>
        <v/>
      </c>
      <c r="Q873" s="35" t="str">
        <f aca="false">IF($A873="","",IF(MONTH($A873)&lt;=6,1,2))</f>
        <v/>
      </c>
      <c r="R873" s="35" t="str">
        <f aca="false">IF($E873="","",IFERROR(INDEX(Kontenplan!$F$5:$F$90,MATCH($E873,Kontenplan!$A$5:$A$90,0)),""))</f>
        <v/>
      </c>
      <c r="S873" s="35" t="str">
        <f aca="false">IF($D873="","",IFERROR(INDEX(Kontenplan!$F$5:$F$90,MATCH($D873,Kontenplan!$A$5:$A$90,0)),""))</f>
        <v/>
      </c>
      <c r="T873" s="35" t="str">
        <f aca="false">IF($D873="","",IFERROR(INDEX(Kontenplan!$C$5:$C$90,MATCH($D873,Kontenplan!$A$5:$A$90,0)),"?"))</f>
        <v/>
      </c>
      <c r="U873" s="35" t="str">
        <f aca="false">IF($E873="","",IFERROR(INDEX(Kontenplan!$C$5:$C$90,MATCH($E873,Kontenplan!$A$5:$A$90,0)),"?"))</f>
        <v/>
      </c>
      <c r="V873" s="35" t="str">
        <f aca="false">IF($F873="","",IF(OR($D873="",$E873="",$T873="?",$U873="?"),"Konto prüfen!",IF($A873="","Datum fehlt",IF(YEAR($A873)&lt;&gt;Einstellungen!$B$7,"anderes Jahr!",IF($G873="","MWST-Code fehlt","OK")))))</f>
        <v/>
      </c>
      <c r="W873" s="35" t="str">
        <f aca="false">IF($F873="","",IF(OR($D873=Kontoauszug!$C$4,$E873=Kontoauszug!$C$4),MAX(W$4:W872)+1,""))</f>
        <v/>
      </c>
    </row>
    <row r="874" customFormat="false" ht="15" hidden="false" customHeight="false" outlineLevel="0" collapsed="false">
      <c r="A874" s="33"/>
      <c r="B874" s="32"/>
      <c r="C874" s="32"/>
      <c r="D874" s="32"/>
      <c r="E874" s="32"/>
      <c r="F874" s="30"/>
      <c r="G874" s="32"/>
      <c r="H874" s="34" t="n">
        <f aca="false">IF($G874="",0,IFERROR(INDEX(Einstellungen!$G$5:$G$11,MATCH($G874,Einstellungen!$E$5:$E$11,0)),0))</f>
        <v>0</v>
      </c>
      <c r="I874" s="35" t="str">
        <f aca="false">IF($G874="","-",IFERROR(INDEX(Einstellungen!$H$5:$H$11,MATCH($G874,Einstellungen!$E$5:$E$11,0)),"-"))</f>
        <v>-</v>
      </c>
      <c r="J874" s="35" t="str">
        <f aca="false">IF(AND(Einstellungen!$B$8="Ja",Einstellungen!$B$9="Effektiv"),$I874,"-")</f>
        <v>-</v>
      </c>
      <c r="K874" s="31" t="n">
        <f aca="false">IF(OR($F874="",$J874="-"),0,ROUND($F874-$F874/(1+$H874),2))</f>
        <v>0</v>
      </c>
      <c r="L874" s="31" t="n">
        <f aca="false">IF($F874="",0,$F874-$K874)</f>
        <v>0</v>
      </c>
      <c r="M874" s="31" t="n">
        <f aca="false">IF($F874="",0,IF($J874="V",$L874,$F874))</f>
        <v>0</v>
      </c>
      <c r="N874" s="31" t="n">
        <f aca="false">IF($F874="",0,IF($J874="U",$L874,$F874))</f>
        <v>0</v>
      </c>
      <c r="O874" s="35" t="str">
        <f aca="false">IF($A874="","",MONTH($A874))</f>
        <v/>
      </c>
      <c r="P874" s="35" t="str">
        <f aca="false">IF($A874="","",ROUNDUP(MONTH($A874)/3,0))</f>
        <v/>
      </c>
      <c r="Q874" s="35" t="str">
        <f aca="false">IF($A874="","",IF(MONTH($A874)&lt;=6,1,2))</f>
        <v/>
      </c>
      <c r="R874" s="35" t="str">
        <f aca="false">IF($E874="","",IFERROR(INDEX(Kontenplan!$F$5:$F$90,MATCH($E874,Kontenplan!$A$5:$A$90,0)),""))</f>
        <v/>
      </c>
      <c r="S874" s="35" t="str">
        <f aca="false">IF($D874="","",IFERROR(INDEX(Kontenplan!$F$5:$F$90,MATCH($D874,Kontenplan!$A$5:$A$90,0)),""))</f>
        <v/>
      </c>
      <c r="T874" s="35" t="str">
        <f aca="false">IF($D874="","",IFERROR(INDEX(Kontenplan!$C$5:$C$90,MATCH($D874,Kontenplan!$A$5:$A$90,0)),"?"))</f>
        <v/>
      </c>
      <c r="U874" s="35" t="str">
        <f aca="false">IF($E874="","",IFERROR(INDEX(Kontenplan!$C$5:$C$90,MATCH($E874,Kontenplan!$A$5:$A$90,0)),"?"))</f>
        <v/>
      </c>
      <c r="V874" s="35" t="str">
        <f aca="false">IF($F874="","",IF(OR($D874="",$E874="",$T874="?",$U874="?"),"Konto prüfen!",IF($A874="","Datum fehlt",IF(YEAR($A874)&lt;&gt;Einstellungen!$B$7,"anderes Jahr!",IF($G874="","MWST-Code fehlt","OK")))))</f>
        <v/>
      </c>
      <c r="W874" s="35" t="str">
        <f aca="false">IF($F874="","",IF(OR($D874=Kontoauszug!$C$4,$E874=Kontoauszug!$C$4),MAX(W$4:W873)+1,""))</f>
        <v/>
      </c>
    </row>
    <row r="875" customFormat="false" ht="15" hidden="false" customHeight="false" outlineLevel="0" collapsed="false">
      <c r="A875" s="33"/>
      <c r="B875" s="32"/>
      <c r="C875" s="32"/>
      <c r="D875" s="32"/>
      <c r="E875" s="32"/>
      <c r="F875" s="30"/>
      <c r="G875" s="32"/>
      <c r="H875" s="34" t="n">
        <f aca="false">IF($G875="",0,IFERROR(INDEX(Einstellungen!$G$5:$G$11,MATCH($G875,Einstellungen!$E$5:$E$11,0)),0))</f>
        <v>0</v>
      </c>
      <c r="I875" s="35" t="str">
        <f aca="false">IF($G875="","-",IFERROR(INDEX(Einstellungen!$H$5:$H$11,MATCH($G875,Einstellungen!$E$5:$E$11,0)),"-"))</f>
        <v>-</v>
      </c>
      <c r="J875" s="35" t="str">
        <f aca="false">IF(AND(Einstellungen!$B$8="Ja",Einstellungen!$B$9="Effektiv"),$I875,"-")</f>
        <v>-</v>
      </c>
      <c r="K875" s="31" t="n">
        <f aca="false">IF(OR($F875="",$J875="-"),0,ROUND($F875-$F875/(1+$H875),2))</f>
        <v>0</v>
      </c>
      <c r="L875" s="31" t="n">
        <f aca="false">IF($F875="",0,$F875-$K875)</f>
        <v>0</v>
      </c>
      <c r="M875" s="31" t="n">
        <f aca="false">IF($F875="",0,IF($J875="V",$L875,$F875))</f>
        <v>0</v>
      </c>
      <c r="N875" s="31" t="n">
        <f aca="false">IF($F875="",0,IF($J875="U",$L875,$F875))</f>
        <v>0</v>
      </c>
      <c r="O875" s="35" t="str">
        <f aca="false">IF($A875="","",MONTH($A875))</f>
        <v/>
      </c>
      <c r="P875" s="35" t="str">
        <f aca="false">IF($A875="","",ROUNDUP(MONTH($A875)/3,0))</f>
        <v/>
      </c>
      <c r="Q875" s="35" t="str">
        <f aca="false">IF($A875="","",IF(MONTH($A875)&lt;=6,1,2))</f>
        <v/>
      </c>
      <c r="R875" s="35" t="str">
        <f aca="false">IF($E875="","",IFERROR(INDEX(Kontenplan!$F$5:$F$90,MATCH($E875,Kontenplan!$A$5:$A$90,0)),""))</f>
        <v/>
      </c>
      <c r="S875" s="35" t="str">
        <f aca="false">IF($D875="","",IFERROR(INDEX(Kontenplan!$F$5:$F$90,MATCH($D875,Kontenplan!$A$5:$A$90,0)),""))</f>
        <v/>
      </c>
      <c r="T875" s="35" t="str">
        <f aca="false">IF($D875="","",IFERROR(INDEX(Kontenplan!$C$5:$C$90,MATCH($D875,Kontenplan!$A$5:$A$90,0)),"?"))</f>
        <v/>
      </c>
      <c r="U875" s="35" t="str">
        <f aca="false">IF($E875="","",IFERROR(INDEX(Kontenplan!$C$5:$C$90,MATCH($E875,Kontenplan!$A$5:$A$90,0)),"?"))</f>
        <v/>
      </c>
      <c r="V875" s="35" t="str">
        <f aca="false">IF($F875="","",IF(OR($D875="",$E875="",$T875="?",$U875="?"),"Konto prüfen!",IF($A875="","Datum fehlt",IF(YEAR($A875)&lt;&gt;Einstellungen!$B$7,"anderes Jahr!",IF($G875="","MWST-Code fehlt","OK")))))</f>
        <v/>
      </c>
      <c r="W875" s="35" t="str">
        <f aca="false">IF($F875="","",IF(OR($D875=Kontoauszug!$C$4,$E875=Kontoauszug!$C$4),MAX(W$4:W874)+1,""))</f>
        <v/>
      </c>
    </row>
    <row r="876" customFormat="false" ht="15" hidden="false" customHeight="false" outlineLevel="0" collapsed="false">
      <c r="A876" s="33"/>
      <c r="B876" s="32"/>
      <c r="C876" s="32"/>
      <c r="D876" s="32"/>
      <c r="E876" s="32"/>
      <c r="F876" s="30"/>
      <c r="G876" s="32"/>
      <c r="H876" s="34" t="n">
        <f aca="false">IF($G876="",0,IFERROR(INDEX(Einstellungen!$G$5:$G$11,MATCH($G876,Einstellungen!$E$5:$E$11,0)),0))</f>
        <v>0</v>
      </c>
      <c r="I876" s="35" t="str">
        <f aca="false">IF($G876="","-",IFERROR(INDEX(Einstellungen!$H$5:$H$11,MATCH($G876,Einstellungen!$E$5:$E$11,0)),"-"))</f>
        <v>-</v>
      </c>
      <c r="J876" s="35" t="str">
        <f aca="false">IF(AND(Einstellungen!$B$8="Ja",Einstellungen!$B$9="Effektiv"),$I876,"-")</f>
        <v>-</v>
      </c>
      <c r="K876" s="31" t="n">
        <f aca="false">IF(OR($F876="",$J876="-"),0,ROUND($F876-$F876/(1+$H876),2))</f>
        <v>0</v>
      </c>
      <c r="L876" s="31" t="n">
        <f aca="false">IF($F876="",0,$F876-$K876)</f>
        <v>0</v>
      </c>
      <c r="M876" s="31" t="n">
        <f aca="false">IF($F876="",0,IF($J876="V",$L876,$F876))</f>
        <v>0</v>
      </c>
      <c r="N876" s="31" t="n">
        <f aca="false">IF($F876="",0,IF($J876="U",$L876,$F876))</f>
        <v>0</v>
      </c>
      <c r="O876" s="35" t="str">
        <f aca="false">IF($A876="","",MONTH($A876))</f>
        <v/>
      </c>
      <c r="P876" s="35" t="str">
        <f aca="false">IF($A876="","",ROUNDUP(MONTH($A876)/3,0))</f>
        <v/>
      </c>
      <c r="Q876" s="35" t="str">
        <f aca="false">IF($A876="","",IF(MONTH($A876)&lt;=6,1,2))</f>
        <v/>
      </c>
      <c r="R876" s="35" t="str">
        <f aca="false">IF($E876="","",IFERROR(INDEX(Kontenplan!$F$5:$F$90,MATCH($E876,Kontenplan!$A$5:$A$90,0)),""))</f>
        <v/>
      </c>
      <c r="S876" s="35" t="str">
        <f aca="false">IF($D876="","",IFERROR(INDEX(Kontenplan!$F$5:$F$90,MATCH($D876,Kontenplan!$A$5:$A$90,0)),""))</f>
        <v/>
      </c>
      <c r="T876" s="35" t="str">
        <f aca="false">IF($D876="","",IFERROR(INDEX(Kontenplan!$C$5:$C$90,MATCH($D876,Kontenplan!$A$5:$A$90,0)),"?"))</f>
        <v/>
      </c>
      <c r="U876" s="35" t="str">
        <f aca="false">IF($E876="","",IFERROR(INDEX(Kontenplan!$C$5:$C$90,MATCH($E876,Kontenplan!$A$5:$A$90,0)),"?"))</f>
        <v/>
      </c>
      <c r="V876" s="35" t="str">
        <f aca="false">IF($F876="","",IF(OR($D876="",$E876="",$T876="?",$U876="?"),"Konto prüfen!",IF($A876="","Datum fehlt",IF(YEAR($A876)&lt;&gt;Einstellungen!$B$7,"anderes Jahr!",IF($G876="","MWST-Code fehlt","OK")))))</f>
        <v/>
      </c>
      <c r="W876" s="35" t="str">
        <f aca="false">IF($F876="","",IF(OR($D876=Kontoauszug!$C$4,$E876=Kontoauszug!$C$4),MAX(W$4:W875)+1,""))</f>
        <v/>
      </c>
    </row>
    <row r="877" customFormat="false" ht="15" hidden="false" customHeight="false" outlineLevel="0" collapsed="false">
      <c r="A877" s="33"/>
      <c r="B877" s="32"/>
      <c r="C877" s="32"/>
      <c r="D877" s="32"/>
      <c r="E877" s="32"/>
      <c r="F877" s="30"/>
      <c r="G877" s="32"/>
      <c r="H877" s="34" t="n">
        <f aca="false">IF($G877="",0,IFERROR(INDEX(Einstellungen!$G$5:$G$11,MATCH($G877,Einstellungen!$E$5:$E$11,0)),0))</f>
        <v>0</v>
      </c>
      <c r="I877" s="35" t="str">
        <f aca="false">IF($G877="","-",IFERROR(INDEX(Einstellungen!$H$5:$H$11,MATCH($G877,Einstellungen!$E$5:$E$11,0)),"-"))</f>
        <v>-</v>
      </c>
      <c r="J877" s="35" t="str">
        <f aca="false">IF(AND(Einstellungen!$B$8="Ja",Einstellungen!$B$9="Effektiv"),$I877,"-")</f>
        <v>-</v>
      </c>
      <c r="K877" s="31" t="n">
        <f aca="false">IF(OR($F877="",$J877="-"),0,ROUND($F877-$F877/(1+$H877),2))</f>
        <v>0</v>
      </c>
      <c r="L877" s="31" t="n">
        <f aca="false">IF($F877="",0,$F877-$K877)</f>
        <v>0</v>
      </c>
      <c r="M877" s="31" t="n">
        <f aca="false">IF($F877="",0,IF($J877="V",$L877,$F877))</f>
        <v>0</v>
      </c>
      <c r="N877" s="31" t="n">
        <f aca="false">IF($F877="",0,IF($J877="U",$L877,$F877))</f>
        <v>0</v>
      </c>
      <c r="O877" s="35" t="str">
        <f aca="false">IF($A877="","",MONTH($A877))</f>
        <v/>
      </c>
      <c r="P877" s="35" t="str">
        <f aca="false">IF($A877="","",ROUNDUP(MONTH($A877)/3,0))</f>
        <v/>
      </c>
      <c r="Q877" s="35" t="str">
        <f aca="false">IF($A877="","",IF(MONTH($A877)&lt;=6,1,2))</f>
        <v/>
      </c>
      <c r="R877" s="35" t="str">
        <f aca="false">IF($E877="","",IFERROR(INDEX(Kontenplan!$F$5:$F$90,MATCH($E877,Kontenplan!$A$5:$A$90,0)),""))</f>
        <v/>
      </c>
      <c r="S877" s="35" t="str">
        <f aca="false">IF($D877="","",IFERROR(INDEX(Kontenplan!$F$5:$F$90,MATCH($D877,Kontenplan!$A$5:$A$90,0)),""))</f>
        <v/>
      </c>
      <c r="T877" s="35" t="str">
        <f aca="false">IF($D877="","",IFERROR(INDEX(Kontenplan!$C$5:$C$90,MATCH($D877,Kontenplan!$A$5:$A$90,0)),"?"))</f>
        <v/>
      </c>
      <c r="U877" s="35" t="str">
        <f aca="false">IF($E877="","",IFERROR(INDEX(Kontenplan!$C$5:$C$90,MATCH($E877,Kontenplan!$A$5:$A$90,0)),"?"))</f>
        <v/>
      </c>
      <c r="V877" s="35" t="str">
        <f aca="false">IF($F877="","",IF(OR($D877="",$E877="",$T877="?",$U877="?"),"Konto prüfen!",IF($A877="","Datum fehlt",IF(YEAR($A877)&lt;&gt;Einstellungen!$B$7,"anderes Jahr!",IF($G877="","MWST-Code fehlt","OK")))))</f>
        <v/>
      </c>
      <c r="W877" s="35" t="str">
        <f aca="false">IF($F877="","",IF(OR($D877=Kontoauszug!$C$4,$E877=Kontoauszug!$C$4),MAX(W$4:W876)+1,""))</f>
        <v/>
      </c>
    </row>
    <row r="878" customFormat="false" ht="15" hidden="false" customHeight="false" outlineLevel="0" collapsed="false">
      <c r="A878" s="33"/>
      <c r="B878" s="32"/>
      <c r="C878" s="32"/>
      <c r="D878" s="32"/>
      <c r="E878" s="32"/>
      <c r="F878" s="30"/>
      <c r="G878" s="32"/>
      <c r="H878" s="34" t="n">
        <f aca="false">IF($G878="",0,IFERROR(INDEX(Einstellungen!$G$5:$G$11,MATCH($G878,Einstellungen!$E$5:$E$11,0)),0))</f>
        <v>0</v>
      </c>
      <c r="I878" s="35" t="str">
        <f aca="false">IF($G878="","-",IFERROR(INDEX(Einstellungen!$H$5:$H$11,MATCH($G878,Einstellungen!$E$5:$E$11,0)),"-"))</f>
        <v>-</v>
      </c>
      <c r="J878" s="35" t="str">
        <f aca="false">IF(AND(Einstellungen!$B$8="Ja",Einstellungen!$B$9="Effektiv"),$I878,"-")</f>
        <v>-</v>
      </c>
      <c r="K878" s="31" t="n">
        <f aca="false">IF(OR($F878="",$J878="-"),0,ROUND($F878-$F878/(1+$H878),2))</f>
        <v>0</v>
      </c>
      <c r="L878" s="31" t="n">
        <f aca="false">IF($F878="",0,$F878-$K878)</f>
        <v>0</v>
      </c>
      <c r="M878" s="31" t="n">
        <f aca="false">IF($F878="",0,IF($J878="V",$L878,$F878))</f>
        <v>0</v>
      </c>
      <c r="N878" s="31" t="n">
        <f aca="false">IF($F878="",0,IF($J878="U",$L878,$F878))</f>
        <v>0</v>
      </c>
      <c r="O878" s="35" t="str">
        <f aca="false">IF($A878="","",MONTH($A878))</f>
        <v/>
      </c>
      <c r="P878" s="35" t="str">
        <f aca="false">IF($A878="","",ROUNDUP(MONTH($A878)/3,0))</f>
        <v/>
      </c>
      <c r="Q878" s="35" t="str">
        <f aca="false">IF($A878="","",IF(MONTH($A878)&lt;=6,1,2))</f>
        <v/>
      </c>
      <c r="R878" s="35" t="str">
        <f aca="false">IF($E878="","",IFERROR(INDEX(Kontenplan!$F$5:$F$90,MATCH($E878,Kontenplan!$A$5:$A$90,0)),""))</f>
        <v/>
      </c>
      <c r="S878" s="35" t="str">
        <f aca="false">IF($D878="","",IFERROR(INDEX(Kontenplan!$F$5:$F$90,MATCH($D878,Kontenplan!$A$5:$A$90,0)),""))</f>
        <v/>
      </c>
      <c r="T878" s="35" t="str">
        <f aca="false">IF($D878="","",IFERROR(INDEX(Kontenplan!$C$5:$C$90,MATCH($D878,Kontenplan!$A$5:$A$90,0)),"?"))</f>
        <v/>
      </c>
      <c r="U878" s="35" t="str">
        <f aca="false">IF($E878="","",IFERROR(INDEX(Kontenplan!$C$5:$C$90,MATCH($E878,Kontenplan!$A$5:$A$90,0)),"?"))</f>
        <v/>
      </c>
      <c r="V878" s="35" t="str">
        <f aca="false">IF($F878="","",IF(OR($D878="",$E878="",$T878="?",$U878="?"),"Konto prüfen!",IF($A878="","Datum fehlt",IF(YEAR($A878)&lt;&gt;Einstellungen!$B$7,"anderes Jahr!",IF($G878="","MWST-Code fehlt","OK")))))</f>
        <v/>
      </c>
      <c r="W878" s="35" t="str">
        <f aca="false">IF($F878="","",IF(OR($D878=Kontoauszug!$C$4,$E878=Kontoauszug!$C$4),MAX(W$4:W877)+1,""))</f>
        <v/>
      </c>
    </row>
    <row r="879" customFormat="false" ht="15" hidden="false" customHeight="false" outlineLevel="0" collapsed="false">
      <c r="A879" s="33"/>
      <c r="B879" s="32"/>
      <c r="C879" s="32"/>
      <c r="D879" s="32"/>
      <c r="E879" s="32"/>
      <c r="F879" s="30"/>
      <c r="G879" s="32"/>
      <c r="H879" s="34" t="n">
        <f aca="false">IF($G879="",0,IFERROR(INDEX(Einstellungen!$G$5:$G$11,MATCH($G879,Einstellungen!$E$5:$E$11,0)),0))</f>
        <v>0</v>
      </c>
      <c r="I879" s="35" t="str">
        <f aca="false">IF($G879="","-",IFERROR(INDEX(Einstellungen!$H$5:$H$11,MATCH($G879,Einstellungen!$E$5:$E$11,0)),"-"))</f>
        <v>-</v>
      </c>
      <c r="J879" s="35" t="str">
        <f aca="false">IF(AND(Einstellungen!$B$8="Ja",Einstellungen!$B$9="Effektiv"),$I879,"-")</f>
        <v>-</v>
      </c>
      <c r="K879" s="31" t="n">
        <f aca="false">IF(OR($F879="",$J879="-"),0,ROUND($F879-$F879/(1+$H879),2))</f>
        <v>0</v>
      </c>
      <c r="L879" s="31" t="n">
        <f aca="false">IF($F879="",0,$F879-$K879)</f>
        <v>0</v>
      </c>
      <c r="M879" s="31" t="n">
        <f aca="false">IF($F879="",0,IF($J879="V",$L879,$F879))</f>
        <v>0</v>
      </c>
      <c r="N879" s="31" t="n">
        <f aca="false">IF($F879="",0,IF($J879="U",$L879,$F879))</f>
        <v>0</v>
      </c>
      <c r="O879" s="35" t="str">
        <f aca="false">IF($A879="","",MONTH($A879))</f>
        <v/>
      </c>
      <c r="P879" s="35" t="str">
        <f aca="false">IF($A879="","",ROUNDUP(MONTH($A879)/3,0))</f>
        <v/>
      </c>
      <c r="Q879" s="35" t="str">
        <f aca="false">IF($A879="","",IF(MONTH($A879)&lt;=6,1,2))</f>
        <v/>
      </c>
      <c r="R879" s="35" t="str">
        <f aca="false">IF($E879="","",IFERROR(INDEX(Kontenplan!$F$5:$F$90,MATCH($E879,Kontenplan!$A$5:$A$90,0)),""))</f>
        <v/>
      </c>
      <c r="S879" s="35" t="str">
        <f aca="false">IF($D879="","",IFERROR(INDEX(Kontenplan!$F$5:$F$90,MATCH($D879,Kontenplan!$A$5:$A$90,0)),""))</f>
        <v/>
      </c>
      <c r="T879" s="35" t="str">
        <f aca="false">IF($D879="","",IFERROR(INDEX(Kontenplan!$C$5:$C$90,MATCH($D879,Kontenplan!$A$5:$A$90,0)),"?"))</f>
        <v/>
      </c>
      <c r="U879" s="35" t="str">
        <f aca="false">IF($E879="","",IFERROR(INDEX(Kontenplan!$C$5:$C$90,MATCH($E879,Kontenplan!$A$5:$A$90,0)),"?"))</f>
        <v/>
      </c>
      <c r="V879" s="35" t="str">
        <f aca="false">IF($F879="","",IF(OR($D879="",$E879="",$T879="?",$U879="?"),"Konto prüfen!",IF($A879="","Datum fehlt",IF(YEAR($A879)&lt;&gt;Einstellungen!$B$7,"anderes Jahr!",IF($G879="","MWST-Code fehlt","OK")))))</f>
        <v/>
      </c>
      <c r="W879" s="35" t="str">
        <f aca="false">IF($F879="","",IF(OR($D879=Kontoauszug!$C$4,$E879=Kontoauszug!$C$4),MAX(W$4:W878)+1,""))</f>
        <v/>
      </c>
    </row>
    <row r="880" customFormat="false" ht="15" hidden="false" customHeight="false" outlineLevel="0" collapsed="false">
      <c r="A880" s="33"/>
      <c r="B880" s="32"/>
      <c r="C880" s="32"/>
      <c r="D880" s="32"/>
      <c r="E880" s="32"/>
      <c r="F880" s="30"/>
      <c r="G880" s="32"/>
      <c r="H880" s="34" t="n">
        <f aca="false">IF($G880="",0,IFERROR(INDEX(Einstellungen!$G$5:$G$11,MATCH($G880,Einstellungen!$E$5:$E$11,0)),0))</f>
        <v>0</v>
      </c>
      <c r="I880" s="35" t="str">
        <f aca="false">IF($G880="","-",IFERROR(INDEX(Einstellungen!$H$5:$H$11,MATCH($G880,Einstellungen!$E$5:$E$11,0)),"-"))</f>
        <v>-</v>
      </c>
      <c r="J880" s="35" t="str">
        <f aca="false">IF(AND(Einstellungen!$B$8="Ja",Einstellungen!$B$9="Effektiv"),$I880,"-")</f>
        <v>-</v>
      </c>
      <c r="K880" s="31" t="n">
        <f aca="false">IF(OR($F880="",$J880="-"),0,ROUND($F880-$F880/(1+$H880),2))</f>
        <v>0</v>
      </c>
      <c r="L880" s="31" t="n">
        <f aca="false">IF($F880="",0,$F880-$K880)</f>
        <v>0</v>
      </c>
      <c r="M880" s="31" t="n">
        <f aca="false">IF($F880="",0,IF($J880="V",$L880,$F880))</f>
        <v>0</v>
      </c>
      <c r="N880" s="31" t="n">
        <f aca="false">IF($F880="",0,IF($J880="U",$L880,$F880))</f>
        <v>0</v>
      </c>
      <c r="O880" s="35" t="str">
        <f aca="false">IF($A880="","",MONTH($A880))</f>
        <v/>
      </c>
      <c r="P880" s="35" t="str">
        <f aca="false">IF($A880="","",ROUNDUP(MONTH($A880)/3,0))</f>
        <v/>
      </c>
      <c r="Q880" s="35" t="str">
        <f aca="false">IF($A880="","",IF(MONTH($A880)&lt;=6,1,2))</f>
        <v/>
      </c>
      <c r="R880" s="35" t="str">
        <f aca="false">IF($E880="","",IFERROR(INDEX(Kontenplan!$F$5:$F$90,MATCH($E880,Kontenplan!$A$5:$A$90,0)),""))</f>
        <v/>
      </c>
      <c r="S880" s="35" t="str">
        <f aca="false">IF($D880="","",IFERROR(INDEX(Kontenplan!$F$5:$F$90,MATCH($D880,Kontenplan!$A$5:$A$90,0)),""))</f>
        <v/>
      </c>
      <c r="T880" s="35" t="str">
        <f aca="false">IF($D880="","",IFERROR(INDEX(Kontenplan!$C$5:$C$90,MATCH($D880,Kontenplan!$A$5:$A$90,0)),"?"))</f>
        <v/>
      </c>
      <c r="U880" s="35" t="str">
        <f aca="false">IF($E880="","",IFERROR(INDEX(Kontenplan!$C$5:$C$90,MATCH($E880,Kontenplan!$A$5:$A$90,0)),"?"))</f>
        <v/>
      </c>
      <c r="V880" s="35" t="str">
        <f aca="false">IF($F880="","",IF(OR($D880="",$E880="",$T880="?",$U880="?"),"Konto prüfen!",IF($A880="","Datum fehlt",IF(YEAR($A880)&lt;&gt;Einstellungen!$B$7,"anderes Jahr!",IF($G880="","MWST-Code fehlt","OK")))))</f>
        <v/>
      </c>
      <c r="W880" s="35" t="str">
        <f aca="false">IF($F880="","",IF(OR($D880=Kontoauszug!$C$4,$E880=Kontoauszug!$C$4),MAX(W$4:W879)+1,""))</f>
        <v/>
      </c>
    </row>
    <row r="881" customFormat="false" ht="15" hidden="false" customHeight="false" outlineLevel="0" collapsed="false">
      <c r="A881" s="33"/>
      <c r="B881" s="32"/>
      <c r="C881" s="32"/>
      <c r="D881" s="32"/>
      <c r="E881" s="32"/>
      <c r="F881" s="30"/>
      <c r="G881" s="32"/>
      <c r="H881" s="34" t="n">
        <f aca="false">IF($G881="",0,IFERROR(INDEX(Einstellungen!$G$5:$G$11,MATCH($G881,Einstellungen!$E$5:$E$11,0)),0))</f>
        <v>0</v>
      </c>
      <c r="I881" s="35" t="str">
        <f aca="false">IF($G881="","-",IFERROR(INDEX(Einstellungen!$H$5:$H$11,MATCH($G881,Einstellungen!$E$5:$E$11,0)),"-"))</f>
        <v>-</v>
      </c>
      <c r="J881" s="35" t="str">
        <f aca="false">IF(AND(Einstellungen!$B$8="Ja",Einstellungen!$B$9="Effektiv"),$I881,"-")</f>
        <v>-</v>
      </c>
      <c r="K881" s="31" t="n">
        <f aca="false">IF(OR($F881="",$J881="-"),0,ROUND($F881-$F881/(1+$H881),2))</f>
        <v>0</v>
      </c>
      <c r="L881" s="31" t="n">
        <f aca="false">IF($F881="",0,$F881-$K881)</f>
        <v>0</v>
      </c>
      <c r="M881" s="31" t="n">
        <f aca="false">IF($F881="",0,IF($J881="V",$L881,$F881))</f>
        <v>0</v>
      </c>
      <c r="N881" s="31" t="n">
        <f aca="false">IF($F881="",0,IF($J881="U",$L881,$F881))</f>
        <v>0</v>
      </c>
      <c r="O881" s="35" t="str">
        <f aca="false">IF($A881="","",MONTH($A881))</f>
        <v/>
      </c>
      <c r="P881" s="35" t="str">
        <f aca="false">IF($A881="","",ROUNDUP(MONTH($A881)/3,0))</f>
        <v/>
      </c>
      <c r="Q881" s="35" t="str">
        <f aca="false">IF($A881="","",IF(MONTH($A881)&lt;=6,1,2))</f>
        <v/>
      </c>
      <c r="R881" s="35" t="str">
        <f aca="false">IF($E881="","",IFERROR(INDEX(Kontenplan!$F$5:$F$90,MATCH($E881,Kontenplan!$A$5:$A$90,0)),""))</f>
        <v/>
      </c>
      <c r="S881" s="35" t="str">
        <f aca="false">IF($D881="","",IFERROR(INDEX(Kontenplan!$F$5:$F$90,MATCH($D881,Kontenplan!$A$5:$A$90,0)),""))</f>
        <v/>
      </c>
      <c r="T881" s="35" t="str">
        <f aca="false">IF($D881="","",IFERROR(INDEX(Kontenplan!$C$5:$C$90,MATCH($D881,Kontenplan!$A$5:$A$90,0)),"?"))</f>
        <v/>
      </c>
      <c r="U881" s="35" t="str">
        <f aca="false">IF($E881="","",IFERROR(INDEX(Kontenplan!$C$5:$C$90,MATCH($E881,Kontenplan!$A$5:$A$90,0)),"?"))</f>
        <v/>
      </c>
      <c r="V881" s="35" t="str">
        <f aca="false">IF($F881="","",IF(OR($D881="",$E881="",$T881="?",$U881="?"),"Konto prüfen!",IF($A881="","Datum fehlt",IF(YEAR($A881)&lt;&gt;Einstellungen!$B$7,"anderes Jahr!",IF($G881="","MWST-Code fehlt","OK")))))</f>
        <v/>
      </c>
      <c r="W881" s="35" t="str">
        <f aca="false">IF($F881="","",IF(OR($D881=Kontoauszug!$C$4,$E881=Kontoauszug!$C$4),MAX(W$4:W880)+1,""))</f>
        <v/>
      </c>
    </row>
    <row r="882" customFormat="false" ht="15" hidden="false" customHeight="false" outlineLevel="0" collapsed="false">
      <c r="A882" s="33"/>
      <c r="B882" s="32"/>
      <c r="C882" s="32"/>
      <c r="D882" s="32"/>
      <c r="E882" s="32"/>
      <c r="F882" s="30"/>
      <c r="G882" s="32"/>
      <c r="H882" s="34" t="n">
        <f aca="false">IF($G882="",0,IFERROR(INDEX(Einstellungen!$G$5:$G$11,MATCH($G882,Einstellungen!$E$5:$E$11,0)),0))</f>
        <v>0</v>
      </c>
      <c r="I882" s="35" t="str">
        <f aca="false">IF($G882="","-",IFERROR(INDEX(Einstellungen!$H$5:$H$11,MATCH($G882,Einstellungen!$E$5:$E$11,0)),"-"))</f>
        <v>-</v>
      </c>
      <c r="J882" s="35" t="str">
        <f aca="false">IF(AND(Einstellungen!$B$8="Ja",Einstellungen!$B$9="Effektiv"),$I882,"-")</f>
        <v>-</v>
      </c>
      <c r="K882" s="31" t="n">
        <f aca="false">IF(OR($F882="",$J882="-"),0,ROUND($F882-$F882/(1+$H882),2))</f>
        <v>0</v>
      </c>
      <c r="L882" s="31" t="n">
        <f aca="false">IF($F882="",0,$F882-$K882)</f>
        <v>0</v>
      </c>
      <c r="M882" s="31" t="n">
        <f aca="false">IF($F882="",0,IF($J882="V",$L882,$F882))</f>
        <v>0</v>
      </c>
      <c r="N882" s="31" t="n">
        <f aca="false">IF($F882="",0,IF($J882="U",$L882,$F882))</f>
        <v>0</v>
      </c>
      <c r="O882" s="35" t="str">
        <f aca="false">IF($A882="","",MONTH($A882))</f>
        <v/>
      </c>
      <c r="P882" s="35" t="str">
        <f aca="false">IF($A882="","",ROUNDUP(MONTH($A882)/3,0))</f>
        <v/>
      </c>
      <c r="Q882" s="35" t="str">
        <f aca="false">IF($A882="","",IF(MONTH($A882)&lt;=6,1,2))</f>
        <v/>
      </c>
      <c r="R882" s="35" t="str">
        <f aca="false">IF($E882="","",IFERROR(INDEX(Kontenplan!$F$5:$F$90,MATCH($E882,Kontenplan!$A$5:$A$90,0)),""))</f>
        <v/>
      </c>
      <c r="S882" s="35" t="str">
        <f aca="false">IF($D882="","",IFERROR(INDEX(Kontenplan!$F$5:$F$90,MATCH($D882,Kontenplan!$A$5:$A$90,0)),""))</f>
        <v/>
      </c>
      <c r="T882" s="35" t="str">
        <f aca="false">IF($D882="","",IFERROR(INDEX(Kontenplan!$C$5:$C$90,MATCH($D882,Kontenplan!$A$5:$A$90,0)),"?"))</f>
        <v/>
      </c>
      <c r="U882" s="35" t="str">
        <f aca="false">IF($E882="","",IFERROR(INDEX(Kontenplan!$C$5:$C$90,MATCH($E882,Kontenplan!$A$5:$A$90,0)),"?"))</f>
        <v/>
      </c>
      <c r="V882" s="35" t="str">
        <f aca="false">IF($F882="","",IF(OR($D882="",$E882="",$T882="?",$U882="?"),"Konto prüfen!",IF($A882="","Datum fehlt",IF(YEAR($A882)&lt;&gt;Einstellungen!$B$7,"anderes Jahr!",IF($G882="","MWST-Code fehlt","OK")))))</f>
        <v/>
      </c>
      <c r="W882" s="35" t="str">
        <f aca="false">IF($F882="","",IF(OR($D882=Kontoauszug!$C$4,$E882=Kontoauszug!$C$4),MAX(W$4:W881)+1,""))</f>
        <v/>
      </c>
    </row>
    <row r="883" customFormat="false" ht="15" hidden="false" customHeight="false" outlineLevel="0" collapsed="false">
      <c r="A883" s="33"/>
      <c r="B883" s="32"/>
      <c r="C883" s="32"/>
      <c r="D883" s="32"/>
      <c r="E883" s="32"/>
      <c r="F883" s="30"/>
      <c r="G883" s="32"/>
      <c r="H883" s="34" t="n">
        <f aca="false">IF($G883="",0,IFERROR(INDEX(Einstellungen!$G$5:$G$11,MATCH($G883,Einstellungen!$E$5:$E$11,0)),0))</f>
        <v>0</v>
      </c>
      <c r="I883" s="35" t="str">
        <f aca="false">IF($G883="","-",IFERROR(INDEX(Einstellungen!$H$5:$H$11,MATCH($G883,Einstellungen!$E$5:$E$11,0)),"-"))</f>
        <v>-</v>
      </c>
      <c r="J883" s="35" t="str">
        <f aca="false">IF(AND(Einstellungen!$B$8="Ja",Einstellungen!$B$9="Effektiv"),$I883,"-")</f>
        <v>-</v>
      </c>
      <c r="K883" s="31" t="n">
        <f aca="false">IF(OR($F883="",$J883="-"),0,ROUND($F883-$F883/(1+$H883),2))</f>
        <v>0</v>
      </c>
      <c r="L883" s="31" t="n">
        <f aca="false">IF($F883="",0,$F883-$K883)</f>
        <v>0</v>
      </c>
      <c r="M883" s="31" t="n">
        <f aca="false">IF($F883="",0,IF($J883="V",$L883,$F883))</f>
        <v>0</v>
      </c>
      <c r="N883" s="31" t="n">
        <f aca="false">IF($F883="",0,IF($J883="U",$L883,$F883))</f>
        <v>0</v>
      </c>
      <c r="O883" s="35" t="str">
        <f aca="false">IF($A883="","",MONTH($A883))</f>
        <v/>
      </c>
      <c r="P883" s="35" t="str">
        <f aca="false">IF($A883="","",ROUNDUP(MONTH($A883)/3,0))</f>
        <v/>
      </c>
      <c r="Q883" s="35" t="str">
        <f aca="false">IF($A883="","",IF(MONTH($A883)&lt;=6,1,2))</f>
        <v/>
      </c>
      <c r="R883" s="35" t="str">
        <f aca="false">IF($E883="","",IFERROR(INDEX(Kontenplan!$F$5:$F$90,MATCH($E883,Kontenplan!$A$5:$A$90,0)),""))</f>
        <v/>
      </c>
      <c r="S883" s="35" t="str">
        <f aca="false">IF($D883="","",IFERROR(INDEX(Kontenplan!$F$5:$F$90,MATCH($D883,Kontenplan!$A$5:$A$90,0)),""))</f>
        <v/>
      </c>
      <c r="T883" s="35" t="str">
        <f aca="false">IF($D883="","",IFERROR(INDEX(Kontenplan!$C$5:$C$90,MATCH($D883,Kontenplan!$A$5:$A$90,0)),"?"))</f>
        <v/>
      </c>
      <c r="U883" s="35" t="str">
        <f aca="false">IF($E883="","",IFERROR(INDEX(Kontenplan!$C$5:$C$90,MATCH($E883,Kontenplan!$A$5:$A$90,0)),"?"))</f>
        <v/>
      </c>
      <c r="V883" s="35" t="str">
        <f aca="false">IF($F883="","",IF(OR($D883="",$E883="",$T883="?",$U883="?"),"Konto prüfen!",IF($A883="","Datum fehlt",IF(YEAR($A883)&lt;&gt;Einstellungen!$B$7,"anderes Jahr!",IF($G883="","MWST-Code fehlt","OK")))))</f>
        <v/>
      </c>
      <c r="W883" s="35" t="str">
        <f aca="false">IF($F883="","",IF(OR($D883=Kontoauszug!$C$4,$E883=Kontoauszug!$C$4),MAX(W$4:W882)+1,""))</f>
        <v/>
      </c>
    </row>
    <row r="884" customFormat="false" ht="15" hidden="false" customHeight="false" outlineLevel="0" collapsed="false">
      <c r="A884" s="33"/>
      <c r="B884" s="32"/>
      <c r="C884" s="32"/>
      <c r="D884" s="32"/>
      <c r="E884" s="32"/>
      <c r="F884" s="30"/>
      <c r="G884" s="32"/>
      <c r="H884" s="34" t="n">
        <f aca="false">IF($G884="",0,IFERROR(INDEX(Einstellungen!$G$5:$G$11,MATCH($G884,Einstellungen!$E$5:$E$11,0)),0))</f>
        <v>0</v>
      </c>
      <c r="I884" s="35" t="str">
        <f aca="false">IF($G884="","-",IFERROR(INDEX(Einstellungen!$H$5:$H$11,MATCH($G884,Einstellungen!$E$5:$E$11,0)),"-"))</f>
        <v>-</v>
      </c>
      <c r="J884" s="35" t="str">
        <f aca="false">IF(AND(Einstellungen!$B$8="Ja",Einstellungen!$B$9="Effektiv"),$I884,"-")</f>
        <v>-</v>
      </c>
      <c r="K884" s="31" t="n">
        <f aca="false">IF(OR($F884="",$J884="-"),0,ROUND($F884-$F884/(1+$H884),2))</f>
        <v>0</v>
      </c>
      <c r="L884" s="31" t="n">
        <f aca="false">IF($F884="",0,$F884-$K884)</f>
        <v>0</v>
      </c>
      <c r="M884" s="31" t="n">
        <f aca="false">IF($F884="",0,IF($J884="V",$L884,$F884))</f>
        <v>0</v>
      </c>
      <c r="N884" s="31" t="n">
        <f aca="false">IF($F884="",0,IF($J884="U",$L884,$F884))</f>
        <v>0</v>
      </c>
      <c r="O884" s="35" t="str">
        <f aca="false">IF($A884="","",MONTH($A884))</f>
        <v/>
      </c>
      <c r="P884" s="35" t="str">
        <f aca="false">IF($A884="","",ROUNDUP(MONTH($A884)/3,0))</f>
        <v/>
      </c>
      <c r="Q884" s="35" t="str">
        <f aca="false">IF($A884="","",IF(MONTH($A884)&lt;=6,1,2))</f>
        <v/>
      </c>
      <c r="R884" s="35" t="str">
        <f aca="false">IF($E884="","",IFERROR(INDEX(Kontenplan!$F$5:$F$90,MATCH($E884,Kontenplan!$A$5:$A$90,0)),""))</f>
        <v/>
      </c>
      <c r="S884" s="35" t="str">
        <f aca="false">IF($D884="","",IFERROR(INDEX(Kontenplan!$F$5:$F$90,MATCH($D884,Kontenplan!$A$5:$A$90,0)),""))</f>
        <v/>
      </c>
      <c r="T884" s="35" t="str">
        <f aca="false">IF($D884="","",IFERROR(INDEX(Kontenplan!$C$5:$C$90,MATCH($D884,Kontenplan!$A$5:$A$90,0)),"?"))</f>
        <v/>
      </c>
      <c r="U884" s="35" t="str">
        <f aca="false">IF($E884="","",IFERROR(INDEX(Kontenplan!$C$5:$C$90,MATCH($E884,Kontenplan!$A$5:$A$90,0)),"?"))</f>
        <v/>
      </c>
      <c r="V884" s="35" t="str">
        <f aca="false">IF($F884="","",IF(OR($D884="",$E884="",$T884="?",$U884="?"),"Konto prüfen!",IF($A884="","Datum fehlt",IF(YEAR($A884)&lt;&gt;Einstellungen!$B$7,"anderes Jahr!",IF($G884="","MWST-Code fehlt","OK")))))</f>
        <v/>
      </c>
      <c r="W884" s="35" t="str">
        <f aca="false">IF($F884="","",IF(OR($D884=Kontoauszug!$C$4,$E884=Kontoauszug!$C$4),MAX(W$4:W883)+1,""))</f>
        <v/>
      </c>
    </row>
    <row r="885" customFormat="false" ht="15" hidden="false" customHeight="false" outlineLevel="0" collapsed="false">
      <c r="A885" s="33"/>
      <c r="B885" s="32"/>
      <c r="C885" s="32"/>
      <c r="D885" s="32"/>
      <c r="E885" s="32"/>
      <c r="F885" s="30"/>
      <c r="G885" s="32"/>
      <c r="H885" s="34" t="n">
        <f aca="false">IF($G885="",0,IFERROR(INDEX(Einstellungen!$G$5:$G$11,MATCH($G885,Einstellungen!$E$5:$E$11,0)),0))</f>
        <v>0</v>
      </c>
      <c r="I885" s="35" t="str">
        <f aca="false">IF($G885="","-",IFERROR(INDEX(Einstellungen!$H$5:$H$11,MATCH($G885,Einstellungen!$E$5:$E$11,0)),"-"))</f>
        <v>-</v>
      </c>
      <c r="J885" s="35" t="str">
        <f aca="false">IF(AND(Einstellungen!$B$8="Ja",Einstellungen!$B$9="Effektiv"),$I885,"-")</f>
        <v>-</v>
      </c>
      <c r="K885" s="31" t="n">
        <f aca="false">IF(OR($F885="",$J885="-"),0,ROUND($F885-$F885/(1+$H885),2))</f>
        <v>0</v>
      </c>
      <c r="L885" s="31" t="n">
        <f aca="false">IF($F885="",0,$F885-$K885)</f>
        <v>0</v>
      </c>
      <c r="M885" s="31" t="n">
        <f aca="false">IF($F885="",0,IF($J885="V",$L885,$F885))</f>
        <v>0</v>
      </c>
      <c r="N885" s="31" t="n">
        <f aca="false">IF($F885="",0,IF($J885="U",$L885,$F885))</f>
        <v>0</v>
      </c>
      <c r="O885" s="35" t="str">
        <f aca="false">IF($A885="","",MONTH($A885))</f>
        <v/>
      </c>
      <c r="P885" s="35" t="str">
        <f aca="false">IF($A885="","",ROUNDUP(MONTH($A885)/3,0))</f>
        <v/>
      </c>
      <c r="Q885" s="35" t="str">
        <f aca="false">IF($A885="","",IF(MONTH($A885)&lt;=6,1,2))</f>
        <v/>
      </c>
      <c r="R885" s="35" t="str">
        <f aca="false">IF($E885="","",IFERROR(INDEX(Kontenplan!$F$5:$F$90,MATCH($E885,Kontenplan!$A$5:$A$90,0)),""))</f>
        <v/>
      </c>
      <c r="S885" s="35" t="str">
        <f aca="false">IF($D885="","",IFERROR(INDEX(Kontenplan!$F$5:$F$90,MATCH($D885,Kontenplan!$A$5:$A$90,0)),""))</f>
        <v/>
      </c>
      <c r="T885" s="35" t="str">
        <f aca="false">IF($D885="","",IFERROR(INDEX(Kontenplan!$C$5:$C$90,MATCH($D885,Kontenplan!$A$5:$A$90,0)),"?"))</f>
        <v/>
      </c>
      <c r="U885" s="35" t="str">
        <f aca="false">IF($E885="","",IFERROR(INDEX(Kontenplan!$C$5:$C$90,MATCH($E885,Kontenplan!$A$5:$A$90,0)),"?"))</f>
        <v/>
      </c>
      <c r="V885" s="35" t="str">
        <f aca="false">IF($F885="","",IF(OR($D885="",$E885="",$T885="?",$U885="?"),"Konto prüfen!",IF($A885="","Datum fehlt",IF(YEAR($A885)&lt;&gt;Einstellungen!$B$7,"anderes Jahr!",IF($G885="","MWST-Code fehlt","OK")))))</f>
        <v/>
      </c>
      <c r="W885" s="35" t="str">
        <f aca="false">IF($F885="","",IF(OR($D885=Kontoauszug!$C$4,$E885=Kontoauszug!$C$4),MAX(W$4:W884)+1,""))</f>
        <v/>
      </c>
    </row>
    <row r="886" customFormat="false" ht="15" hidden="false" customHeight="false" outlineLevel="0" collapsed="false">
      <c r="A886" s="33"/>
      <c r="B886" s="32"/>
      <c r="C886" s="32"/>
      <c r="D886" s="32"/>
      <c r="E886" s="32"/>
      <c r="F886" s="30"/>
      <c r="G886" s="32"/>
      <c r="H886" s="34" t="n">
        <f aca="false">IF($G886="",0,IFERROR(INDEX(Einstellungen!$G$5:$G$11,MATCH($G886,Einstellungen!$E$5:$E$11,0)),0))</f>
        <v>0</v>
      </c>
      <c r="I886" s="35" t="str">
        <f aca="false">IF($G886="","-",IFERROR(INDEX(Einstellungen!$H$5:$H$11,MATCH($G886,Einstellungen!$E$5:$E$11,0)),"-"))</f>
        <v>-</v>
      </c>
      <c r="J886" s="35" t="str">
        <f aca="false">IF(AND(Einstellungen!$B$8="Ja",Einstellungen!$B$9="Effektiv"),$I886,"-")</f>
        <v>-</v>
      </c>
      <c r="K886" s="31" t="n">
        <f aca="false">IF(OR($F886="",$J886="-"),0,ROUND($F886-$F886/(1+$H886),2))</f>
        <v>0</v>
      </c>
      <c r="L886" s="31" t="n">
        <f aca="false">IF($F886="",0,$F886-$K886)</f>
        <v>0</v>
      </c>
      <c r="M886" s="31" t="n">
        <f aca="false">IF($F886="",0,IF($J886="V",$L886,$F886))</f>
        <v>0</v>
      </c>
      <c r="N886" s="31" t="n">
        <f aca="false">IF($F886="",0,IF($J886="U",$L886,$F886))</f>
        <v>0</v>
      </c>
      <c r="O886" s="35" t="str">
        <f aca="false">IF($A886="","",MONTH($A886))</f>
        <v/>
      </c>
      <c r="P886" s="35" t="str">
        <f aca="false">IF($A886="","",ROUNDUP(MONTH($A886)/3,0))</f>
        <v/>
      </c>
      <c r="Q886" s="35" t="str">
        <f aca="false">IF($A886="","",IF(MONTH($A886)&lt;=6,1,2))</f>
        <v/>
      </c>
      <c r="R886" s="35" t="str">
        <f aca="false">IF($E886="","",IFERROR(INDEX(Kontenplan!$F$5:$F$90,MATCH($E886,Kontenplan!$A$5:$A$90,0)),""))</f>
        <v/>
      </c>
      <c r="S886" s="35" t="str">
        <f aca="false">IF($D886="","",IFERROR(INDEX(Kontenplan!$F$5:$F$90,MATCH($D886,Kontenplan!$A$5:$A$90,0)),""))</f>
        <v/>
      </c>
      <c r="T886" s="35" t="str">
        <f aca="false">IF($D886="","",IFERROR(INDEX(Kontenplan!$C$5:$C$90,MATCH($D886,Kontenplan!$A$5:$A$90,0)),"?"))</f>
        <v/>
      </c>
      <c r="U886" s="35" t="str">
        <f aca="false">IF($E886="","",IFERROR(INDEX(Kontenplan!$C$5:$C$90,MATCH($E886,Kontenplan!$A$5:$A$90,0)),"?"))</f>
        <v/>
      </c>
      <c r="V886" s="35" t="str">
        <f aca="false">IF($F886="","",IF(OR($D886="",$E886="",$T886="?",$U886="?"),"Konto prüfen!",IF($A886="","Datum fehlt",IF(YEAR($A886)&lt;&gt;Einstellungen!$B$7,"anderes Jahr!",IF($G886="","MWST-Code fehlt","OK")))))</f>
        <v/>
      </c>
      <c r="W886" s="35" t="str">
        <f aca="false">IF($F886="","",IF(OR($D886=Kontoauszug!$C$4,$E886=Kontoauszug!$C$4),MAX(W$4:W885)+1,""))</f>
        <v/>
      </c>
    </row>
    <row r="887" customFormat="false" ht="15" hidden="false" customHeight="false" outlineLevel="0" collapsed="false">
      <c r="A887" s="33"/>
      <c r="B887" s="32"/>
      <c r="C887" s="32"/>
      <c r="D887" s="32"/>
      <c r="E887" s="32"/>
      <c r="F887" s="30"/>
      <c r="G887" s="32"/>
      <c r="H887" s="34" t="n">
        <f aca="false">IF($G887="",0,IFERROR(INDEX(Einstellungen!$G$5:$G$11,MATCH($G887,Einstellungen!$E$5:$E$11,0)),0))</f>
        <v>0</v>
      </c>
      <c r="I887" s="35" t="str">
        <f aca="false">IF($G887="","-",IFERROR(INDEX(Einstellungen!$H$5:$H$11,MATCH($G887,Einstellungen!$E$5:$E$11,0)),"-"))</f>
        <v>-</v>
      </c>
      <c r="J887" s="35" t="str">
        <f aca="false">IF(AND(Einstellungen!$B$8="Ja",Einstellungen!$B$9="Effektiv"),$I887,"-")</f>
        <v>-</v>
      </c>
      <c r="K887" s="31" t="n">
        <f aca="false">IF(OR($F887="",$J887="-"),0,ROUND($F887-$F887/(1+$H887),2))</f>
        <v>0</v>
      </c>
      <c r="L887" s="31" t="n">
        <f aca="false">IF($F887="",0,$F887-$K887)</f>
        <v>0</v>
      </c>
      <c r="M887" s="31" t="n">
        <f aca="false">IF($F887="",0,IF($J887="V",$L887,$F887))</f>
        <v>0</v>
      </c>
      <c r="N887" s="31" t="n">
        <f aca="false">IF($F887="",0,IF($J887="U",$L887,$F887))</f>
        <v>0</v>
      </c>
      <c r="O887" s="35" t="str">
        <f aca="false">IF($A887="","",MONTH($A887))</f>
        <v/>
      </c>
      <c r="P887" s="35" t="str">
        <f aca="false">IF($A887="","",ROUNDUP(MONTH($A887)/3,0))</f>
        <v/>
      </c>
      <c r="Q887" s="35" t="str">
        <f aca="false">IF($A887="","",IF(MONTH($A887)&lt;=6,1,2))</f>
        <v/>
      </c>
      <c r="R887" s="35" t="str">
        <f aca="false">IF($E887="","",IFERROR(INDEX(Kontenplan!$F$5:$F$90,MATCH($E887,Kontenplan!$A$5:$A$90,0)),""))</f>
        <v/>
      </c>
      <c r="S887" s="35" t="str">
        <f aca="false">IF($D887="","",IFERROR(INDEX(Kontenplan!$F$5:$F$90,MATCH($D887,Kontenplan!$A$5:$A$90,0)),""))</f>
        <v/>
      </c>
      <c r="T887" s="35" t="str">
        <f aca="false">IF($D887="","",IFERROR(INDEX(Kontenplan!$C$5:$C$90,MATCH($D887,Kontenplan!$A$5:$A$90,0)),"?"))</f>
        <v/>
      </c>
      <c r="U887" s="35" t="str">
        <f aca="false">IF($E887="","",IFERROR(INDEX(Kontenplan!$C$5:$C$90,MATCH($E887,Kontenplan!$A$5:$A$90,0)),"?"))</f>
        <v/>
      </c>
      <c r="V887" s="35" t="str">
        <f aca="false">IF($F887="","",IF(OR($D887="",$E887="",$T887="?",$U887="?"),"Konto prüfen!",IF($A887="","Datum fehlt",IF(YEAR($A887)&lt;&gt;Einstellungen!$B$7,"anderes Jahr!",IF($G887="","MWST-Code fehlt","OK")))))</f>
        <v/>
      </c>
      <c r="W887" s="35" t="str">
        <f aca="false">IF($F887="","",IF(OR($D887=Kontoauszug!$C$4,$E887=Kontoauszug!$C$4),MAX(W$4:W886)+1,""))</f>
        <v/>
      </c>
    </row>
    <row r="888" customFormat="false" ht="15" hidden="false" customHeight="false" outlineLevel="0" collapsed="false">
      <c r="A888" s="33"/>
      <c r="B888" s="32"/>
      <c r="C888" s="32"/>
      <c r="D888" s="32"/>
      <c r="E888" s="32"/>
      <c r="F888" s="30"/>
      <c r="G888" s="32"/>
      <c r="H888" s="34" t="n">
        <f aca="false">IF($G888="",0,IFERROR(INDEX(Einstellungen!$G$5:$G$11,MATCH($G888,Einstellungen!$E$5:$E$11,0)),0))</f>
        <v>0</v>
      </c>
      <c r="I888" s="35" t="str">
        <f aca="false">IF($G888="","-",IFERROR(INDEX(Einstellungen!$H$5:$H$11,MATCH($G888,Einstellungen!$E$5:$E$11,0)),"-"))</f>
        <v>-</v>
      </c>
      <c r="J888" s="35" t="str">
        <f aca="false">IF(AND(Einstellungen!$B$8="Ja",Einstellungen!$B$9="Effektiv"),$I888,"-")</f>
        <v>-</v>
      </c>
      <c r="K888" s="31" t="n">
        <f aca="false">IF(OR($F888="",$J888="-"),0,ROUND($F888-$F888/(1+$H888),2))</f>
        <v>0</v>
      </c>
      <c r="L888" s="31" t="n">
        <f aca="false">IF($F888="",0,$F888-$K888)</f>
        <v>0</v>
      </c>
      <c r="M888" s="31" t="n">
        <f aca="false">IF($F888="",0,IF($J888="V",$L888,$F888))</f>
        <v>0</v>
      </c>
      <c r="N888" s="31" t="n">
        <f aca="false">IF($F888="",0,IF($J888="U",$L888,$F888))</f>
        <v>0</v>
      </c>
      <c r="O888" s="35" t="str">
        <f aca="false">IF($A888="","",MONTH($A888))</f>
        <v/>
      </c>
      <c r="P888" s="35" t="str">
        <f aca="false">IF($A888="","",ROUNDUP(MONTH($A888)/3,0))</f>
        <v/>
      </c>
      <c r="Q888" s="35" t="str">
        <f aca="false">IF($A888="","",IF(MONTH($A888)&lt;=6,1,2))</f>
        <v/>
      </c>
      <c r="R888" s="35" t="str">
        <f aca="false">IF($E888="","",IFERROR(INDEX(Kontenplan!$F$5:$F$90,MATCH($E888,Kontenplan!$A$5:$A$90,0)),""))</f>
        <v/>
      </c>
      <c r="S888" s="35" t="str">
        <f aca="false">IF($D888="","",IFERROR(INDEX(Kontenplan!$F$5:$F$90,MATCH($D888,Kontenplan!$A$5:$A$90,0)),""))</f>
        <v/>
      </c>
      <c r="T888" s="35" t="str">
        <f aca="false">IF($D888="","",IFERROR(INDEX(Kontenplan!$C$5:$C$90,MATCH($D888,Kontenplan!$A$5:$A$90,0)),"?"))</f>
        <v/>
      </c>
      <c r="U888" s="35" t="str">
        <f aca="false">IF($E888="","",IFERROR(INDEX(Kontenplan!$C$5:$C$90,MATCH($E888,Kontenplan!$A$5:$A$90,0)),"?"))</f>
        <v/>
      </c>
      <c r="V888" s="35" t="str">
        <f aca="false">IF($F888="","",IF(OR($D888="",$E888="",$T888="?",$U888="?"),"Konto prüfen!",IF($A888="","Datum fehlt",IF(YEAR($A888)&lt;&gt;Einstellungen!$B$7,"anderes Jahr!",IF($G888="","MWST-Code fehlt","OK")))))</f>
        <v/>
      </c>
      <c r="W888" s="35" t="str">
        <f aca="false">IF($F888="","",IF(OR($D888=Kontoauszug!$C$4,$E888=Kontoauszug!$C$4),MAX(W$4:W887)+1,""))</f>
        <v/>
      </c>
    </row>
    <row r="889" customFormat="false" ht="15" hidden="false" customHeight="false" outlineLevel="0" collapsed="false">
      <c r="A889" s="33"/>
      <c r="B889" s="32"/>
      <c r="C889" s="32"/>
      <c r="D889" s="32"/>
      <c r="E889" s="32"/>
      <c r="F889" s="30"/>
      <c r="G889" s="32"/>
      <c r="H889" s="34" t="n">
        <f aca="false">IF($G889="",0,IFERROR(INDEX(Einstellungen!$G$5:$G$11,MATCH($G889,Einstellungen!$E$5:$E$11,0)),0))</f>
        <v>0</v>
      </c>
      <c r="I889" s="35" t="str">
        <f aca="false">IF($G889="","-",IFERROR(INDEX(Einstellungen!$H$5:$H$11,MATCH($G889,Einstellungen!$E$5:$E$11,0)),"-"))</f>
        <v>-</v>
      </c>
      <c r="J889" s="35" t="str">
        <f aca="false">IF(AND(Einstellungen!$B$8="Ja",Einstellungen!$B$9="Effektiv"),$I889,"-")</f>
        <v>-</v>
      </c>
      <c r="K889" s="31" t="n">
        <f aca="false">IF(OR($F889="",$J889="-"),0,ROUND($F889-$F889/(1+$H889),2))</f>
        <v>0</v>
      </c>
      <c r="L889" s="31" t="n">
        <f aca="false">IF($F889="",0,$F889-$K889)</f>
        <v>0</v>
      </c>
      <c r="M889" s="31" t="n">
        <f aca="false">IF($F889="",0,IF($J889="V",$L889,$F889))</f>
        <v>0</v>
      </c>
      <c r="N889" s="31" t="n">
        <f aca="false">IF($F889="",0,IF($J889="U",$L889,$F889))</f>
        <v>0</v>
      </c>
      <c r="O889" s="35" t="str">
        <f aca="false">IF($A889="","",MONTH($A889))</f>
        <v/>
      </c>
      <c r="P889" s="35" t="str">
        <f aca="false">IF($A889="","",ROUNDUP(MONTH($A889)/3,0))</f>
        <v/>
      </c>
      <c r="Q889" s="35" t="str">
        <f aca="false">IF($A889="","",IF(MONTH($A889)&lt;=6,1,2))</f>
        <v/>
      </c>
      <c r="R889" s="35" t="str">
        <f aca="false">IF($E889="","",IFERROR(INDEX(Kontenplan!$F$5:$F$90,MATCH($E889,Kontenplan!$A$5:$A$90,0)),""))</f>
        <v/>
      </c>
      <c r="S889" s="35" t="str">
        <f aca="false">IF($D889="","",IFERROR(INDEX(Kontenplan!$F$5:$F$90,MATCH($D889,Kontenplan!$A$5:$A$90,0)),""))</f>
        <v/>
      </c>
      <c r="T889" s="35" t="str">
        <f aca="false">IF($D889="","",IFERROR(INDEX(Kontenplan!$C$5:$C$90,MATCH($D889,Kontenplan!$A$5:$A$90,0)),"?"))</f>
        <v/>
      </c>
      <c r="U889" s="35" t="str">
        <f aca="false">IF($E889="","",IFERROR(INDEX(Kontenplan!$C$5:$C$90,MATCH($E889,Kontenplan!$A$5:$A$90,0)),"?"))</f>
        <v/>
      </c>
      <c r="V889" s="35" t="str">
        <f aca="false">IF($F889="","",IF(OR($D889="",$E889="",$T889="?",$U889="?"),"Konto prüfen!",IF($A889="","Datum fehlt",IF(YEAR($A889)&lt;&gt;Einstellungen!$B$7,"anderes Jahr!",IF($G889="","MWST-Code fehlt","OK")))))</f>
        <v/>
      </c>
      <c r="W889" s="35" t="str">
        <f aca="false">IF($F889="","",IF(OR($D889=Kontoauszug!$C$4,$E889=Kontoauszug!$C$4),MAX(W$4:W888)+1,""))</f>
        <v/>
      </c>
    </row>
    <row r="890" customFormat="false" ht="15" hidden="false" customHeight="false" outlineLevel="0" collapsed="false">
      <c r="A890" s="33"/>
      <c r="B890" s="32"/>
      <c r="C890" s="32"/>
      <c r="D890" s="32"/>
      <c r="E890" s="32"/>
      <c r="F890" s="30"/>
      <c r="G890" s="32"/>
      <c r="H890" s="34" t="n">
        <f aca="false">IF($G890="",0,IFERROR(INDEX(Einstellungen!$G$5:$G$11,MATCH($G890,Einstellungen!$E$5:$E$11,0)),0))</f>
        <v>0</v>
      </c>
      <c r="I890" s="35" t="str">
        <f aca="false">IF($G890="","-",IFERROR(INDEX(Einstellungen!$H$5:$H$11,MATCH($G890,Einstellungen!$E$5:$E$11,0)),"-"))</f>
        <v>-</v>
      </c>
      <c r="J890" s="35" t="str">
        <f aca="false">IF(AND(Einstellungen!$B$8="Ja",Einstellungen!$B$9="Effektiv"),$I890,"-")</f>
        <v>-</v>
      </c>
      <c r="K890" s="31" t="n">
        <f aca="false">IF(OR($F890="",$J890="-"),0,ROUND($F890-$F890/(1+$H890),2))</f>
        <v>0</v>
      </c>
      <c r="L890" s="31" t="n">
        <f aca="false">IF($F890="",0,$F890-$K890)</f>
        <v>0</v>
      </c>
      <c r="M890" s="31" t="n">
        <f aca="false">IF($F890="",0,IF($J890="V",$L890,$F890))</f>
        <v>0</v>
      </c>
      <c r="N890" s="31" t="n">
        <f aca="false">IF($F890="",0,IF($J890="U",$L890,$F890))</f>
        <v>0</v>
      </c>
      <c r="O890" s="35" t="str">
        <f aca="false">IF($A890="","",MONTH($A890))</f>
        <v/>
      </c>
      <c r="P890" s="35" t="str">
        <f aca="false">IF($A890="","",ROUNDUP(MONTH($A890)/3,0))</f>
        <v/>
      </c>
      <c r="Q890" s="35" t="str">
        <f aca="false">IF($A890="","",IF(MONTH($A890)&lt;=6,1,2))</f>
        <v/>
      </c>
      <c r="R890" s="35" t="str">
        <f aca="false">IF($E890="","",IFERROR(INDEX(Kontenplan!$F$5:$F$90,MATCH($E890,Kontenplan!$A$5:$A$90,0)),""))</f>
        <v/>
      </c>
      <c r="S890" s="35" t="str">
        <f aca="false">IF($D890="","",IFERROR(INDEX(Kontenplan!$F$5:$F$90,MATCH($D890,Kontenplan!$A$5:$A$90,0)),""))</f>
        <v/>
      </c>
      <c r="T890" s="35" t="str">
        <f aca="false">IF($D890="","",IFERROR(INDEX(Kontenplan!$C$5:$C$90,MATCH($D890,Kontenplan!$A$5:$A$90,0)),"?"))</f>
        <v/>
      </c>
      <c r="U890" s="35" t="str">
        <f aca="false">IF($E890="","",IFERROR(INDEX(Kontenplan!$C$5:$C$90,MATCH($E890,Kontenplan!$A$5:$A$90,0)),"?"))</f>
        <v/>
      </c>
      <c r="V890" s="35" t="str">
        <f aca="false">IF($F890="","",IF(OR($D890="",$E890="",$T890="?",$U890="?"),"Konto prüfen!",IF($A890="","Datum fehlt",IF(YEAR($A890)&lt;&gt;Einstellungen!$B$7,"anderes Jahr!",IF($G890="","MWST-Code fehlt","OK")))))</f>
        <v/>
      </c>
      <c r="W890" s="35" t="str">
        <f aca="false">IF($F890="","",IF(OR($D890=Kontoauszug!$C$4,$E890=Kontoauszug!$C$4),MAX(W$4:W889)+1,""))</f>
        <v/>
      </c>
    </row>
    <row r="891" customFormat="false" ht="15" hidden="false" customHeight="false" outlineLevel="0" collapsed="false">
      <c r="A891" s="33"/>
      <c r="B891" s="32"/>
      <c r="C891" s="32"/>
      <c r="D891" s="32"/>
      <c r="E891" s="32"/>
      <c r="F891" s="30"/>
      <c r="G891" s="32"/>
      <c r="H891" s="34" t="n">
        <f aca="false">IF($G891="",0,IFERROR(INDEX(Einstellungen!$G$5:$G$11,MATCH($G891,Einstellungen!$E$5:$E$11,0)),0))</f>
        <v>0</v>
      </c>
      <c r="I891" s="35" t="str">
        <f aca="false">IF($G891="","-",IFERROR(INDEX(Einstellungen!$H$5:$H$11,MATCH($G891,Einstellungen!$E$5:$E$11,0)),"-"))</f>
        <v>-</v>
      </c>
      <c r="J891" s="35" t="str">
        <f aca="false">IF(AND(Einstellungen!$B$8="Ja",Einstellungen!$B$9="Effektiv"),$I891,"-")</f>
        <v>-</v>
      </c>
      <c r="K891" s="31" t="n">
        <f aca="false">IF(OR($F891="",$J891="-"),0,ROUND($F891-$F891/(1+$H891),2))</f>
        <v>0</v>
      </c>
      <c r="L891" s="31" t="n">
        <f aca="false">IF($F891="",0,$F891-$K891)</f>
        <v>0</v>
      </c>
      <c r="M891" s="31" t="n">
        <f aca="false">IF($F891="",0,IF($J891="V",$L891,$F891))</f>
        <v>0</v>
      </c>
      <c r="N891" s="31" t="n">
        <f aca="false">IF($F891="",0,IF($J891="U",$L891,$F891))</f>
        <v>0</v>
      </c>
      <c r="O891" s="35" t="str">
        <f aca="false">IF($A891="","",MONTH($A891))</f>
        <v/>
      </c>
      <c r="P891" s="35" t="str">
        <f aca="false">IF($A891="","",ROUNDUP(MONTH($A891)/3,0))</f>
        <v/>
      </c>
      <c r="Q891" s="35" t="str">
        <f aca="false">IF($A891="","",IF(MONTH($A891)&lt;=6,1,2))</f>
        <v/>
      </c>
      <c r="R891" s="35" t="str">
        <f aca="false">IF($E891="","",IFERROR(INDEX(Kontenplan!$F$5:$F$90,MATCH($E891,Kontenplan!$A$5:$A$90,0)),""))</f>
        <v/>
      </c>
      <c r="S891" s="35" t="str">
        <f aca="false">IF($D891="","",IFERROR(INDEX(Kontenplan!$F$5:$F$90,MATCH($D891,Kontenplan!$A$5:$A$90,0)),""))</f>
        <v/>
      </c>
      <c r="T891" s="35" t="str">
        <f aca="false">IF($D891="","",IFERROR(INDEX(Kontenplan!$C$5:$C$90,MATCH($D891,Kontenplan!$A$5:$A$90,0)),"?"))</f>
        <v/>
      </c>
      <c r="U891" s="35" t="str">
        <f aca="false">IF($E891="","",IFERROR(INDEX(Kontenplan!$C$5:$C$90,MATCH($E891,Kontenplan!$A$5:$A$90,0)),"?"))</f>
        <v/>
      </c>
      <c r="V891" s="35" t="str">
        <f aca="false">IF($F891="","",IF(OR($D891="",$E891="",$T891="?",$U891="?"),"Konto prüfen!",IF($A891="","Datum fehlt",IF(YEAR($A891)&lt;&gt;Einstellungen!$B$7,"anderes Jahr!",IF($G891="","MWST-Code fehlt","OK")))))</f>
        <v/>
      </c>
      <c r="W891" s="35" t="str">
        <f aca="false">IF($F891="","",IF(OR($D891=Kontoauszug!$C$4,$E891=Kontoauszug!$C$4),MAX(W$4:W890)+1,""))</f>
        <v/>
      </c>
    </row>
    <row r="892" customFormat="false" ht="15" hidden="false" customHeight="false" outlineLevel="0" collapsed="false">
      <c r="A892" s="33"/>
      <c r="B892" s="32"/>
      <c r="C892" s="32"/>
      <c r="D892" s="32"/>
      <c r="E892" s="32"/>
      <c r="F892" s="30"/>
      <c r="G892" s="32"/>
      <c r="H892" s="34" t="n">
        <f aca="false">IF($G892="",0,IFERROR(INDEX(Einstellungen!$G$5:$G$11,MATCH($G892,Einstellungen!$E$5:$E$11,0)),0))</f>
        <v>0</v>
      </c>
      <c r="I892" s="35" t="str">
        <f aca="false">IF($G892="","-",IFERROR(INDEX(Einstellungen!$H$5:$H$11,MATCH($G892,Einstellungen!$E$5:$E$11,0)),"-"))</f>
        <v>-</v>
      </c>
      <c r="J892" s="35" t="str">
        <f aca="false">IF(AND(Einstellungen!$B$8="Ja",Einstellungen!$B$9="Effektiv"),$I892,"-")</f>
        <v>-</v>
      </c>
      <c r="K892" s="31" t="n">
        <f aca="false">IF(OR($F892="",$J892="-"),0,ROUND($F892-$F892/(1+$H892),2))</f>
        <v>0</v>
      </c>
      <c r="L892" s="31" t="n">
        <f aca="false">IF($F892="",0,$F892-$K892)</f>
        <v>0</v>
      </c>
      <c r="M892" s="31" t="n">
        <f aca="false">IF($F892="",0,IF($J892="V",$L892,$F892))</f>
        <v>0</v>
      </c>
      <c r="N892" s="31" t="n">
        <f aca="false">IF($F892="",0,IF($J892="U",$L892,$F892))</f>
        <v>0</v>
      </c>
      <c r="O892" s="35" t="str">
        <f aca="false">IF($A892="","",MONTH($A892))</f>
        <v/>
      </c>
      <c r="P892" s="35" t="str">
        <f aca="false">IF($A892="","",ROUNDUP(MONTH($A892)/3,0))</f>
        <v/>
      </c>
      <c r="Q892" s="35" t="str">
        <f aca="false">IF($A892="","",IF(MONTH($A892)&lt;=6,1,2))</f>
        <v/>
      </c>
      <c r="R892" s="35" t="str">
        <f aca="false">IF($E892="","",IFERROR(INDEX(Kontenplan!$F$5:$F$90,MATCH($E892,Kontenplan!$A$5:$A$90,0)),""))</f>
        <v/>
      </c>
      <c r="S892" s="35" t="str">
        <f aca="false">IF($D892="","",IFERROR(INDEX(Kontenplan!$F$5:$F$90,MATCH($D892,Kontenplan!$A$5:$A$90,0)),""))</f>
        <v/>
      </c>
      <c r="T892" s="35" t="str">
        <f aca="false">IF($D892="","",IFERROR(INDEX(Kontenplan!$C$5:$C$90,MATCH($D892,Kontenplan!$A$5:$A$90,0)),"?"))</f>
        <v/>
      </c>
      <c r="U892" s="35" t="str">
        <f aca="false">IF($E892="","",IFERROR(INDEX(Kontenplan!$C$5:$C$90,MATCH($E892,Kontenplan!$A$5:$A$90,0)),"?"))</f>
        <v/>
      </c>
      <c r="V892" s="35" t="str">
        <f aca="false">IF($F892="","",IF(OR($D892="",$E892="",$T892="?",$U892="?"),"Konto prüfen!",IF($A892="","Datum fehlt",IF(YEAR($A892)&lt;&gt;Einstellungen!$B$7,"anderes Jahr!",IF($G892="","MWST-Code fehlt","OK")))))</f>
        <v/>
      </c>
      <c r="W892" s="35" t="str">
        <f aca="false">IF($F892="","",IF(OR($D892=Kontoauszug!$C$4,$E892=Kontoauszug!$C$4),MAX(W$4:W891)+1,""))</f>
        <v/>
      </c>
    </row>
    <row r="893" customFormat="false" ht="15" hidden="false" customHeight="false" outlineLevel="0" collapsed="false">
      <c r="A893" s="33"/>
      <c r="B893" s="32"/>
      <c r="C893" s="32"/>
      <c r="D893" s="32"/>
      <c r="E893" s="32"/>
      <c r="F893" s="30"/>
      <c r="G893" s="32"/>
      <c r="H893" s="34" t="n">
        <f aca="false">IF($G893="",0,IFERROR(INDEX(Einstellungen!$G$5:$G$11,MATCH($G893,Einstellungen!$E$5:$E$11,0)),0))</f>
        <v>0</v>
      </c>
      <c r="I893" s="35" t="str">
        <f aca="false">IF($G893="","-",IFERROR(INDEX(Einstellungen!$H$5:$H$11,MATCH($G893,Einstellungen!$E$5:$E$11,0)),"-"))</f>
        <v>-</v>
      </c>
      <c r="J893" s="35" t="str">
        <f aca="false">IF(AND(Einstellungen!$B$8="Ja",Einstellungen!$B$9="Effektiv"),$I893,"-")</f>
        <v>-</v>
      </c>
      <c r="K893" s="31" t="n">
        <f aca="false">IF(OR($F893="",$J893="-"),0,ROUND($F893-$F893/(1+$H893),2))</f>
        <v>0</v>
      </c>
      <c r="L893" s="31" t="n">
        <f aca="false">IF($F893="",0,$F893-$K893)</f>
        <v>0</v>
      </c>
      <c r="M893" s="31" t="n">
        <f aca="false">IF($F893="",0,IF($J893="V",$L893,$F893))</f>
        <v>0</v>
      </c>
      <c r="N893" s="31" t="n">
        <f aca="false">IF($F893="",0,IF($J893="U",$L893,$F893))</f>
        <v>0</v>
      </c>
      <c r="O893" s="35" t="str">
        <f aca="false">IF($A893="","",MONTH($A893))</f>
        <v/>
      </c>
      <c r="P893" s="35" t="str">
        <f aca="false">IF($A893="","",ROUNDUP(MONTH($A893)/3,0))</f>
        <v/>
      </c>
      <c r="Q893" s="35" t="str">
        <f aca="false">IF($A893="","",IF(MONTH($A893)&lt;=6,1,2))</f>
        <v/>
      </c>
      <c r="R893" s="35" t="str">
        <f aca="false">IF($E893="","",IFERROR(INDEX(Kontenplan!$F$5:$F$90,MATCH($E893,Kontenplan!$A$5:$A$90,0)),""))</f>
        <v/>
      </c>
      <c r="S893" s="35" t="str">
        <f aca="false">IF($D893="","",IFERROR(INDEX(Kontenplan!$F$5:$F$90,MATCH($D893,Kontenplan!$A$5:$A$90,0)),""))</f>
        <v/>
      </c>
      <c r="T893" s="35" t="str">
        <f aca="false">IF($D893="","",IFERROR(INDEX(Kontenplan!$C$5:$C$90,MATCH($D893,Kontenplan!$A$5:$A$90,0)),"?"))</f>
        <v/>
      </c>
      <c r="U893" s="35" t="str">
        <f aca="false">IF($E893="","",IFERROR(INDEX(Kontenplan!$C$5:$C$90,MATCH($E893,Kontenplan!$A$5:$A$90,0)),"?"))</f>
        <v/>
      </c>
      <c r="V893" s="35" t="str">
        <f aca="false">IF($F893="","",IF(OR($D893="",$E893="",$T893="?",$U893="?"),"Konto prüfen!",IF($A893="","Datum fehlt",IF(YEAR($A893)&lt;&gt;Einstellungen!$B$7,"anderes Jahr!",IF($G893="","MWST-Code fehlt","OK")))))</f>
        <v/>
      </c>
      <c r="W893" s="35" t="str">
        <f aca="false">IF($F893="","",IF(OR($D893=Kontoauszug!$C$4,$E893=Kontoauszug!$C$4),MAX(W$4:W892)+1,""))</f>
        <v/>
      </c>
    </row>
    <row r="894" customFormat="false" ht="15" hidden="false" customHeight="false" outlineLevel="0" collapsed="false">
      <c r="A894" s="33"/>
      <c r="B894" s="32"/>
      <c r="C894" s="32"/>
      <c r="D894" s="32"/>
      <c r="E894" s="32"/>
      <c r="F894" s="30"/>
      <c r="G894" s="32"/>
      <c r="H894" s="34" t="n">
        <f aca="false">IF($G894="",0,IFERROR(INDEX(Einstellungen!$G$5:$G$11,MATCH($G894,Einstellungen!$E$5:$E$11,0)),0))</f>
        <v>0</v>
      </c>
      <c r="I894" s="35" t="str">
        <f aca="false">IF($G894="","-",IFERROR(INDEX(Einstellungen!$H$5:$H$11,MATCH($G894,Einstellungen!$E$5:$E$11,0)),"-"))</f>
        <v>-</v>
      </c>
      <c r="J894" s="35" t="str">
        <f aca="false">IF(AND(Einstellungen!$B$8="Ja",Einstellungen!$B$9="Effektiv"),$I894,"-")</f>
        <v>-</v>
      </c>
      <c r="K894" s="31" t="n">
        <f aca="false">IF(OR($F894="",$J894="-"),0,ROUND($F894-$F894/(1+$H894),2))</f>
        <v>0</v>
      </c>
      <c r="L894" s="31" t="n">
        <f aca="false">IF($F894="",0,$F894-$K894)</f>
        <v>0</v>
      </c>
      <c r="M894" s="31" t="n">
        <f aca="false">IF($F894="",0,IF($J894="V",$L894,$F894))</f>
        <v>0</v>
      </c>
      <c r="N894" s="31" t="n">
        <f aca="false">IF($F894="",0,IF($J894="U",$L894,$F894))</f>
        <v>0</v>
      </c>
      <c r="O894" s="35" t="str">
        <f aca="false">IF($A894="","",MONTH($A894))</f>
        <v/>
      </c>
      <c r="P894" s="35" t="str">
        <f aca="false">IF($A894="","",ROUNDUP(MONTH($A894)/3,0))</f>
        <v/>
      </c>
      <c r="Q894" s="35" t="str">
        <f aca="false">IF($A894="","",IF(MONTH($A894)&lt;=6,1,2))</f>
        <v/>
      </c>
      <c r="R894" s="35" t="str">
        <f aca="false">IF($E894="","",IFERROR(INDEX(Kontenplan!$F$5:$F$90,MATCH($E894,Kontenplan!$A$5:$A$90,0)),""))</f>
        <v/>
      </c>
      <c r="S894" s="35" t="str">
        <f aca="false">IF($D894="","",IFERROR(INDEX(Kontenplan!$F$5:$F$90,MATCH($D894,Kontenplan!$A$5:$A$90,0)),""))</f>
        <v/>
      </c>
      <c r="T894" s="35" t="str">
        <f aca="false">IF($D894="","",IFERROR(INDEX(Kontenplan!$C$5:$C$90,MATCH($D894,Kontenplan!$A$5:$A$90,0)),"?"))</f>
        <v/>
      </c>
      <c r="U894" s="35" t="str">
        <f aca="false">IF($E894="","",IFERROR(INDEX(Kontenplan!$C$5:$C$90,MATCH($E894,Kontenplan!$A$5:$A$90,0)),"?"))</f>
        <v/>
      </c>
      <c r="V894" s="35" t="str">
        <f aca="false">IF($F894="","",IF(OR($D894="",$E894="",$T894="?",$U894="?"),"Konto prüfen!",IF($A894="","Datum fehlt",IF(YEAR($A894)&lt;&gt;Einstellungen!$B$7,"anderes Jahr!",IF($G894="","MWST-Code fehlt","OK")))))</f>
        <v/>
      </c>
      <c r="W894" s="35" t="str">
        <f aca="false">IF($F894="","",IF(OR($D894=Kontoauszug!$C$4,$E894=Kontoauszug!$C$4),MAX(W$4:W893)+1,""))</f>
        <v/>
      </c>
    </row>
    <row r="895" customFormat="false" ht="15" hidden="false" customHeight="false" outlineLevel="0" collapsed="false">
      <c r="A895" s="33"/>
      <c r="B895" s="32"/>
      <c r="C895" s="32"/>
      <c r="D895" s="32"/>
      <c r="E895" s="32"/>
      <c r="F895" s="30"/>
      <c r="G895" s="32"/>
      <c r="H895" s="34" t="n">
        <f aca="false">IF($G895="",0,IFERROR(INDEX(Einstellungen!$G$5:$G$11,MATCH($G895,Einstellungen!$E$5:$E$11,0)),0))</f>
        <v>0</v>
      </c>
      <c r="I895" s="35" t="str">
        <f aca="false">IF($G895="","-",IFERROR(INDEX(Einstellungen!$H$5:$H$11,MATCH($G895,Einstellungen!$E$5:$E$11,0)),"-"))</f>
        <v>-</v>
      </c>
      <c r="J895" s="35" t="str">
        <f aca="false">IF(AND(Einstellungen!$B$8="Ja",Einstellungen!$B$9="Effektiv"),$I895,"-")</f>
        <v>-</v>
      </c>
      <c r="K895" s="31" t="n">
        <f aca="false">IF(OR($F895="",$J895="-"),0,ROUND($F895-$F895/(1+$H895),2))</f>
        <v>0</v>
      </c>
      <c r="L895" s="31" t="n">
        <f aca="false">IF($F895="",0,$F895-$K895)</f>
        <v>0</v>
      </c>
      <c r="M895" s="31" t="n">
        <f aca="false">IF($F895="",0,IF($J895="V",$L895,$F895))</f>
        <v>0</v>
      </c>
      <c r="N895" s="31" t="n">
        <f aca="false">IF($F895="",0,IF($J895="U",$L895,$F895))</f>
        <v>0</v>
      </c>
      <c r="O895" s="35" t="str">
        <f aca="false">IF($A895="","",MONTH($A895))</f>
        <v/>
      </c>
      <c r="P895" s="35" t="str">
        <f aca="false">IF($A895="","",ROUNDUP(MONTH($A895)/3,0))</f>
        <v/>
      </c>
      <c r="Q895" s="35" t="str">
        <f aca="false">IF($A895="","",IF(MONTH($A895)&lt;=6,1,2))</f>
        <v/>
      </c>
      <c r="R895" s="35" t="str">
        <f aca="false">IF($E895="","",IFERROR(INDEX(Kontenplan!$F$5:$F$90,MATCH($E895,Kontenplan!$A$5:$A$90,0)),""))</f>
        <v/>
      </c>
      <c r="S895" s="35" t="str">
        <f aca="false">IF($D895="","",IFERROR(INDEX(Kontenplan!$F$5:$F$90,MATCH($D895,Kontenplan!$A$5:$A$90,0)),""))</f>
        <v/>
      </c>
      <c r="T895" s="35" t="str">
        <f aca="false">IF($D895="","",IFERROR(INDEX(Kontenplan!$C$5:$C$90,MATCH($D895,Kontenplan!$A$5:$A$90,0)),"?"))</f>
        <v/>
      </c>
      <c r="U895" s="35" t="str">
        <f aca="false">IF($E895="","",IFERROR(INDEX(Kontenplan!$C$5:$C$90,MATCH($E895,Kontenplan!$A$5:$A$90,0)),"?"))</f>
        <v/>
      </c>
      <c r="V895" s="35" t="str">
        <f aca="false">IF($F895="","",IF(OR($D895="",$E895="",$T895="?",$U895="?"),"Konto prüfen!",IF($A895="","Datum fehlt",IF(YEAR($A895)&lt;&gt;Einstellungen!$B$7,"anderes Jahr!",IF($G895="","MWST-Code fehlt","OK")))))</f>
        <v/>
      </c>
      <c r="W895" s="35" t="str">
        <f aca="false">IF($F895="","",IF(OR($D895=Kontoauszug!$C$4,$E895=Kontoauszug!$C$4),MAX(W$4:W894)+1,""))</f>
        <v/>
      </c>
    </row>
    <row r="896" customFormat="false" ht="15" hidden="false" customHeight="false" outlineLevel="0" collapsed="false">
      <c r="A896" s="33"/>
      <c r="B896" s="32"/>
      <c r="C896" s="32"/>
      <c r="D896" s="32"/>
      <c r="E896" s="32"/>
      <c r="F896" s="30"/>
      <c r="G896" s="32"/>
      <c r="H896" s="34" t="n">
        <f aca="false">IF($G896="",0,IFERROR(INDEX(Einstellungen!$G$5:$G$11,MATCH($G896,Einstellungen!$E$5:$E$11,0)),0))</f>
        <v>0</v>
      </c>
      <c r="I896" s="35" t="str">
        <f aca="false">IF($G896="","-",IFERROR(INDEX(Einstellungen!$H$5:$H$11,MATCH($G896,Einstellungen!$E$5:$E$11,0)),"-"))</f>
        <v>-</v>
      </c>
      <c r="J896" s="35" t="str">
        <f aca="false">IF(AND(Einstellungen!$B$8="Ja",Einstellungen!$B$9="Effektiv"),$I896,"-")</f>
        <v>-</v>
      </c>
      <c r="K896" s="31" t="n">
        <f aca="false">IF(OR($F896="",$J896="-"),0,ROUND($F896-$F896/(1+$H896),2))</f>
        <v>0</v>
      </c>
      <c r="L896" s="31" t="n">
        <f aca="false">IF($F896="",0,$F896-$K896)</f>
        <v>0</v>
      </c>
      <c r="M896" s="31" t="n">
        <f aca="false">IF($F896="",0,IF($J896="V",$L896,$F896))</f>
        <v>0</v>
      </c>
      <c r="N896" s="31" t="n">
        <f aca="false">IF($F896="",0,IF($J896="U",$L896,$F896))</f>
        <v>0</v>
      </c>
      <c r="O896" s="35" t="str">
        <f aca="false">IF($A896="","",MONTH($A896))</f>
        <v/>
      </c>
      <c r="P896" s="35" t="str">
        <f aca="false">IF($A896="","",ROUNDUP(MONTH($A896)/3,0))</f>
        <v/>
      </c>
      <c r="Q896" s="35" t="str">
        <f aca="false">IF($A896="","",IF(MONTH($A896)&lt;=6,1,2))</f>
        <v/>
      </c>
      <c r="R896" s="35" t="str">
        <f aca="false">IF($E896="","",IFERROR(INDEX(Kontenplan!$F$5:$F$90,MATCH($E896,Kontenplan!$A$5:$A$90,0)),""))</f>
        <v/>
      </c>
      <c r="S896" s="35" t="str">
        <f aca="false">IF($D896="","",IFERROR(INDEX(Kontenplan!$F$5:$F$90,MATCH($D896,Kontenplan!$A$5:$A$90,0)),""))</f>
        <v/>
      </c>
      <c r="T896" s="35" t="str">
        <f aca="false">IF($D896="","",IFERROR(INDEX(Kontenplan!$C$5:$C$90,MATCH($D896,Kontenplan!$A$5:$A$90,0)),"?"))</f>
        <v/>
      </c>
      <c r="U896" s="35" t="str">
        <f aca="false">IF($E896="","",IFERROR(INDEX(Kontenplan!$C$5:$C$90,MATCH($E896,Kontenplan!$A$5:$A$90,0)),"?"))</f>
        <v/>
      </c>
      <c r="V896" s="35" t="str">
        <f aca="false">IF($F896="","",IF(OR($D896="",$E896="",$T896="?",$U896="?"),"Konto prüfen!",IF($A896="","Datum fehlt",IF(YEAR($A896)&lt;&gt;Einstellungen!$B$7,"anderes Jahr!",IF($G896="","MWST-Code fehlt","OK")))))</f>
        <v/>
      </c>
      <c r="W896" s="35" t="str">
        <f aca="false">IF($F896="","",IF(OR($D896=Kontoauszug!$C$4,$E896=Kontoauszug!$C$4),MAX(W$4:W895)+1,""))</f>
        <v/>
      </c>
    </row>
    <row r="897" customFormat="false" ht="15" hidden="false" customHeight="false" outlineLevel="0" collapsed="false">
      <c r="A897" s="33"/>
      <c r="B897" s="32"/>
      <c r="C897" s="32"/>
      <c r="D897" s="32"/>
      <c r="E897" s="32"/>
      <c r="F897" s="30"/>
      <c r="G897" s="32"/>
      <c r="H897" s="34" t="n">
        <f aca="false">IF($G897="",0,IFERROR(INDEX(Einstellungen!$G$5:$G$11,MATCH($G897,Einstellungen!$E$5:$E$11,0)),0))</f>
        <v>0</v>
      </c>
      <c r="I897" s="35" t="str">
        <f aca="false">IF($G897="","-",IFERROR(INDEX(Einstellungen!$H$5:$H$11,MATCH($G897,Einstellungen!$E$5:$E$11,0)),"-"))</f>
        <v>-</v>
      </c>
      <c r="J897" s="35" t="str">
        <f aca="false">IF(AND(Einstellungen!$B$8="Ja",Einstellungen!$B$9="Effektiv"),$I897,"-")</f>
        <v>-</v>
      </c>
      <c r="K897" s="31" t="n">
        <f aca="false">IF(OR($F897="",$J897="-"),0,ROUND($F897-$F897/(1+$H897),2))</f>
        <v>0</v>
      </c>
      <c r="L897" s="31" t="n">
        <f aca="false">IF($F897="",0,$F897-$K897)</f>
        <v>0</v>
      </c>
      <c r="M897" s="31" t="n">
        <f aca="false">IF($F897="",0,IF($J897="V",$L897,$F897))</f>
        <v>0</v>
      </c>
      <c r="N897" s="31" t="n">
        <f aca="false">IF($F897="",0,IF($J897="U",$L897,$F897))</f>
        <v>0</v>
      </c>
      <c r="O897" s="35" t="str">
        <f aca="false">IF($A897="","",MONTH($A897))</f>
        <v/>
      </c>
      <c r="P897" s="35" t="str">
        <f aca="false">IF($A897="","",ROUNDUP(MONTH($A897)/3,0))</f>
        <v/>
      </c>
      <c r="Q897" s="35" t="str">
        <f aca="false">IF($A897="","",IF(MONTH($A897)&lt;=6,1,2))</f>
        <v/>
      </c>
      <c r="R897" s="35" t="str">
        <f aca="false">IF($E897="","",IFERROR(INDEX(Kontenplan!$F$5:$F$90,MATCH($E897,Kontenplan!$A$5:$A$90,0)),""))</f>
        <v/>
      </c>
      <c r="S897" s="35" t="str">
        <f aca="false">IF($D897="","",IFERROR(INDEX(Kontenplan!$F$5:$F$90,MATCH($D897,Kontenplan!$A$5:$A$90,0)),""))</f>
        <v/>
      </c>
      <c r="T897" s="35" t="str">
        <f aca="false">IF($D897="","",IFERROR(INDEX(Kontenplan!$C$5:$C$90,MATCH($D897,Kontenplan!$A$5:$A$90,0)),"?"))</f>
        <v/>
      </c>
      <c r="U897" s="35" t="str">
        <f aca="false">IF($E897="","",IFERROR(INDEX(Kontenplan!$C$5:$C$90,MATCH($E897,Kontenplan!$A$5:$A$90,0)),"?"))</f>
        <v/>
      </c>
      <c r="V897" s="35" t="str">
        <f aca="false">IF($F897="","",IF(OR($D897="",$E897="",$T897="?",$U897="?"),"Konto prüfen!",IF($A897="","Datum fehlt",IF(YEAR($A897)&lt;&gt;Einstellungen!$B$7,"anderes Jahr!",IF($G897="","MWST-Code fehlt","OK")))))</f>
        <v/>
      </c>
      <c r="W897" s="35" t="str">
        <f aca="false">IF($F897="","",IF(OR($D897=Kontoauszug!$C$4,$E897=Kontoauszug!$C$4),MAX(W$4:W896)+1,""))</f>
        <v/>
      </c>
    </row>
    <row r="898" customFormat="false" ht="15" hidden="false" customHeight="false" outlineLevel="0" collapsed="false">
      <c r="A898" s="33"/>
      <c r="B898" s="32"/>
      <c r="C898" s="32"/>
      <c r="D898" s="32"/>
      <c r="E898" s="32"/>
      <c r="F898" s="30"/>
      <c r="G898" s="32"/>
      <c r="H898" s="34" t="n">
        <f aca="false">IF($G898="",0,IFERROR(INDEX(Einstellungen!$G$5:$G$11,MATCH($G898,Einstellungen!$E$5:$E$11,0)),0))</f>
        <v>0</v>
      </c>
      <c r="I898" s="35" t="str">
        <f aca="false">IF($G898="","-",IFERROR(INDEX(Einstellungen!$H$5:$H$11,MATCH($G898,Einstellungen!$E$5:$E$11,0)),"-"))</f>
        <v>-</v>
      </c>
      <c r="J898" s="35" t="str">
        <f aca="false">IF(AND(Einstellungen!$B$8="Ja",Einstellungen!$B$9="Effektiv"),$I898,"-")</f>
        <v>-</v>
      </c>
      <c r="K898" s="31" t="n">
        <f aca="false">IF(OR($F898="",$J898="-"),0,ROUND($F898-$F898/(1+$H898),2))</f>
        <v>0</v>
      </c>
      <c r="L898" s="31" t="n">
        <f aca="false">IF($F898="",0,$F898-$K898)</f>
        <v>0</v>
      </c>
      <c r="M898" s="31" t="n">
        <f aca="false">IF($F898="",0,IF($J898="V",$L898,$F898))</f>
        <v>0</v>
      </c>
      <c r="N898" s="31" t="n">
        <f aca="false">IF($F898="",0,IF($J898="U",$L898,$F898))</f>
        <v>0</v>
      </c>
      <c r="O898" s="35" t="str">
        <f aca="false">IF($A898="","",MONTH($A898))</f>
        <v/>
      </c>
      <c r="P898" s="35" t="str">
        <f aca="false">IF($A898="","",ROUNDUP(MONTH($A898)/3,0))</f>
        <v/>
      </c>
      <c r="Q898" s="35" t="str">
        <f aca="false">IF($A898="","",IF(MONTH($A898)&lt;=6,1,2))</f>
        <v/>
      </c>
      <c r="R898" s="35" t="str">
        <f aca="false">IF($E898="","",IFERROR(INDEX(Kontenplan!$F$5:$F$90,MATCH($E898,Kontenplan!$A$5:$A$90,0)),""))</f>
        <v/>
      </c>
      <c r="S898" s="35" t="str">
        <f aca="false">IF($D898="","",IFERROR(INDEX(Kontenplan!$F$5:$F$90,MATCH($D898,Kontenplan!$A$5:$A$90,0)),""))</f>
        <v/>
      </c>
      <c r="T898" s="35" t="str">
        <f aca="false">IF($D898="","",IFERROR(INDEX(Kontenplan!$C$5:$C$90,MATCH($D898,Kontenplan!$A$5:$A$90,0)),"?"))</f>
        <v/>
      </c>
      <c r="U898" s="35" t="str">
        <f aca="false">IF($E898="","",IFERROR(INDEX(Kontenplan!$C$5:$C$90,MATCH($E898,Kontenplan!$A$5:$A$90,0)),"?"))</f>
        <v/>
      </c>
      <c r="V898" s="35" t="str">
        <f aca="false">IF($F898="","",IF(OR($D898="",$E898="",$T898="?",$U898="?"),"Konto prüfen!",IF($A898="","Datum fehlt",IF(YEAR($A898)&lt;&gt;Einstellungen!$B$7,"anderes Jahr!",IF($G898="","MWST-Code fehlt","OK")))))</f>
        <v/>
      </c>
      <c r="W898" s="35" t="str">
        <f aca="false">IF($F898="","",IF(OR($D898=Kontoauszug!$C$4,$E898=Kontoauszug!$C$4),MAX(W$4:W897)+1,""))</f>
        <v/>
      </c>
    </row>
    <row r="899" customFormat="false" ht="15" hidden="false" customHeight="false" outlineLevel="0" collapsed="false">
      <c r="A899" s="33"/>
      <c r="B899" s="32"/>
      <c r="C899" s="32"/>
      <c r="D899" s="32"/>
      <c r="E899" s="32"/>
      <c r="F899" s="30"/>
      <c r="G899" s="32"/>
      <c r="H899" s="34" t="n">
        <f aca="false">IF($G899="",0,IFERROR(INDEX(Einstellungen!$G$5:$G$11,MATCH($G899,Einstellungen!$E$5:$E$11,0)),0))</f>
        <v>0</v>
      </c>
      <c r="I899" s="35" t="str">
        <f aca="false">IF($G899="","-",IFERROR(INDEX(Einstellungen!$H$5:$H$11,MATCH($G899,Einstellungen!$E$5:$E$11,0)),"-"))</f>
        <v>-</v>
      </c>
      <c r="J899" s="35" t="str">
        <f aca="false">IF(AND(Einstellungen!$B$8="Ja",Einstellungen!$B$9="Effektiv"),$I899,"-")</f>
        <v>-</v>
      </c>
      <c r="K899" s="31" t="n">
        <f aca="false">IF(OR($F899="",$J899="-"),0,ROUND($F899-$F899/(1+$H899),2))</f>
        <v>0</v>
      </c>
      <c r="L899" s="31" t="n">
        <f aca="false">IF($F899="",0,$F899-$K899)</f>
        <v>0</v>
      </c>
      <c r="M899" s="31" t="n">
        <f aca="false">IF($F899="",0,IF($J899="V",$L899,$F899))</f>
        <v>0</v>
      </c>
      <c r="N899" s="31" t="n">
        <f aca="false">IF($F899="",0,IF($J899="U",$L899,$F899))</f>
        <v>0</v>
      </c>
      <c r="O899" s="35" t="str">
        <f aca="false">IF($A899="","",MONTH($A899))</f>
        <v/>
      </c>
      <c r="P899" s="35" t="str">
        <f aca="false">IF($A899="","",ROUNDUP(MONTH($A899)/3,0))</f>
        <v/>
      </c>
      <c r="Q899" s="35" t="str">
        <f aca="false">IF($A899="","",IF(MONTH($A899)&lt;=6,1,2))</f>
        <v/>
      </c>
      <c r="R899" s="35" t="str">
        <f aca="false">IF($E899="","",IFERROR(INDEX(Kontenplan!$F$5:$F$90,MATCH($E899,Kontenplan!$A$5:$A$90,0)),""))</f>
        <v/>
      </c>
      <c r="S899" s="35" t="str">
        <f aca="false">IF($D899="","",IFERROR(INDEX(Kontenplan!$F$5:$F$90,MATCH($D899,Kontenplan!$A$5:$A$90,0)),""))</f>
        <v/>
      </c>
      <c r="T899" s="35" t="str">
        <f aca="false">IF($D899="","",IFERROR(INDEX(Kontenplan!$C$5:$C$90,MATCH($D899,Kontenplan!$A$5:$A$90,0)),"?"))</f>
        <v/>
      </c>
      <c r="U899" s="35" t="str">
        <f aca="false">IF($E899="","",IFERROR(INDEX(Kontenplan!$C$5:$C$90,MATCH($E899,Kontenplan!$A$5:$A$90,0)),"?"))</f>
        <v/>
      </c>
      <c r="V899" s="35" t="str">
        <f aca="false">IF($F899="","",IF(OR($D899="",$E899="",$T899="?",$U899="?"),"Konto prüfen!",IF($A899="","Datum fehlt",IF(YEAR($A899)&lt;&gt;Einstellungen!$B$7,"anderes Jahr!",IF($G899="","MWST-Code fehlt","OK")))))</f>
        <v/>
      </c>
      <c r="W899" s="35" t="str">
        <f aca="false">IF($F899="","",IF(OR($D899=Kontoauszug!$C$4,$E899=Kontoauszug!$C$4),MAX(W$4:W898)+1,""))</f>
        <v/>
      </c>
    </row>
    <row r="900" customFormat="false" ht="15" hidden="false" customHeight="false" outlineLevel="0" collapsed="false">
      <c r="A900" s="33"/>
      <c r="B900" s="32"/>
      <c r="C900" s="32"/>
      <c r="D900" s="32"/>
      <c r="E900" s="32"/>
      <c r="F900" s="30"/>
      <c r="G900" s="32"/>
      <c r="H900" s="34" t="n">
        <f aca="false">IF($G900="",0,IFERROR(INDEX(Einstellungen!$G$5:$G$11,MATCH($G900,Einstellungen!$E$5:$E$11,0)),0))</f>
        <v>0</v>
      </c>
      <c r="I900" s="35" t="str">
        <f aca="false">IF($G900="","-",IFERROR(INDEX(Einstellungen!$H$5:$H$11,MATCH($G900,Einstellungen!$E$5:$E$11,0)),"-"))</f>
        <v>-</v>
      </c>
      <c r="J900" s="35" t="str">
        <f aca="false">IF(AND(Einstellungen!$B$8="Ja",Einstellungen!$B$9="Effektiv"),$I900,"-")</f>
        <v>-</v>
      </c>
      <c r="K900" s="31" t="n">
        <f aca="false">IF(OR($F900="",$J900="-"),0,ROUND($F900-$F900/(1+$H900),2))</f>
        <v>0</v>
      </c>
      <c r="L900" s="31" t="n">
        <f aca="false">IF($F900="",0,$F900-$K900)</f>
        <v>0</v>
      </c>
      <c r="M900" s="31" t="n">
        <f aca="false">IF($F900="",0,IF($J900="V",$L900,$F900))</f>
        <v>0</v>
      </c>
      <c r="N900" s="31" t="n">
        <f aca="false">IF($F900="",0,IF($J900="U",$L900,$F900))</f>
        <v>0</v>
      </c>
      <c r="O900" s="35" t="str">
        <f aca="false">IF($A900="","",MONTH($A900))</f>
        <v/>
      </c>
      <c r="P900" s="35" t="str">
        <f aca="false">IF($A900="","",ROUNDUP(MONTH($A900)/3,0))</f>
        <v/>
      </c>
      <c r="Q900" s="35" t="str">
        <f aca="false">IF($A900="","",IF(MONTH($A900)&lt;=6,1,2))</f>
        <v/>
      </c>
      <c r="R900" s="35" t="str">
        <f aca="false">IF($E900="","",IFERROR(INDEX(Kontenplan!$F$5:$F$90,MATCH($E900,Kontenplan!$A$5:$A$90,0)),""))</f>
        <v/>
      </c>
      <c r="S900" s="35" t="str">
        <f aca="false">IF($D900="","",IFERROR(INDEX(Kontenplan!$F$5:$F$90,MATCH($D900,Kontenplan!$A$5:$A$90,0)),""))</f>
        <v/>
      </c>
      <c r="T900" s="35" t="str">
        <f aca="false">IF($D900="","",IFERROR(INDEX(Kontenplan!$C$5:$C$90,MATCH($D900,Kontenplan!$A$5:$A$90,0)),"?"))</f>
        <v/>
      </c>
      <c r="U900" s="35" t="str">
        <f aca="false">IF($E900="","",IFERROR(INDEX(Kontenplan!$C$5:$C$90,MATCH($E900,Kontenplan!$A$5:$A$90,0)),"?"))</f>
        <v/>
      </c>
      <c r="V900" s="35" t="str">
        <f aca="false">IF($F900="","",IF(OR($D900="",$E900="",$T900="?",$U900="?"),"Konto prüfen!",IF($A900="","Datum fehlt",IF(YEAR($A900)&lt;&gt;Einstellungen!$B$7,"anderes Jahr!",IF($G900="","MWST-Code fehlt","OK")))))</f>
        <v/>
      </c>
      <c r="W900" s="35" t="str">
        <f aca="false">IF($F900="","",IF(OR($D900=Kontoauszug!$C$4,$E900=Kontoauszug!$C$4),MAX(W$4:W899)+1,""))</f>
        <v/>
      </c>
    </row>
    <row r="901" customFormat="false" ht="15" hidden="false" customHeight="false" outlineLevel="0" collapsed="false">
      <c r="A901" s="33"/>
      <c r="B901" s="32"/>
      <c r="C901" s="32"/>
      <c r="D901" s="32"/>
      <c r="E901" s="32"/>
      <c r="F901" s="30"/>
      <c r="G901" s="32"/>
      <c r="H901" s="34" t="n">
        <f aca="false">IF($G901="",0,IFERROR(INDEX(Einstellungen!$G$5:$G$11,MATCH($G901,Einstellungen!$E$5:$E$11,0)),0))</f>
        <v>0</v>
      </c>
      <c r="I901" s="35" t="str">
        <f aca="false">IF($G901="","-",IFERROR(INDEX(Einstellungen!$H$5:$H$11,MATCH($G901,Einstellungen!$E$5:$E$11,0)),"-"))</f>
        <v>-</v>
      </c>
      <c r="J901" s="35" t="str">
        <f aca="false">IF(AND(Einstellungen!$B$8="Ja",Einstellungen!$B$9="Effektiv"),$I901,"-")</f>
        <v>-</v>
      </c>
      <c r="K901" s="31" t="n">
        <f aca="false">IF(OR($F901="",$J901="-"),0,ROUND($F901-$F901/(1+$H901),2))</f>
        <v>0</v>
      </c>
      <c r="L901" s="31" t="n">
        <f aca="false">IF($F901="",0,$F901-$K901)</f>
        <v>0</v>
      </c>
      <c r="M901" s="31" t="n">
        <f aca="false">IF($F901="",0,IF($J901="V",$L901,$F901))</f>
        <v>0</v>
      </c>
      <c r="N901" s="31" t="n">
        <f aca="false">IF($F901="",0,IF($J901="U",$L901,$F901))</f>
        <v>0</v>
      </c>
      <c r="O901" s="35" t="str">
        <f aca="false">IF($A901="","",MONTH($A901))</f>
        <v/>
      </c>
      <c r="P901" s="35" t="str">
        <f aca="false">IF($A901="","",ROUNDUP(MONTH($A901)/3,0))</f>
        <v/>
      </c>
      <c r="Q901" s="35" t="str">
        <f aca="false">IF($A901="","",IF(MONTH($A901)&lt;=6,1,2))</f>
        <v/>
      </c>
      <c r="R901" s="35" t="str">
        <f aca="false">IF($E901="","",IFERROR(INDEX(Kontenplan!$F$5:$F$90,MATCH($E901,Kontenplan!$A$5:$A$90,0)),""))</f>
        <v/>
      </c>
      <c r="S901" s="35" t="str">
        <f aca="false">IF($D901="","",IFERROR(INDEX(Kontenplan!$F$5:$F$90,MATCH($D901,Kontenplan!$A$5:$A$90,0)),""))</f>
        <v/>
      </c>
      <c r="T901" s="35" t="str">
        <f aca="false">IF($D901="","",IFERROR(INDEX(Kontenplan!$C$5:$C$90,MATCH($D901,Kontenplan!$A$5:$A$90,0)),"?"))</f>
        <v/>
      </c>
      <c r="U901" s="35" t="str">
        <f aca="false">IF($E901="","",IFERROR(INDEX(Kontenplan!$C$5:$C$90,MATCH($E901,Kontenplan!$A$5:$A$90,0)),"?"))</f>
        <v/>
      </c>
      <c r="V901" s="35" t="str">
        <f aca="false">IF($F901="","",IF(OR($D901="",$E901="",$T901="?",$U901="?"),"Konto prüfen!",IF($A901="","Datum fehlt",IF(YEAR($A901)&lt;&gt;Einstellungen!$B$7,"anderes Jahr!",IF($G901="","MWST-Code fehlt","OK")))))</f>
        <v/>
      </c>
      <c r="W901" s="35" t="str">
        <f aca="false">IF($F901="","",IF(OR($D901=Kontoauszug!$C$4,$E901=Kontoauszug!$C$4),MAX(W$4:W900)+1,""))</f>
        <v/>
      </c>
    </row>
    <row r="902" customFormat="false" ht="15" hidden="false" customHeight="false" outlineLevel="0" collapsed="false">
      <c r="A902" s="33"/>
      <c r="B902" s="32"/>
      <c r="C902" s="32"/>
      <c r="D902" s="32"/>
      <c r="E902" s="32"/>
      <c r="F902" s="30"/>
      <c r="G902" s="32"/>
      <c r="H902" s="34" t="n">
        <f aca="false">IF($G902="",0,IFERROR(INDEX(Einstellungen!$G$5:$G$11,MATCH($G902,Einstellungen!$E$5:$E$11,0)),0))</f>
        <v>0</v>
      </c>
      <c r="I902" s="35" t="str">
        <f aca="false">IF($G902="","-",IFERROR(INDEX(Einstellungen!$H$5:$H$11,MATCH($G902,Einstellungen!$E$5:$E$11,0)),"-"))</f>
        <v>-</v>
      </c>
      <c r="J902" s="35" t="str">
        <f aca="false">IF(AND(Einstellungen!$B$8="Ja",Einstellungen!$B$9="Effektiv"),$I902,"-")</f>
        <v>-</v>
      </c>
      <c r="K902" s="31" t="n">
        <f aca="false">IF(OR($F902="",$J902="-"),0,ROUND($F902-$F902/(1+$H902),2))</f>
        <v>0</v>
      </c>
      <c r="L902" s="31" t="n">
        <f aca="false">IF($F902="",0,$F902-$K902)</f>
        <v>0</v>
      </c>
      <c r="M902" s="31" t="n">
        <f aca="false">IF($F902="",0,IF($J902="V",$L902,$F902))</f>
        <v>0</v>
      </c>
      <c r="N902" s="31" t="n">
        <f aca="false">IF($F902="",0,IF($J902="U",$L902,$F902))</f>
        <v>0</v>
      </c>
      <c r="O902" s="35" t="str">
        <f aca="false">IF($A902="","",MONTH($A902))</f>
        <v/>
      </c>
      <c r="P902" s="35" t="str">
        <f aca="false">IF($A902="","",ROUNDUP(MONTH($A902)/3,0))</f>
        <v/>
      </c>
      <c r="Q902" s="35" t="str">
        <f aca="false">IF($A902="","",IF(MONTH($A902)&lt;=6,1,2))</f>
        <v/>
      </c>
      <c r="R902" s="35" t="str">
        <f aca="false">IF($E902="","",IFERROR(INDEX(Kontenplan!$F$5:$F$90,MATCH($E902,Kontenplan!$A$5:$A$90,0)),""))</f>
        <v/>
      </c>
      <c r="S902" s="35" t="str">
        <f aca="false">IF($D902="","",IFERROR(INDEX(Kontenplan!$F$5:$F$90,MATCH($D902,Kontenplan!$A$5:$A$90,0)),""))</f>
        <v/>
      </c>
      <c r="T902" s="35" t="str">
        <f aca="false">IF($D902="","",IFERROR(INDEX(Kontenplan!$C$5:$C$90,MATCH($D902,Kontenplan!$A$5:$A$90,0)),"?"))</f>
        <v/>
      </c>
      <c r="U902" s="35" t="str">
        <f aca="false">IF($E902="","",IFERROR(INDEX(Kontenplan!$C$5:$C$90,MATCH($E902,Kontenplan!$A$5:$A$90,0)),"?"))</f>
        <v/>
      </c>
      <c r="V902" s="35" t="str">
        <f aca="false">IF($F902="","",IF(OR($D902="",$E902="",$T902="?",$U902="?"),"Konto prüfen!",IF($A902="","Datum fehlt",IF(YEAR($A902)&lt;&gt;Einstellungen!$B$7,"anderes Jahr!",IF($G902="","MWST-Code fehlt","OK")))))</f>
        <v/>
      </c>
      <c r="W902" s="35" t="str">
        <f aca="false">IF($F902="","",IF(OR($D902=Kontoauszug!$C$4,$E902=Kontoauszug!$C$4),MAX(W$4:W901)+1,""))</f>
        <v/>
      </c>
    </row>
    <row r="903" customFormat="false" ht="15" hidden="false" customHeight="false" outlineLevel="0" collapsed="false">
      <c r="A903" s="33"/>
      <c r="B903" s="32"/>
      <c r="C903" s="32"/>
      <c r="D903" s="32"/>
      <c r="E903" s="32"/>
      <c r="F903" s="30"/>
      <c r="G903" s="32"/>
      <c r="H903" s="34" t="n">
        <f aca="false">IF($G903="",0,IFERROR(INDEX(Einstellungen!$G$5:$G$11,MATCH($G903,Einstellungen!$E$5:$E$11,0)),0))</f>
        <v>0</v>
      </c>
      <c r="I903" s="35" t="str">
        <f aca="false">IF($G903="","-",IFERROR(INDEX(Einstellungen!$H$5:$H$11,MATCH($G903,Einstellungen!$E$5:$E$11,0)),"-"))</f>
        <v>-</v>
      </c>
      <c r="J903" s="35" t="str">
        <f aca="false">IF(AND(Einstellungen!$B$8="Ja",Einstellungen!$B$9="Effektiv"),$I903,"-")</f>
        <v>-</v>
      </c>
      <c r="K903" s="31" t="n">
        <f aca="false">IF(OR($F903="",$J903="-"),0,ROUND($F903-$F903/(1+$H903),2))</f>
        <v>0</v>
      </c>
      <c r="L903" s="31" t="n">
        <f aca="false">IF($F903="",0,$F903-$K903)</f>
        <v>0</v>
      </c>
      <c r="M903" s="31" t="n">
        <f aca="false">IF($F903="",0,IF($J903="V",$L903,$F903))</f>
        <v>0</v>
      </c>
      <c r="N903" s="31" t="n">
        <f aca="false">IF($F903="",0,IF($J903="U",$L903,$F903))</f>
        <v>0</v>
      </c>
      <c r="O903" s="35" t="str">
        <f aca="false">IF($A903="","",MONTH($A903))</f>
        <v/>
      </c>
      <c r="P903" s="35" t="str">
        <f aca="false">IF($A903="","",ROUNDUP(MONTH($A903)/3,0))</f>
        <v/>
      </c>
      <c r="Q903" s="35" t="str">
        <f aca="false">IF($A903="","",IF(MONTH($A903)&lt;=6,1,2))</f>
        <v/>
      </c>
      <c r="R903" s="35" t="str">
        <f aca="false">IF($E903="","",IFERROR(INDEX(Kontenplan!$F$5:$F$90,MATCH($E903,Kontenplan!$A$5:$A$90,0)),""))</f>
        <v/>
      </c>
      <c r="S903" s="35" t="str">
        <f aca="false">IF($D903="","",IFERROR(INDEX(Kontenplan!$F$5:$F$90,MATCH($D903,Kontenplan!$A$5:$A$90,0)),""))</f>
        <v/>
      </c>
      <c r="T903" s="35" t="str">
        <f aca="false">IF($D903="","",IFERROR(INDEX(Kontenplan!$C$5:$C$90,MATCH($D903,Kontenplan!$A$5:$A$90,0)),"?"))</f>
        <v/>
      </c>
      <c r="U903" s="35" t="str">
        <f aca="false">IF($E903="","",IFERROR(INDEX(Kontenplan!$C$5:$C$90,MATCH($E903,Kontenplan!$A$5:$A$90,0)),"?"))</f>
        <v/>
      </c>
      <c r="V903" s="35" t="str">
        <f aca="false">IF($F903="","",IF(OR($D903="",$E903="",$T903="?",$U903="?"),"Konto prüfen!",IF($A903="","Datum fehlt",IF(YEAR($A903)&lt;&gt;Einstellungen!$B$7,"anderes Jahr!",IF($G903="","MWST-Code fehlt","OK")))))</f>
        <v/>
      </c>
      <c r="W903" s="35" t="str">
        <f aca="false">IF($F903="","",IF(OR($D903=Kontoauszug!$C$4,$E903=Kontoauszug!$C$4),MAX(W$4:W902)+1,""))</f>
        <v/>
      </c>
    </row>
    <row r="904" customFormat="false" ht="15" hidden="false" customHeight="false" outlineLevel="0" collapsed="false">
      <c r="A904" s="33"/>
      <c r="B904" s="32"/>
      <c r="C904" s="32"/>
      <c r="D904" s="32"/>
      <c r="E904" s="32"/>
      <c r="F904" s="30"/>
      <c r="G904" s="32"/>
      <c r="H904" s="34" t="n">
        <f aca="false">IF($G904="",0,IFERROR(INDEX(Einstellungen!$G$5:$G$11,MATCH($G904,Einstellungen!$E$5:$E$11,0)),0))</f>
        <v>0</v>
      </c>
      <c r="I904" s="35" t="str">
        <f aca="false">IF($G904="","-",IFERROR(INDEX(Einstellungen!$H$5:$H$11,MATCH($G904,Einstellungen!$E$5:$E$11,0)),"-"))</f>
        <v>-</v>
      </c>
      <c r="J904" s="35" t="str">
        <f aca="false">IF(AND(Einstellungen!$B$8="Ja",Einstellungen!$B$9="Effektiv"),$I904,"-")</f>
        <v>-</v>
      </c>
      <c r="K904" s="31" t="n">
        <f aca="false">IF(OR($F904="",$J904="-"),0,ROUND($F904-$F904/(1+$H904),2))</f>
        <v>0</v>
      </c>
      <c r="L904" s="31" t="n">
        <f aca="false">IF($F904="",0,$F904-$K904)</f>
        <v>0</v>
      </c>
      <c r="M904" s="31" t="n">
        <f aca="false">IF($F904="",0,IF($J904="V",$L904,$F904))</f>
        <v>0</v>
      </c>
      <c r="N904" s="31" t="n">
        <f aca="false">IF($F904="",0,IF($J904="U",$L904,$F904))</f>
        <v>0</v>
      </c>
      <c r="O904" s="35" t="str">
        <f aca="false">IF($A904="","",MONTH($A904))</f>
        <v/>
      </c>
      <c r="P904" s="35" t="str">
        <f aca="false">IF($A904="","",ROUNDUP(MONTH($A904)/3,0))</f>
        <v/>
      </c>
      <c r="Q904" s="35" t="str">
        <f aca="false">IF($A904="","",IF(MONTH($A904)&lt;=6,1,2))</f>
        <v/>
      </c>
      <c r="R904" s="35" t="str">
        <f aca="false">IF($E904="","",IFERROR(INDEX(Kontenplan!$F$5:$F$90,MATCH($E904,Kontenplan!$A$5:$A$90,0)),""))</f>
        <v/>
      </c>
      <c r="S904" s="35" t="str">
        <f aca="false">IF($D904="","",IFERROR(INDEX(Kontenplan!$F$5:$F$90,MATCH($D904,Kontenplan!$A$5:$A$90,0)),""))</f>
        <v/>
      </c>
      <c r="T904" s="35" t="str">
        <f aca="false">IF($D904="","",IFERROR(INDEX(Kontenplan!$C$5:$C$90,MATCH($D904,Kontenplan!$A$5:$A$90,0)),"?"))</f>
        <v/>
      </c>
      <c r="U904" s="35" t="str">
        <f aca="false">IF($E904="","",IFERROR(INDEX(Kontenplan!$C$5:$C$90,MATCH($E904,Kontenplan!$A$5:$A$90,0)),"?"))</f>
        <v/>
      </c>
      <c r="V904" s="35" t="str">
        <f aca="false">IF($F904="","",IF(OR($D904="",$E904="",$T904="?",$U904="?"),"Konto prüfen!",IF($A904="","Datum fehlt",IF(YEAR($A904)&lt;&gt;Einstellungen!$B$7,"anderes Jahr!",IF($G904="","MWST-Code fehlt","OK")))))</f>
        <v/>
      </c>
      <c r="W904" s="35" t="str">
        <f aca="false">IF($F904="","",IF(OR($D904=Kontoauszug!$C$4,$E904=Kontoauszug!$C$4),MAX(W$4:W903)+1,""))</f>
        <v/>
      </c>
    </row>
    <row r="905" customFormat="false" ht="15" hidden="false" customHeight="false" outlineLevel="0" collapsed="false">
      <c r="A905" s="33"/>
      <c r="B905" s="32"/>
      <c r="C905" s="32"/>
      <c r="D905" s="32"/>
      <c r="E905" s="32"/>
      <c r="F905" s="30"/>
      <c r="G905" s="32"/>
      <c r="H905" s="34" t="n">
        <f aca="false">IF($G905="",0,IFERROR(INDEX(Einstellungen!$G$5:$G$11,MATCH($G905,Einstellungen!$E$5:$E$11,0)),0))</f>
        <v>0</v>
      </c>
      <c r="I905" s="35" t="str">
        <f aca="false">IF($G905="","-",IFERROR(INDEX(Einstellungen!$H$5:$H$11,MATCH($G905,Einstellungen!$E$5:$E$11,0)),"-"))</f>
        <v>-</v>
      </c>
      <c r="J905" s="35" t="str">
        <f aca="false">IF(AND(Einstellungen!$B$8="Ja",Einstellungen!$B$9="Effektiv"),$I905,"-")</f>
        <v>-</v>
      </c>
      <c r="K905" s="31" t="n">
        <f aca="false">IF(OR($F905="",$J905="-"),0,ROUND($F905-$F905/(1+$H905),2))</f>
        <v>0</v>
      </c>
      <c r="L905" s="31" t="n">
        <f aca="false">IF($F905="",0,$F905-$K905)</f>
        <v>0</v>
      </c>
      <c r="M905" s="31" t="n">
        <f aca="false">IF($F905="",0,IF($J905="V",$L905,$F905))</f>
        <v>0</v>
      </c>
      <c r="N905" s="31" t="n">
        <f aca="false">IF($F905="",0,IF($J905="U",$L905,$F905))</f>
        <v>0</v>
      </c>
      <c r="O905" s="35" t="str">
        <f aca="false">IF($A905="","",MONTH($A905))</f>
        <v/>
      </c>
      <c r="P905" s="35" t="str">
        <f aca="false">IF($A905="","",ROUNDUP(MONTH($A905)/3,0))</f>
        <v/>
      </c>
      <c r="Q905" s="35" t="str">
        <f aca="false">IF($A905="","",IF(MONTH($A905)&lt;=6,1,2))</f>
        <v/>
      </c>
      <c r="R905" s="35" t="str">
        <f aca="false">IF($E905="","",IFERROR(INDEX(Kontenplan!$F$5:$F$90,MATCH($E905,Kontenplan!$A$5:$A$90,0)),""))</f>
        <v/>
      </c>
      <c r="S905" s="35" t="str">
        <f aca="false">IF($D905="","",IFERROR(INDEX(Kontenplan!$F$5:$F$90,MATCH($D905,Kontenplan!$A$5:$A$90,0)),""))</f>
        <v/>
      </c>
      <c r="T905" s="35" t="str">
        <f aca="false">IF($D905="","",IFERROR(INDEX(Kontenplan!$C$5:$C$90,MATCH($D905,Kontenplan!$A$5:$A$90,0)),"?"))</f>
        <v/>
      </c>
      <c r="U905" s="35" t="str">
        <f aca="false">IF($E905="","",IFERROR(INDEX(Kontenplan!$C$5:$C$90,MATCH($E905,Kontenplan!$A$5:$A$90,0)),"?"))</f>
        <v/>
      </c>
      <c r="V905" s="35" t="str">
        <f aca="false">IF($F905="","",IF(OR($D905="",$E905="",$T905="?",$U905="?"),"Konto prüfen!",IF($A905="","Datum fehlt",IF(YEAR($A905)&lt;&gt;Einstellungen!$B$7,"anderes Jahr!",IF($G905="","MWST-Code fehlt","OK")))))</f>
        <v/>
      </c>
      <c r="W905" s="35" t="str">
        <f aca="false">IF($F905="","",IF(OR($D905=Kontoauszug!$C$4,$E905=Kontoauszug!$C$4),MAX(W$4:W904)+1,""))</f>
        <v/>
      </c>
    </row>
    <row r="906" customFormat="false" ht="15" hidden="false" customHeight="false" outlineLevel="0" collapsed="false">
      <c r="A906" s="33"/>
      <c r="B906" s="32"/>
      <c r="C906" s="32"/>
      <c r="D906" s="32"/>
      <c r="E906" s="32"/>
      <c r="F906" s="30"/>
      <c r="G906" s="32"/>
      <c r="H906" s="34" t="n">
        <f aca="false">IF($G906="",0,IFERROR(INDEX(Einstellungen!$G$5:$G$11,MATCH($G906,Einstellungen!$E$5:$E$11,0)),0))</f>
        <v>0</v>
      </c>
      <c r="I906" s="35" t="str">
        <f aca="false">IF($G906="","-",IFERROR(INDEX(Einstellungen!$H$5:$H$11,MATCH($G906,Einstellungen!$E$5:$E$11,0)),"-"))</f>
        <v>-</v>
      </c>
      <c r="J906" s="35" t="str">
        <f aca="false">IF(AND(Einstellungen!$B$8="Ja",Einstellungen!$B$9="Effektiv"),$I906,"-")</f>
        <v>-</v>
      </c>
      <c r="K906" s="31" t="n">
        <f aca="false">IF(OR($F906="",$J906="-"),0,ROUND($F906-$F906/(1+$H906),2))</f>
        <v>0</v>
      </c>
      <c r="L906" s="31" t="n">
        <f aca="false">IF($F906="",0,$F906-$K906)</f>
        <v>0</v>
      </c>
      <c r="M906" s="31" t="n">
        <f aca="false">IF($F906="",0,IF($J906="V",$L906,$F906))</f>
        <v>0</v>
      </c>
      <c r="N906" s="31" t="n">
        <f aca="false">IF($F906="",0,IF($J906="U",$L906,$F906))</f>
        <v>0</v>
      </c>
      <c r="O906" s="35" t="str">
        <f aca="false">IF($A906="","",MONTH($A906))</f>
        <v/>
      </c>
      <c r="P906" s="35" t="str">
        <f aca="false">IF($A906="","",ROUNDUP(MONTH($A906)/3,0))</f>
        <v/>
      </c>
      <c r="Q906" s="35" t="str">
        <f aca="false">IF($A906="","",IF(MONTH($A906)&lt;=6,1,2))</f>
        <v/>
      </c>
      <c r="R906" s="35" t="str">
        <f aca="false">IF($E906="","",IFERROR(INDEX(Kontenplan!$F$5:$F$90,MATCH($E906,Kontenplan!$A$5:$A$90,0)),""))</f>
        <v/>
      </c>
      <c r="S906" s="35" t="str">
        <f aca="false">IF($D906="","",IFERROR(INDEX(Kontenplan!$F$5:$F$90,MATCH($D906,Kontenplan!$A$5:$A$90,0)),""))</f>
        <v/>
      </c>
      <c r="T906" s="35" t="str">
        <f aca="false">IF($D906="","",IFERROR(INDEX(Kontenplan!$C$5:$C$90,MATCH($D906,Kontenplan!$A$5:$A$90,0)),"?"))</f>
        <v/>
      </c>
      <c r="U906" s="35" t="str">
        <f aca="false">IF($E906="","",IFERROR(INDEX(Kontenplan!$C$5:$C$90,MATCH($E906,Kontenplan!$A$5:$A$90,0)),"?"))</f>
        <v/>
      </c>
      <c r="V906" s="35" t="str">
        <f aca="false">IF($F906="","",IF(OR($D906="",$E906="",$T906="?",$U906="?"),"Konto prüfen!",IF($A906="","Datum fehlt",IF(YEAR($A906)&lt;&gt;Einstellungen!$B$7,"anderes Jahr!",IF($G906="","MWST-Code fehlt","OK")))))</f>
        <v/>
      </c>
      <c r="W906" s="35" t="str">
        <f aca="false">IF($F906="","",IF(OR($D906=Kontoauszug!$C$4,$E906=Kontoauszug!$C$4),MAX(W$4:W905)+1,""))</f>
        <v/>
      </c>
    </row>
    <row r="907" customFormat="false" ht="15" hidden="false" customHeight="false" outlineLevel="0" collapsed="false">
      <c r="A907" s="33"/>
      <c r="B907" s="32"/>
      <c r="C907" s="32"/>
      <c r="D907" s="32"/>
      <c r="E907" s="32"/>
      <c r="F907" s="30"/>
      <c r="G907" s="32"/>
      <c r="H907" s="34" t="n">
        <f aca="false">IF($G907="",0,IFERROR(INDEX(Einstellungen!$G$5:$G$11,MATCH($G907,Einstellungen!$E$5:$E$11,0)),0))</f>
        <v>0</v>
      </c>
      <c r="I907" s="35" t="str">
        <f aca="false">IF($G907="","-",IFERROR(INDEX(Einstellungen!$H$5:$H$11,MATCH($G907,Einstellungen!$E$5:$E$11,0)),"-"))</f>
        <v>-</v>
      </c>
      <c r="J907" s="35" t="str">
        <f aca="false">IF(AND(Einstellungen!$B$8="Ja",Einstellungen!$B$9="Effektiv"),$I907,"-")</f>
        <v>-</v>
      </c>
      <c r="K907" s="31" t="n">
        <f aca="false">IF(OR($F907="",$J907="-"),0,ROUND($F907-$F907/(1+$H907),2))</f>
        <v>0</v>
      </c>
      <c r="L907" s="31" t="n">
        <f aca="false">IF($F907="",0,$F907-$K907)</f>
        <v>0</v>
      </c>
      <c r="M907" s="31" t="n">
        <f aca="false">IF($F907="",0,IF($J907="V",$L907,$F907))</f>
        <v>0</v>
      </c>
      <c r="N907" s="31" t="n">
        <f aca="false">IF($F907="",0,IF($J907="U",$L907,$F907))</f>
        <v>0</v>
      </c>
      <c r="O907" s="35" t="str">
        <f aca="false">IF($A907="","",MONTH($A907))</f>
        <v/>
      </c>
      <c r="P907" s="35" t="str">
        <f aca="false">IF($A907="","",ROUNDUP(MONTH($A907)/3,0))</f>
        <v/>
      </c>
      <c r="Q907" s="35" t="str">
        <f aca="false">IF($A907="","",IF(MONTH($A907)&lt;=6,1,2))</f>
        <v/>
      </c>
      <c r="R907" s="35" t="str">
        <f aca="false">IF($E907="","",IFERROR(INDEX(Kontenplan!$F$5:$F$90,MATCH($E907,Kontenplan!$A$5:$A$90,0)),""))</f>
        <v/>
      </c>
      <c r="S907" s="35" t="str">
        <f aca="false">IF($D907="","",IFERROR(INDEX(Kontenplan!$F$5:$F$90,MATCH($D907,Kontenplan!$A$5:$A$90,0)),""))</f>
        <v/>
      </c>
      <c r="T907" s="35" t="str">
        <f aca="false">IF($D907="","",IFERROR(INDEX(Kontenplan!$C$5:$C$90,MATCH($D907,Kontenplan!$A$5:$A$90,0)),"?"))</f>
        <v/>
      </c>
      <c r="U907" s="35" t="str">
        <f aca="false">IF($E907="","",IFERROR(INDEX(Kontenplan!$C$5:$C$90,MATCH($E907,Kontenplan!$A$5:$A$90,0)),"?"))</f>
        <v/>
      </c>
      <c r="V907" s="35" t="str">
        <f aca="false">IF($F907="","",IF(OR($D907="",$E907="",$T907="?",$U907="?"),"Konto prüfen!",IF($A907="","Datum fehlt",IF(YEAR($A907)&lt;&gt;Einstellungen!$B$7,"anderes Jahr!",IF($G907="","MWST-Code fehlt","OK")))))</f>
        <v/>
      </c>
      <c r="W907" s="35" t="str">
        <f aca="false">IF($F907="","",IF(OR($D907=Kontoauszug!$C$4,$E907=Kontoauszug!$C$4),MAX(W$4:W906)+1,""))</f>
        <v/>
      </c>
    </row>
    <row r="908" customFormat="false" ht="15" hidden="false" customHeight="false" outlineLevel="0" collapsed="false">
      <c r="A908" s="33"/>
      <c r="B908" s="32"/>
      <c r="C908" s="32"/>
      <c r="D908" s="32"/>
      <c r="E908" s="32"/>
      <c r="F908" s="30"/>
      <c r="G908" s="32"/>
      <c r="H908" s="34" t="n">
        <f aca="false">IF($G908="",0,IFERROR(INDEX(Einstellungen!$G$5:$G$11,MATCH($G908,Einstellungen!$E$5:$E$11,0)),0))</f>
        <v>0</v>
      </c>
      <c r="I908" s="35" t="str">
        <f aca="false">IF($G908="","-",IFERROR(INDEX(Einstellungen!$H$5:$H$11,MATCH($G908,Einstellungen!$E$5:$E$11,0)),"-"))</f>
        <v>-</v>
      </c>
      <c r="J908" s="35" t="str">
        <f aca="false">IF(AND(Einstellungen!$B$8="Ja",Einstellungen!$B$9="Effektiv"),$I908,"-")</f>
        <v>-</v>
      </c>
      <c r="K908" s="31" t="n">
        <f aca="false">IF(OR($F908="",$J908="-"),0,ROUND($F908-$F908/(1+$H908),2))</f>
        <v>0</v>
      </c>
      <c r="L908" s="31" t="n">
        <f aca="false">IF($F908="",0,$F908-$K908)</f>
        <v>0</v>
      </c>
      <c r="M908" s="31" t="n">
        <f aca="false">IF($F908="",0,IF($J908="V",$L908,$F908))</f>
        <v>0</v>
      </c>
      <c r="N908" s="31" t="n">
        <f aca="false">IF($F908="",0,IF($J908="U",$L908,$F908))</f>
        <v>0</v>
      </c>
      <c r="O908" s="35" t="str">
        <f aca="false">IF($A908="","",MONTH($A908))</f>
        <v/>
      </c>
      <c r="P908" s="35" t="str">
        <f aca="false">IF($A908="","",ROUNDUP(MONTH($A908)/3,0))</f>
        <v/>
      </c>
      <c r="Q908" s="35" t="str">
        <f aca="false">IF($A908="","",IF(MONTH($A908)&lt;=6,1,2))</f>
        <v/>
      </c>
      <c r="R908" s="35" t="str">
        <f aca="false">IF($E908="","",IFERROR(INDEX(Kontenplan!$F$5:$F$90,MATCH($E908,Kontenplan!$A$5:$A$90,0)),""))</f>
        <v/>
      </c>
      <c r="S908" s="35" t="str">
        <f aca="false">IF($D908="","",IFERROR(INDEX(Kontenplan!$F$5:$F$90,MATCH($D908,Kontenplan!$A$5:$A$90,0)),""))</f>
        <v/>
      </c>
      <c r="T908" s="35" t="str">
        <f aca="false">IF($D908="","",IFERROR(INDEX(Kontenplan!$C$5:$C$90,MATCH($D908,Kontenplan!$A$5:$A$90,0)),"?"))</f>
        <v/>
      </c>
      <c r="U908" s="35" t="str">
        <f aca="false">IF($E908="","",IFERROR(INDEX(Kontenplan!$C$5:$C$90,MATCH($E908,Kontenplan!$A$5:$A$90,0)),"?"))</f>
        <v/>
      </c>
      <c r="V908" s="35" t="str">
        <f aca="false">IF($F908="","",IF(OR($D908="",$E908="",$T908="?",$U908="?"),"Konto prüfen!",IF($A908="","Datum fehlt",IF(YEAR($A908)&lt;&gt;Einstellungen!$B$7,"anderes Jahr!",IF($G908="","MWST-Code fehlt","OK")))))</f>
        <v/>
      </c>
      <c r="W908" s="35" t="str">
        <f aca="false">IF($F908="","",IF(OR($D908=Kontoauszug!$C$4,$E908=Kontoauszug!$C$4),MAX(W$4:W907)+1,""))</f>
        <v/>
      </c>
    </row>
    <row r="909" customFormat="false" ht="15" hidden="false" customHeight="false" outlineLevel="0" collapsed="false">
      <c r="A909" s="33"/>
      <c r="B909" s="32"/>
      <c r="C909" s="32"/>
      <c r="D909" s="32"/>
      <c r="E909" s="32"/>
      <c r="F909" s="30"/>
      <c r="G909" s="32"/>
      <c r="H909" s="34" t="n">
        <f aca="false">IF($G909="",0,IFERROR(INDEX(Einstellungen!$G$5:$G$11,MATCH($G909,Einstellungen!$E$5:$E$11,0)),0))</f>
        <v>0</v>
      </c>
      <c r="I909" s="35" t="str">
        <f aca="false">IF($G909="","-",IFERROR(INDEX(Einstellungen!$H$5:$H$11,MATCH($G909,Einstellungen!$E$5:$E$11,0)),"-"))</f>
        <v>-</v>
      </c>
      <c r="J909" s="35" t="str">
        <f aca="false">IF(AND(Einstellungen!$B$8="Ja",Einstellungen!$B$9="Effektiv"),$I909,"-")</f>
        <v>-</v>
      </c>
      <c r="K909" s="31" t="n">
        <f aca="false">IF(OR($F909="",$J909="-"),0,ROUND($F909-$F909/(1+$H909),2))</f>
        <v>0</v>
      </c>
      <c r="L909" s="31" t="n">
        <f aca="false">IF($F909="",0,$F909-$K909)</f>
        <v>0</v>
      </c>
      <c r="M909" s="31" t="n">
        <f aca="false">IF($F909="",0,IF($J909="V",$L909,$F909))</f>
        <v>0</v>
      </c>
      <c r="N909" s="31" t="n">
        <f aca="false">IF($F909="",0,IF($J909="U",$L909,$F909))</f>
        <v>0</v>
      </c>
      <c r="O909" s="35" t="str">
        <f aca="false">IF($A909="","",MONTH($A909))</f>
        <v/>
      </c>
      <c r="P909" s="35" t="str">
        <f aca="false">IF($A909="","",ROUNDUP(MONTH($A909)/3,0))</f>
        <v/>
      </c>
      <c r="Q909" s="35" t="str">
        <f aca="false">IF($A909="","",IF(MONTH($A909)&lt;=6,1,2))</f>
        <v/>
      </c>
      <c r="R909" s="35" t="str">
        <f aca="false">IF($E909="","",IFERROR(INDEX(Kontenplan!$F$5:$F$90,MATCH($E909,Kontenplan!$A$5:$A$90,0)),""))</f>
        <v/>
      </c>
      <c r="S909" s="35" t="str">
        <f aca="false">IF($D909="","",IFERROR(INDEX(Kontenplan!$F$5:$F$90,MATCH($D909,Kontenplan!$A$5:$A$90,0)),""))</f>
        <v/>
      </c>
      <c r="T909" s="35" t="str">
        <f aca="false">IF($D909="","",IFERROR(INDEX(Kontenplan!$C$5:$C$90,MATCH($D909,Kontenplan!$A$5:$A$90,0)),"?"))</f>
        <v/>
      </c>
      <c r="U909" s="35" t="str">
        <f aca="false">IF($E909="","",IFERROR(INDEX(Kontenplan!$C$5:$C$90,MATCH($E909,Kontenplan!$A$5:$A$90,0)),"?"))</f>
        <v/>
      </c>
      <c r="V909" s="35" t="str">
        <f aca="false">IF($F909="","",IF(OR($D909="",$E909="",$T909="?",$U909="?"),"Konto prüfen!",IF($A909="","Datum fehlt",IF(YEAR($A909)&lt;&gt;Einstellungen!$B$7,"anderes Jahr!",IF($G909="","MWST-Code fehlt","OK")))))</f>
        <v/>
      </c>
      <c r="W909" s="35" t="str">
        <f aca="false">IF($F909="","",IF(OR($D909=Kontoauszug!$C$4,$E909=Kontoauszug!$C$4),MAX(W$4:W908)+1,""))</f>
        <v/>
      </c>
    </row>
    <row r="910" customFormat="false" ht="15" hidden="false" customHeight="false" outlineLevel="0" collapsed="false">
      <c r="A910" s="33"/>
      <c r="B910" s="32"/>
      <c r="C910" s="32"/>
      <c r="D910" s="32"/>
      <c r="E910" s="32"/>
      <c r="F910" s="30"/>
      <c r="G910" s="32"/>
      <c r="H910" s="34" t="n">
        <f aca="false">IF($G910="",0,IFERROR(INDEX(Einstellungen!$G$5:$G$11,MATCH($G910,Einstellungen!$E$5:$E$11,0)),0))</f>
        <v>0</v>
      </c>
      <c r="I910" s="35" t="str">
        <f aca="false">IF($G910="","-",IFERROR(INDEX(Einstellungen!$H$5:$H$11,MATCH($G910,Einstellungen!$E$5:$E$11,0)),"-"))</f>
        <v>-</v>
      </c>
      <c r="J910" s="35" t="str">
        <f aca="false">IF(AND(Einstellungen!$B$8="Ja",Einstellungen!$B$9="Effektiv"),$I910,"-")</f>
        <v>-</v>
      </c>
      <c r="K910" s="31" t="n">
        <f aca="false">IF(OR($F910="",$J910="-"),0,ROUND($F910-$F910/(1+$H910),2))</f>
        <v>0</v>
      </c>
      <c r="L910" s="31" t="n">
        <f aca="false">IF($F910="",0,$F910-$K910)</f>
        <v>0</v>
      </c>
      <c r="M910" s="31" t="n">
        <f aca="false">IF($F910="",0,IF($J910="V",$L910,$F910))</f>
        <v>0</v>
      </c>
      <c r="N910" s="31" t="n">
        <f aca="false">IF($F910="",0,IF($J910="U",$L910,$F910))</f>
        <v>0</v>
      </c>
      <c r="O910" s="35" t="str">
        <f aca="false">IF($A910="","",MONTH($A910))</f>
        <v/>
      </c>
      <c r="P910" s="35" t="str">
        <f aca="false">IF($A910="","",ROUNDUP(MONTH($A910)/3,0))</f>
        <v/>
      </c>
      <c r="Q910" s="35" t="str">
        <f aca="false">IF($A910="","",IF(MONTH($A910)&lt;=6,1,2))</f>
        <v/>
      </c>
      <c r="R910" s="35" t="str">
        <f aca="false">IF($E910="","",IFERROR(INDEX(Kontenplan!$F$5:$F$90,MATCH($E910,Kontenplan!$A$5:$A$90,0)),""))</f>
        <v/>
      </c>
      <c r="S910" s="35" t="str">
        <f aca="false">IF($D910="","",IFERROR(INDEX(Kontenplan!$F$5:$F$90,MATCH($D910,Kontenplan!$A$5:$A$90,0)),""))</f>
        <v/>
      </c>
      <c r="T910" s="35" t="str">
        <f aca="false">IF($D910="","",IFERROR(INDEX(Kontenplan!$C$5:$C$90,MATCH($D910,Kontenplan!$A$5:$A$90,0)),"?"))</f>
        <v/>
      </c>
      <c r="U910" s="35" t="str">
        <f aca="false">IF($E910="","",IFERROR(INDEX(Kontenplan!$C$5:$C$90,MATCH($E910,Kontenplan!$A$5:$A$90,0)),"?"))</f>
        <v/>
      </c>
      <c r="V910" s="35" t="str">
        <f aca="false">IF($F910="","",IF(OR($D910="",$E910="",$T910="?",$U910="?"),"Konto prüfen!",IF($A910="","Datum fehlt",IF(YEAR($A910)&lt;&gt;Einstellungen!$B$7,"anderes Jahr!",IF($G910="","MWST-Code fehlt","OK")))))</f>
        <v/>
      </c>
      <c r="W910" s="35" t="str">
        <f aca="false">IF($F910="","",IF(OR($D910=Kontoauszug!$C$4,$E910=Kontoauszug!$C$4),MAX(W$4:W909)+1,""))</f>
        <v/>
      </c>
    </row>
    <row r="911" customFormat="false" ht="15" hidden="false" customHeight="false" outlineLevel="0" collapsed="false">
      <c r="A911" s="33"/>
      <c r="B911" s="32"/>
      <c r="C911" s="32"/>
      <c r="D911" s="32"/>
      <c r="E911" s="32"/>
      <c r="F911" s="30"/>
      <c r="G911" s="32"/>
      <c r="H911" s="34" t="n">
        <f aca="false">IF($G911="",0,IFERROR(INDEX(Einstellungen!$G$5:$G$11,MATCH($G911,Einstellungen!$E$5:$E$11,0)),0))</f>
        <v>0</v>
      </c>
      <c r="I911" s="35" t="str">
        <f aca="false">IF($G911="","-",IFERROR(INDEX(Einstellungen!$H$5:$H$11,MATCH($G911,Einstellungen!$E$5:$E$11,0)),"-"))</f>
        <v>-</v>
      </c>
      <c r="J911" s="35" t="str">
        <f aca="false">IF(AND(Einstellungen!$B$8="Ja",Einstellungen!$B$9="Effektiv"),$I911,"-")</f>
        <v>-</v>
      </c>
      <c r="K911" s="31" t="n">
        <f aca="false">IF(OR($F911="",$J911="-"),0,ROUND($F911-$F911/(1+$H911),2))</f>
        <v>0</v>
      </c>
      <c r="L911" s="31" t="n">
        <f aca="false">IF($F911="",0,$F911-$K911)</f>
        <v>0</v>
      </c>
      <c r="M911" s="31" t="n">
        <f aca="false">IF($F911="",0,IF($J911="V",$L911,$F911))</f>
        <v>0</v>
      </c>
      <c r="N911" s="31" t="n">
        <f aca="false">IF($F911="",0,IF($J911="U",$L911,$F911))</f>
        <v>0</v>
      </c>
      <c r="O911" s="35" t="str">
        <f aca="false">IF($A911="","",MONTH($A911))</f>
        <v/>
      </c>
      <c r="P911" s="35" t="str">
        <f aca="false">IF($A911="","",ROUNDUP(MONTH($A911)/3,0))</f>
        <v/>
      </c>
      <c r="Q911" s="35" t="str">
        <f aca="false">IF($A911="","",IF(MONTH($A911)&lt;=6,1,2))</f>
        <v/>
      </c>
      <c r="R911" s="35" t="str">
        <f aca="false">IF($E911="","",IFERROR(INDEX(Kontenplan!$F$5:$F$90,MATCH($E911,Kontenplan!$A$5:$A$90,0)),""))</f>
        <v/>
      </c>
      <c r="S911" s="35" t="str">
        <f aca="false">IF($D911="","",IFERROR(INDEX(Kontenplan!$F$5:$F$90,MATCH($D911,Kontenplan!$A$5:$A$90,0)),""))</f>
        <v/>
      </c>
      <c r="T911" s="35" t="str">
        <f aca="false">IF($D911="","",IFERROR(INDEX(Kontenplan!$C$5:$C$90,MATCH($D911,Kontenplan!$A$5:$A$90,0)),"?"))</f>
        <v/>
      </c>
      <c r="U911" s="35" t="str">
        <f aca="false">IF($E911="","",IFERROR(INDEX(Kontenplan!$C$5:$C$90,MATCH($E911,Kontenplan!$A$5:$A$90,0)),"?"))</f>
        <v/>
      </c>
      <c r="V911" s="35" t="str">
        <f aca="false">IF($F911="","",IF(OR($D911="",$E911="",$T911="?",$U911="?"),"Konto prüfen!",IF($A911="","Datum fehlt",IF(YEAR($A911)&lt;&gt;Einstellungen!$B$7,"anderes Jahr!",IF($G911="","MWST-Code fehlt","OK")))))</f>
        <v/>
      </c>
      <c r="W911" s="35" t="str">
        <f aca="false">IF($F911="","",IF(OR($D911=Kontoauszug!$C$4,$E911=Kontoauszug!$C$4),MAX(W$4:W910)+1,""))</f>
        <v/>
      </c>
    </row>
    <row r="912" customFormat="false" ht="15" hidden="false" customHeight="false" outlineLevel="0" collapsed="false">
      <c r="A912" s="33"/>
      <c r="B912" s="32"/>
      <c r="C912" s="32"/>
      <c r="D912" s="32"/>
      <c r="E912" s="32"/>
      <c r="F912" s="30"/>
      <c r="G912" s="32"/>
      <c r="H912" s="34" t="n">
        <f aca="false">IF($G912="",0,IFERROR(INDEX(Einstellungen!$G$5:$G$11,MATCH($G912,Einstellungen!$E$5:$E$11,0)),0))</f>
        <v>0</v>
      </c>
      <c r="I912" s="35" t="str">
        <f aca="false">IF($G912="","-",IFERROR(INDEX(Einstellungen!$H$5:$H$11,MATCH($G912,Einstellungen!$E$5:$E$11,0)),"-"))</f>
        <v>-</v>
      </c>
      <c r="J912" s="35" t="str">
        <f aca="false">IF(AND(Einstellungen!$B$8="Ja",Einstellungen!$B$9="Effektiv"),$I912,"-")</f>
        <v>-</v>
      </c>
      <c r="K912" s="31" t="n">
        <f aca="false">IF(OR($F912="",$J912="-"),0,ROUND($F912-$F912/(1+$H912),2))</f>
        <v>0</v>
      </c>
      <c r="L912" s="31" t="n">
        <f aca="false">IF($F912="",0,$F912-$K912)</f>
        <v>0</v>
      </c>
      <c r="M912" s="31" t="n">
        <f aca="false">IF($F912="",0,IF($J912="V",$L912,$F912))</f>
        <v>0</v>
      </c>
      <c r="N912" s="31" t="n">
        <f aca="false">IF($F912="",0,IF($J912="U",$L912,$F912))</f>
        <v>0</v>
      </c>
      <c r="O912" s="35" t="str">
        <f aca="false">IF($A912="","",MONTH($A912))</f>
        <v/>
      </c>
      <c r="P912" s="35" t="str">
        <f aca="false">IF($A912="","",ROUNDUP(MONTH($A912)/3,0))</f>
        <v/>
      </c>
      <c r="Q912" s="35" t="str">
        <f aca="false">IF($A912="","",IF(MONTH($A912)&lt;=6,1,2))</f>
        <v/>
      </c>
      <c r="R912" s="35" t="str">
        <f aca="false">IF($E912="","",IFERROR(INDEX(Kontenplan!$F$5:$F$90,MATCH($E912,Kontenplan!$A$5:$A$90,0)),""))</f>
        <v/>
      </c>
      <c r="S912" s="35" t="str">
        <f aca="false">IF($D912="","",IFERROR(INDEX(Kontenplan!$F$5:$F$90,MATCH($D912,Kontenplan!$A$5:$A$90,0)),""))</f>
        <v/>
      </c>
      <c r="T912" s="35" t="str">
        <f aca="false">IF($D912="","",IFERROR(INDEX(Kontenplan!$C$5:$C$90,MATCH($D912,Kontenplan!$A$5:$A$90,0)),"?"))</f>
        <v/>
      </c>
      <c r="U912" s="35" t="str">
        <f aca="false">IF($E912="","",IFERROR(INDEX(Kontenplan!$C$5:$C$90,MATCH($E912,Kontenplan!$A$5:$A$90,0)),"?"))</f>
        <v/>
      </c>
      <c r="V912" s="35" t="str">
        <f aca="false">IF($F912="","",IF(OR($D912="",$E912="",$T912="?",$U912="?"),"Konto prüfen!",IF($A912="","Datum fehlt",IF(YEAR($A912)&lt;&gt;Einstellungen!$B$7,"anderes Jahr!",IF($G912="","MWST-Code fehlt","OK")))))</f>
        <v/>
      </c>
      <c r="W912" s="35" t="str">
        <f aca="false">IF($F912="","",IF(OR($D912=Kontoauszug!$C$4,$E912=Kontoauszug!$C$4),MAX(W$4:W911)+1,""))</f>
        <v/>
      </c>
    </row>
    <row r="913" customFormat="false" ht="15" hidden="false" customHeight="false" outlineLevel="0" collapsed="false">
      <c r="A913" s="33"/>
      <c r="B913" s="32"/>
      <c r="C913" s="32"/>
      <c r="D913" s="32"/>
      <c r="E913" s="32"/>
      <c r="F913" s="30"/>
      <c r="G913" s="32"/>
      <c r="H913" s="34" t="n">
        <f aca="false">IF($G913="",0,IFERROR(INDEX(Einstellungen!$G$5:$G$11,MATCH($G913,Einstellungen!$E$5:$E$11,0)),0))</f>
        <v>0</v>
      </c>
      <c r="I913" s="35" t="str">
        <f aca="false">IF($G913="","-",IFERROR(INDEX(Einstellungen!$H$5:$H$11,MATCH($G913,Einstellungen!$E$5:$E$11,0)),"-"))</f>
        <v>-</v>
      </c>
      <c r="J913" s="35" t="str">
        <f aca="false">IF(AND(Einstellungen!$B$8="Ja",Einstellungen!$B$9="Effektiv"),$I913,"-")</f>
        <v>-</v>
      </c>
      <c r="K913" s="31" t="n">
        <f aca="false">IF(OR($F913="",$J913="-"),0,ROUND($F913-$F913/(1+$H913),2))</f>
        <v>0</v>
      </c>
      <c r="L913" s="31" t="n">
        <f aca="false">IF($F913="",0,$F913-$K913)</f>
        <v>0</v>
      </c>
      <c r="M913" s="31" t="n">
        <f aca="false">IF($F913="",0,IF($J913="V",$L913,$F913))</f>
        <v>0</v>
      </c>
      <c r="N913" s="31" t="n">
        <f aca="false">IF($F913="",0,IF($J913="U",$L913,$F913))</f>
        <v>0</v>
      </c>
      <c r="O913" s="35" t="str">
        <f aca="false">IF($A913="","",MONTH($A913))</f>
        <v/>
      </c>
      <c r="P913" s="35" t="str">
        <f aca="false">IF($A913="","",ROUNDUP(MONTH($A913)/3,0))</f>
        <v/>
      </c>
      <c r="Q913" s="35" t="str">
        <f aca="false">IF($A913="","",IF(MONTH($A913)&lt;=6,1,2))</f>
        <v/>
      </c>
      <c r="R913" s="35" t="str">
        <f aca="false">IF($E913="","",IFERROR(INDEX(Kontenplan!$F$5:$F$90,MATCH($E913,Kontenplan!$A$5:$A$90,0)),""))</f>
        <v/>
      </c>
      <c r="S913" s="35" t="str">
        <f aca="false">IF($D913="","",IFERROR(INDEX(Kontenplan!$F$5:$F$90,MATCH($D913,Kontenplan!$A$5:$A$90,0)),""))</f>
        <v/>
      </c>
      <c r="T913" s="35" t="str">
        <f aca="false">IF($D913="","",IFERROR(INDEX(Kontenplan!$C$5:$C$90,MATCH($D913,Kontenplan!$A$5:$A$90,0)),"?"))</f>
        <v/>
      </c>
      <c r="U913" s="35" t="str">
        <f aca="false">IF($E913="","",IFERROR(INDEX(Kontenplan!$C$5:$C$90,MATCH($E913,Kontenplan!$A$5:$A$90,0)),"?"))</f>
        <v/>
      </c>
      <c r="V913" s="35" t="str">
        <f aca="false">IF($F913="","",IF(OR($D913="",$E913="",$T913="?",$U913="?"),"Konto prüfen!",IF($A913="","Datum fehlt",IF(YEAR($A913)&lt;&gt;Einstellungen!$B$7,"anderes Jahr!",IF($G913="","MWST-Code fehlt","OK")))))</f>
        <v/>
      </c>
      <c r="W913" s="35" t="str">
        <f aca="false">IF($F913="","",IF(OR($D913=Kontoauszug!$C$4,$E913=Kontoauszug!$C$4),MAX(W$4:W912)+1,""))</f>
        <v/>
      </c>
    </row>
    <row r="914" customFormat="false" ht="15" hidden="false" customHeight="false" outlineLevel="0" collapsed="false">
      <c r="A914" s="33"/>
      <c r="B914" s="32"/>
      <c r="C914" s="32"/>
      <c r="D914" s="32"/>
      <c r="E914" s="32"/>
      <c r="F914" s="30"/>
      <c r="G914" s="32"/>
      <c r="H914" s="34" t="n">
        <f aca="false">IF($G914="",0,IFERROR(INDEX(Einstellungen!$G$5:$G$11,MATCH($G914,Einstellungen!$E$5:$E$11,0)),0))</f>
        <v>0</v>
      </c>
      <c r="I914" s="35" t="str">
        <f aca="false">IF($G914="","-",IFERROR(INDEX(Einstellungen!$H$5:$H$11,MATCH($G914,Einstellungen!$E$5:$E$11,0)),"-"))</f>
        <v>-</v>
      </c>
      <c r="J914" s="35" t="str">
        <f aca="false">IF(AND(Einstellungen!$B$8="Ja",Einstellungen!$B$9="Effektiv"),$I914,"-")</f>
        <v>-</v>
      </c>
      <c r="K914" s="31" t="n">
        <f aca="false">IF(OR($F914="",$J914="-"),0,ROUND($F914-$F914/(1+$H914),2))</f>
        <v>0</v>
      </c>
      <c r="L914" s="31" t="n">
        <f aca="false">IF($F914="",0,$F914-$K914)</f>
        <v>0</v>
      </c>
      <c r="M914" s="31" t="n">
        <f aca="false">IF($F914="",0,IF($J914="V",$L914,$F914))</f>
        <v>0</v>
      </c>
      <c r="N914" s="31" t="n">
        <f aca="false">IF($F914="",0,IF($J914="U",$L914,$F914))</f>
        <v>0</v>
      </c>
      <c r="O914" s="35" t="str">
        <f aca="false">IF($A914="","",MONTH($A914))</f>
        <v/>
      </c>
      <c r="P914" s="35" t="str">
        <f aca="false">IF($A914="","",ROUNDUP(MONTH($A914)/3,0))</f>
        <v/>
      </c>
      <c r="Q914" s="35" t="str">
        <f aca="false">IF($A914="","",IF(MONTH($A914)&lt;=6,1,2))</f>
        <v/>
      </c>
      <c r="R914" s="35" t="str">
        <f aca="false">IF($E914="","",IFERROR(INDEX(Kontenplan!$F$5:$F$90,MATCH($E914,Kontenplan!$A$5:$A$90,0)),""))</f>
        <v/>
      </c>
      <c r="S914" s="35" t="str">
        <f aca="false">IF($D914="","",IFERROR(INDEX(Kontenplan!$F$5:$F$90,MATCH($D914,Kontenplan!$A$5:$A$90,0)),""))</f>
        <v/>
      </c>
      <c r="T914" s="35" t="str">
        <f aca="false">IF($D914="","",IFERROR(INDEX(Kontenplan!$C$5:$C$90,MATCH($D914,Kontenplan!$A$5:$A$90,0)),"?"))</f>
        <v/>
      </c>
      <c r="U914" s="35" t="str">
        <f aca="false">IF($E914="","",IFERROR(INDEX(Kontenplan!$C$5:$C$90,MATCH($E914,Kontenplan!$A$5:$A$90,0)),"?"))</f>
        <v/>
      </c>
      <c r="V914" s="35" t="str">
        <f aca="false">IF($F914="","",IF(OR($D914="",$E914="",$T914="?",$U914="?"),"Konto prüfen!",IF($A914="","Datum fehlt",IF(YEAR($A914)&lt;&gt;Einstellungen!$B$7,"anderes Jahr!",IF($G914="","MWST-Code fehlt","OK")))))</f>
        <v/>
      </c>
      <c r="W914" s="35" t="str">
        <f aca="false">IF($F914="","",IF(OR($D914=Kontoauszug!$C$4,$E914=Kontoauszug!$C$4),MAX(W$4:W913)+1,""))</f>
        <v/>
      </c>
    </row>
    <row r="915" customFormat="false" ht="15" hidden="false" customHeight="false" outlineLevel="0" collapsed="false">
      <c r="A915" s="33"/>
      <c r="B915" s="32"/>
      <c r="C915" s="32"/>
      <c r="D915" s="32"/>
      <c r="E915" s="32"/>
      <c r="F915" s="30"/>
      <c r="G915" s="32"/>
      <c r="H915" s="34" t="n">
        <f aca="false">IF($G915="",0,IFERROR(INDEX(Einstellungen!$G$5:$G$11,MATCH($G915,Einstellungen!$E$5:$E$11,0)),0))</f>
        <v>0</v>
      </c>
      <c r="I915" s="35" t="str">
        <f aca="false">IF($G915="","-",IFERROR(INDEX(Einstellungen!$H$5:$H$11,MATCH($G915,Einstellungen!$E$5:$E$11,0)),"-"))</f>
        <v>-</v>
      </c>
      <c r="J915" s="35" t="str">
        <f aca="false">IF(AND(Einstellungen!$B$8="Ja",Einstellungen!$B$9="Effektiv"),$I915,"-")</f>
        <v>-</v>
      </c>
      <c r="K915" s="31" t="n">
        <f aca="false">IF(OR($F915="",$J915="-"),0,ROUND($F915-$F915/(1+$H915),2))</f>
        <v>0</v>
      </c>
      <c r="L915" s="31" t="n">
        <f aca="false">IF($F915="",0,$F915-$K915)</f>
        <v>0</v>
      </c>
      <c r="M915" s="31" t="n">
        <f aca="false">IF($F915="",0,IF($J915="V",$L915,$F915))</f>
        <v>0</v>
      </c>
      <c r="N915" s="31" t="n">
        <f aca="false">IF($F915="",0,IF($J915="U",$L915,$F915))</f>
        <v>0</v>
      </c>
      <c r="O915" s="35" t="str">
        <f aca="false">IF($A915="","",MONTH($A915))</f>
        <v/>
      </c>
      <c r="P915" s="35" t="str">
        <f aca="false">IF($A915="","",ROUNDUP(MONTH($A915)/3,0))</f>
        <v/>
      </c>
      <c r="Q915" s="35" t="str">
        <f aca="false">IF($A915="","",IF(MONTH($A915)&lt;=6,1,2))</f>
        <v/>
      </c>
      <c r="R915" s="35" t="str">
        <f aca="false">IF($E915="","",IFERROR(INDEX(Kontenplan!$F$5:$F$90,MATCH($E915,Kontenplan!$A$5:$A$90,0)),""))</f>
        <v/>
      </c>
      <c r="S915" s="35" t="str">
        <f aca="false">IF($D915="","",IFERROR(INDEX(Kontenplan!$F$5:$F$90,MATCH($D915,Kontenplan!$A$5:$A$90,0)),""))</f>
        <v/>
      </c>
      <c r="T915" s="35" t="str">
        <f aca="false">IF($D915="","",IFERROR(INDEX(Kontenplan!$C$5:$C$90,MATCH($D915,Kontenplan!$A$5:$A$90,0)),"?"))</f>
        <v/>
      </c>
      <c r="U915" s="35" t="str">
        <f aca="false">IF($E915="","",IFERROR(INDEX(Kontenplan!$C$5:$C$90,MATCH($E915,Kontenplan!$A$5:$A$90,0)),"?"))</f>
        <v/>
      </c>
      <c r="V915" s="35" t="str">
        <f aca="false">IF($F915="","",IF(OR($D915="",$E915="",$T915="?",$U915="?"),"Konto prüfen!",IF($A915="","Datum fehlt",IF(YEAR($A915)&lt;&gt;Einstellungen!$B$7,"anderes Jahr!",IF($G915="","MWST-Code fehlt","OK")))))</f>
        <v/>
      </c>
      <c r="W915" s="35" t="str">
        <f aca="false">IF($F915="","",IF(OR($D915=Kontoauszug!$C$4,$E915=Kontoauszug!$C$4),MAX(W$4:W914)+1,""))</f>
        <v/>
      </c>
    </row>
    <row r="916" customFormat="false" ht="15" hidden="false" customHeight="false" outlineLevel="0" collapsed="false">
      <c r="A916" s="33"/>
      <c r="B916" s="32"/>
      <c r="C916" s="32"/>
      <c r="D916" s="32"/>
      <c r="E916" s="32"/>
      <c r="F916" s="30"/>
      <c r="G916" s="32"/>
      <c r="H916" s="34" t="n">
        <f aca="false">IF($G916="",0,IFERROR(INDEX(Einstellungen!$G$5:$G$11,MATCH($G916,Einstellungen!$E$5:$E$11,0)),0))</f>
        <v>0</v>
      </c>
      <c r="I916" s="35" t="str">
        <f aca="false">IF($G916="","-",IFERROR(INDEX(Einstellungen!$H$5:$H$11,MATCH($G916,Einstellungen!$E$5:$E$11,0)),"-"))</f>
        <v>-</v>
      </c>
      <c r="J916" s="35" t="str">
        <f aca="false">IF(AND(Einstellungen!$B$8="Ja",Einstellungen!$B$9="Effektiv"),$I916,"-")</f>
        <v>-</v>
      </c>
      <c r="K916" s="31" t="n">
        <f aca="false">IF(OR($F916="",$J916="-"),0,ROUND($F916-$F916/(1+$H916),2))</f>
        <v>0</v>
      </c>
      <c r="L916" s="31" t="n">
        <f aca="false">IF($F916="",0,$F916-$K916)</f>
        <v>0</v>
      </c>
      <c r="M916" s="31" t="n">
        <f aca="false">IF($F916="",0,IF($J916="V",$L916,$F916))</f>
        <v>0</v>
      </c>
      <c r="N916" s="31" t="n">
        <f aca="false">IF($F916="",0,IF($J916="U",$L916,$F916))</f>
        <v>0</v>
      </c>
      <c r="O916" s="35" t="str">
        <f aca="false">IF($A916="","",MONTH($A916))</f>
        <v/>
      </c>
      <c r="P916" s="35" t="str">
        <f aca="false">IF($A916="","",ROUNDUP(MONTH($A916)/3,0))</f>
        <v/>
      </c>
      <c r="Q916" s="35" t="str">
        <f aca="false">IF($A916="","",IF(MONTH($A916)&lt;=6,1,2))</f>
        <v/>
      </c>
      <c r="R916" s="35" t="str">
        <f aca="false">IF($E916="","",IFERROR(INDEX(Kontenplan!$F$5:$F$90,MATCH($E916,Kontenplan!$A$5:$A$90,0)),""))</f>
        <v/>
      </c>
      <c r="S916" s="35" t="str">
        <f aca="false">IF($D916="","",IFERROR(INDEX(Kontenplan!$F$5:$F$90,MATCH($D916,Kontenplan!$A$5:$A$90,0)),""))</f>
        <v/>
      </c>
      <c r="T916" s="35" t="str">
        <f aca="false">IF($D916="","",IFERROR(INDEX(Kontenplan!$C$5:$C$90,MATCH($D916,Kontenplan!$A$5:$A$90,0)),"?"))</f>
        <v/>
      </c>
      <c r="U916" s="35" t="str">
        <f aca="false">IF($E916="","",IFERROR(INDEX(Kontenplan!$C$5:$C$90,MATCH($E916,Kontenplan!$A$5:$A$90,0)),"?"))</f>
        <v/>
      </c>
      <c r="V916" s="35" t="str">
        <f aca="false">IF($F916="","",IF(OR($D916="",$E916="",$T916="?",$U916="?"),"Konto prüfen!",IF($A916="","Datum fehlt",IF(YEAR($A916)&lt;&gt;Einstellungen!$B$7,"anderes Jahr!",IF($G916="","MWST-Code fehlt","OK")))))</f>
        <v/>
      </c>
      <c r="W916" s="35" t="str">
        <f aca="false">IF($F916="","",IF(OR($D916=Kontoauszug!$C$4,$E916=Kontoauszug!$C$4),MAX(W$4:W915)+1,""))</f>
        <v/>
      </c>
    </row>
    <row r="917" customFormat="false" ht="15" hidden="false" customHeight="false" outlineLevel="0" collapsed="false">
      <c r="A917" s="33"/>
      <c r="B917" s="32"/>
      <c r="C917" s="32"/>
      <c r="D917" s="32"/>
      <c r="E917" s="32"/>
      <c r="F917" s="30"/>
      <c r="G917" s="32"/>
      <c r="H917" s="34" t="n">
        <f aca="false">IF($G917="",0,IFERROR(INDEX(Einstellungen!$G$5:$G$11,MATCH($G917,Einstellungen!$E$5:$E$11,0)),0))</f>
        <v>0</v>
      </c>
      <c r="I917" s="35" t="str">
        <f aca="false">IF($G917="","-",IFERROR(INDEX(Einstellungen!$H$5:$H$11,MATCH($G917,Einstellungen!$E$5:$E$11,0)),"-"))</f>
        <v>-</v>
      </c>
      <c r="J917" s="35" t="str">
        <f aca="false">IF(AND(Einstellungen!$B$8="Ja",Einstellungen!$B$9="Effektiv"),$I917,"-")</f>
        <v>-</v>
      </c>
      <c r="K917" s="31" t="n">
        <f aca="false">IF(OR($F917="",$J917="-"),0,ROUND($F917-$F917/(1+$H917),2))</f>
        <v>0</v>
      </c>
      <c r="L917" s="31" t="n">
        <f aca="false">IF($F917="",0,$F917-$K917)</f>
        <v>0</v>
      </c>
      <c r="M917" s="31" t="n">
        <f aca="false">IF($F917="",0,IF($J917="V",$L917,$F917))</f>
        <v>0</v>
      </c>
      <c r="N917" s="31" t="n">
        <f aca="false">IF($F917="",0,IF($J917="U",$L917,$F917))</f>
        <v>0</v>
      </c>
      <c r="O917" s="35" t="str">
        <f aca="false">IF($A917="","",MONTH($A917))</f>
        <v/>
      </c>
      <c r="P917" s="35" t="str">
        <f aca="false">IF($A917="","",ROUNDUP(MONTH($A917)/3,0))</f>
        <v/>
      </c>
      <c r="Q917" s="35" t="str">
        <f aca="false">IF($A917="","",IF(MONTH($A917)&lt;=6,1,2))</f>
        <v/>
      </c>
      <c r="R917" s="35" t="str">
        <f aca="false">IF($E917="","",IFERROR(INDEX(Kontenplan!$F$5:$F$90,MATCH($E917,Kontenplan!$A$5:$A$90,0)),""))</f>
        <v/>
      </c>
      <c r="S917" s="35" t="str">
        <f aca="false">IF($D917="","",IFERROR(INDEX(Kontenplan!$F$5:$F$90,MATCH($D917,Kontenplan!$A$5:$A$90,0)),""))</f>
        <v/>
      </c>
      <c r="T917" s="35" t="str">
        <f aca="false">IF($D917="","",IFERROR(INDEX(Kontenplan!$C$5:$C$90,MATCH($D917,Kontenplan!$A$5:$A$90,0)),"?"))</f>
        <v/>
      </c>
      <c r="U917" s="35" t="str">
        <f aca="false">IF($E917="","",IFERROR(INDEX(Kontenplan!$C$5:$C$90,MATCH($E917,Kontenplan!$A$5:$A$90,0)),"?"))</f>
        <v/>
      </c>
      <c r="V917" s="35" t="str">
        <f aca="false">IF($F917="","",IF(OR($D917="",$E917="",$T917="?",$U917="?"),"Konto prüfen!",IF($A917="","Datum fehlt",IF(YEAR($A917)&lt;&gt;Einstellungen!$B$7,"anderes Jahr!",IF($G917="","MWST-Code fehlt","OK")))))</f>
        <v/>
      </c>
      <c r="W917" s="35" t="str">
        <f aca="false">IF($F917="","",IF(OR($D917=Kontoauszug!$C$4,$E917=Kontoauszug!$C$4),MAX(W$4:W916)+1,""))</f>
        <v/>
      </c>
    </row>
    <row r="918" customFormat="false" ht="15" hidden="false" customHeight="false" outlineLevel="0" collapsed="false">
      <c r="A918" s="33"/>
      <c r="B918" s="32"/>
      <c r="C918" s="32"/>
      <c r="D918" s="32"/>
      <c r="E918" s="32"/>
      <c r="F918" s="30"/>
      <c r="G918" s="32"/>
      <c r="H918" s="34" t="n">
        <f aca="false">IF($G918="",0,IFERROR(INDEX(Einstellungen!$G$5:$G$11,MATCH($G918,Einstellungen!$E$5:$E$11,0)),0))</f>
        <v>0</v>
      </c>
      <c r="I918" s="35" t="str">
        <f aca="false">IF($G918="","-",IFERROR(INDEX(Einstellungen!$H$5:$H$11,MATCH($G918,Einstellungen!$E$5:$E$11,0)),"-"))</f>
        <v>-</v>
      </c>
      <c r="J918" s="35" t="str">
        <f aca="false">IF(AND(Einstellungen!$B$8="Ja",Einstellungen!$B$9="Effektiv"),$I918,"-")</f>
        <v>-</v>
      </c>
      <c r="K918" s="31" t="n">
        <f aca="false">IF(OR($F918="",$J918="-"),0,ROUND($F918-$F918/(1+$H918),2))</f>
        <v>0</v>
      </c>
      <c r="L918" s="31" t="n">
        <f aca="false">IF($F918="",0,$F918-$K918)</f>
        <v>0</v>
      </c>
      <c r="M918" s="31" t="n">
        <f aca="false">IF($F918="",0,IF($J918="V",$L918,$F918))</f>
        <v>0</v>
      </c>
      <c r="N918" s="31" t="n">
        <f aca="false">IF($F918="",0,IF($J918="U",$L918,$F918))</f>
        <v>0</v>
      </c>
      <c r="O918" s="35" t="str">
        <f aca="false">IF($A918="","",MONTH($A918))</f>
        <v/>
      </c>
      <c r="P918" s="35" t="str">
        <f aca="false">IF($A918="","",ROUNDUP(MONTH($A918)/3,0))</f>
        <v/>
      </c>
      <c r="Q918" s="35" t="str">
        <f aca="false">IF($A918="","",IF(MONTH($A918)&lt;=6,1,2))</f>
        <v/>
      </c>
      <c r="R918" s="35" t="str">
        <f aca="false">IF($E918="","",IFERROR(INDEX(Kontenplan!$F$5:$F$90,MATCH($E918,Kontenplan!$A$5:$A$90,0)),""))</f>
        <v/>
      </c>
      <c r="S918" s="35" t="str">
        <f aca="false">IF($D918="","",IFERROR(INDEX(Kontenplan!$F$5:$F$90,MATCH($D918,Kontenplan!$A$5:$A$90,0)),""))</f>
        <v/>
      </c>
      <c r="T918" s="35" t="str">
        <f aca="false">IF($D918="","",IFERROR(INDEX(Kontenplan!$C$5:$C$90,MATCH($D918,Kontenplan!$A$5:$A$90,0)),"?"))</f>
        <v/>
      </c>
      <c r="U918" s="35" t="str">
        <f aca="false">IF($E918="","",IFERROR(INDEX(Kontenplan!$C$5:$C$90,MATCH($E918,Kontenplan!$A$5:$A$90,0)),"?"))</f>
        <v/>
      </c>
      <c r="V918" s="35" t="str">
        <f aca="false">IF($F918="","",IF(OR($D918="",$E918="",$T918="?",$U918="?"),"Konto prüfen!",IF($A918="","Datum fehlt",IF(YEAR($A918)&lt;&gt;Einstellungen!$B$7,"anderes Jahr!",IF($G918="","MWST-Code fehlt","OK")))))</f>
        <v/>
      </c>
      <c r="W918" s="35" t="str">
        <f aca="false">IF($F918="","",IF(OR($D918=Kontoauszug!$C$4,$E918=Kontoauszug!$C$4),MAX(W$4:W917)+1,""))</f>
        <v/>
      </c>
    </row>
    <row r="919" customFormat="false" ht="15" hidden="false" customHeight="false" outlineLevel="0" collapsed="false">
      <c r="A919" s="33"/>
      <c r="B919" s="32"/>
      <c r="C919" s="32"/>
      <c r="D919" s="32"/>
      <c r="E919" s="32"/>
      <c r="F919" s="30"/>
      <c r="G919" s="32"/>
      <c r="H919" s="34" t="n">
        <f aca="false">IF($G919="",0,IFERROR(INDEX(Einstellungen!$G$5:$G$11,MATCH($G919,Einstellungen!$E$5:$E$11,0)),0))</f>
        <v>0</v>
      </c>
      <c r="I919" s="35" t="str">
        <f aca="false">IF($G919="","-",IFERROR(INDEX(Einstellungen!$H$5:$H$11,MATCH($G919,Einstellungen!$E$5:$E$11,0)),"-"))</f>
        <v>-</v>
      </c>
      <c r="J919" s="35" t="str">
        <f aca="false">IF(AND(Einstellungen!$B$8="Ja",Einstellungen!$B$9="Effektiv"),$I919,"-")</f>
        <v>-</v>
      </c>
      <c r="K919" s="31" t="n">
        <f aca="false">IF(OR($F919="",$J919="-"),0,ROUND($F919-$F919/(1+$H919),2))</f>
        <v>0</v>
      </c>
      <c r="L919" s="31" t="n">
        <f aca="false">IF($F919="",0,$F919-$K919)</f>
        <v>0</v>
      </c>
      <c r="M919" s="31" t="n">
        <f aca="false">IF($F919="",0,IF($J919="V",$L919,$F919))</f>
        <v>0</v>
      </c>
      <c r="N919" s="31" t="n">
        <f aca="false">IF($F919="",0,IF($J919="U",$L919,$F919))</f>
        <v>0</v>
      </c>
      <c r="O919" s="35" t="str">
        <f aca="false">IF($A919="","",MONTH($A919))</f>
        <v/>
      </c>
      <c r="P919" s="35" t="str">
        <f aca="false">IF($A919="","",ROUNDUP(MONTH($A919)/3,0))</f>
        <v/>
      </c>
      <c r="Q919" s="35" t="str">
        <f aca="false">IF($A919="","",IF(MONTH($A919)&lt;=6,1,2))</f>
        <v/>
      </c>
      <c r="R919" s="35" t="str">
        <f aca="false">IF($E919="","",IFERROR(INDEX(Kontenplan!$F$5:$F$90,MATCH($E919,Kontenplan!$A$5:$A$90,0)),""))</f>
        <v/>
      </c>
      <c r="S919" s="35" t="str">
        <f aca="false">IF($D919="","",IFERROR(INDEX(Kontenplan!$F$5:$F$90,MATCH($D919,Kontenplan!$A$5:$A$90,0)),""))</f>
        <v/>
      </c>
      <c r="T919" s="35" t="str">
        <f aca="false">IF($D919="","",IFERROR(INDEX(Kontenplan!$C$5:$C$90,MATCH($D919,Kontenplan!$A$5:$A$90,0)),"?"))</f>
        <v/>
      </c>
      <c r="U919" s="35" t="str">
        <f aca="false">IF($E919="","",IFERROR(INDEX(Kontenplan!$C$5:$C$90,MATCH($E919,Kontenplan!$A$5:$A$90,0)),"?"))</f>
        <v/>
      </c>
      <c r="V919" s="35" t="str">
        <f aca="false">IF($F919="","",IF(OR($D919="",$E919="",$T919="?",$U919="?"),"Konto prüfen!",IF($A919="","Datum fehlt",IF(YEAR($A919)&lt;&gt;Einstellungen!$B$7,"anderes Jahr!",IF($G919="","MWST-Code fehlt","OK")))))</f>
        <v/>
      </c>
      <c r="W919" s="35" t="str">
        <f aca="false">IF($F919="","",IF(OR($D919=Kontoauszug!$C$4,$E919=Kontoauszug!$C$4),MAX(W$4:W918)+1,""))</f>
        <v/>
      </c>
    </row>
    <row r="920" customFormat="false" ht="15" hidden="false" customHeight="false" outlineLevel="0" collapsed="false">
      <c r="A920" s="33"/>
      <c r="B920" s="32"/>
      <c r="C920" s="32"/>
      <c r="D920" s="32"/>
      <c r="E920" s="32"/>
      <c r="F920" s="30"/>
      <c r="G920" s="32"/>
      <c r="H920" s="34" t="n">
        <f aca="false">IF($G920="",0,IFERROR(INDEX(Einstellungen!$G$5:$G$11,MATCH($G920,Einstellungen!$E$5:$E$11,0)),0))</f>
        <v>0</v>
      </c>
      <c r="I920" s="35" t="str">
        <f aca="false">IF($G920="","-",IFERROR(INDEX(Einstellungen!$H$5:$H$11,MATCH($G920,Einstellungen!$E$5:$E$11,0)),"-"))</f>
        <v>-</v>
      </c>
      <c r="J920" s="35" t="str">
        <f aca="false">IF(AND(Einstellungen!$B$8="Ja",Einstellungen!$B$9="Effektiv"),$I920,"-")</f>
        <v>-</v>
      </c>
      <c r="K920" s="31" t="n">
        <f aca="false">IF(OR($F920="",$J920="-"),0,ROUND($F920-$F920/(1+$H920),2))</f>
        <v>0</v>
      </c>
      <c r="L920" s="31" t="n">
        <f aca="false">IF($F920="",0,$F920-$K920)</f>
        <v>0</v>
      </c>
      <c r="M920" s="31" t="n">
        <f aca="false">IF($F920="",0,IF($J920="V",$L920,$F920))</f>
        <v>0</v>
      </c>
      <c r="N920" s="31" t="n">
        <f aca="false">IF($F920="",0,IF($J920="U",$L920,$F920))</f>
        <v>0</v>
      </c>
      <c r="O920" s="35" t="str">
        <f aca="false">IF($A920="","",MONTH($A920))</f>
        <v/>
      </c>
      <c r="P920" s="35" t="str">
        <f aca="false">IF($A920="","",ROUNDUP(MONTH($A920)/3,0))</f>
        <v/>
      </c>
      <c r="Q920" s="35" t="str">
        <f aca="false">IF($A920="","",IF(MONTH($A920)&lt;=6,1,2))</f>
        <v/>
      </c>
      <c r="R920" s="35" t="str">
        <f aca="false">IF($E920="","",IFERROR(INDEX(Kontenplan!$F$5:$F$90,MATCH($E920,Kontenplan!$A$5:$A$90,0)),""))</f>
        <v/>
      </c>
      <c r="S920" s="35" t="str">
        <f aca="false">IF($D920="","",IFERROR(INDEX(Kontenplan!$F$5:$F$90,MATCH($D920,Kontenplan!$A$5:$A$90,0)),""))</f>
        <v/>
      </c>
      <c r="T920" s="35" t="str">
        <f aca="false">IF($D920="","",IFERROR(INDEX(Kontenplan!$C$5:$C$90,MATCH($D920,Kontenplan!$A$5:$A$90,0)),"?"))</f>
        <v/>
      </c>
      <c r="U920" s="35" t="str">
        <f aca="false">IF($E920="","",IFERROR(INDEX(Kontenplan!$C$5:$C$90,MATCH($E920,Kontenplan!$A$5:$A$90,0)),"?"))</f>
        <v/>
      </c>
      <c r="V920" s="35" t="str">
        <f aca="false">IF($F920="","",IF(OR($D920="",$E920="",$T920="?",$U920="?"),"Konto prüfen!",IF($A920="","Datum fehlt",IF(YEAR($A920)&lt;&gt;Einstellungen!$B$7,"anderes Jahr!",IF($G920="","MWST-Code fehlt","OK")))))</f>
        <v/>
      </c>
      <c r="W920" s="35" t="str">
        <f aca="false">IF($F920="","",IF(OR($D920=Kontoauszug!$C$4,$E920=Kontoauszug!$C$4),MAX(W$4:W919)+1,""))</f>
        <v/>
      </c>
    </row>
    <row r="921" customFormat="false" ht="15" hidden="false" customHeight="false" outlineLevel="0" collapsed="false">
      <c r="A921" s="33"/>
      <c r="B921" s="32"/>
      <c r="C921" s="32"/>
      <c r="D921" s="32"/>
      <c r="E921" s="32"/>
      <c r="F921" s="30"/>
      <c r="G921" s="32"/>
      <c r="H921" s="34" t="n">
        <f aca="false">IF($G921="",0,IFERROR(INDEX(Einstellungen!$G$5:$G$11,MATCH($G921,Einstellungen!$E$5:$E$11,0)),0))</f>
        <v>0</v>
      </c>
      <c r="I921" s="35" t="str">
        <f aca="false">IF($G921="","-",IFERROR(INDEX(Einstellungen!$H$5:$H$11,MATCH($G921,Einstellungen!$E$5:$E$11,0)),"-"))</f>
        <v>-</v>
      </c>
      <c r="J921" s="35" t="str">
        <f aca="false">IF(AND(Einstellungen!$B$8="Ja",Einstellungen!$B$9="Effektiv"),$I921,"-")</f>
        <v>-</v>
      </c>
      <c r="K921" s="31" t="n">
        <f aca="false">IF(OR($F921="",$J921="-"),0,ROUND($F921-$F921/(1+$H921),2))</f>
        <v>0</v>
      </c>
      <c r="L921" s="31" t="n">
        <f aca="false">IF($F921="",0,$F921-$K921)</f>
        <v>0</v>
      </c>
      <c r="M921" s="31" t="n">
        <f aca="false">IF($F921="",0,IF($J921="V",$L921,$F921))</f>
        <v>0</v>
      </c>
      <c r="N921" s="31" t="n">
        <f aca="false">IF($F921="",0,IF($J921="U",$L921,$F921))</f>
        <v>0</v>
      </c>
      <c r="O921" s="35" t="str">
        <f aca="false">IF($A921="","",MONTH($A921))</f>
        <v/>
      </c>
      <c r="P921" s="35" t="str">
        <f aca="false">IF($A921="","",ROUNDUP(MONTH($A921)/3,0))</f>
        <v/>
      </c>
      <c r="Q921" s="35" t="str">
        <f aca="false">IF($A921="","",IF(MONTH($A921)&lt;=6,1,2))</f>
        <v/>
      </c>
      <c r="R921" s="35" t="str">
        <f aca="false">IF($E921="","",IFERROR(INDEX(Kontenplan!$F$5:$F$90,MATCH($E921,Kontenplan!$A$5:$A$90,0)),""))</f>
        <v/>
      </c>
      <c r="S921" s="35" t="str">
        <f aca="false">IF($D921="","",IFERROR(INDEX(Kontenplan!$F$5:$F$90,MATCH($D921,Kontenplan!$A$5:$A$90,0)),""))</f>
        <v/>
      </c>
      <c r="T921" s="35" t="str">
        <f aca="false">IF($D921="","",IFERROR(INDEX(Kontenplan!$C$5:$C$90,MATCH($D921,Kontenplan!$A$5:$A$90,0)),"?"))</f>
        <v/>
      </c>
      <c r="U921" s="35" t="str">
        <f aca="false">IF($E921="","",IFERROR(INDEX(Kontenplan!$C$5:$C$90,MATCH($E921,Kontenplan!$A$5:$A$90,0)),"?"))</f>
        <v/>
      </c>
      <c r="V921" s="35" t="str">
        <f aca="false">IF($F921="","",IF(OR($D921="",$E921="",$T921="?",$U921="?"),"Konto prüfen!",IF($A921="","Datum fehlt",IF(YEAR($A921)&lt;&gt;Einstellungen!$B$7,"anderes Jahr!",IF($G921="","MWST-Code fehlt","OK")))))</f>
        <v/>
      </c>
      <c r="W921" s="35" t="str">
        <f aca="false">IF($F921="","",IF(OR($D921=Kontoauszug!$C$4,$E921=Kontoauszug!$C$4),MAX(W$4:W920)+1,""))</f>
        <v/>
      </c>
    </row>
    <row r="922" customFormat="false" ht="15" hidden="false" customHeight="false" outlineLevel="0" collapsed="false">
      <c r="A922" s="33"/>
      <c r="B922" s="32"/>
      <c r="C922" s="32"/>
      <c r="D922" s="32"/>
      <c r="E922" s="32"/>
      <c r="F922" s="30"/>
      <c r="G922" s="32"/>
      <c r="H922" s="34" t="n">
        <f aca="false">IF($G922="",0,IFERROR(INDEX(Einstellungen!$G$5:$G$11,MATCH($G922,Einstellungen!$E$5:$E$11,0)),0))</f>
        <v>0</v>
      </c>
      <c r="I922" s="35" t="str">
        <f aca="false">IF($G922="","-",IFERROR(INDEX(Einstellungen!$H$5:$H$11,MATCH($G922,Einstellungen!$E$5:$E$11,0)),"-"))</f>
        <v>-</v>
      </c>
      <c r="J922" s="35" t="str">
        <f aca="false">IF(AND(Einstellungen!$B$8="Ja",Einstellungen!$B$9="Effektiv"),$I922,"-")</f>
        <v>-</v>
      </c>
      <c r="K922" s="31" t="n">
        <f aca="false">IF(OR($F922="",$J922="-"),0,ROUND($F922-$F922/(1+$H922),2))</f>
        <v>0</v>
      </c>
      <c r="L922" s="31" t="n">
        <f aca="false">IF($F922="",0,$F922-$K922)</f>
        <v>0</v>
      </c>
      <c r="M922" s="31" t="n">
        <f aca="false">IF($F922="",0,IF($J922="V",$L922,$F922))</f>
        <v>0</v>
      </c>
      <c r="N922" s="31" t="n">
        <f aca="false">IF($F922="",0,IF($J922="U",$L922,$F922))</f>
        <v>0</v>
      </c>
      <c r="O922" s="35" t="str">
        <f aca="false">IF($A922="","",MONTH($A922))</f>
        <v/>
      </c>
      <c r="P922" s="35" t="str">
        <f aca="false">IF($A922="","",ROUNDUP(MONTH($A922)/3,0))</f>
        <v/>
      </c>
      <c r="Q922" s="35" t="str">
        <f aca="false">IF($A922="","",IF(MONTH($A922)&lt;=6,1,2))</f>
        <v/>
      </c>
      <c r="R922" s="35" t="str">
        <f aca="false">IF($E922="","",IFERROR(INDEX(Kontenplan!$F$5:$F$90,MATCH($E922,Kontenplan!$A$5:$A$90,0)),""))</f>
        <v/>
      </c>
      <c r="S922" s="35" t="str">
        <f aca="false">IF($D922="","",IFERROR(INDEX(Kontenplan!$F$5:$F$90,MATCH($D922,Kontenplan!$A$5:$A$90,0)),""))</f>
        <v/>
      </c>
      <c r="T922" s="35" t="str">
        <f aca="false">IF($D922="","",IFERROR(INDEX(Kontenplan!$C$5:$C$90,MATCH($D922,Kontenplan!$A$5:$A$90,0)),"?"))</f>
        <v/>
      </c>
      <c r="U922" s="35" t="str">
        <f aca="false">IF($E922="","",IFERROR(INDEX(Kontenplan!$C$5:$C$90,MATCH($E922,Kontenplan!$A$5:$A$90,0)),"?"))</f>
        <v/>
      </c>
      <c r="V922" s="35" t="str">
        <f aca="false">IF($F922="","",IF(OR($D922="",$E922="",$T922="?",$U922="?"),"Konto prüfen!",IF($A922="","Datum fehlt",IF(YEAR($A922)&lt;&gt;Einstellungen!$B$7,"anderes Jahr!",IF($G922="","MWST-Code fehlt","OK")))))</f>
        <v/>
      </c>
      <c r="W922" s="35" t="str">
        <f aca="false">IF($F922="","",IF(OR($D922=Kontoauszug!$C$4,$E922=Kontoauszug!$C$4),MAX(W$4:W921)+1,""))</f>
        <v/>
      </c>
    </row>
    <row r="923" customFormat="false" ht="15" hidden="false" customHeight="false" outlineLevel="0" collapsed="false">
      <c r="A923" s="33"/>
      <c r="B923" s="32"/>
      <c r="C923" s="32"/>
      <c r="D923" s="32"/>
      <c r="E923" s="32"/>
      <c r="F923" s="30"/>
      <c r="G923" s="32"/>
      <c r="H923" s="34" t="n">
        <f aca="false">IF($G923="",0,IFERROR(INDEX(Einstellungen!$G$5:$G$11,MATCH($G923,Einstellungen!$E$5:$E$11,0)),0))</f>
        <v>0</v>
      </c>
      <c r="I923" s="35" t="str">
        <f aca="false">IF($G923="","-",IFERROR(INDEX(Einstellungen!$H$5:$H$11,MATCH($G923,Einstellungen!$E$5:$E$11,0)),"-"))</f>
        <v>-</v>
      </c>
      <c r="J923" s="35" t="str">
        <f aca="false">IF(AND(Einstellungen!$B$8="Ja",Einstellungen!$B$9="Effektiv"),$I923,"-")</f>
        <v>-</v>
      </c>
      <c r="K923" s="31" t="n">
        <f aca="false">IF(OR($F923="",$J923="-"),0,ROUND($F923-$F923/(1+$H923),2))</f>
        <v>0</v>
      </c>
      <c r="L923" s="31" t="n">
        <f aca="false">IF($F923="",0,$F923-$K923)</f>
        <v>0</v>
      </c>
      <c r="M923" s="31" t="n">
        <f aca="false">IF($F923="",0,IF($J923="V",$L923,$F923))</f>
        <v>0</v>
      </c>
      <c r="N923" s="31" t="n">
        <f aca="false">IF($F923="",0,IF($J923="U",$L923,$F923))</f>
        <v>0</v>
      </c>
      <c r="O923" s="35" t="str">
        <f aca="false">IF($A923="","",MONTH($A923))</f>
        <v/>
      </c>
      <c r="P923" s="35" t="str">
        <f aca="false">IF($A923="","",ROUNDUP(MONTH($A923)/3,0))</f>
        <v/>
      </c>
      <c r="Q923" s="35" t="str">
        <f aca="false">IF($A923="","",IF(MONTH($A923)&lt;=6,1,2))</f>
        <v/>
      </c>
      <c r="R923" s="35" t="str">
        <f aca="false">IF($E923="","",IFERROR(INDEX(Kontenplan!$F$5:$F$90,MATCH($E923,Kontenplan!$A$5:$A$90,0)),""))</f>
        <v/>
      </c>
      <c r="S923" s="35" t="str">
        <f aca="false">IF($D923="","",IFERROR(INDEX(Kontenplan!$F$5:$F$90,MATCH($D923,Kontenplan!$A$5:$A$90,0)),""))</f>
        <v/>
      </c>
      <c r="T923" s="35" t="str">
        <f aca="false">IF($D923="","",IFERROR(INDEX(Kontenplan!$C$5:$C$90,MATCH($D923,Kontenplan!$A$5:$A$90,0)),"?"))</f>
        <v/>
      </c>
      <c r="U923" s="35" t="str">
        <f aca="false">IF($E923="","",IFERROR(INDEX(Kontenplan!$C$5:$C$90,MATCH($E923,Kontenplan!$A$5:$A$90,0)),"?"))</f>
        <v/>
      </c>
      <c r="V923" s="35" t="str">
        <f aca="false">IF($F923="","",IF(OR($D923="",$E923="",$T923="?",$U923="?"),"Konto prüfen!",IF($A923="","Datum fehlt",IF(YEAR($A923)&lt;&gt;Einstellungen!$B$7,"anderes Jahr!",IF($G923="","MWST-Code fehlt","OK")))))</f>
        <v/>
      </c>
      <c r="W923" s="35" t="str">
        <f aca="false">IF($F923="","",IF(OR($D923=Kontoauszug!$C$4,$E923=Kontoauszug!$C$4),MAX(W$4:W922)+1,""))</f>
        <v/>
      </c>
    </row>
    <row r="924" customFormat="false" ht="15" hidden="false" customHeight="false" outlineLevel="0" collapsed="false">
      <c r="A924" s="33"/>
      <c r="B924" s="32"/>
      <c r="C924" s="32"/>
      <c r="D924" s="32"/>
      <c r="E924" s="32"/>
      <c r="F924" s="30"/>
      <c r="G924" s="32"/>
      <c r="H924" s="34" t="n">
        <f aca="false">IF($G924="",0,IFERROR(INDEX(Einstellungen!$G$5:$G$11,MATCH($G924,Einstellungen!$E$5:$E$11,0)),0))</f>
        <v>0</v>
      </c>
      <c r="I924" s="35" t="str">
        <f aca="false">IF($G924="","-",IFERROR(INDEX(Einstellungen!$H$5:$H$11,MATCH($G924,Einstellungen!$E$5:$E$11,0)),"-"))</f>
        <v>-</v>
      </c>
      <c r="J924" s="35" t="str">
        <f aca="false">IF(AND(Einstellungen!$B$8="Ja",Einstellungen!$B$9="Effektiv"),$I924,"-")</f>
        <v>-</v>
      </c>
      <c r="K924" s="31" t="n">
        <f aca="false">IF(OR($F924="",$J924="-"),0,ROUND($F924-$F924/(1+$H924),2))</f>
        <v>0</v>
      </c>
      <c r="L924" s="31" t="n">
        <f aca="false">IF($F924="",0,$F924-$K924)</f>
        <v>0</v>
      </c>
      <c r="M924" s="31" t="n">
        <f aca="false">IF($F924="",0,IF($J924="V",$L924,$F924))</f>
        <v>0</v>
      </c>
      <c r="N924" s="31" t="n">
        <f aca="false">IF($F924="",0,IF($J924="U",$L924,$F924))</f>
        <v>0</v>
      </c>
      <c r="O924" s="35" t="str">
        <f aca="false">IF($A924="","",MONTH($A924))</f>
        <v/>
      </c>
      <c r="P924" s="35" t="str">
        <f aca="false">IF($A924="","",ROUNDUP(MONTH($A924)/3,0))</f>
        <v/>
      </c>
      <c r="Q924" s="35" t="str">
        <f aca="false">IF($A924="","",IF(MONTH($A924)&lt;=6,1,2))</f>
        <v/>
      </c>
      <c r="R924" s="35" t="str">
        <f aca="false">IF($E924="","",IFERROR(INDEX(Kontenplan!$F$5:$F$90,MATCH($E924,Kontenplan!$A$5:$A$90,0)),""))</f>
        <v/>
      </c>
      <c r="S924" s="35" t="str">
        <f aca="false">IF($D924="","",IFERROR(INDEX(Kontenplan!$F$5:$F$90,MATCH($D924,Kontenplan!$A$5:$A$90,0)),""))</f>
        <v/>
      </c>
      <c r="T924" s="35" t="str">
        <f aca="false">IF($D924="","",IFERROR(INDEX(Kontenplan!$C$5:$C$90,MATCH($D924,Kontenplan!$A$5:$A$90,0)),"?"))</f>
        <v/>
      </c>
      <c r="U924" s="35" t="str">
        <f aca="false">IF($E924="","",IFERROR(INDEX(Kontenplan!$C$5:$C$90,MATCH($E924,Kontenplan!$A$5:$A$90,0)),"?"))</f>
        <v/>
      </c>
      <c r="V924" s="35" t="str">
        <f aca="false">IF($F924="","",IF(OR($D924="",$E924="",$T924="?",$U924="?"),"Konto prüfen!",IF($A924="","Datum fehlt",IF(YEAR($A924)&lt;&gt;Einstellungen!$B$7,"anderes Jahr!",IF($G924="","MWST-Code fehlt","OK")))))</f>
        <v/>
      </c>
      <c r="W924" s="35" t="str">
        <f aca="false">IF($F924="","",IF(OR($D924=Kontoauszug!$C$4,$E924=Kontoauszug!$C$4),MAX(W$4:W923)+1,""))</f>
        <v/>
      </c>
    </row>
    <row r="925" customFormat="false" ht="15" hidden="false" customHeight="false" outlineLevel="0" collapsed="false">
      <c r="A925" s="33"/>
      <c r="B925" s="32"/>
      <c r="C925" s="32"/>
      <c r="D925" s="32"/>
      <c r="E925" s="32"/>
      <c r="F925" s="30"/>
      <c r="G925" s="32"/>
      <c r="H925" s="34" t="n">
        <f aca="false">IF($G925="",0,IFERROR(INDEX(Einstellungen!$G$5:$G$11,MATCH($G925,Einstellungen!$E$5:$E$11,0)),0))</f>
        <v>0</v>
      </c>
      <c r="I925" s="35" t="str">
        <f aca="false">IF($G925="","-",IFERROR(INDEX(Einstellungen!$H$5:$H$11,MATCH($G925,Einstellungen!$E$5:$E$11,0)),"-"))</f>
        <v>-</v>
      </c>
      <c r="J925" s="35" t="str">
        <f aca="false">IF(AND(Einstellungen!$B$8="Ja",Einstellungen!$B$9="Effektiv"),$I925,"-")</f>
        <v>-</v>
      </c>
      <c r="K925" s="31" t="n">
        <f aca="false">IF(OR($F925="",$J925="-"),0,ROUND($F925-$F925/(1+$H925),2))</f>
        <v>0</v>
      </c>
      <c r="L925" s="31" t="n">
        <f aca="false">IF($F925="",0,$F925-$K925)</f>
        <v>0</v>
      </c>
      <c r="M925" s="31" t="n">
        <f aca="false">IF($F925="",0,IF($J925="V",$L925,$F925))</f>
        <v>0</v>
      </c>
      <c r="N925" s="31" t="n">
        <f aca="false">IF($F925="",0,IF($J925="U",$L925,$F925))</f>
        <v>0</v>
      </c>
      <c r="O925" s="35" t="str">
        <f aca="false">IF($A925="","",MONTH($A925))</f>
        <v/>
      </c>
      <c r="P925" s="35" t="str">
        <f aca="false">IF($A925="","",ROUNDUP(MONTH($A925)/3,0))</f>
        <v/>
      </c>
      <c r="Q925" s="35" t="str">
        <f aca="false">IF($A925="","",IF(MONTH($A925)&lt;=6,1,2))</f>
        <v/>
      </c>
      <c r="R925" s="35" t="str">
        <f aca="false">IF($E925="","",IFERROR(INDEX(Kontenplan!$F$5:$F$90,MATCH($E925,Kontenplan!$A$5:$A$90,0)),""))</f>
        <v/>
      </c>
      <c r="S925" s="35" t="str">
        <f aca="false">IF($D925="","",IFERROR(INDEX(Kontenplan!$F$5:$F$90,MATCH($D925,Kontenplan!$A$5:$A$90,0)),""))</f>
        <v/>
      </c>
      <c r="T925" s="35" t="str">
        <f aca="false">IF($D925="","",IFERROR(INDEX(Kontenplan!$C$5:$C$90,MATCH($D925,Kontenplan!$A$5:$A$90,0)),"?"))</f>
        <v/>
      </c>
      <c r="U925" s="35" t="str">
        <f aca="false">IF($E925="","",IFERROR(INDEX(Kontenplan!$C$5:$C$90,MATCH($E925,Kontenplan!$A$5:$A$90,0)),"?"))</f>
        <v/>
      </c>
      <c r="V925" s="35" t="str">
        <f aca="false">IF($F925="","",IF(OR($D925="",$E925="",$T925="?",$U925="?"),"Konto prüfen!",IF($A925="","Datum fehlt",IF(YEAR($A925)&lt;&gt;Einstellungen!$B$7,"anderes Jahr!",IF($G925="","MWST-Code fehlt","OK")))))</f>
        <v/>
      </c>
      <c r="W925" s="35" t="str">
        <f aca="false">IF($F925="","",IF(OR($D925=Kontoauszug!$C$4,$E925=Kontoauszug!$C$4),MAX(W$4:W924)+1,""))</f>
        <v/>
      </c>
    </row>
    <row r="926" customFormat="false" ht="15" hidden="false" customHeight="false" outlineLevel="0" collapsed="false">
      <c r="A926" s="33"/>
      <c r="B926" s="32"/>
      <c r="C926" s="32"/>
      <c r="D926" s="32"/>
      <c r="E926" s="32"/>
      <c r="F926" s="30"/>
      <c r="G926" s="32"/>
      <c r="H926" s="34" t="n">
        <f aca="false">IF($G926="",0,IFERROR(INDEX(Einstellungen!$G$5:$G$11,MATCH($G926,Einstellungen!$E$5:$E$11,0)),0))</f>
        <v>0</v>
      </c>
      <c r="I926" s="35" t="str">
        <f aca="false">IF($G926="","-",IFERROR(INDEX(Einstellungen!$H$5:$H$11,MATCH($G926,Einstellungen!$E$5:$E$11,0)),"-"))</f>
        <v>-</v>
      </c>
      <c r="J926" s="35" t="str">
        <f aca="false">IF(AND(Einstellungen!$B$8="Ja",Einstellungen!$B$9="Effektiv"),$I926,"-")</f>
        <v>-</v>
      </c>
      <c r="K926" s="31" t="n">
        <f aca="false">IF(OR($F926="",$J926="-"),0,ROUND($F926-$F926/(1+$H926),2))</f>
        <v>0</v>
      </c>
      <c r="L926" s="31" t="n">
        <f aca="false">IF($F926="",0,$F926-$K926)</f>
        <v>0</v>
      </c>
      <c r="M926" s="31" t="n">
        <f aca="false">IF($F926="",0,IF($J926="V",$L926,$F926))</f>
        <v>0</v>
      </c>
      <c r="N926" s="31" t="n">
        <f aca="false">IF($F926="",0,IF($J926="U",$L926,$F926))</f>
        <v>0</v>
      </c>
      <c r="O926" s="35" t="str">
        <f aca="false">IF($A926="","",MONTH($A926))</f>
        <v/>
      </c>
      <c r="P926" s="35" t="str">
        <f aca="false">IF($A926="","",ROUNDUP(MONTH($A926)/3,0))</f>
        <v/>
      </c>
      <c r="Q926" s="35" t="str">
        <f aca="false">IF($A926="","",IF(MONTH($A926)&lt;=6,1,2))</f>
        <v/>
      </c>
      <c r="R926" s="35" t="str">
        <f aca="false">IF($E926="","",IFERROR(INDEX(Kontenplan!$F$5:$F$90,MATCH($E926,Kontenplan!$A$5:$A$90,0)),""))</f>
        <v/>
      </c>
      <c r="S926" s="35" t="str">
        <f aca="false">IF($D926="","",IFERROR(INDEX(Kontenplan!$F$5:$F$90,MATCH($D926,Kontenplan!$A$5:$A$90,0)),""))</f>
        <v/>
      </c>
      <c r="T926" s="35" t="str">
        <f aca="false">IF($D926="","",IFERROR(INDEX(Kontenplan!$C$5:$C$90,MATCH($D926,Kontenplan!$A$5:$A$90,0)),"?"))</f>
        <v/>
      </c>
      <c r="U926" s="35" t="str">
        <f aca="false">IF($E926="","",IFERROR(INDEX(Kontenplan!$C$5:$C$90,MATCH($E926,Kontenplan!$A$5:$A$90,0)),"?"))</f>
        <v/>
      </c>
      <c r="V926" s="35" t="str">
        <f aca="false">IF($F926="","",IF(OR($D926="",$E926="",$T926="?",$U926="?"),"Konto prüfen!",IF($A926="","Datum fehlt",IF(YEAR($A926)&lt;&gt;Einstellungen!$B$7,"anderes Jahr!",IF($G926="","MWST-Code fehlt","OK")))))</f>
        <v/>
      </c>
      <c r="W926" s="35" t="str">
        <f aca="false">IF($F926="","",IF(OR($D926=Kontoauszug!$C$4,$E926=Kontoauszug!$C$4),MAX(W$4:W925)+1,""))</f>
        <v/>
      </c>
    </row>
    <row r="927" customFormat="false" ht="15" hidden="false" customHeight="false" outlineLevel="0" collapsed="false">
      <c r="A927" s="33"/>
      <c r="B927" s="32"/>
      <c r="C927" s="32"/>
      <c r="D927" s="32"/>
      <c r="E927" s="32"/>
      <c r="F927" s="30"/>
      <c r="G927" s="32"/>
      <c r="H927" s="34" t="n">
        <f aca="false">IF($G927="",0,IFERROR(INDEX(Einstellungen!$G$5:$G$11,MATCH($G927,Einstellungen!$E$5:$E$11,0)),0))</f>
        <v>0</v>
      </c>
      <c r="I927" s="35" t="str">
        <f aca="false">IF($G927="","-",IFERROR(INDEX(Einstellungen!$H$5:$H$11,MATCH($G927,Einstellungen!$E$5:$E$11,0)),"-"))</f>
        <v>-</v>
      </c>
      <c r="J927" s="35" t="str">
        <f aca="false">IF(AND(Einstellungen!$B$8="Ja",Einstellungen!$B$9="Effektiv"),$I927,"-")</f>
        <v>-</v>
      </c>
      <c r="K927" s="31" t="n">
        <f aca="false">IF(OR($F927="",$J927="-"),0,ROUND($F927-$F927/(1+$H927),2))</f>
        <v>0</v>
      </c>
      <c r="L927" s="31" t="n">
        <f aca="false">IF($F927="",0,$F927-$K927)</f>
        <v>0</v>
      </c>
      <c r="M927" s="31" t="n">
        <f aca="false">IF($F927="",0,IF($J927="V",$L927,$F927))</f>
        <v>0</v>
      </c>
      <c r="N927" s="31" t="n">
        <f aca="false">IF($F927="",0,IF($J927="U",$L927,$F927))</f>
        <v>0</v>
      </c>
      <c r="O927" s="35" t="str">
        <f aca="false">IF($A927="","",MONTH($A927))</f>
        <v/>
      </c>
      <c r="P927" s="35" t="str">
        <f aca="false">IF($A927="","",ROUNDUP(MONTH($A927)/3,0))</f>
        <v/>
      </c>
      <c r="Q927" s="35" t="str">
        <f aca="false">IF($A927="","",IF(MONTH($A927)&lt;=6,1,2))</f>
        <v/>
      </c>
      <c r="R927" s="35" t="str">
        <f aca="false">IF($E927="","",IFERROR(INDEX(Kontenplan!$F$5:$F$90,MATCH($E927,Kontenplan!$A$5:$A$90,0)),""))</f>
        <v/>
      </c>
      <c r="S927" s="35" t="str">
        <f aca="false">IF($D927="","",IFERROR(INDEX(Kontenplan!$F$5:$F$90,MATCH($D927,Kontenplan!$A$5:$A$90,0)),""))</f>
        <v/>
      </c>
      <c r="T927" s="35" t="str">
        <f aca="false">IF($D927="","",IFERROR(INDEX(Kontenplan!$C$5:$C$90,MATCH($D927,Kontenplan!$A$5:$A$90,0)),"?"))</f>
        <v/>
      </c>
      <c r="U927" s="35" t="str">
        <f aca="false">IF($E927="","",IFERROR(INDEX(Kontenplan!$C$5:$C$90,MATCH($E927,Kontenplan!$A$5:$A$90,0)),"?"))</f>
        <v/>
      </c>
      <c r="V927" s="35" t="str">
        <f aca="false">IF($F927="","",IF(OR($D927="",$E927="",$T927="?",$U927="?"),"Konto prüfen!",IF($A927="","Datum fehlt",IF(YEAR($A927)&lt;&gt;Einstellungen!$B$7,"anderes Jahr!",IF($G927="","MWST-Code fehlt","OK")))))</f>
        <v/>
      </c>
      <c r="W927" s="35" t="str">
        <f aca="false">IF($F927="","",IF(OR($D927=Kontoauszug!$C$4,$E927=Kontoauszug!$C$4),MAX(W$4:W926)+1,""))</f>
        <v/>
      </c>
    </row>
    <row r="928" customFormat="false" ht="15" hidden="false" customHeight="false" outlineLevel="0" collapsed="false">
      <c r="A928" s="33"/>
      <c r="B928" s="32"/>
      <c r="C928" s="32"/>
      <c r="D928" s="32"/>
      <c r="E928" s="32"/>
      <c r="F928" s="30"/>
      <c r="G928" s="32"/>
      <c r="H928" s="34" t="n">
        <f aca="false">IF($G928="",0,IFERROR(INDEX(Einstellungen!$G$5:$G$11,MATCH($G928,Einstellungen!$E$5:$E$11,0)),0))</f>
        <v>0</v>
      </c>
      <c r="I928" s="35" t="str">
        <f aca="false">IF($G928="","-",IFERROR(INDEX(Einstellungen!$H$5:$H$11,MATCH($G928,Einstellungen!$E$5:$E$11,0)),"-"))</f>
        <v>-</v>
      </c>
      <c r="J928" s="35" t="str">
        <f aca="false">IF(AND(Einstellungen!$B$8="Ja",Einstellungen!$B$9="Effektiv"),$I928,"-")</f>
        <v>-</v>
      </c>
      <c r="K928" s="31" t="n">
        <f aca="false">IF(OR($F928="",$J928="-"),0,ROUND($F928-$F928/(1+$H928),2))</f>
        <v>0</v>
      </c>
      <c r="L928" s="31" t="n">
        <f aca="false">IF($F928="",0,$F928-$K928)</f>
        <v>0</v>
      </c>
      <c r="M928" s="31" t="n">
        <f aca="false">IF($F928="",0,IF($J928="V",$L928,$F928))</f>
        <v>0</v>
      </c>
      <c r="N928" s="31" t="n">
        <f aca="false">IF($F928="",0,IF($J928="U",$L928,$F928))</f>
        <v>0</v>
      </c>
      <c r="O928" s="35" t="str">
        <f aca="false">IF($A928="","",MONTH($A928))</f>
        <v/>
      </c>
      <c r="P928" s="35" t="str">
        <f aca="false">IF($A928="","",ROUNDUP(MONTH($A928)/3,0))</f>
        <v/>
      </c>
      <c r="Q928" s="35" t="str">
        <f aca="false">IF($A928="","",IF(MONTH($A928)&lt;=6,1,2))</f>
        <v/>
      </c>
      <c r="R928" s="35" t="str">
        <f aca="false">IF($E928="","",IFERROR(INDEX(Kontenplan!$F$5:$F$90,MATCH($E928,Kontenplan!$A$5:$A$90,0)),""))</f>
        <v/>
      </c>
      <c r="S928" s="35" t="str">
        <f aca="false">IF($D928="","",IFERROR(INDEX(Kontenplan!$F$5:$F$90,MATCH($D928,Kontenplan!$A$5:$A$90,0)),""))</f>
        <v/>
      </c>
      <c r="T928" s="35" t="str">
        <f aca="false">IF($D928="","",IFERROR(INDEX(Kontenplan!$C$5:$C$90,MATCH($D928,Kontenplan!$A$5:$A$90,0)),"?"))</f>
        <v/>
      </c>
      <c r="U928" s="35" t="str">
        <f aca="false">IF($E928="","",IFERROR(INDEX(Kontenplan!$C$5:$C$90,MATCH($E928,Kontenplan!$A$5:$A$90,0)),"?"))</f>
        <v/>
      </c>
      <c r="V928" s="35" t="str">
        <f aca="false">IF($F928="","",IF(OR($D928="",$E928="",$T928="?",$U928="?"),"Konto prüfen!",IF($A928="","Datum fehlt",IF(YEAR($A928)&lt;&gt;Einstellungen!$B$7,"anderes Jahr!",IF($G928="","MWST-Code fehlt","OK")))))</f>
        <v/>
      </c>
      <c r="W928" s="35" t="str">
        <f aca="false">IF($F928="","",IF(OR($D928=Kontoauszug!$C$4,$E928=Kontoauszug!$C$4),MAX(W$4:W927)+1,""))</f>
        <v/>
      </c>
    </row>
    <row r="929" customFormat="false" ht="15" hidden="false" customHeight="false" outlineLevel="0" collapsed="false">
      <c r="A929" s="33"/>
      <c r="B929" s="32"/>
      <c r="C929" s="32"/>
      <c r="D929" s="32"/>
      <c r="E929" s="32"/>
      <c r="F929" s="30"/>
      <c r="G929" s="32"/>
      <c r="H929" s="34" t="n">
        <f aca="false">IF($G929="",0,IFERROR(INDEX(Einstellungen!$G$5:$G$11,MATCH($G929,Einstellungen!$E$5:$E$11,0)),0))</f>
        <v>0</v>
      </c>
      <c r="I929" s="35" t="str">
        <f aca="false">IF($G929="","-",IFERROR(INDEX(Einstellungen!$H$5:$H$11,MATCH($G929,Einstellungen!$E$5:$E$11,0)),"-"))</f>
        <v>-</v>
      </c>
      <c r="J929" s="35" t="str">
        <f aca="false">IF(AND(Einstellungen!$B$8="Ja",Einstellungen!$B$9="Effektiv"),$I929,"-")</f>
        <v>-</v>
      </c>
      <c r="K929" s="31" t="n">
        <f aca="false">IF(OR($F929="",$J929="-"),0,ROUND($F929-$F929/(1+$H929),2))</f>
        <v>0</v>
      </c>
      <c r="L929" s="31" t="n">
        <f aca="false">IF($F929="",0,$F929-$K929)</f>
        <v>0</v>
      </c>
      <c r="M929" s="31" t="n">
        <f aca="false">IF($F929="",0,IF($J929="V",$L929,$F929))</f>
        <v>0</v>
      </c>
      <c r="N929" s="31" t="n">
        <f aca="false">IF($F929="",0,IF($J929="U",$L929,$F929))</f>
        <v>0</v>
      </c>
      <c r="O929" s="35" t="str">
        <f aca="false">IF($A929="","",MONTH($A929))</f>
        <v/>
      </c>
      <c r="P929" s="35" t="str">
        <f aca="false">IF($A929="","",ROUNDUP(MONTH($A929)/3,0))</f>
        <v/>
      </c>
      <c r="Q929" s="35" t="str">
        <f aca="false">IF($A929="","",IF(MONTH($A929)&lt;=6,1,2))</f>
        <v/>
      </c>
      <c r="R929" s="35" t="str">
        <f aca="false">IF($E929="","",IFERROR(INDEX(Kontenplan!$F$5:$F$90,MATCH($E929,Kontenplan!$A$5:$A$90,0)),""))</f>
        <v/>
      </c>
      <c r="S929" s="35" t="str">
        <f aca="false">IF($D929="","",IFERROR(INDEX(Kontenplan!$F$5:$F$90,MATCH($D929,Kontenplan!$A$5:$A$90,0)),""))</f>
        <v/>
      </c>
      <c r="T929" s="35" t="str">
        <f aca="false">IF($D929="","",IFERROR(INDEX(Kontenplan!$C$5:$C$90,MATCH($D929,Kontenplan!$A$5:$A$90,0)),"?"))</f>
        <v/>
      </c>
      <c r="U929" s="35" t="str">
        <f aca="false">IF($E929="","",IFERROR(INDEX(Kontenplan!$C$5:$C$90,MATCH($E929,Kontenplan!$A$5:$A$90,0)),"?"))</f>
        <v/>
      </c>
      <c r="V929" s="35" t="str">
        <f aca="false">IF($F929="","",IF(OR($D929="",$E929="",$T929="?",$U929="?"),"Konto prüfen!",IF($A929="","Datum fehlt",IF(YEAR($A929)&lt;&gt;Einstellungen!$B$7,"anderes Jahr!",IF($G929="","MWST-Code fehlt","OK")))))</f>
        <v/>
      </c>
      <c r="W929" s="35" t="str">
        <f aca="false">IF($F929="","",IF(OR($D929=Kontoauszug!$C$4,$E929=Kontoauszug!$C$4),MAX(W$4:W928)+1,""))</f>
        <v/>
      </c>
    </row>
    <row r="930" customFormat="false" ht="15" hidden="false" customHeight="false" outlineLevel="0" collapsed="false">
      <c r="A930" s="33"/>
      <c r="B930" s="32"/>
      <c r="C930" s="32"/>
      <c r="D930" s="32"/>
      <c r="E930" s="32"/>
      <c r="F930" s="30"/>
      <c r="G930" s="32"/>
      <c r="H930" s="34" t="n">
        <f aca="false">IF($G930="",0,IFERROR(INDEX(Einstellungen!$G$5:$G$11,MATCH($G930,Einstellungen!$E$5:$E$11,0)),0))</f>
        <v>0</v>
      </c>
      <c r="I930" s="35" t="str">
        <f aca="false">IF($G930="","-",IFERROR(INDEX(Einstellungen!$H$5:$H$11,MATCH($G930,Einstellungen!$E$5:$E$11,0)),"-"))</f>
        <v>-</v>
      </c>
      <c r="J930" s="35" t="str">
        <f aca="false">IF(AND(Einstellungen!$B$8="Ja",Einstellungen!$B$9="Effektiv"),$I930,"-")</f>
        <v>-</v>
      </c>
      <c r="K930" s="31" t="n">
        <f aca="false">IF(OR($F930="",$J930="-"),0,ROUND($F930-$F930/(1+$H930),2))</f>
        <v>0</v>
      </c>
      <c r="L930" s="31" t="n">
        <f aca="false">IF($F930="",0,$F930-$K930)</f>
        <v>0</v>
      </c>
      <c r="M930" s="31" t="n">
        <f aca="false">IF($F930="",0,IF($J930="V",$L930,$F930))</f>
        <v>0</v>
      </c>
      <c r="N930" s="31" t="n">
        <f aca="false">IF($F930="",0,IF($J930="U",$L930,$F930))</f>
        <v>0</v>
      </c>
      <c r="O930" s="35" t="str">
        <f aca="false">IF($A930="","",MONTH($A930))</f>
        <v/>
      </c>
      <c r="P930" s="35" t="str">
        <f aca="false">IF($A930="","",ROUNDUP(MONTH($A930)/3,0))</f>
        <v/>
      </c>
      <c r="Q930" s="35" t="str">
        <f aca="false">IF($A930="","",IF(MONTH($A930)&lt;=6,1,2))</f>
        <v/>
      </c>
      <c r="R930" s="35" t="str">
        <f aca="false">IF($E930="","",IFERROR(INDEX(Kontenplan!$F$5:$F$90,MATCH($E930,Kontenplan!$A$5:$A$90,0)),""))</f>
        <v/>
      </c>
      <c r="S930" s="35" t="str">
        <f aca="false">IF($D930="","",IFERROR(INDEX(Kontenplan!$F$5:$F$90,MATCH($D930,Kontenplan!$A$5:$A$90,0)),""))</f>
        <v/>
      </c>
      <c r="T930" s="35" t="str">
        <f aca="false">IF($D930="","",IFERROR(INDEX(Kontenplan!$C$5:$C$90,MATCH($D930,Kontenplan!$A$5:$A$90,0)),"?"))</f>
        <v/>
      </c>
      <c r="U930" s="35" t="str">
        <f aca="false">IF($E930="","",IFERROR(INDEX(Kontenplan!$C$5:$C$90,MATCH($E930,Kontenplan!$A$5:$A$90,0)),"?"))</f>
        <v/>
      </c>
      <c r="V930" s="35" t="str">
        <f aca="false">IF($F930="","",IF(OR($D930="",$E930="",$T930="?",$U930="?"),"Konto prüfen!",IF($A930="","Datum fehlt",IF(YEAR($A930)&lt;&gt;Einstellungen!$B$7,"anderes Jahr!",IF($G930="","MWST-Code fehlt","OK")))))</f>
        <v/>
      </c>
      <c r="W930" s="35" t="str">
        <f aca="false">IF($F930="","",IF(OR($D930=Kontoauszug!$C$4,$E930=Kontoauszug!$C$4),MAX(W$4:W929)+1,""))</f>
        <v/>
      </c>
    </row>
    <row r="931" customFormat="false" ht="15" hidden="false" customHeight="false" outlineLevel="0" collapsed="false">
      <c r="A931" s="33"/>
      <c r="B931" s="32"/>
      <c r="C931" s="32"/>
      <c r="D931" s="32"/>
      <c r="E931" s="32"/>
      <c r="F931" s="30"/>
      <c r="G931" s="32"/>
      <c r="H931" s="34" t="n">
        <f aca="false">IF($G931="",0,IFERROR(INDEX(Einstellungen!$G$5:$G$11,MATCH($G931,Einstellungen!$E$5:$E$11,0)),0))</f>
        <v>0</v>
      </c>
      <c r="I931" s="35" t="str">
        <f aca="false">IF($G931="","-",IFERROR(INDEX(Einstellungen!$H$5:$H$11,MATCH($G931,Einstellungen!$E$5:$E$11,0)),"-"))</f>
        <v>-</v>
      </c>
      <c r="J931" s="35" t="str">
        <f aca="false">IF(AND(Einstellungen!$B$8="Ja",Einstellungen!$B$9="Effektiv"),$I931,"-")</f>
        <v>-</v>
      </c>
      <c r="K931" s="31" t="n">
        <f aca="false">IF(OR($F931="",$J931="-"),0,ROUND($F931-$F931/(1+$H931),2))</f>
        <v>0</v>
      </c>
      <c r="L931" s="31" t="n">
        <f aca="false">IF($F931="",0,$F931-$K931)</f>
        <v>0</v>
      </c>
      <c r="M931" s="31" t="n">
        <f aca="false">IF($F931="",0,IF($J931="V",$L931,$F931))</f>
        <v>0</v>
      </c>
      <c r="N931" s="31" t="n">
        <f aca="false">IF($F931="",0,IF($J931="U",$L931,$F931))</f>
        <v>0</v>
      </c>
      <c r="O931" s="35" t="str">
        <f aca="false">IF($A931="","",MONTH($A931))</f>
        <v/>
      </c>
      <c r="P931" s="35" t="str">
        <f aca="false">IF($A931="","",ROUNDUP(MONTH($A931)/3,0))</f>
        <v/>
      </c>
      <c r="Q931" s="35" t="str">
        <f aca="false">IF($A931="","",IF(MONTH($A931)&lt;=6,1,2))</f>
        <v/>
      </c>
      <c r="R931" s="35" t="str">
        <f aca="false">IF($E931="","",IFERROR(INDEX(Kontenplan!$F$5:$F$90,MATCH($E931,Kontenplan!$A$5:$A$90,0)),""))</f>
        <v/>
      </c>
      <c r="S931" s="35" t="str">
        <f aca="false">IF($D931="","",IFERROR(INDEX(Kontenplan!$F$5:$F$90,MATCH($D931,Kontenplan!$A$5:$A$90,0)),""))</f>
        <v/>
      </c>
      <c r="T931" s="35" t="str">
        <f aca="false">IF($D931="","",IFERROR(INDEX(Kontenplan!$C$5:$C$90,MATCH($D931,Kontenplan!$A$5:$A$90,0)),"?"))</f>
        <v/>
      </c>
      <c r="U931" s="35" t="str">
        <f aca="false">IF($E931="","",IFERROR(INDEX(Kontenplan!$C$5:$C$90,MATCH($E931,Kontenplan!$A$5:$A$90,0)),"?"))</f>
        <v/>
      </c>
      <c r="V931" s="35" t="str">
        <f aca="false">IF($F931="","",IF(OR($D931="",$E931="",$T931="?",$U931="?"),"Konto prüfen!",IF($A931="","Datum fehlt",IF(YEAR($A931)&lt;&gt;Einstellungen!$B$7,"anderes Jahr!",IF($G931="","MWST-Code fehlt","OK")))))</f>
        <v/>
      </c>
      <c r="W931" s="35" t="str">
        <f aca="false">IF($F931="","",IF(OR($D931=Kontoauszug!$C$4,$E931=Kontoauszug!$C$4),MAX(W$4:W930)+1,""))</f>
        <v/>
      </c>
    </row>
    <row r="932" customFormat="false" ht="15" hidden="false" customHeight="false" outlineLevel="0" collapsed="false">
      <c r="A932" s="33"/>
      <c r="B932" s="32"/>
      <c r="C932" s="32"/>
      <c r="D932" s="32"/>
      <c r="E932" s="32"/>
      <c r="F932" s="30"/>
      <c r="G932" s="32"/>
      <c r="H932" s="34" t="n">
        <f aca="false">IF($G932="",0,IFERROR(INDEX(Einstellungen!$G$5:$G$11,MATCH($G932,Einstellungen!$E$5:$E$11,0)),0))</f>
        <v>0</v>
      </c>
      <c r="I932" s="35" t="str">
        <f aca="false">IF($G932="","-",IFERROR(INDEX(Einstellungen!$H$5:$H$11,MATCH($G932,Einstellungen!$E$5:$E$11,0)),"-"))</f>
        <v>-</v>
      </c>
      <c r="J932" s="35" t="str">
        <f aca="false">IF(AND(Einstellungen!$B$8="Ja",Einstellungen!$B$9="Effektiv"),$I932,"-")</f>
        <v>-</v>
      </c>
      <c r="K932" s="31" t="n">
        <f aca="false">IF(OR($F932="",$J932="-"),0,ROUND($F932-$F932/(1+$H932),2))</f>
        <v>0</v>
      </c>
      <c r="L932" s="31" t="n">
        <f aca="false">IF($F932="",0,$F932-$K932)</f>
        <v>0</v>
      </c>
      <c r="M932" s="31" t="n">
        <f aca="false">IF($F932="",0,IF($J932="V",$L932,$F932))</f>
        <v>0</v>
      </c>
      <c r="N932" s="31" t="n">
        <f aca="false">IF($F932="",0,IF($J932="U",$L932,$F932))</f>
        <v>0</v>
      </c>
      <c r="O932" s="35" t="str">
        <f aca="false">IF($A932="","",MONTH($A932))</f>
        <v/>
      </c>
      <c r="P932" s="35" t="str">
        <f aca="false">IF($A932="","",ROUNDUP(MONTH($A932)/3,0))</f>
        <v/>
      </c>
      <c r="Q932" s="35" t="str">
        <f aca="false">IF($A932="","",IF(MONTH($A932)&lt;=6,1,2))</f>
        <v/>
      </c>
      <c r="R932" s="35" t="str">
        <f aca="false">IF($E932="","",IFERROR(INDEX(Kontenplan!$F$5:$F$90,MATCH($E932,Kontenplan!$A$5:$A$90,0)),""))</f>
        <v/>
      </c>
      <c r="S932" s="35" t="str">
        <f aca="false">IF($D932="","",IFERROR(INDEX(Kontenplan!$F$5:$F$90,MATCH($D932,Kontenplan!$A$5:$A$90,0)),""))</f>
        <v/>
      </c>
      <c r="T932" s="35" t="str">
        <f aca="false">IF($D932="","",IFERROR(INDEX(Kontenplan!$C$5:$C$90,MATCH($D932,Kontenplan!$A$5:$A$90,0)),"?"))</f>
        <v/>
      </c>
      <c r="U932" s="35" t="str">
        <f aca="false">IF($E932="","",IFERROR(INDEX(Kontenplan!$C$5:$C$90,MATCH($E932,Kontenplan!$A$5:$A$90,0)),"?"))</f>
        <v/>
      </c>
      <c r="V932" s="35" t="str">
        <f aca="false">IF($F932="","",IF(OR($D932="",$E932="",$T932="?",$U932="?"),"Konto prüfen!",IF($A932="","Datum fehlt",IF(YEAR($A932)&lt;&gt;Einstellungen!$B$7,"anderes Jahr!",IF($G932="","MWST-Code fehlt","OK")))))</f>
        <v/>
      </c>
      <c r="W932" s="35" t="str">
        <f aca="false">IF($F932="","",IF(OR($D932=Kontoauszug!$C$4,$E932=Kontoauszug!$C$4),MAX(W$4:W931)+1,""))</f>
        <v/>
      </c>
    </row>
    <row r="933" customFormat="false" ht="15" hidden="false" customHeight="false" outlineLevel="0" collapsed="false">
      <c r="A933" s="33"/>
      <c r="B933" s="32"/>
      <c r="C933" s="32"/>
      <c r="D933" s="32"/>
      <c r="E933" s="32"/>
      <c r="F933" s="30"/>
      <c r="G933" s="32"/>
      <c r="H933" s="34" t="n">
        <f aca="false">IF($G933="",0,IFERROR(INDEX(Einstellungen!$G$5:$G$11,MATCH($G933,Einstellungen!$E$5:$E$11,0)),0))</f>
        <v>0</v>
      </c>
      <c r="I933" s="35" t="str">
        <f aca="false">IF($G933="","-",IFERROR(INDEX(Einstellungen!$H$5:$H$11,MATCH($G933,Einstellungen!$E$5:$E$11,0)),"-"))</f>
        <v>-</v>
      </c>
      <c r="J933" s="35" t="str">
        <f aca="false">IF(AND(Einstellungen!$B$8="Ja",Einstellungen!$B$9="Effektiv"),$I933,"-")</f>
        <v>-</v>
      </c>
      <c r="K933" s="31" t="n">
        <f aca="false">IF(OR($F933="",$J933="-"),0,ROUND($F933-$F933/(1+$H933),2))</f>
        <v>0</v>
      </c>
      <c r="L933" s="31" t="n">
        <f aca="false">IF($F933="",0,$F933-$K933)</f>
        <v>0</v>
      </c>
      <c r="M933" s="31" t="n">
        <f aca="false">IF($F933="",0,IF($J933="V",$L933,$F933))</f>
        <v>0</v>
      </c>
      <c r="N933" s="31" t="n">
        <f aca="false">IF($F933="",0,IF($J933="U",$L933,$F933))</f>
        <v>0</v>
      </c>
      <c r="O933" s="35" t="str">
        <f aca="false">IF($A933="","",MONTH($A933))</f>
        <v/>
      </c>
      <c r="P933" s="35" t="str">
        <f aca="false">IF($A933="","",ROUNDUP(MONTH($A933)/3,0))</f>
        <v/>
      </c>
      <c r="Q933" s="35" t="str">
        <f aca="false">IF($A933="","",IF(MONTH($A933)&lt;=6,1,2))</f>
        <v/>
      </c>
      <c r="R933" s="35" t="str">
        <f aca="false">IF($E933="","",IFERROR(INDEX(Kontenplan!$F$5:$F$90,MATCH($E933,Kontenplan!$A$5:$A$90,0)),""))</f>
        <v/>
      </c>
      <c r="S933" s="35" t="str">
        <f aca="false">IF($D933="","",IFERROR(INDEX(Kontenplan!$F$5:$F$90,MATCH($D933,Kontenplan!$A$5:$A$90,0)),""))</f>
        <v/>
      </c>
      <c r="T933" s="35" t="str">
        <f aca="false">IF($D933="","",IFERROR(INDEX(Kontenplan!$C$5:$C$90,MATCH($D933,Kontenplan!$A$5:$A$90,0)),"?"))</f>
        <v/>
      </c>
      <c r="U933" s="35" t="str">
        <f aca="false">IF($E933="","",IFERROR(INDEX(Kontenplan!$C$5:$C$90,MATCH($E933,Kontenplan!$A$5:$A$90,0)),"?"))</f>
        <v/>
      </c>
      <c r="V933" s="35" t="str">
        <f aca="false">IF($F933="","",IF(OR($D933="",$E933="",$T933="?",$U933="?"),"Konto prüfen!",IF($A933="","Datum fehlt",IF(YEAR($A933)&lt;&gt;Einstellungen!$B$7,"anderes Jahr!",IF($G933="","MWST-Code fehlt","OK")))))</f>
        <v/>
      </c>
      <c r="W933" s="35" t="str">
        <f aca="false">IF($F933="","",IF(OR($D933=Kontoauszug!$C$4,$E933=Kontoauszug!$C$4),MAX(W$4:W932)+1,""))</f>
        <v/>
      </c>
    </row>
    <row r="934" customFormat="false" ht="15" hidden="false" customHeight="false" outlineLevel="0" collapsed="false">
      <c r="A934" s="33"/>
      <c r="B934" s="32"/>
      <c r="C934" s="32"/>
      <c r="D934" s="32"/>
      <c r="E934" s="32"/>
      <c r="F934" s="30"/>
      <c r="G934" s="32"/>
      <c r="H934" s="34" t="n">
        <f aca="false">IF($G934="",0,IFERROR(INDEX(Einstellungen!$G$5:$G$11,MATCH($G934,Einstellungen!$E$5:$E$11,0)),0))</f>
        <v>0</v>
      </c>
      <c r="I934" s="35" t="str">
        <f aca="false">IF($G934="","-",IFERROR(INDEX(Einstellungen!$H$5:$H$11,MATCH($G934,Einstellungen!$E$5:$E$11,0)),"-"))</f>
        <v>-</v>
      </c>
      <c r="J934" s="35" t="str">
        <f aca="false">IF(AND(Einstellungen!$B$8="Ja",Einstellungen!$B$9="Effektiv"),$I934,"-")</f>
        <v>-</v>
      </c>
      <c r="K934" s="31" t="n">
        <f aca="false">IF(OR($F934="",$J934="-"),0,ROUND($F934-$F934/(1+$H934),2))</f>
        <v>0</v>
      </c>
      <c r="L934" s="31" t="n">
        <f aca="false">IF($F934="",0,$F934-$K934)</f>
        <v>0</v>
      </c>
      <c r="M934" s="31" t="n">
        <f aca="false">IF($F934="",0,IF($J934="V",$L934,$F934))</f>
        <v>0</v>
      </c>
      <c r="N934" s="31" t="n">
        <f aca="false">IF($F934="",0,IF($J934="U",$L934,$F934))</f>
        <v>0</v>
      </c>
      <c r="O934" s="35" t="str">
        <f aca="false">IF($A934="","",MONTH($A934))</f>
        <v/>
      </c>
      <c r="P934" s="35" t="str">
        <f aca="false">IF($A934="","",ROUNDUP(MONTH($A934)/3,0))</f>
        <v/>
      </c>
      <c r="Q934" s="35" t="str">
        <f aca="false">IF($A934="","",IF(MONTH($A934)&lt;=6,1,2))</f>
        <v/>
      </c>
      <c r="R934" s="35" t="str">
        <f aca="false">IF($E934="","",IFERROR(INDEX(Kontenplan!$F$5:$F$90,MATCH($E934,Kontenplan!$A$5:$A$90,0)),""))</f>
        <v/>
      </c>
      <c r="S934" s="35" t="str">
        <f aca="false">IF($D934="","",IFERROR(INDEX(Kontenplan!$F$5:$F$90,MATCH($D934,Kontenplan!$A$5:$A$90,0)),""))</f>
        <v/>
      </c>
      <c r="T934" s="35" t="str">
        <f aca="false">IF($D934="","",IFERROR(INDEX(Kontenplan!$C$5:$C$90,MATCH($D934,Kontenplan!$A$5:$A$90,0)),"?"))</f>
        <v/>
      </c>
      <c r="U934" s="35" t="str">
        <f aca="false">IF($E934="","",IFERROR(INDEX(Kontenplan!$C$5:$C$90,MATCH($E934,Kontenplan!$A$5:$A$90,0)),"?"))</f>
        <v/>
      </c>
      <c r="V934" s="35" t="str">
        <f aca="false">IF($F934="","",IF(OR($D934="",$E934="",$T934="?",$U934="?"),"Konto prüfen!",IF($A934="","Datum fehlt",IF(YEAR($A934)&lt;&gt;Einstellungen!$B$7,"anderes Jahr!",IF($G934="","MWST-Code fehlt","OK")))))</f>
        <v/>
      </c>
      <c r="W934" s="35" t="str">
        <f aca="false">IF($F934="","",IF(OR($D934=Kontoauszug!$C$4,$E934=Kontoauszug!$C$4),MAX(W$4:W933)+1,""))</f>
        <v/>
      </c>
    </row>
    <row r="935" customFormat="false" ht="15" hidden="false" customHeight="false" outlineLevel="0" collapsed="false">
      <c r="A935" s="33"/>
      <c r="B935" s="32"/>
      <c r="C935" s="32"/>
      <c r="D935" s="32"/>
      <c r="E935" s="32"/>
      <c r="F935" s="30"/>
      <c r="G935" s="32"/>
      <c r="H935" s="34" t="n">
        <f aca="false">IF($G935="",0,IFERROR(INDEX(Einstellungen!$G$5:$G$11,MATCH($G935,Einstellungen!$E$5:$E$11,0)),0))</f>
        <v>0</v>
      </c>
      <c r="I935" s="35" t="str">
        <f aca="false">IF($G935="","-",IFERROR(INDEX(Einstellungen!$H$5:$H$11,MATCH($G935,Einstellungen!$E$5:$E$11,0)),"-"))</f>
        <v>-</v>
      </c>
      <c r="J935" s="35" t="str">
        <f aca="false">IF(AND(Einstellungen!$B$8="Ja",Einstellungen!$B$9="Effektiv"),$I935,"-")</f>
        <v>-</v>
      </c>
      <c r="K935" s="31" t="n">
        <f aca="false">IF(OR($F935="",$J935="-"),0,ROUND($F935-$F935/(1+$H935),2))</f>
        <v>0</v>
      </c>
      <c r="L935" s="31" t="n">
        <f aca="false">IF($F935="",0,$F935-$K935)</f>
        <v>0</v>
      </c>
      <c r="M935" s="31" t="n">
        <f aca="false">IF($F935="",0,IF($J935="V",$L935,$F935))</f>
        <v>0</v>
      </c>
      <c r="N935" s="31" t="n">
        <f aca="false">IF($F935="",0,IF($J935="U",$L935,$F935))</f>
        <v>0</v>
      </c>
      <c r="O935" s="35" t="str">
        <f aca="false">IF($A935="","",MONTH($A935))</f>
        <v/>
      </c>
      <c r="P935" s="35" t="str">
        <f aca="false">IF($A935="","",ROUNDUP(MONTH($A935)/3,0))</f>
        <v/>
      </c>
      <c r="Q935" s="35" t="str">
        <f aca="false">IF($A935="","",IF(MONTH($A935)&lt;=6,1,2))</f>
        <v/>
      </c>
      <c r="R935" s="35" t="str">
        <f aca="false">IF($E935="","",IFERROR(INDEX(Kontenplan!$F$5:$F$90,MATCH($E935,Kontenplan!$A$5:$A$90,0)),""))</f>
        <v/>
      </c>
      <c r="S935" s="35" t="str">
        <f aca="false">IF($D935="","",IFERROR(INDEX(Kontenplan!$F$5:$F$90,MATCH($D935,Kontenplan!$A$5:$A$90,0)),""))</f>
        <v/>
      </c>
      <c r="T935" s="35" t="str">
        <f aca="false">IF($D935="","",IFERROR(INDEX(Kontenplan!$C$5:$C$90,MATCH($D935,Kontenplan!$A$5:$A$90,0)),"?"))</f>
        <v/>
      </c>
      <c r="U935" s="35" t="str">
        <f aca="false">IF($E935="","",IFERROR(INDEX(Kontenplan!$C$5:$C$90,MATCH($E935,Kontenplan!$A$5:$A$90,0)),"?"))</f>
        <v/>
      </c>
      <c r="V935" s="35" t="str">
        <f aca="false">IF($F935="","",IF(OR($D935="",$E935="",$T935="?",$U935="?"),"Konto prüfen!",IF($A935="","Datum fehlt",IF(YEAR($A935)&lt;&gt;Einstellungen!$B$7,"anderes Jahr!",IF($G935="","MWST-Code fehlt","OK")))))</f>
        <v/>
      </c>
      <c r="W935" s="35" t="str">
        <f aca="false">IF($F935="","",IF(OR($D935=Kontoauszug!$C$4,$E935=Kontoauszug!$C$4),MAX(W$4:W934)+1,""))</f>
        <v/>
      </c>
    </row>
    <row r="936" customFormat="false" ht="15" hidden="false" customHeight="false" outlineLevel="0" collapsed="false">
      <c r="A936" s="33"/>
      <c r="B936" s="32"/>
      <c r="C936" s="32"/>
      <c r="D936" s="32"/>
      <c r="E936" s="32"/>
      <c r="F936" s="30"/>
      <c r="G936" s="32"/>
      <c r="H936" s="34" t="n">
        <f aca="false">IF($G936="",0,IFERROR(INDEX(Einstellungen!$G$5:$G$11,MATCH($G936,Einstellungen!$E$5:$E$11,0)),0))</f>
        <v>0</v>
      </c>
      <c r="I936" s="35" t="str">
        <f aca="false">IF($G936="","-",IFERROR(INDEX(Einstellungen!$H$5:$H$11,MATCH($G936,Einstellungen!$E$5:$E$11,0)),"-"))</f>
        <v>-</v>
      </c>
      <c r="J936" s="35" t="str">
        <f aca="false">IF(AND(Einstellungen!$B$8="Ja",Einstellungen!$B$9="Effektiv"),$I936,"-")</f>
        <v>-</v>
      </c>
      <c r="K936" s="31" t="n">
        <f aca="false">IF(OR($F936="",$J936="-"),0,ROUND($F936-$F936/(1+$H936),2))</f>
        <v>0</v>
      </c>
      <c r="L936" s="31" t="n">
        <f aca="false">IF($F936="",0,$F936-$K936)</f>
        <v>0</v>
      </c>
      <c r="M936" s="31" t="n">
        <f aca="false">IF($F936="",0,IF($J936="V",$L936,$F936))</f>
        <v>0</v>
      </c>
      <c r="N936" s="31" t="n">
        <f aca="false">IF($F936="",0,IF($J936="U",$L936,$F936))</f>
        <v>0</v>
      </c>
      <c r="O936" s="35" t="str">
        <f aca="false">IF($A936="","",MONTH($A936))</f>
        <v/>
      </c>
      <c r="P936" s="35" t="str">
        <f aca="false">IF($A936="","",ROUNDUP(MONTH($A936)/3,0))</f>
        <v/>
      </c>
      <c r="Q936" s="35" t="str">
        <f aca="false">IF($A936="","",IF(MONTH($A936)&lt;=6,1,2))</f>
        <v/>
      </c>
      <c r="R936" s="35" t="str">
        <f aca="false">IF($E936="","",IFERROR(INDEX(Kontenplan!$F$5:$F$90,MATCH($E936,Kontenplan!$A$5:$A$90,0)),""))</f>
        <v/>
      </c>
      <c r="S936" s="35" t="str">
        <f aca="false">IF($D936="","",IFERROR(INDEX(Kontenplan!$F$5:$F$90,MATCH($D936,Kontenplan!$A$5:$A$90,0)),""))</f>
        <v/>
      </c>
      <c r="T936" s="35" t="str">
        <f aca="false">IF($D936="","",IFERROR(INDEX(Kontenplan!$C$5:$C$90,MATCH($D936,Kontenplan!$A$5:$A$90,0)),"?"))</f>
        <v/>
      </c>
      <c r="U936" s="35" t="str">
        <f aca="false">IF($E936="","",IFERROR(INDEX(Kontenplan!$C$5:$C$90,MATCH($E936,Kontenplan!$A$5:$A$90,0)),"?"))</f>
        <v/>
      </c>
      <c r="V936" s="35" t="str">
        <f aca="false">IF($F936="","",IF(OR($D936="",$E936="",$T936="?",$U936="?"),"Konto prüfen!",IF($A936="","Datum fehlt",IF(YEAR($A936)&lt;&gt;Einstellungen!$B$7,"anderes Jahr!",IF($G936="","MWST-Code fehlt","OK")))))</f>
        <v/>
      </c>
      <c r="W936" s="35" t="str">
        <f aca="false">IF($F936="","",IF(OR($D936=Kontoauszug!$C$4,$E936=Kontoauszug!$C$4),MAX(W$4:W935)+1,""))</f>
        <v/>
      </c>
    </row>
    <row r="937" customFormat="false" ht="15" hidden="false" customHeight="false" outlineLevel="0" collapsed="false">
      <c r="A937" s="33"/>
      <c r="B937" s="32"/>
      <c r="C937" s="32"/>
      <c r="D937" s="32"/>
      <c r="E937" s="32"/>
      <c r="F937" s="30"/>
      <c r="G937" s="32"/>
      <c r="H937" s="34" t="n">
        <f aca="false">IF($G937="",0,IFERROR(INDEX(Einstellungen!$G$5:$G$11,MATCH($G937,Einstellungen!$E$5:$E$11,0)),0))</f>
        <v>0</v>
      </c>
      <c r="I937" s="35" t="str">
        <f aca="false">IF($G937="","-",IFERROR(INDEX(Einstellungen!$H$5:$H$11,MATCH($G937,Einstellungen!$E$5:$E$11,0)),"-"))</f>
        <v>-</v>
      </c>
      <c r="J937" s="35" t="str">
        <f aca="false">IF(AND(Einstellungen!$B$8="Ja",Einstellungen!$B$9="Effektiv"),$I937,"-")</f>
        <v>-</v>
      </c>
      <c r="K937" s="31" t="n">
        <f aca="false">IF(OR($F937="",$J937="-"),0,ROUND($F937-$F937/(1+$H937),2))</f>
        <v>0</v>
      </c>
      <c r="L937" s="31" t="n">
        <f aca="false">IF($F937="",0,$F937-$K937)</f>
        <v>0</v>
      </c>
      <c r="M937" s="31" t="n">
        <f aca="false">IF($F937="",0,IF($J937="V",$L937,$F937))</f>
        <v>0</v>
      </c>
      <c r="N937" s="31" t="n">
        <f aca="false">IF($F937="",0,IF($J937="U",$L937,$F937))</f>
        <v>0</v>
      </c>
      <c r="O937" s="35" t="str">
        <f aca="false">IF($A937="","",MONTH($A937))</f>
        <v/>
      </c>
      <c r="P937" s="35" t="str">
        <f aca="false">IF($A937="","",ROUNDUP(MONTH($A937)/3,0))</f>
        <v/>
      </c>
      <c r="Q937" s="35" t="str">
        <f aca="false">IF($A937="","",IF(MONTH($A937)&lt;=6,1,2))</f>
        <v/>
      </c>
      <c r="R937" s="35" t="str">
        <f aca="false">IF($E937="","",IFERROR(INDEX(Kontenplan!$F$5:$F$90,MATCH($E937,Kontenplan!$A$5:$A$90,0)),""))</f>
        <v/>
      </c>
      <c r="S937" s="35" t="str">
        <f aca="false">IF($D937="","",IFERROR(INDEX(Kontenplan!$F$5:$F$90,MATCH($D937,Kontenplan!$A$5:$A$90,0)),""))</f>
        <v/>
      </c>
      <c r="T937" s="35" t="str">
        <f aca="false">IF($D937="","",IFERROR(INDEX(Kontenplan!$C$5:$C$90,MATCH($D937,Kontenplan!$A$5:$A$90,0)),"?"))</f>
        <v/>
      </c>
      <c r="U937" s="35" t="str">
        <f aca="false">IF($E937="","",IFERROR(INDEX(Kontenplan!$C$5:$C$90,MATCH($E937,Kontenplan!$A$5:$A$90,0)),"?"))</f>
        <v/>
      </c>
      <c r="V937" s="35" t="str">
        <f aca="false">IF($F937="","",IF(OR($D937="",$E937="",$T937="?",$U937="?"),"Konto prüfen!",IF($A937="","Datum fehlt",IF(YEAR($A937)&lt;&gt;Einstellungen!$B$7,"anderes Jahr!",IF($G937="","MWST-Code fehlt","OK")))))</f>
        <v/>
      </c>
      <c r="W937" s="35" t="str">
        <f aca="false">IF($F937="","",IF(OR($D937=Kontoauszug!$C$4,$E937=Kontoauszug!$C$4),MAX(W$4:W936)+1,""))</f>
        <v/>
      </c>
    </row>
    <row r="938" customFormat="false" ht="15" hidden="false" customHeight="false" outlineLevel="0" collapsed="false">
      <c r="A938" s="33"/>
      <c r="B938" s="32"/>
      <c r="C938" s="32"/>
      <c r="D938" s="32"/>
      <c r="E938" s="32"/>
      <c r="F938" s="30"/>
      <c r="G938" s="32"/>
      <c r="H938" s="34" t="n">
        <f aca="false">IF($G938="",0,IFERROR(INDEX(Einstellungen!$G$5:$G$11,MATCH($G938,Einstellungen!$E$5:$E$11,0)),0))</f>
        <v>0</v>
      </c>
      <c r="I938" s="35" t="str">
        <f aca="false">IF($G938="","-",IFERROR(INDEX(Einstellungen!$H$5:$H$11,MATCH($G938,Einstellungen!$E$5:$E$11,0)),"-"))</f>
        <v>-</v>
      </c>
      <c r="J938" s="35" t="str">
        <f aca="false">IF(AND(Einstellungen!$B$8="Ja",Einstellungen!$B$9="Effektiv"),$I938,"-")</f>
        <v>-</v>
      </c>
      <c r="K938" s="31" t="n">
        <f aca="false">IF(OR($F938="",$J938="-"),0,ROUND($F938-$F938/(1+$H938),2))</f>
        <v>0</v>
      </c>
      <c r="L938" s="31" t="n">
        <f aca="false">IF($F938="",0,$F938-$K938)</f>
        <v>0</v>
      </c>
      <c r="M938" s="31" t="n">
        <f aca="false">IF($F938="",0,IF($J938="V",$L938,$F938))</f>
        <v>0</v>
      </c>
      <c r="N938" s="31" t="n">
        <f aca="false">IF($F938="",0,IF($J938="U",$L938,$F938))</f>
        <v>0</v>
      </c>
      <c r="O938" s="35" t="str">
        <f aca="false">IF($A938="","",MONTH($A938))</f>
        <v/>
      </c>
      <c r="P938" s="35" t="str">
        <f aca="false">IF($A938="","",ROUNDUP(MONTH($A938)/3,0))</f>
        <v/>
      </c>
      <c r="Q938" s="35" t="str">
        <f aca="false">IF($A938="","",IF(MONTH($A938)&lt;=6,1,2))</f>
        <v/>
      </c>
      <c r="R938" s="35" t="str">
        <f aca="false">IF($E938="","",IFERROR(INDEX(Kontenplan!$F$5:$F$90,MATCH($E938,Kontenplan!$A$5:$A$90,0)),""))</f>
        <v/>
      </c>
      <c r="S938" s="35" t="str">
        <f aca="false">IF($D938="","",IFERROR(INDEX(Kontenplan!$F$5:$F$90,MATCH($D938,Kontenplan!$A$5:$A$90,0)),""))</f>
        <v/>
      </c>
      <c r="T938" s="35" t="str">
        <f aca="false">IF($D938="","",IFERROR(INDEX(Kontenplan!$C$5:$C$90,MATCH($D938,Kontenplan!$A$5:$A$90,0)),"?"))</f>
        <v/>
      </c>
      <c r="U938" s="35" t="str">
        <f aca="false">IF($E938="","",IFERROR(INDEX(Kontenplan!$C$5:$C$90,MATCH($E938,Kontenplan!$A$5:$A$90,0)),"?"))</f>
        <v/>
      </c>
      <c r="V938" s="35" t="str">
        <f aca="false">IF($F938="","",IF(OR($D938="",$E938="",$T938="?",$U938="?"),"Konto prüfen!",IF($A938="","Datum fehlt",IF(YEAR($A938)&lt;&gt;Einstellungen!$B$7,"anderes Jahr!",IF($G938="","MWST-Code fehlt","OK")))))</f>
        <v/>
      </c>
      <c r="W938" s="35" t="str">
        <f aca="false">IF($F938="","",IF(OR($D938=Kontoauszug!$C$4,$E938=Kontoauszug!$C$4),MAX(W$4:W937)+1,""))</f>
        <v/>
      </c>
    </row>
    <row r="939" customFormat="false" ht="15" hidden="false" customHeight="false" outlineLevel="0" collapsed="false">
      <c r="A939" s="33"/>
      <c r="B939" s="32"/>
      <c r="C939" s="32"/>
      <c r="D939" s="32"/>
      <c r="E939" s="32"/>
      <c r="F939" s="30"/>
      <c r="G939" s="32"/>
      <c r="H939" s="34" t="n">
        <f aca="false">IF($G939="",0,IFERROR(INDEX(Einstellungen!$G$5:$G$11,MATCH($G939,Einstellungen!$E$5:$E$11,0)),0))</f>
        <v>0</v>
      </c>
      <c r="I939" s="35" t="str">
        <f aca="false">IF($G939="","-",IFERROR(INDEX(Einstellungen!$H$5:$H$11,MATCH($G939,Einstellungen!$E$5:$E$11,0)),"-"))</f>
        <v>-</v>
      </c>
      <c r="J939" s="35" t="str">
        <f aca="false">IF(AND(Einstellungen!$B$8="Ja",Einstellungen!$B$9="Effektiv"),$I939,"-")</f>
        <v>-</v>
      </c>
      <c r="K939" s="31" t="n">
        <f aca="false">IF(OR($F939="",$J939="-"),0,ROUND($F939-$F939/(1+$H939),2))</f>
        <v>0</v>
      </c>
      <c r="L939" s="31" t="n">
        <f aca="false">IF($F939="",0,$F939-$K939)</f>
        <v>0</v>
      </c>
      <c r="M939" s="31" t="n">
        <f aca="false">IF($F939="",0,IF($J939="V",$L939,$F939))</f>
        <v>0</v>
      </c>
      <c r="N939" s="31" t="n">
        <f aca="false">IF($F939="",0,IF($J939="U",$L939,$F939))</f>
        <v>0</v>
      </c>
      <c r="O939" s="35" t="str">
        <f aca="false">IF($A939="","",MONTH($A939))</f>
        <v/>
      </c>
      <c r="P939" s="35" t="str">
        <f aca="false">IF($A939="","",ROUNDUP(MONTH($A939)/3,0))</f>
        <v/>
      </c>
      <c r="Q939" s="35" t="str">
        <f aca="false">IF($A939="","",IF(MONTH($A939)&lt;=6,1,2))</f>
        <v/>
      </c>
      <c r="R939" s="35" t="str">
        <f aca="false">IF($E939="","",IFERROR(INDEX(Kontenplan!$F$5:$F$90,MATCH($E939,Kontenplan!$A$5:$A$90,0)),""))</f>
        <v/>
      </c>
      <c r="S939" s="35" t="str">
        <f aca="false">IF($D939="","",IFERROR(INDEX(Kontenplan!$F$5:$F$90,MATCH($D939,Kontenplan!$A$5:$A$90,0)),""))</f>
        <v/>
      </c>
      <c r="T939" s="35" t="str">
        <f aca="false">IF($D939="","",IFERROR(INDEX(Kontenplan!$C$5:$C$90,MATCH($D939,Kontenplan!$A$5:$A$90,0)),"?"))</f>
        <v/>
      </c>
      <c r="U939" s="35" t="str">
        <f aca="false">IF($E939="","",IFERROR(INDEX(Kontenplan!$C$5:$C$90,MATCH($E939,Kontenplan!$A$5:$A$90,0)),"?"))</f>
        <v/>
      </c>
      <c r="V939" s="35" t="str">
        <f aca="false">IF($F939="","",IF(OR($D939="",$E939="",$T939="?",$U939="?"),"Konto prüfen!",IF($A939="","Datum fehlt",IF(YEAR($A939)&lt;&gt;Einstellungen!$B$7,"anderes Jahr!",IF($G939="","MWST-Code fehlt","OK")))))</f>
        <v/>
      </c>
      <c r="W939" s="35" t="str">
        <f aca="false">IF($F939="","",IF(OR($D939=Kontoauszug!$C$4,$E939=Kontoauszug!$C$4),MAX(W$4:W938)+1,""))</f>
        <v/>
      </c>
    </row>
    <row r="940" customFormat="false" ht="15" hidden="false" customHeight="false" outlineLevel="0" collapsed="false">
      <c r="A940" s="33"/>
      <c r="B940" s="32"/>
      <c r="C940" s="32"/>
      <c r="D940" s="32"/>
      <c r="E940" s="32"/>
      <c r="F940" s="30"/>
      <c r="G940" s="32"/>
      <c r="H940" s="34" t="n">
        <f aca="false">IF($G940="",0,IFERROR(INDEX(Einstellungen!$G$5:$G$11,MATCH($G940,Einstellungen!$E$5:$E$11,0)),0))</f>
        <v>0</v>
      </c>
      <c r="I940" s="35" t="str">
        <f aca="false">IF($G940="","-",IFERROR(INDEX(Einstellungen!$H$5:$H$11,MATCH($G940,Einstellungen!$E$5:$E$11,0)),"-"))</f>
        <v>-</v>
      </c>
      <c r="J940" s="35" t="str">
        <f aca="false">IF(AND(Einstellungen!$B$8="Ja",Einstellungen!$B$9="Effektiv"),$I940,"-")</f>
        <v>-</v>
      </c>
      <c r="K940" s="31" t="n">
        <f aca="false">IF(OR($F940="",$J940="-"),0,ROUND($F940-$F940/(1+$H940),2))</f>
        <v>0</v>
      </c>
      <c r="L940" s="31" t="n">
        <f aca="false">IF($F940="",0,$F940-$K940)</f>
        <v>0</v>
      </c>
      <c r="M940" s="31" t="n">
        <f aca="false">IF($F940="",0,IF($J940="V",$L940,$F940))</f>
        <v>0</v>
      </c>
      <c r="N940" s="31" t="n">
        <f aca="false">IF($F940="",0,IF($J940="U",$L940,$F940))</f>
        <v>0</v>
      </c>
      <c r="O940" s="35" t="str">
        <f aca="false">IF($A940="","",MONTH($A940))</f>
        <v/>
      </c>
      <c r="P940" s="35" t="str">
        <f aca="false">IF($A940="","",ROUNDUP(MONTH($A940)/3,0))</f>
        <v/>
      </c>
      <c r="Q940" s="35" t="str">
        <f aca="false">IF($A940="","",IF(MONTH($A940)&lt;=6,1,2))</f>
        <v/>
      </c>
      <c r="R940" s="35" t="str">
        <f aca="false">IF($E940="","",IFERROR(INDEX(Kontenplan!$F$5:$F$90,MATCH($E940,Kontenplan!$A$5:$A$90,0)),""))</f>
        <v/>
      </c>
      <c r="S940" s="35" t="str">
        <f aca="false">IF($D940="","",IFERROR(INDEX(Kontenplan!$F$5:$F$90,MATCH($D940,Kontenplan!$A$5:$A$90,0)),""))</f>
        <v/>
      </c>
      <c r="T940" s="35" t="str">
        <f aca="false">IF($D940="","",IFERROR(INDEX(Kontenplan!$C$5:$C$90,MATCH($D940,Kontenplan!$A$5:$A$90,0)),"?"))</f>
        <v/>
      </c>
      <c r="U940" s="35" t="str">
        <f aca="false">IF($E940="","",IFERROR(INDEX(Kontenplan!$C$5:$C$90,MATCH($E940,Kontenplan!$A$5:$A$90,0)),"?"))</f>
        <v/>
      </c>
      <c r="V940" s="35" t="str">
        <f aca="false">IF($F940="","",IF(OR($D940="",$E940="",$T940="?",$U940="?"),"Konto prüfen!",IF($A940="","Datum fehlt",IF(YEAR($A940)&lt;&gt;Einstellungen!$B$7,"anderes Jahr!",IF($G940="","MWST-Code fehlt","OK")))))</f>
        <v/>
      </c>
      <c r="W940" s="35" t="str">
        <f aca="false">IF($F940="","",IF(OR($D940=Kontoauszug!$C$4,$E940=Kontoauszug!$C$4),MAX(W$4:W939)+1,""))</f>
        <v/>
      </c>
    </row>
    <row r="941" customFormat="false" ht="15" hidden="false" customHeight="false" outlineLevel="0" collapsed="false">
      <c r="A941" s="33"/>
      <c r="B941" s="32"/>
      <c r="C941" s="32"/>
      <c r="D941" s="32"/>
      <c r="E941" s="32"/>
      <c r="F941" s="30"/>
      <c r="G941" s="32"/>
      <c r="H941" s="34" t="n">
        <f aca="false">IF($G941="",0,IFERROR(INDEX(Einstellungen!$G$5:$G$11,MATCH($G941,Einstellungen!$E$5:$E$11,0)),0))</f>
        <v>0</v>
      </c>
      <c r="I941" s="35" t="str">
        <f aca="false">IF($G941="","-",IFERROR(INDEX(Einstellungen!$H$5:$H$11,MATCH($G941,Einstellungen!$E$5:$E$11,0)),"-"))</f>
        <v>-</v>
      </c>
      <c r="J941" s="35" t="str">
        <f aca="false">IF(AND(Einstellungen!$B$8="Ja",Einstellungen!$B$9="Effektiv"),$I941,"-")</f>
        <v>-</v>
      </c>
      <c r="K941" s="31" t="n">
        <f aca="false">IF(OR($F941="",$J941="-"),0,ROUND($F941-$F941/(1+$H941),2))</f>
        <v>0</v>
      </c>
      <c r="L941" s="31" t="n">
        <f aca="false">IF($F941="",0,$F941-$K941)</f>
        <v>0</v>
      </c>
      <c r="M941" s="31" t="n">
        <f aca="false">IF($F941="",0,IF($J941="V",$L941,$F941))</f>
        <v>0</v>
      </c>
      <c r="N941" s="31" t="n">
        <f aca="false">IF($F941="",0,IF($J941="U",$L941,$F941))</f>
        <v>0</v>
      </c>
      <c r="O941" s="35" t="str">
        <f aca="false">IF($A941="","",MONTH($A941))</f>
        <v/>
      </c>
      <c r="P941" s="35" t="str">
        <f aca="false">IF($A941="","",ROUNDUP(MONTH($A941)/3,0))</f>
        <v/>
      </c>
      <c r="Q941" s="35" t="str">
        <f aca="false">IF($A941="","",IF(MONTH($A941)&lt;=6,1,2))</f>
        <v/>
      </c>
      <c r="R941" s="35" t="str">
        <f aca="false">IF($E941="","",IFERROR(INDEX(Kontenplan!$F$5:$F$90,MATCH($E941,Kontenplan!$A$5:$A$90,0)),""))</f>
        <v/>
      </c>
      <c r="S941" s="35" t="str">
        <f aca="false">IF($D941="","",IFERROR(INDEX(Kontenplan!$F$5:$F$90,MATCH($D941,Kontenplan!$A$5:$A$90,0)),""))</f>
        <v/>
      </c>
      <c r="T941" s="35" t="str">
        <f aca="false">IF($D941="","",IFERROR(INDEX(Kontenplan!$C$5:$C$90,MATCH($D941,Kontenplan!$A$5:$A$90,0)),"?"))</f>
        <v/>
      </c>
      <c r="U941" s="35" t="str">
        <f aca="false">IF($E941="","",IFERROR(INDEX(Kontenplan!$C$5:$C$90,MATCH($E941,Kontenplan!$A$5:$A$90,0)),"?"))</f>
        <v/>
      </c>
      <c r="V941" s="35" t="str">
        <f aca="false">IF($F941="","",IF(OR($D941="",$E941="",$T941="?",$U941="?"),"Konto prüfen!",IF($A941="","Datum fehlt",IF(YEAR($A941)&lt;&gt;Einstellungen!$B$7,"anderes Jahr!",IF($G941="","MWST-Code fehlt","OK")))))</f>
        <v/>
      </c>
      <c r="W941" s="35" t="str">
        <f aca="false">IF($F941="","",IF(OR($D941=Kontoauszug!$C$4,$E941=Kontoauszug!$C$4),MAX(W$4:W940)+1,""))</f>
        <v/>
      </c>
    </row>
    <row r="942" customFormat="false" ht="15" hidden="false" customHeight="false" outlineLevel="0" collapsed="false">
      <c r="A942" s="33"/>
      <c r="B942" s="32"/>
      <c r="C942" s="32"/>
      <c r="D942" s="32"/>
      <c r="E942" s="32"/>
      <c r="F942" s="30"/>
      <c r="G942" s="32"/>
      <c r="H942" s="34" t="n">
        <f aca="false">IF($G942="",0,IFERROR(INDEX(Einstellungen!$G$5:$G$11,MATCH($G942,Einstellungen!$E$5:$E$11,0)),0))</f>
        <v>0</v>
      </c>
      <c r="I942" s="35" t="str">
        <f aca="false">IF($G942="","-",IFERROR(INDEX(Einstellungen!$H$5:$H$11,MATCH($G942,Einstellungen!$E$5:$E$11,0)),"-"))</f>
        <v>-</v>
      </c>
      <c r="J942" s="35" t="str">
        <f aca="false">IF(AND(Einstellungen!$B$8="Ja",Einstellungen!$B$9="Effektiv"),$I942,"-")</f>
        <v>-</v>
      </c>
      <c r="K942" s="31" t="n">
        <f aca="false">IF(OR($F942="",$J942="-"),0,ROUND($F942-$F942/(1+$H942),2))</f>
        <v>0</v>
      </c>
      <c r="L942" s="31" t="n">
        <f aca="false">IF($F942="",0,$F942-$K942)</f>
        <v>0</v>
      </c>
      <c r="M942" s="31" t="n">
        <f aca="false">IF($F942="",0,IF($J942="V",$L942,$F942))</f>
        <v>0</v>
      </c>
      <c r="N942" s="31" t="n">
        <f aca="false">IF($F942="",0,IF($J942="U",$L942,$F942))</f>
        <v>0</v>
      </c>
      <c r="O942" s="35" t="str">
        <f aca="false">IF($A942="","",MONTH($A942))</f>
        <v/>
      </c>
      <c r="P942" s="35" t="str">
        <f aca="false">IF($A942="","",ROUNDUP(MONTH($A942)/3,0))</f>
        <v/>
      </c>
      <c r="Q942" s="35" t="str">
        <f aca="false">IF($A942="","",IF(MONTH($A942)&lt;=6,1,2))</f>
        <v/>
      </c>
      <c r="R942" s="35" t="str">
        <f aca="false">IF($E942="","",IFERROR(INDEX(Kontenplan!$F$5:$F$90,MATCH($E942,Kontenplan!$A$5:$A$90,0)),""))</f>
        <v/>
      </c>
      <c r="S942" s="35" t="str">
        <f aca="false">IF($D942="","",IFERROR(INDEX(Kontenplan!$F$5:$F$90,MATCH($D942,Kontenplan!$A$5:$A$90,0)),""))</f>
        <v/>
      </c>
      <c r="T942" s="35" t="str">
        <f aca="false">IF($D942="","",IFERROR(INDEX(Kontenplan!$C$5:$C$90,MATCH($D942,Kontenplan!$A$5:$A$90,0)),"?"))</f>
        <v/>
      </c>
      <c r="U942" s="35" t="str">
        <f aca="false">IF($E942="","",IFERROR(INDEX(Kontenplan!$C$5:$C$90,MATCH($E942,Kontenplan!$A$5:$A$90,0)),"?"))</f>
        <v/>
      </c>
      <c r="V942" s="35" t="str">
        <f aca="false">IF($F942="","",IF(OR($D942="",$E942="",$T942="?",$U942="?"),"Konto prüfen!",IF($A942="","Datum fehlt",IF(YEAR($A942)&lt;&gt;Einstellungen!$B$7,"anderes Jahr!",IF($G942="","MWST-Code fehlt","OK")))))</f>
        <v/>
      </c>
      <c r="W942" s="35" t="str">
        <f aca="false">IF($F942="","",IF(OR($D942=Kontoauszug!$C$4,$E942=Kontoauszug!$C$4),MAX(W$4:W941)+1,""))</f>
        <v/>
      </c>
    </row>
    <row r="943" customFormat="false" ht="15" hidden="false" customHeight="false" outlineLevel="0" collapsed="false">
      <c r="A943" s="33"/>
      <c r="B943" s="32"/>
      <c r="C943" s="32"/>
      <c r="D943" s="32"/>
      <c r="E943" s="32"/>
      <c r="F943" s="30"/>
      <c r="G943" s="32"/>
      <c r="H943" s="34" t="n">
        <f aca="false">IF($G943="",0,IFERROR(INDEX(Einstellungen!$G$5:$G$11,MATCH($G943,Einstellungen!$E$5:$E$11,0)),0))</f>
        <v>0</v>
      </c>
      <c r="I943" s="35" t="str">
        <f aca="false">IF($G943="","-",IFERROR(INDEX(Einstellungen!$H$5:$H$11,MATCH($G943,Einstellungen!$E$5:$E$11,0)),"-"))</f>
        <v>-</v>
      </c>
      <c r="J943" s="35" t="str">
        <f aca="false">IF(AND(Einstellungen!$B$8="Ja",Einstellungen!$B$9="Effektiv"),$I943,"-")</f>
        <v>-</v>
      </c>
      <c r="K943" s="31" t="n">
        <f aca="false">IF(OR($F943="",$J943="-"),0,ROUND($F943-$F943/(1+$H943),2))</f>
        <v>0</v>
      </c>
      <c r="L943" s="31" t="n">
        <f aca="false">IF($F943="",0,$F943-$K943)</f>
        <v>0</v>
      </c>
      <c r="M943" s="31" t="n">
        <f aca="false">IF($F943="",0,IF($J943="V",$L943,$F943))</f>
        <v>0</v>
      </c>
      <c r="N943" s="31" t="n">
        <f aca="false">IF($F943="",0,IF($J943="U",$L943,$F943))</f>
        <v>0</v>
      </c>
      <c r="O943" s="35" t="str">
        <f aca="false">IF($A943="","",MONTH($A943))</f>
        <v/>
      </c>
      <c r="P943" s="35" t="str">
        <f aca="false">IF($A943="","",ROUNDUP(MONTH($A943)/3,0))</f>
        <v/>
      </c>
      <c r="Q943" s="35" t="str">
        <f aca="false">IF($A943="","",IF(MONTH($A943)&lt;=6,1,2))</f>
        <v/>
      </c>
      <c r="R943" s="35" t="str">
        <f aca="false">IF($E943="","",IFERROR(INDEX(Kontenplan!$F$5:$F$90,MATCH($E943,Kontenplan!$A$5:$A$90,0)),""))</f>
        <v/>
      </c>
      <c r="S943" s="35" t="str">
        <f aca="false">IF($D943="","",IFERROR(INDEX(Kontenplan!$F$5:$F$90,MATCH($D943,Kontenplan!$A$5:$A$90,0)),""))</f>
        <v/>
      </c>
      <c r="T943" s="35" t="str">
        <f aca="false">IF($D943="","",IFERROR(INDEX(Kontenplan!$C$5:$C$90,MATCH($D943,Kontenplan!$A$5:$A$90,0)),"?"))</f>
        <v/>
      </c>
      <c r="U943" s="35" t="str">
        <f aca="false">IF($E943="","",IFERROR(INDEX(Kontenplan!$C$5:$C$90,MATCH($E943,Kontenplan!$A$5:$A$90,0)),"?"))</f>
        <v/>
      </c>
      <c r="V943" s="35" t="str">
        <f aca="false">IF($F943="","",IF(OR($D943="",$E943="",$T943="?",$U943="?"),"Konto prüfen!",IF($A943="","Datum fehlt",IF(YEAR($A943)&lt;&gt;Einstellungen!$B$7,"anderes Jahr!",IF($G943="","MWST-Code fehlt","OK")))))</f>
        <v/>
      </c>
      <c r="W943" s="35" t="str">
        <f aca="false">IF($F943="","",IF(OR($D943=Kontoauszug!$C$4,$E943=Kontoauszug!$C$4),MAX(W$4:W942)+1,""))</f>
        <v/>
      </c>
    </row>
    <row r="944" customFormat="false" ht="15" hidden="false" customHeight="false" outlineLevel="0" collapsed="false">
      <c r="A944" s="33"/>
      <c r="B944" s="32"/>
      <c r="C944" s="32"/>
      <c r="D944" s="32"/>
      <c r="E944" s="32"/>
      <c r="F944" s="30"/>
      <c r="G944" s="32"/>
      <c r="H944" s="34" t="n">
        <f aca="false">IF($G944="",0,IFERROR(INDEX(Einstellungen!$G$5:$G$11,MATCH($G944,Einstellungen!$E$5:$E$11,0)),0))</f>
        <v>0</v>
      </c>
      <c r="I944" s="35" t="str">
        <f aca="false">IF($G944="","-",IFERROR(INDEX(Einstellungen!$H$5:$H$11,MATCH($G944,Einstellungen!$E$5:$E$11,0)),"-"))</f>
        <v>-</v>
      </c>
      <c r="J944" s="35" t="str">
        <f aca="false">IF(AND(Einstellungen!$B$8="Ja",Einstellungen!$B$9="Effektiv"),$I944,"-")</f>
        <v>-</v>
      </c>
      <c r="K944" s="31" t="n">
        <f aca="false">IF(OR($F944="",$J944="-"),0,ROUND($F944-$F944/(1+$H944),2))</f>
        <v>0</v>
      </c>
      <c r="L944" s="31" t="n">
        <f aca="false">IF($F944="",0,$F944-$K944)</f>
        <v>0</v>
      </c>
      <c r="M944" s="31" t="n">
        <f aca="false">IF($F944="",0,IF($J944="V",$L944,$F944))</f>
        <v>0</v>
      </c>
      <c r="N944" s="31" t="n">
        <f aca="false">IF($F944="",0,IF($J944="U",$L944,$F944))</f>
        <v>0</v>
      </c>
      <c r="O944" s="35" t="str">
        <f aca="false">IF($A944="","",MONTH($A944))</f>
        <v/>
      </c>
      <c r="P944" s="35" t="str">
        <f aca="false">IF($A944="","",ROUNDUP(MONTH($A944)/3,0))</f>
        <v/>
      </c>
      <c r="Q944" s="35" t="str">
        <f aca="false">IF($A944="","",IF(MONTH($A944)&lt;=6,1,2))</f>
        <v/>
      </c>
      <c r="R944" s="35" t="str">
        <f aca="false">IF($E944="","",IFERROR(INDEX(Kontenplan!$F$5:$F$90,MATCH($E944,Kontenplan!$A$5:$A$90,0)),""))</f>
        <v/>
      </c>
      <c r="S944" s="35" t="str">
        <f aca="false">IF($D944="","",IFERROR(INDEX(Kontenplan!$F$5:$F$90,MATCH($D944,Kontenplan!$A$5:$A$90,0)),""))</f>
        <v/>
      </c>
      <c r="T944" s="35" t="str">
        <f aca="false">IF($D944="","",IFERROR(INDEX(Kontenplan!$C$5:$C$90,MATCH($D944,Kontenplan!$A$5:$A$90,0)),"?"))</f>
        <v/>
      </c>
      <c r="U944" s="35" t="str">
        <f aca="false">IF($E944="","",IFERROR(INDEX(Kontenplan!$C$5:$C$90,MATCH($E944,Kontenplan!$A$5:$A$90,0)),"?"))</f>
        <v/>
      </c>
      <c r="V944" s="35" t="str">
        <f aca="false">IF($F944="","",IF(OR($D944="",$E944="",$T944="?",$U944="?"),"Konto prüfen!",IF($A944="","Datum fehlt",IF(YEAR($A944)&lt;&gt;Einstellungen!$B$7,"anderes Jahr!",IF($G944="","MWST-Code fehlt","OK")))))</f>
        <v/>
      </c>
      <c r="W944" s="35" t="str">
        <f aca="false">IF($F944="","",IF(OR($D944=Kontoauszug!$C$4,$E944=Kontoauszug!$C$4),MAX(W$4:W943)+1,""))</f>
        <v/>
      </c>
    </row>
    <row r="945" customFormat="false" ht="15" hidden="false" customHeight="false" outlineLevel="0" collapsed="false">
      <c r="A945" s="33"/>
      <c r="B945" s="32"/>
      <c r="C945" s="32"/>
      <c r="D945" s="32"/>
      <c r="E945" s="32"/>
      <c r="F945" s="30"/>
      <c r="G945" s="32"/>
      <c r="H945" s="34" t="n">
        <f aca="false">IF($G945="",0,IFERROR(INDEX(Einstellungen!$G$5:$G$11,MATCH($G945,Einstellungen!$E$5:$E$11,0)),0))</f>
        <v>0</v>
      </c>
      <c r="I945" s="35" t="str">
        <f aca="false">IF($G945="","-",IFERROR(INDEX(Einstellungen!$H$5:$H$11,MATCH($G945,Einstellungen!$E$5:$E$11,0)),"-"))</f>
        <v>-</v>
      </c>
      <c r="J945" s="35" t="str">
        <f aca="false">IF(AND(Einstellungen!$B$8="Ja",Einstellungen!$B$9="Effektiv"),$I945,"-")</f>
        <v>-</v>
      </c>
      <c r="K945" s="31" t="n">
        <f aca="false">IF(OR($F945="",$J945="-"),0,ROUND($F945-$F945/(1+$H945),2))</f>
        <v>0</v>
      </c>
      <c r="L945" s="31" t="n">
        <f aca="false">IF($F945="",0,$F945-$K945)</f>
        <v>0</v>
      </c>
      <c r="M945" s="31" t="n">
        <f aca="false">IF($F945="",0,IF($J945="V",$L945,$F945))</f>
        <v>0</v>
      </c>
      <c r="N945" s="31" t="n">
        <f aca="false">IF($F945="",0,IF($J945="U",$L945,$F945))</f>
        <v>0</v>
      </c>
      <c r="O945" s="35" t="str">
        <f aca="false">IF($A945="","",MONTH($A945))</f>
        <v/>
      </c>
      <c r="P945" s="35" t="str">
        <f aca="false">IF($A945="","",ROUNDUP(MONTH($A945)/3,0))</f>
        <v/>
      </c>
      <c r="Q945" s="35" t="str">
        <f aca="false">IF($A945="","",IF(MONTH($A945)&lt;=6,1,2))</f>
        <v/>
      </c>
      <c r="R945" s="35" t="str">
        <f aca="false">IF($E945="","",IFERROR(INDEX(Kontenplan!$F$5:$F$90,MATCH($E945,Kontenplan!$A$5:$A$90,0)),""))</f>
        <v/>
      </c>
      <c r="S945" s="35" t="str">
        <f aca="false">IF($D945="","",IFERROR(INDEX(Kontenplan!$F$5:$F$90,MATCH($D945,Kontenplan!$A$5:$A$90,0)),""))</f>
        <v/>
      </c>
      <c r="T945" s="35" t="str">
        <f aca="false">IF($D945="","",IFERROR(INDEX(Kontenplan!$C$5:$C$90,MATCH($D945,Kontenplan!$A$5:$A$90,0)),"?"))</f>
        <v/>
      </c>
      <c r="U945" s="35" t="str">
        <f aca="false">IF($E945="","",IFERROR(INDEX(Kontenplan!$C$5:$C$90,MATCH($E945,Kontenplan!$A$5:$A$90,0)),"?"))</f>
        <v/>
      </c>
      <c r="V945" s="35" t="str">
        <f aca="false">IF($F945="","",IF(OR($D945="",$E945="",$T945="?",$U945="?"),"Konto prüfen!",IF($A945="","Datum fehlt",IF(YEAR($A945)&lt;&gt;Einstellungen!$B$7,"anderes Jahr!",IF($G945="","MWST-Code fehlt","OK")))))</f>
        <v/>
      </c>
      <c r="W945" s="35" t="str">
        <f aca="false">IF($F945="","",IF(OR($D945=Kontoauszug!$C$4,$E945=Kontoauszug!$C$4),MAX(W$4:W944)+1,""))</f>
        <v/>
      </c>
    </row>
    <row r="946" customFormat="false" ht="15" hidden="false" customHeight="false" outlineLevel="0" collapsed="false">
      <c r="A946" s="33"/>
      <c r="B946" s="32"/>
      <c r="C946" s="32"/>
      <c r="D946" s="32"/>
      <c r="E946" s="32"/>
      <c r="F946" s="30"/>
      <c r="G946" s="32"/>
      <c r="H946" s="34" t="n">
        <f aca="false">IF($G946="",0,IFERROR(INDEX(Einstellungen!$G$5:$G$11,MATCH($G946,Einstellungen!$E$5:$E$11,0)),0))</f>
        <v>0</v>
      </c>
      <c r="I946" s="35" t="str">
        <f aca="false">IF($G946="","-",IFERROR(INDEX(Einstellungen!$H$5:$H$11,MATCH($G946,Einstellungen!$E$5:$E$11,0)),"-"))</f>
        <v>-</v>
      </c>
      <c r="J946" s="35" t="str">
        <f aca="false">IF(AND(Einstellungen!$B$8="Ja",Einstellungen!$B$9="Effektiv"),$I946,"-")</f>
        <v>-</v>
      </c>
      <c r="K946" s="31" t="n">
        <f aca="false">IF(OR($F946="",$J946="-"),0,ROUND($F946-$F946/(1+$H946),2))</f>
        <v>0</v>
      </c>
      <c r="L946" s="31" t="n">
        <f aca="false">IF($F946="",0,$F946-$K946)</f>
        <v>0</v>
      </c>
      <c r="M946" s="31" t="n">
        <f aca="false">IF($F946="",0,IF($J946="V",$L946,$F946))</f>
        <v>0</v>
      </c>
      <c r="N946" s="31" t="n">
        <f aca="false">IF($F946="",0,IF($J946="U",$L946,$F946))</f>
        <v>0</v>
      </c>
      <c r="O946" s="35" t="str">
        <f aca="false">IF($A946="","",MONTH($A946))</f>
        <v/>
      </c>
      <c r="P946" s="35" t="str">
        <f aca="false">IF($A946="","",ROUNDUP(MONTH($A946)/3,0))</f>
        <v/>
      </c>
      <c r="Q946" s="35" t="str">
        <f aca="false">IF($A946="","",IF(MONTH($A946)&lt;=6,1,2))</f>
        <v/>
      </c>
      <c r="R946" s="35" t="str">
        <f aca="false">IF($E946="","",IFERROR(INDEX(Kontenplan!$F$5:$F$90,MATCH($E946,Kontenplan!$A$5:$A$90,0)),""))</f>
        <v/>
      </c>
      <c r="S946" s="35" t="str">
        <f aca="false">IF($D946="","",IFERROR(INDEX(Kontenplan!$F$5:$F$90,MATCH($D946,Kontenplan!$A$5:$A$90,0)),""))</f>
        <v/>
      </c>
      <c r="T946" s="35" t="str">
        <f aca="false">IF($D946="","",IFERROR(INDEX(Kontenplan!$C$5:$C$90,MATCH($D946,Kontenplan!$A$5:$A$90,0)),"?"))</f>
        <v/>
      </c>
      <c r="U946" s="35" t="str">
        <f aca="false">IF($E946="","",IFERROR(INDEX(Kontenplan!$C$5:$C$90,MATCH($E946,Kontenplan!$A$5:$A$90,0)),"?"))</f>
        <v/>
      </c>
      <c r="V946" s="35" t="str">
        <f aca="false">IF($F946="","",IF(OR($D946="",$E946="",$T946="?",$U946="?"),"Konto prüfen!",IF($A946="","Datum fehlt",IF(YEAR($A946)&lt;&gt;Einstellungen!$B$7,"anderes Jahr!",IF($G946="","MWST-Code fehlt","OK")))))</f>
        <v/>
      </c>
      <c r="W946" s="35" t="str">
        <f aca="false">IF($F946="","",IF(OR($D946=Kontoauszug!$C$4,$E946=Kontoauszug!$C$4),MAX(W$4:W945)+1,""))</f>
        <v/>
      </c>
    </row>
    <row r="947" customFormat="false" ht="15" hidden="false" customHeight="false" outlineLevel="0" collapsed="false">
      <c r="A947" s="33"/>
      <c r="B947" s="32"/>
      <c r="C947" s="32"/>
      <c r="D947" s="32"/>
      <c r="E947" s="32"/>
      <c r="F947" s="30"/>
      <c r="G947" s="32"/>
      <c r="H947" s="34" t="n">
        <f aca="false">IF($G947="",0,IFERROR(INDEX(Einstellungen!$G$5:$G$11,MATCH($G947,Einstellungen!$E$5:$E$11,0)),0))</f>
        <v>0</v>
      </c>
      <c r="I947" s="35" t="str">
        <f aca="false">IF($G947="","-",IFERROR(INDEX(Einstellungen!$H$5:$H$11,MATCH($G947,Einstellungen!$E$5:$E$11,0)),"-"))</f>
        <v>-</v>
      </c>
      <c r="J947" s="35" t="str">
        <f aca="false">IF(AND(Einstellungen!$B$8="Ja",Einstellungen!$B$9="Effektiv"),$I947,"-")</f>
        <v>-</v>
      </c>
      <c r="K947" s="31" t="n">
        <f aca="false">IF(OR($F947="",$J947="-"),0,ROUND($F947-$F947/(1+$H947),2))</f>
        <v>0</v>
      </c>
      <c r="L947" s="31" t="n">
        <f aca="false">IF($F947="",0,$F947-$K947)</f>
        <v>0</v>
      </c>
      <c r="M947" s="31" t="n">
        <f aca="false">IF($F947="",0,IF($J947="V",$L947,$F947))</f>
        <v>0</v>
      </c>
      <c r="N947" s="31" t="n">
        <f aca="false">IF($F947="",0,IF($J947="U",$L947,$F947))</f>
        <v>0</v>
      </c>
      <c r="O947" s="35" t="str">
        <f aca="false">IF($A947="","",MONTH($A947))</f>
        <v/>
      </c>
      <c r="P947" s="35" t="str">
        <f aca="false">IF($A947="","",ROUNDUP(MONTH($A947)/3,0))</f>
        <v/>
      </c>
      <c r="Q947" s="35" t="str">
        <f aca="false">IF($A947="","",IF(MONTH($A947)&lt;=6,1,2))</f>
        <v/>
      </c>
      <c r="R947" s="35" t="str">
        <f aca="false">IF($E947="","",IFERROR(INDEX(Kontenplan!$F$5:$F$90,MATCH($E947,Kontenplan!$A$5:$A$90,0)),""))</f>
        <v/>
      </c>
      <c r="S947" s="35" t="str">
        <f aca="false">IF($D947="","",IFERROR(INDEX(Kontenplan!$F$5:$F$90,MATCH($D947,Kontenplan!$A$5:$A$90,0)),""))</f>
        <v/>
      </c>
      <c r="T947" s="35" t="str">
        <f aca="false">IF($D947="","",IFERROR(INDEX(Kontenplan!$C$5:$C$90,MATCH($D947,Kontenplan!$A$5:$A$90,0)),"?"))</f>
        <v/>
      </c>
      <c r="U947" s="35" t="str">
        <f aca="false">IF($E947="","",IFERROR(INDEX(Kontenplan!$C$5:$C$90,MATCH($E947,Kontenplan!$A$5:$A$90,0)),"?"))</f>
        <v/>
      </c>
      <c r="V947" s="35" t="str">
        <f aca="false">IF($F947="","",IF(OR($D947="",$E947="",$T947="?",$U947="?"),"Konto prüfen!",IF($A947="","Datum fehlt",IF(YEAR($A947)&lt;&gt;Einstellungen!$B$7,"anderes Jahr!",IF($G947="","MWST-Code fehlt","OK")))))</f>
        <v/>
      </c>
      <c r="W947" s="35" t="str">
        <f aca="false">IF($F947="","",IF(OR($D947=Kontoauszug!$C$4,$E947=Kontoauszug!$C$4),MAX(W$4:W946)+1,""))</f>
        <v/>
      </c>
    </row>
    <row r="948" customFormat="false" ht="15" hidden="false" customHeight="false" outlineLevel="0" collapsed="false">
      <c r="A948" s="33"/>
      <c r="B948" s="32"/>
      <c r="C948" s="32"/>
      <c r="D948" s="32"/>
      <c r="E948" s="32"/>
      <c r="F948" s="30"/>
      <c r="G948" s="32"/>
      <c r="H948" s="34" t="n">
        <f aca="false">IF($G948="",0,IFERROR(INDEX(Einstellungen!$G$5:$G$11,MATCH($G948,Einstellungen!$E$5:$E$11,0)),0))</f>
        <v>0</v>
      </c>
      <c r="I948" s="35" t="str">
        <f aca="false">IF($G948="","-",IFERROR(INDEX(Einstellungen!$H$5:$H$11,MATCH($G948,Einstellungen!$E$5:$E$11,0)),"-"))</f>
        <v>-</v>
      </c>
      <c r="J948" s="35" t="str">
        <f aca="false">IF(AND(Einstellungen!$B$8="Ja",Einstellungen!$B$9="Effektiv"),$I948,"-")</f>
        <v>-</v>
      </c>
      <c r="K948" s="31" t="n">
        <f aca="false">IF(OR($F948="",$J948="-"),0,ROUND($F948-$F948/(1+$H948),2))</f>
        <v>0</v>
      </c>
      <c r="L948" s="31" t="n">
        <f aca="false">IF($F948="",0,$F948-$K948)</f>
        <v>0</v>
      </c>
      <c r="M948" s="31" t="n">
        <f aca="false">IF($F948="",0,IF($J948="V",$L948,$F948))</f>
        <v>0</v>
      </c>
      <c r="N948" s="31" t="n">
        <f aca="false">IF($F948="",0,IF($J948="U",$L948,$F948))</f>
        <v>0</v>
      </c>
      <c r="O948" s="35" t="str">
        <f aca="false">IF($A948="","",MONTH($A948))</f>
        <v/>
      </c>
      <c r="P948" s="35" t="str">
        <f aca="false">IF($A948="","",ROUNDUP(MONTH($A948)/3,0))</f>
        <v/>
      </c>
      <c r="Q948" s="35" t="str">
        <f aca="false">IF($A948="","",IF(MONTH($A948)&lt;=6,1,2))</f>
        <v/>
      </c>
      <c r="R948" s="35" t="str">
        <f aca="false">IF($E948="","",IFERROR(INDEX(Kontenplan!$F$5:$F$90,MATCH($E948,Kontenplan!$A$5:$A$90,0)),""))</f>
        <v/>
      </c>
      <c r="S948" s="35" t="str">
        <f aca="false">IF($D948="","",IFERROR(INDEX(Kontenplan!$F$5:$F$90,MATCH($D948,Kontenplan!$A$5:$A$90,0)),""))</f>
        <v/>
      </c>
      <c r="T948" s="35" t="str">
        <f aca="false">IF($D948="","",IFERROR(INDEX(Kontenplan!$C$5:$C$90,MATCH($D948,Kontenplan!$A$5:$A$90,0)),"?"))</f>
        <v/>
      </c>
      <c r="U948" s="35" t="str">
        <f aca="false">IF($E948="","",IFERROR(INDEX(Kontenplan!$C$5:$C$90,MATCH($E948,Kontenplan!$A$5:$A$90,0)),"?"))</f>
        <v/>
      </c>
      <c r="V948" s="35" t="str">
        <f aca="false">IF($F948="","",IF(OR($D948="",$E948="",$T948="?",$U948="?"),"Konto prüfen!",IF($A948="","Datum fehlt",IF(YEAR($A948)&lt;&gt;Einstellungen!$B$7,"anderes Jahr!",IF($G948="","MWST-Code fehlt","OK")))))</f>
        <v/>
      </c>
      <c r="W948" s="35" t="str">
        <f aca="false">IF($F948="","",IF(OR($D948=Kontoauszug!$C$4,$E948=Kontoauszug!$C$4),MAX(W$4:W947)+1,""))</f>
        <v/>
      </c>
    </row>
    <row r="949" customFormat="false" ht="15" hidden="false" customHeight="false" outlineLevel="0" collapsed="false">
      <c r="A949" s="33"/>
      <c r="B949" s="32"/>
      <c r="C949" s="32"/>
      <c r="D949" s="32"/>
      <c r="E949" s="32"/>
      <c r="F949" s="30"/>
      <c r="G949" s="32"/>
      <c r="H949" s="34" t="n">
        <f aca="false">IF($G949="",0,IFERROR(INDEX(Einstellungen!$G$5:$G$11,MATCH($G949,Einstellungen!$E$5:$E$11,0)),0))</f>
        <v>0</v>
      </c>
      <c r="I949" s="35" t="str">
        <f aca="false">IF($G949="","-",IFERROR(INDEX(Einstellungen!$H$5:$H$11,MATCH($G949,Einstellungen!$E$5:$E$11,0)),"-"))</f>
        <v>-</v>
      </c>
      <c r="J949" s="35" t="str">
        <f aca="false">IF(AND(Einstellungen!$B$8="Ja",Einstellungen!$B$9="Effektiv"),$I949,"-")</f>
        <v>-</v>
      </c>
      <c r="K949" s="31" t="n">
        <f aca="false">IF(OR($F949="",$J949="-"),0,ROUND($F949-$F949/(1+$H949),2))</f>
        <v>0</v>
      </c>
      <c r="L949" s="31" t="n">
        <f aca="false">IF($F949="",0,$F949-$K949)</f>
        <v>0</v>
      </c>
      <c r="M949" s="31" t="n">
        <f aca="false">IF($F949="",0,IF($J949="V",$L949,$F949))</f>
        <v>0</v>
      </c>
      <c r="N949" s="31" t="n">
        <f aca="false">IF($F949="",0,IF($J949="U",$L949,$F949))</f>
        <v>0</v>
      </c>
      <c r="O949" s="35" t="str">
        <f aca="false">IF($A949="","",MONTH($A949))</f>
        <v/>
      </c>
      <c r="P949" s="35" t="str">
        <f aca="false">IF($A949="","",ROUNDUP(MONTH($A949)/3,0))</f>
        <v/>
      </c>
      <c r="Q949" s="35" t="str">
        <f aca="false">IF($A949="","",IF(MONTH($A949)&lt;=6,1,2))</f>
        <v/>
      </c>
      <c r="R949" s="35" t="str">
        <f aca="false">IF($E949="","",IFERROR(INDEX(Kontenplan!$F$5:$F$90,MATCH($E949,Kontenplan!$A$5:$A$90,0)),""))</f>
        <v/>
      </c>
      <c r="S949" s="35" t="str">
        <f aca="false">IF($D949="","",IFERROR(INDEX(Kontenplan!$F$5:$F$90,MATCH($D949,Kontenplan!$A$5:$A$90,0)),""))</f>
        <v/>
      </c>
      <c r="T949" s="35" t="str">
        <f aca="false">IF($D949="","",IFERROR(INDEX(Kontenplan!$C$5:$C$90,MATCH($D949,Kontenplan!$A$5:$A$90,0)),"?"))</f>
        <v/>
      </c>
      <c r="U949" s="35" t="str">
        <f aca="false">IF($E949="","",IFERROR(INDEX(Kontenplan!$C$5:$C$90,MATCH($E949,Kontenplan!$A$5:$A$90,0)),"?"))</f>
        <v/>
      </c>
      <c r="V949" s="35" t="str">
        <f aca="false">IF($F949="","",IF(OR($D949="",$E949="",$T949="?",$U949="?"),"Konto prüfen!",IF($A949="","Datum fehlt",IF(YEAR($A949)&lt;&gt;Einstellungen!$B$7,"anderes Jahr!",IF($G949="","MWST-Code fehlt","OK")))))</f>
        <v/>
      </c>
      <c r="W949" s="35" t="str">
        <f aca="false">IF($F949="","",IF(OR($D949=Kontoauszug!$C$4,$E949=Kontoauszug!$C$4),MAX(W$4:W948)+1,""))</f>
        <v/>
      </c>
    </row>
    <row r="950" customFormat="false" ht="15" hidden="false" customHeight="false" outlineLevel="0" collapsed="false">
      <c r="A950" s="33"/>
      <c r="B950" s="32"/>
      <c r="C950" s="32"/>
      <c r="D950" s="32"/>
      <c r="E950" s="32"/>
      <c r="F950" s="30"/>
      <c r="G950" s="32"/>
      <c r="H950" s="34" t="n">
        <f aca="false">IF($G950="",0,IFERROR(INDEX(Einstellungen!$G$5:$G$11,MATCH($G950,Einstellungen!$E$5:$E$11,0)),0))</f>
        <v>0</v>
      </c>
      <c r="I950" s="35" t="str">
        <f aca="false">IF($G950="","-",IFERROR(INDEX(Einstellungen!$H$5:$H$11,MATCH($G950,Einstellungen!$E$5:$E$11,0)),"-"))</f>
        <v>-</v>
      </c>
      <c r="J950" s="35" t="str">
        <f aca="false">IF(AND(Einstellungen!$B$8="Ja",Einstellungen!$B$9="Effektiv"),$I950,"-")</f>
        <v>-</v>
      </c>
      <c r="K950" s="31" t="n">
        <f aca="false">IF(OR($F950="",$J950="-"),0,ROUND($F950-$F950/(1+$H950),2))</f>
        <v>0</v>
      </c>
      <c r="L950" s="31" t="n">
        <f aca="false">IF($F950="",0,$F950-$K950)</f>
        <v>0</v>
      </c>
      <c r="M950" s="31" t="n">
        <f aca="false">IF($F950="",0,IF($J950="V",$L950,$F950))</f>
        <v>0</v>
      </c>
      <c r="N950" s="31" t="n">
        <f aca="false">IF($F950="",0,IF($J950="U",$L950,$F950))</f>
        <v>0</v>
      </c>
      <c r="O950" s="35" t="str">
        <f aca="false">IF($A950="","",MONTH($A950))</f>
        <v/>
      </c>
      <c r="P950" s="35" t="str">
        <f aca="false">IF($A950="","",ROUNDUP(MONTH($A950)/3,0))</f>
        <v/>
      </c>
      <c r="Q950" s="35" t="str">
        <f aca="false">IF($A950="","",IF(MONTH($A950)&lt;=6,1,2))</f>
        <v/>
      </c>
      <c r="R950" s="35" t="str">
        <f aca="false">IF($E950="","",IFERROR(INDEX(Kontenplan!$F$5:$F$90,MATCH($E950,Kontenplan!$A$5:$A$90,0)),""))</f>
        <v/>
      </c>
      <c r="S950" s="35" t="str">
        <f aca="false">IF($D950="","",IFERROR(INDEX(Kontenplan!$F$5:$F$90,MATCH($D950,Kontenplan!$A$5:$A$90,0)),""))</f>
        <v/>
      </c>
      <c r="T950" s="35" t="str">
        <f aca="false">IF($D950="","",IFERROR(INDEX(Kontenplan!$C$5:$C$90,MATCH($D950,Kontenplan!$A$5:$A$90,0)),"?"))</f>
        <v/>
      </c>
      <c r="U950" s="35" t="str">
        <f aca="false">IF($E950="","",IFERROR(INDEX(Kontenplan!$C$5:$C$90,MATCH($E950,Kontenplan!$A$5:$A$90,0)),"?"))</f>
        <v/>
      </c>
      <c r="V950" s="35" t="str">
        <f aca="false">IF($F950="","",IF(OR($D950="",$E950="",$T950="?",$U950="?"),"Konto prüfen!",IF($A950="","Datum fehlt",IF(YEAR($A950)&lt;&gt;Einstellungen!$B$7,"anderes Jahr!",IF($G950="","MWST-Code fehlt","OK")))))</f>
        <v/>
      </c>
      <c r="W950" s="35" t="str">
        <f aca="false">IF($F950="","",IF(OR($D950=Kontoauszug!$C$4,$E950=Kontoauszug!$C$4),MAX(W$4:W949)+1,""))</f>
        <v/>
      </c>
    </row>
    <row r="951" customFormat="false" ht="15" hidden="false" customHeight="false" outlineLevel="0" collapsed="false">
      <c r="A951" s="33"/>
      <c r="B951" s="32"/>
      <c r="C951" s="32"/>
      <c r="D951" s="32"/>
      <c r="E951" s="32"/>
      <c r="F951" s="30"/>
      <c r="G951" s="32"/>
      <c r="H951" s="34" t="n">
        <f aca="false">IF($G951="",0,IFERROR(INDEX(Einstellungen!$G$5:$G$11,MATCH($G951,Einstellungen!$E$5:$E$11,0)),0))</f>
        <v>0</v>
      </c>
      <c r="I951" s="35" t="str">
        <f aca="false">IF($G951="","-",IFERROR(INDEX(Einstellungen!$H$5:$H$11,MATCH($G951,Einstellungen!$E$5:$E$11,0)),"-"))</f>
        <v>-</v>
      </c>
      <c r="J951" s="35" t="str">
        <f aca="false">IF(AND(Einstellungen!$B$8="Ja",Einstellungen!$B$9="Effektiv"),$I951,"-")</f>
        <v>-</v>
      </c>
      <c r="K951" s="31" t="n">
        <f aca="false">IF(OR($F951="",$J951="-"),0,ROUND($F951-$F951/(1+$H951),2))</f>
        <v>0</v>
      </c>
      <c r="L951" s="31" t="n">
        <f aca="false">IF($F951="",0,$F951-$K951)</f>
        <v>0</v>
      </c>
      <c r="M951" s="31" t="n">
        <f aca="false">IF($F951="",0,IF($J951="V",$L951,$F951))</f>
        <v>0</v>
      </c>
      <c r="N951" s="31" t="n">
        <f aca="false">IF($F951="",0,IF($J951="U",$L951,$F951))</f>
        <v>0</v>
      </c>
      <c r="O951" s="35" t="str">
        <f aca="false">IF($A951="","",MONTH($A951))</f>
        <v/>
      </c>
      <c r="P951" s="35" t="str">
        <f aca="false">IF($A951="","",ROUNDUP(MONTH($A951)/3,0))</f>
        <v/>
      </c>
      <c r="Q951" s="35" t="str">
        <f aca="false">IF($A951="","",IF(MONTH($A951)&lt;=6,1,2))</f>
        <v/>
      </c>
      <c r="R951" s="35" t="str">
        <f aca="false">IF($E951="","",IFERROR(INDEX(Kontenplan!$F$5:$F$90,MATCH($E951,Kontenplan!$A$5:$A$90,0)),""))</f>
        <v/>
      </c>
      <c r="S951" s="35" t="str">
        <f aca="false">IF($D951="","",IFERROR(INDEX(Kontenplan!$F$5:$F$90,MATCH($D951,Kontenplan!$A$5:$A$90,0)),""))</f>
        <v/>
      </c>
      <c r="T951" s="35" t="str">
        <f aca="false">IF($D951="","",IFERROR(INDEX(Kontenplan!$C$5:$C$90,MATCH($D951,Kontenplan!$A$5:$A$90,0)),"?"))</f>
        <v/>
      </c>
      <c r="U951" s="35" t="str">
        <f aca="false">IF($E951="","",IFERROR(INDEX(Kontenplan!$C$5:$C$90,MATCH($E951,Kontenplan!$A$5:$A$90,0)),"?"))</f>
        <v/>
      </c>
      <c r="V951" s="35" t="str">
        <f aca="false">IF($F951="","",IF(OR($D951="",$E951="",$T951="?",$U951="?"),"Konto prüfen!",IF($A951="","Datum fehlt",IF(YEAR($A951)&lt;&gt;Einstellungen!$B$7,"anderes Jahr!",IF($G951="","MWST-Code fehlt","OK")))))</f>
        <v/>
      </c>
      <c r="W951" s="35" t="str">
        <f aca="false">IF($F951="","",IF(OR($D951=Kontoauszug!$C$4,$E951=Kontoauszug!$C$4),MAX(W$4:W950)+1,""))</f>
        <v/>
      </c>
    </row>
    <row r="952" customFormat="false" ht="15" hidden="false" customHeight="false" outlineLevel="0" collapsed="false">
      <c r="A952" s="33"/>
      <c r="B952" s="32"/>
      <c r="C952" s="32"/>
      <c r="D952" s="32"/>
      <c r="E952" s="32"/>
      <c r="F952" s="30"/>
      <c r="G952" s="32"/>
      <c r="H952" s="34" t="n">
        <f aca="false">IF($G952="",0,IFERROR(INDEX(Einstellungen!$G$5:$G$11,MATCH($G952,Einstellungen!$E$5:$E$11,0)),0))</f>
        <v>0</v>
      </c>
      <c r="I952" s="35" t="str">
        <f aca="false">IF($G952="","-",IFERROR(INDEX(Einstellungen!$H$5:$H$11,MATCH($G952,Einstellungen!$E$5:$E$11,0)),"-"))</f>
        <v>-</v>
      </c>
      <c r="J952" s="35" t="str">
        <f aca="false">IF(AND(Einstellungen!$B$8="Ja",Einstellungen!$B$9="Effektiv"),$I952,"-")</f>
        <v>-</v>
      </c>
      <c r="K952" s="31" t="n">
        <f aca="false">IF(OR($F952="",$J952="-"),0,ROUND($F952-$F952/(1+$H952),2))</f>
        <v>0</v>
      </c>
      <c r="L952" s="31" t="n">
        <f aca="false">IF($F952="",0,$F952-$K952)</f>
        <v>0</v>
      </c>
      <c r="M952" s="31" t="n">
        <f aca="false">IF($F952="",0,IF($J952="V",$L952,$F952))</f>
        <v>0</v>
      </c>
      <c r="N952" s="31" t="n">
        <f aca="false">IF($F952="",0,IF($J952="U",$L952,$F952))</f>
        <v>0</v>
      </c>
      <c r="O952" s="35" t="str">
        <f aca="false">IF($A952="","",MONTH($A952))</f>
        <v/>
      </c>
      <c r="P952" s="35" t="str">
        <f aca="false">IF($A952="","",ROUNDUP(MONTH($A952)/3,0))</f>
        <v/>
      </c>
      <c r="Q952" s="35" t="str">
        <f aca="false">IF($A952="","",IF(MONTH($A952)&lt;=6,1,2))</f>
        <v/>
      </c>
      <c r="R952" s="35" t="str">
        <f aca="false">IF($E952="","",IFERROR(INDEX(Kontenplan!$F$5:$F$90,MATCH($E952,Kontenplan!$A$5:$A$90,0)),""))</f>
        <v/>
      </c>
      <c r="S952" s="35" t="str">
        <f aca="false">IF($D952="","",IFERROR(INDEX(Kontenplan!$F$5:$F$90,MATCH($D952,Kontenplan!$A$5:$A$90,0)),""))</f>
        <v/>
      </c>
      <c r="T952" s="35" t="str">
        <f aca="false">IF($D952="","",IFERROR(INDEX(Kontenplan!$C$5:$C$90,MATCH($D952,Kontenplan!$A$5:$A$90,0)),"?"))</f>
        <v/>
      </c>
      <c r="U952" s="35" t="str">
        <f aca="false">IF($E952="","",IFERROR(INDEX(Kontenplan!$C$5:$C$90,MATCH($E952,Kontenplan!$A$5:$A$90,0)),"?"))</f>
        <v/>
      </c>
      <c r="V952" s="35" t="str">
        <f aca="false">IF($F952="","",IF(OR($D952="",$E952="",$T952="?",$U952="?"),"Konto prüfen!",IF($A952="","Datum fehlt",IF(YEAR($A952)&lt;&gt;Einstellungen!$B$7,"anderes Jahr!",IF($G952="","MWST-Code fehlt","OK")))))</f>
        <v/>
      </c>
      <c r="W952" s="35" t="str">
        <f aca="false">IF($F952="","",IF(OR($D952=Kontoauszug!$C$4,$E952=Kontoauszug!$C$4),MAX(W$4:W951)+1,""))</f>
        <v/>
      </c>
    </row>
    <row r="953" customFormat="false" ht="15" hidden="false" customHeight="false" outlineLevel="0" collapsed="false">
      <c r="A953" s="33"/>
      <c r="B953" s="32"/>
      <c r="C953" s="32"/>
      <c r="D953" s="32"/>
      <c r="E953" s="32"/>
      <c r="F953" s="30"/>
      <c r="G953" s="32"/>
      <c r="H953" s="34" t="n">
        <f aca="false">IF($G953="",0,IFERROR(INDEX(Einstellungen!$G$5:$G$11,MATCH($G953,Einstellungen!$E$5:$E$11,0)),0))</f>
        <v>0</v>
      </c>
      <c r="I953" s="35" t="str">
        <f aca="false">IF($G953="","-",IFERROR(INDEX(Einstellungen!$H$5:$H$11,MATCH($G953,Einstellungen!$E$5:$E$11,0)),"-"))</f>
        <v>-</v>
      </c>
      <c r="J953" s="35" t="str">
        <f aca="false">IF(AND(Einstellungen!$B$8="Ja",Einstellungen!$B$9="Effektiv"),$I953,"-")</f>
        <v>-</v>
      </c>
      <c r="K953" s="31" t="n">
        <f aca="false">IF(OR($F953="",$J953="-"),0,ROUND($F953-$F953/(1+$H953),2))</f>
        <v>0</v>
      </c>
      <c r="L953" s="31" t="n">
        <f aca="false">IF($F953="",0,$F953-$K953)</f>
        <v>0</v>
      </c>
      <c r="M953" s="31" t="n">
        <f aca="false">IF($F953="",0,IF($J953="V",$L953,$F953))</f>
        <v>0</v>
      </c>
      <c r="N953" s="31" t="n">
        <f aca="false">IF($F953="",0,IF($J953="U",$L953,$F953))</f>
        <v>0</v>
      </c>
      <c r="O953" s="35" t="str">
        <f aca="false">IF($A953="","",MONTH($A953))</f>
        <v/>
      </c>
      <c r="P953" s="35" t="str">
        <f aca="false">IF($A953="","",ROUNDUP(MONTH($A953)/3,0))</f>
        <v/>
      </c>
      <c r="Q953" s="35" t="str">
        <f aca="false">IF($A953="","",IF(MONTH($A953)&lt;=6,1,2))</f>
        <v/>
      </c>
      <c r="R953" s="35" t="str">
        <f aca="false">IF($E953="","",IFERROR(INDEX(Kontenplan!$F$5:$F$90,MATCH($E953,Kontenplan!$A$5:$A$90,0)),""))</f>
        <v/>
      </c>
      <c r="S953" s="35" t="str">
        <f aca="false">IF($D953="","",IFERROR(INDEX(Kontenplan!$F$5:$F$90,MATCH($D953,Kontenplan!$A$5:$A$90,0)),""))</f>
        <v/>
      </c>
      <c r="T953" s="35" t="str">
        <f aca="false">IF($D953="","",IFERROR(INDEX(Kontenplan!$C$5:$C$90,MATCH($D953,Kontenplan!$A$5:$A$90,0)),"?"))</f>
        <v/>
      </c>
      <c r="U953" s="35" t="str">
        <f aca="false">IF($E953="","",IFERROR(INDEX(Kontenplan!$C$5:$C$90,MATCH($E953,Kontenplan!$A$5:$A$90,0)),"?"))</f>
        <v/>
      </c>
      <c r="V953" s="35" t="str">
        <f aca="false">IF($F953="","",IF(OR($D953="",$E953="",$T953="?",$U953="?"),"Konto prüfen!",IF($A953="","Datum fehlt",IF(YEAR($A953)&lt;&gt;Einstellungen!$B$7,"anderes Jahr!",IF($G953="","MWST-Code fehlt","OK")))))</f>
        <v/>
      </c>
      <c r="W953" s="35" t="str">
        <f aca="false">IF($F953="","",IF(OR($D953=Kontoauszug!$C$4,$E953=Kontoauszug!$C$4),MAX(W$4:W952)+1,""))</f>
        <v/>
      </c>
    </row>
    <row r="954" customFormat="false" ht="15" hidden="false" customHeight="false" outlineLevel="0" collapsed="false">
      <c r="A954" s="33"/>
      <c r="B954" s="32"/>
      <c r="C954" s="32"/>
      <c r="D954" s="32"/>
      <c r="E954" s="32"/>
      <c r="F954" s="30"/>
      <c r="G954" s="32"/>
      <c r="H954" s="34" t="n">
        <f aca="false">IF($G954="",0,IFERROR(INDEX(Einstellungen!$G$5:$G$11,MATCH($G954,Einstellungen!$E$5:$E$11,0)),0))</f>
        <v>0</v>
      </c>
      <c r="I954" s="35" t="str">
        <f aca="false">IF($G954="","-",IFERROR(INDEX(Einstellungen!$H$5:$H$11,MATCH($G954,Einstellungen!$E$5:$E$11,0)),"-"))</f>
        <v>-</v>
      </c>
      <c r="J954" s="35" t="str">
        <f aca="false">IF(AND(Einstellungen!$B$8="Ja",Einstellungen!$B$9="Effektiv"),$I954,"-")</f>
        <v>-</v>
      </c>
      <c r="K954" s="31" t="n">
        <f aca="false">IF(OR($F954="",$J954="-"),0,ROUND($F954-$F954/(1+$H954),2))</f>
        <v>0</v>
      </c>
      <c r="L954" s="31" t="n">
        <f aca="false">IF($F954="",0,$F954-$K954)</f>
        <v>0</v>
      </c>
      <c r="M954" s="31" t="n">
        <f aca="false">IF($F954="",0,IF($J954="V",$L954,$F954))</f>
        <v>0</v>
      </c>
      <c r="N954" s="31" t="n">
        <f aca="false">IF($F954="",0,IF($J954="U",$L954,$F954))</f>
        <v>0</v>
      </c>
      <c r="O954" s="35" t="str">
        <f aca="false">IF($A954="","",MONTH($A954))</f>
        <v/>
      </c>
      <c r="P954" s="35" t="str">
        <f aca="false">IF($A954="","",ROUNDUP(MONTH($A954)/3,0))</f>
        <v/>
      </c>
      <c r="Q954" s="35" t="str">
        <f aca="false">IF($A954="","",IF(MONTH($A954)&lt;=6,1,2))</f>
        <v/>
      </c>
      <c r="R954" s="35" t="str">
        <f aca="false">IF($E954="","",IFERROR(INDEX(Kontenplan!$F$5:$F$90,MATCH($E954,Kontenplan!$A$5:$A$90,0)),""))</f>
        <v/>
      </c>
      <c r="S954" s="35" t="str">
        <f aca="false">IF($D954="","",IFERROR(INDEX(Kontenplan!$F$5:$F$90,MATCH($D954,Kontenplan!$A$5:$A$90,0)),""))</f>
        <v/>
      </c>
      <c r="T954" s="35" t="str">
        <f aca="false">IF($D954="","",IFERROR(INDEX(Kontenplan!$C$5:$C$90,MATCH($D954,Kontenplan!$A$5:$A$90,0)),"?"))</f>
        <v/>
      </c>
      <c r="U954" s="35" t="str">
        <f aca="false">IF($E954="","",IFERROR(INDEX(Kontenplan!$C$5:$C$90,MATCH($E954,Kontenplan!$A$5:$A$90,0)),"?"))</f>
        <v/>
      </c>
      <c r="V954" s="35" t="str">
        <f aca="false">IF($F954="","",IF(OR($D954="",$E954="",$T954="?",$U954="?"),"Konto prüfen!",IF($A954="","Datum fehlt",IF(YEAR($A954)&lt;&gt;Einstellungen!$B$7,"anderes Jahr!",IF($G954="","MWST-Code fehlt","OK")))))</f>
        <v/>
      </c>
      <c r="W954" s="35" t="str">
        <f aca="false">IF($F954="","",IF(OR($D954=Kontoauszug!$C$4,$E954=Kontoauszug!$C$4),MAX(W$4:W953)+1,""))</f>
        <v/>
      </c>
    </row>
    <row r="955" customFormat="false" ht="15" hidden="false" customHeight="false" outlineLevel="0" collapsed="false">
      <c r="A955" s="33"/>
      <c r="B955" s="32"/>
      <c r="C955" s="32"/>
      <c r="D955" s="32"/>
      <c r="E955" s="32"/>
      <c r="F955" s="30"/>
      <c r="G955" s="32"/>
      <c r="H955" s="34" t="n">
        <f aca="false">IF($G955="",0,IFERROR(INDEX(Einstellungen!$G$5:$G$11,MATCH($G955,Einstellungen!$E$5:$E$11,0)),0))</f>
        <v>0</v>
      </c>
      <c r="I955" s="35" t="str">
        <f aca="false">IF($G955="","-",IFERROR(INDEX(Einstellungen!$H$5:$H$11,MATCH($G955,Einstellungen!$E$5:$E$11,0)),"-"))</f>
        <v>-</v>
      </c>
      <c r="J955" s="35" t="str">
        <f aca="false">IF(AND(Einstellungen!$B$8="Ja",Einstellungen!$B$9="Effektiv"),$I955,"-")</f>
        <v>-</v>
      </c>
      <c r="K955" s="31" t="n">
        <f aca="false">IF(OR($F955="",$J955="-"),0,ROUND($F955-$F955/(1+$H955),2))</f>
        <v>0</v>
      </c>
      <c r="L955" s="31" t="n">
        <f aca="false">IF($F955="",0,$F955-$K955)</f>
        <v>0</v>
      </c>
      <c r="M955" s="31" t="n">
        <f aca="false">IF($F955="",0,IF($J955="V",$L955,$F955))</f>
        <v>0</v>
      </c>
      <c r="N955" s="31" t="n">
        <f aca="false">IF($F955="",0,IF($J955="U",$L955,$F955))</f>
        <v>0</v>
      </c>
      <c r="O955" s="35" t="str">
        <f aca="false">IF($A955="","",MONTH($A955))</f>
        <v/>
      </c>
      <c r="P955" s="35" t="str">
        <f aca="false">IF($A955="","",ROUNDUP(MONTH($A955)/3,0))</f>
        <v/>
      </c>
      <c r="Q955" s="35" t="str">
        <f aca="false">IF($A955="","",IF(MONTH($A955)&lt;=6,1,2))</f>
        <v/>
      </c>
      <c r="R955" s="35" t="str">
        <f aca="false">IF($E955="","",IFERROR(INDEX(Kontenplan!$F$5:$F$90,MATCH($E955,Kontenplan!$A$5:$A$90,0)),""))</f>
        <v/>
      </c>
      <c r="S955" s="35" t="str">
        <f aca="false">IF($D955="","",IFERROR(INDEX(Kontenplan!$F$5:$F$90,MATCH($D955,Kontenplan!$A$5:$A$90,0)),""))</f>
        <v/>
      </c>
      <c r="T955" s="35" t="str">
        <f aca="false">IF($D955="","",IFERROR(INDEX(Kontenplan!$C$5:$C$90,MATCH($D955,Kontenplan!$A$5:$A$90,0)),"?"))</f>
        <v/>
      </c>
      <c r="U955" s="35" t="str">
        <f aca="false">IF($E955="","",IFERROR(INDEX(Kontenplan!$C$5:$C$90,MATCH($E955,Kontenplan!$A$5:$A$90,0)),"?"))</f>
        <v/>
      </c>
      <c r="V955" s="35" t="str">
        <f aca="false">IF($F955="","",IF(OR($D955="",$E955="",$T955="?",$U955="?"),"Konto prüfen!",IF($A955="","Datum fehlt",IF(YEAR($A955)&lt;&gt;Einstellungen!$B$7,"anderes Jahr!",IF($G955="","MWST-Code fehlt","OK")))))</f>
        <v/>
      </c>
      <c r="W955" s="35" t="str">
        <f aca="false">IF($F955="","",IF(OR($D955=Kontoauszug!$C$4,$E955=Kontoauszug!$C$4),MAX(W$4:W954)+1,""))</f>
        <v/>
      </c>
    </row>
    <row r="956" customFormat="false" ht="15" hidden="false" customHeight="false" outlineLevel="0" collapsed="false">
      <c r="A956" s="33"/>
      <c r="B956" s="32"/>
      <c r="C956" s="32"/>
      <c r="D956" s="32"/>
      <c r="E956" s="32"/>
      <c r="F956" s="30"/>
      <c r="G956" s="32"/>
      <c r="H956" s="34" t="n">
        <f aca="false">IF($G956="",0,IFERROR(INDEX(Einstellungen!$G$5:$G$11,MATCH($G956,Einstellungen!$E$5:$E$11,0)),0))</f>
        <v>0</v>
      </c>
      <c r="I956" s="35" t="str">
        <f aca="false">IF($G956="","-",IFERROR(INDEX(Einstellungen!$H$5:$H$11,MATCH($G956,Einstellungen!$E$5:$E$11,0)),"-"))</f>
        <v>-</v>
      </c>
      <c r="J956" s="35" t="str">
        <f aca="false">IF(AND(Einstellungen!$B$8="Ja",Einstellungen!$B$9="Effektiv"),$I956,"-")</f>
        <v>-</v>
      </c>
      <c r="K956" s="31" t="n">
        <f aca="false">IF(OR($F956="",$J956="-"),0,ROUND($F956-$F956/(1+$H956),2))</f>
        <v>0</v>
      </c>
      <c r="L956" s="31" t="n">
        <f aca="false">IF($F956="",0,$F956-$K956)</f>
        <v>0</v>
      </c>
      <c r="M956" s="31" t="n">
        <f aca="false">IF($F956="",0,IF($J956="V",$L956,$F956))</f>
        <v>0</v>
      </c>
      <c r="N956" s="31" t="n">
        <f aca="false">IF($F956="",0,IF($J956="U",$L956,$F956))</f>
        <v>0</v>
      </c>
      <c r="O956" s="35" t="str">
        <f aca="false">IF($A956="","",MONTH($A956))</f>
        <v/>
      </c>
      <c r="P956" s="35" t="str">
        <f aca="false">IF($A956="","",ROUNDUP(MONTH($A956)/3,0))</f>
        <v/>
      </c>
      <c r="Q956" s="35" t="str">
        <f aca="false">IF($A956="","",IF(MONTH($A956)&lt;=6,1,2))</f>
        <v/>
      </c>
      <c r="R956" s="35" t="str">
        <f aca="false">IF($E956="","",IFERROR(INDEX(Kontenplan!$F$5:$F$90,MATCH($E956,Kontenplan!$A$5:$A$90,0)),""))</f>
        <v/>
      </c>
      <c r="S956" s="35" t="str">
        <f aca="false">IF($D956="","",IFERROR(INDEX(Kontenplan!$F$5:$F$90,MATCH($D956,Kontenplan!$A$5:$A$90,0)),""))</f>
        <v/>
      </c>
      <c r="T956" s="35" t="str">
        <f aca="false">IF($D956="","",IFERROR(INDEX(Kontenplan!$C$5:$C$90,MATCH($D956,Kontenplan!$A$5:$A$90,0)),"?"))</f>
        <v/>
      </c>
      <c r="U956" s="35" t="str">
        <f aca="false">IF($E956="","",IFERROR(INDEX(Kontenplan!$C$5:$C$90,MATCH($E956,Kontenplan!$A$5:$A$90,0)),"?"))</f>
        <v/>
      </c>
      <c r="V956" s="35" t="str">
        <f aca="false">IF($F956="","",IF(OR($D956="",$E956="",$T956="?",$U956="?"),"Konto prüfen!",IF($A956="","Datum fehlt",IF(YEAR($A956)&lt;&gt;Einstellungen!$B$7,"anderes Jahr!",IF($G956="","MWST-Code fehlt","OK")))))</f>
        <v/>
      </c>
      <c r="W956" s="35" t="str">
        <f aca="false">IF($F956="","",IF(OR($D956=Kontoauszug!$C$4,$E956=Kontoauszug!$C$4),MAX(W$4:W955)+1,""))</f>
        <v/>
      </c>
    </row>
    <row r="957" customFormat="false" ht="15" hidden="false" customHeight="false" outlineLevel="0" collapsed="false">
      <c r="A957" s="33"/>
      <c r="B957" s="32"/>
      <c r="C957" s="32"/>
      <c r="D957" s="32"/>
      <c r="E957" s="32"/>
      <c r="F957" s="30"/>
      <c r="G957" s="32"/>
      <c r="H957" s="34" t="n">
        <f aca="false">IF($G957="",0,IFERROR(INDEX(Einstellungen!$G$5:$G$11,MATCH($G957,Einstellungen!$E$5:$E$11,0)),0))</f>
        <v>0</v>
      </c>
      <c r="I957" s="35" t="str">
        <f aca="false">IF($G957="","-",IFERROR(INDEX(Einstellungen!$H$5:$H$11,MATCH($G957,Einstellungen!$E$5:$E$11,0)),"-"))</f>
        <v>-</v>
      </c>
      <c r="J957" s="35" t="str">
        <f aca="false">IF(AND(Einstellungen!$B$8="Ja",Einstellungen!$B$9="Effektiv"),$I957,"-")</f>
        <v>-</v>
      </c>
      <c r="K957" s="31" t="n">
        <f aca="false">IF(OR($F957="",$J957="-"),0,ROUND($F957-$F957/(1+$H957),2))</f>
        <v>0</v>
      </c>
      <c r="L957" s="31" t="n">
        <f aca="false">IF($F957="",0,$F957-$K957)</f>
        <v>0</v>
      </c>
      <c r="M957" s="31" t="n">
        <f aca="false">IF($F957="",0,IF($J957="V",$L957,$F957))</f>
        <v>0</v>
      </c>
      <c r="N957" s="31" t="n">
        <f aca="false">IF($F957="",0,IF($J957="U",$L957,$F957))</f>
        <v>0</v>
      </c>
      <c r="O957" s="35" t="str">
        <f aca="false">IF($A957="","",MONTH($A957))</f>
        <v/>
      </c>
      <c r="P957" s="35" t="str">
        <f aca="false">IF($A957="","",ROUNDUP(MONTH($A957)/3,0))</f>
        <v/>
      </c>
      <c r="Q957" s="35" t="str">
        <f aca="false">IF($A957="","",IF(MONTH($A957)&lt;=6,1,2))</f>
        <v/>
      </c>
      <c r="R957" s="35" t="str">
        <f aca="false">IF($E957="","",IFERROR(INDEX(Kontenplan!$F$5:$F$90,MATCH($E957,Kontenplan!$A$5:$A$90,0)),""))</f>
        <v/>
      </c>
      <c r="S957" s="35" t="str">
        <f aca="false">IF($D957="","",IFERROR(INDEX(Kontenplan!$F$5:$F$90,MATCH($D957,Kontenplan!$A$5:$A$90,0)),""))</f>
        <v/>
      </c>
      <c r="T957" s="35" t="str">
        <f aca="false">IF($D957="","",IFERROR(INDEX(Kontenplan!$C$5:$C$90,MATCH($D957,Kontenplan!$A$5:$A$90,0)),"?"))</f>
        <v/>
      </c>
      <c r="U957" s="35" t="str">
        <f aca="false">IF($E957="","",IFERROR(INDEX(Kontenplan!$C$5:$C$90,MATCH($E957,Kontenplan!$A$5:$A$90,0)),"?"))</f>
        <v/>
      </c>
      <c r="V957" s="35" t="str">
        <f aca="false">IF($F957="","",IF(OR($D957="",$E957="",$T957="?",$U957="?"),"Konto prüfen!",IF($A957="","Datum fehlt",IF(YEAR($A957)&lt;&gt;Einstellungen!$B$7,"anderes Jahr!",IF($G957="","MWST-Code fehlt","OK")))))</f>
        <v/>
      </c>
      <c r="W957" s="35" t="str">
        <f aca="false">IF($F957="","",IF(OR($D957=Kontoauszug!$C$4,$E957=Kontoauszug!$C$4),MAX(W$4:W956)+1,""))</f>
        <v/>
      </c>
    </row>
    <row r="958" customFormat="false" ht="15" hidden="false" customHeight="false" outlineLevel="0" collapsed="false">
      <c r="A958" s="33"/>
      <c r="B958" s="32"/>
      <c r="C958" s="32"/>
      <c r="D958" s="32"/>
      <c r="E958" s="32"/>
      <c r="F958" s="30"/>
      <c r="G958" s="32"/>
      <c r="H958" s="34" t="n">
        <f aca="false">IF($G958="",0,IFERROR(INDEX(Einstellungen!$G$5:$G$11,MATCH($G958,Einstellungen!$E$5:$E$11,0)),0))</f>
        <v>0</v>
      </c>
      <c r="I958" s="35" t="str">
        <f aca="false">IF($G958="","-",IFERROR(INDEX(Einstellungen!$H$5:$H$11,MATCH($G958,Einstellungen!$E$5:$E$11,0)),"-"))</f>
        <v>-</v>
      </c>
      <c r="J958" s="35" t="str">
        <f aca="false">IF(AND(Einstellungen!$B$8="Ja",Einstellungen!$B$9="Effektiv"),$I958,"-")</f>
        <v>-</v>
      </c>
      <c r="K958" s="31" t="n">
        <f aca="false">IF(OR($F958="",$J958="-"),0,ROUND($F958-$F958/(1+$H958),2))</f>
        <v>0</v>
      </c>
      <c r="L958" s="31" t="n">
        <f aca="false">IF($F958="",0,$F958-$K958)</f>
        <v>0</v>
      </c>
      <c r="M958" s="31" t="n">
        <f aca="false">IF($F958="",0,IF($J958="V",$L958,$F958))</f>
        <v>0</v>
      </c>
      <c r="N958" s="31" t="n">
        <f aca="false">IF($F958="",0,IF($J958="U",$L958,$F958))</f>
        <v>0</v>
      </c>
      <c r="O958" s="35" t="str">
        <f aca="false">IF($A958="","",MONTH($A958))</f>
        <v/>
      </c>
      <c r="P958" s="35" t="str">
        <f aca="false">IF($A958="","",ROUNDUP(MONTH($A958)/3,0))</f>
        <v/>
      </c>
      <c r="Q958" s="35" t="str">
        <f aca="false">IF($A958="","",IF(MONTH($A958)&lt;=6,1,2))</f>
        <v/>
      </c>
      <c r="R958" s="35" t="str">
        <f aca="false">IF($E958="","",IFERROR(INDEX(Kontenplan!$F$5:$F$90,MATCH($E958,Kontenplan!$A$5:$A$90,0)),""))</f>
        <v/>
      </c>
      <c r="S958" s="35" t="str">
        <f aca="false">IF($D958="","",IFERROR(INDEX(Kontenplan!$F$5:$F$90,MATCH($D958,Kontenplan!$A$5:$A$90,0)),""))</f>
        <v/>
      </c>
      <c r="T958" s="35" t="str">
        <f aca="false">IF($D958="","",IFERROR(INDEX(Kontenplan!$C$5:$C$90,MATCH($D958,Kontenplan!$A$5:$A$90,0)),"?"))</f>
        <v/>
      </c>
      <c r="U958" s="35" t="str">
        <f aca="false">IF($E958="","",IFERROR(INDEX(Kontenplan!$C$5:$C$90,MATCH($E958,Kontenplan!$A$5:$A$90,0)),"?"))</f>
        <v/>
      </c>
      <c r="V958" s="35" t="str">
        <f aca="false">IF($F958="","",IF(OR($D958="",$E958="",$T958="?",$U958="?"),"Konto prüfen!",IF($A958="","Datum fehlt",IF(YEAR($A958)&lt;&gt;Einstellungen!$B$7,"anderes Jahr!",IF($G958="","MWST-Code fehlt","OK")))))</f>
        <v/>
      </c>
      <c r="W958" s="35" t="str">
        <f aca="false">IF($F958="","",IF(OR($D958=Kontoauszug!$C$4,$E958=Kontoauszug!$C$4),MAX(W$4:W957)+1,""))</f>
        <v/>
      </c>
    </row>
    <row r="959" customFormat="false" ht="15" hidden="false" customHeight="false" outlineLevel="0" collapsed="false">
      <c r="A959" s="33"/>
      <c r="B959" s="32"/>
      <c r="C959" s="32"/>
      <c r="D959" s="32"/>
      <c r="E959" s="32"/>
      <c r="F959" s="30"/>
      <c r="G959" s="32"/>
      <c r="H959" s="34" t="n">
        <f aca="false">IF($G959="",0,IFERROR(INDEX(Einstellungen!$G$5:$G$11,MATCH($G959,Einstellungen!$E$5:$E$11,0)),0))</f>
        <v>0</v>
      </c>
      <c r="I959" s="35" t="str">
        <f aca="false">IF($G959="","-",IFERROR(INDEX(Einstellungen!$H$5:$H$11,MATCH($G959,Einstellungen!$E$5:$E$11,0)),"-"))</f>
        <v>-</v>
      </c>
      <c r="J959" s="35" t="str">
        <f aca="false">IF(AND(Einstellungen!$B$8="Ja",Einstellungen!$B$9="Effektiv"),$I959,"-")</f>
        <v>-</v>
      </c>
      <c r="K959" s="31" t="n">
        <f aca="false">IF(OR($F959="",$J959="-"),0,ROUND($F959-$F959/(1+$H959),2))</f>
        <v>0</v>
      </c>
      <c r="L959" s="31" t="n">
        <f aca="false">IF($F959="",0,$F959-$K959)</f>
        <v>0</v>
      </c>
      <c r="M959" s="31" t="n">
        <f aca="false">IF($F959="",0,IF($J959="V",$L959,$F959))</f>
        <v>0</v>
      </c>
      <c r="N959" s="31" t="n">
        <f aca="false">IF($F959="",0,IF($J959="U",$L959,$F959))</f>
        <v>0</v>
      </c>
      <c r="O959" s="35" t="str">
        <f aca="false">IF($A959="","",MONTH($A959))</f>
        <v/>
      </c>
      <c r="P959" s="35" t="str">
        <f aca="false">IF($A959="","",ROUNDUP(MONTH($A959)/3,0))</f>
        <v/>
      </c>
      <c r="Q959" s="35" t="str">
        <f aca="false">IF($A959="","",IF(MONTH($A959)&lt;=6,1,2))</f>
        <v/>
      </c>
      <c r="R959" s="35" t="str">
        <f aca="false">IF($E959="","",IFERROR(INDEX(Kontenplan!$F$5:$F$90,MATCH($E959,Kontenplan!$A$5:$A$90,0)),""))</f>
        <v/>
      </c>
      <c r="S959" s="35" t="str">
        <f aca="false">IF($D959="","",IFERROR(INDEX(Kontenplan!$F$5:$F$90,MATCH($D959,Kontenplan!$A$5:$A$90,0)),""))</f>
        <v/>
      </c>
      <c r="T959" s="35" t="str">
        <f aca="false">IF($D959="","",IFERROR(INDEX(Kontenplan!$C$5:$C$90,MATCH($D959,Kontenplan!$A$5:$A$90,0)),"?"))</f>
        <v/>
      </c>
      <c r="U959" s="35" t="str">
        <f aca="false">IF($E959="","",IFERROR(INDEX(Kontenplan!$C$5:$C$90,MATCH($E959,Kontenplan!$A$5:$A$90,0)),"?"))</f>
        <v/>
      </c>
      <c r="V959" s="35" t="str">
        <f aca="false">IF($F959="","",IF(OR($D959="",$E959="",$T959="?",$U959="?"),"Konto prüfen!",IF($A959="","Datum fehlt",IF(YEAR($A959)&lt;&gt;Einstellungen!$B$7,"anderes Jahr!",IF($G959="","MWST-Code fehlt","OK")))))</f>
        <v/>
      </c>
      <c r="W959" s="35" t="str">
        <f aca="false">IF($F959="","",IF(OR($D959=Kontoauszug!$C$4,$E959=Kontoauszug!$C$4),MAX(W$4:W958)+1,""))</f>
        <v/>
      </c>
    </row>
    <row r="960" customFormat="false" ht="15" hidden="false" customHeight="false" outlineLevel="0" collapsed="false">
      <c r="A960" s="33"/>
      <c r="B960" s="32"/>
      <c r="C960" s="32"/>
      <c r="D960" s="32"/>
      <c r="E960" s="32"/>
      <c r="F960" s="30"/>
      <c r="G960" s="32"/>
      <c r="H960" s="34" t="n">
        <f aca="false">IF($G960="",0,IFERROR(INDEX(Einstellungen!$G$5:$G$11,MATCH($G960,Einstellungen!$E$5:$E$11,0)),0))</f>
        <v>0</v>
      </c>
      <c r="I960" s="35" t="str">
        <f aca="false">IF($G960="","-",IFERROR(INDEX(Einstellungen!$H$5:$H$11,MATCH($G960,Einstellungen!$E$5:$E$11,0)),"-"))</f>
        <v>-</v>
      </c>
      <c r="J960" s="35" t="str">
        <f aca="false">IF(AND(Einstellungen!$B$8="Ja",Einstellungen!$B$9="Effektiv"),$I960,"-")</f>
        <v>-</v>
      </c>
      <c r="K960" s="31" t="n">
        <f aca="false">IF(OR($F960="",$J960="-"),0,ROUND($F960-$F960/(1+$H960),2))</f>
        <v>0</v>
      </c>
      <c r="L960" s="31" t="n">
        <f aca="false">IF($F960="",0,$F960-$K960)</f>
        <v>0</v>
      </c>
      <c r="M960" s="31" t="n">
        <f aca="false">IF($F960="",0,IF($J960="V",$L960,$F960))</f>
        <v>0</v>
      </c>
      <c r="N960" s="31" t="n">
        <f aca="false">IF($F960="",0,IF($J960="U",$L960,$F960))</f>
        <v>0</v>
      </c>
      <c r="O960" s="35" t="str">
        <f aca="false">IF($A960="","",MONTH($A960))</f>
        <v/>
      </c>
      <c r="P960" s="35" t="str">
        <f aca="false">IF($A960="","",ROUNDUP(MONTH($A960)/3,0))</f>
        <v/>
      </c>
      <c r="Q960" s="35" t="str">
        <f aca="false">IF($A960="","",IF(MONTH($A960)&lt;=6,1,2))</f>
        <v/>
      </c>
      <c r="R960" s="35" t="str">
        <f aca="false">IF($E960="","",IFERROR(INDEX(Kontenplan!$F$5:$F$90,MATCH($E960,Kontenplan!$A$5:$A$90,0)),""))</f>
        <v/>
      </c>
      <c r="S960" s="35" t="str">
        <f aca="false">IF($D960="","",IFERROR(INDEX(Kontenplan!$F$5:$F$90,MATCH($D960,Kontenplan!$A$5:$A$90,0)),""))</f>
        <v/>
      </c>
      <c r="T960" s="35" t="str">
        <f aca="false">IF($D960="","",IFERROR(INDEX(Kontenplan!$C$5:$C$90,MATCH($D960,Kontenplan!$A$5:$A$90,0)),"?"))</f>
        <v/>
      </c>
      <c r="U960" s="35" t="str">
        <f aca="false">IF($E960="","",IFERROR(INDEX(Kontenplan!$C$5:$C$90,MATCH($E960,Kontenplan!$A$5:$A$90,0)),"?"))</f>
        <v/>
      </c>
      <c r="V960" s="35" t="str">
        <f aca="false">IF($F960="","",IF(OR($D960="",$E960="",$T960="?",$U960="?"),"Konto prüfen!",IF($A960="","Datum fehlt",IF(YEAR($A960)&lt;&gt;Einstellungen!$B$7,"anderes Jahr!",IF($G960="","MWST-Code fehlt","OK")))))</f>
        <v/>
      </c>
      <c r="W960" s="35" t="str">
        <f aca="false">IF($F960="","",IF(OR($D960=Kontoauszug!$C$4,$E960=Kontoauszug!$C$4),MAX(W$4:W959)+1,""))</f>
        <v/>
      </c>
    </row>
    <row r="961" customFormat="false" ht="15" hidden="false" customHeight="false" outlineLevel="0" collapsed="false">
      <c r="A961" s="33"/>
      <c r="B961" s="32"/>
      <c r="C961" s="32"/>
      <c r="D961" s="32"/>
      <c r="E961" s="32"/>
      <c r="F961" s="30"/>
      <c r="G961" s="32"/>
      <c r="H961" s="34" t="n">
        <f aca="false">IF($G961="",0,IFERROR(INDEX(Einstellungen!$G$5:$G$11,MATCH($G961,Einstellungen!$E$5:$E$11,0)),0))</f>
        <v>0</v>
      </c>
      <c r="I961" s="35" t="str">
        <f aca="false">IF($G961="","-",IFERROR(INDEX(Einstellungen!$H$5:$H$11,MATCH($G961,Einstellungen!$E$5:$E$11,0)),"-"))</f>
        <v>-</v>
      </c>
      <c r="J961" s="35" t="str">
        <f aca="false">IF(AND(Einstellungen!$B$8="Ja",Einstellungen!$B$9="Effektiv"),$I961,"-")</f>
        <v>-</v>
      </c>
      <c r="K961" s="31" t="n">
        <f aca="false">IF(OR($F961="",$J961="-"),0,ROUND($F961-$F961/(1+$H961),2))</f>
        <v>0</v>
      </c>
      <c r="L961" s="31" t="n">
        <f aca="false">IF($F961="",0,$F961-$K961)</f>
        <v>0</v>
      </c>
      <c r="M961" s="31" t="n">
        <f aca="false">IF($F961="",0,IF($J961="V",$L961,$F961))</f>
        <v>0</v>
      </c>
      <c r="N961" s="31" t="n">
        <f aca="false">IF($F961="",0,IF($J961="U",$L961,$F961))</f>
        <v>0</v>
      </c>
      <c r="O961" s="35" t="str">
        <f aca="false">IF($A961="","",MONTH($A961))</f>
        <v/>
      </c>
      <c r="P961" s="35" t="str">
        <f aca="false">IF($A961="","",ROUNDUP(MONTH($A961)/3,0))</f>
        <v/>
      </c>
      <c r="Q961" s="35" t="str">
        <f aca="false">IF($A961="","",IF(MONTH($A961)&lt;=6,1,2))</f>
        <v/>
      </c>
      <c r="R961" s="35" t="str">
        <f aca="false">IF($E961="","",IFERROR(INDEX(Kontenplan!$F$5:$F$90,MATCH($E961,Kontenplan!$A$5:$A$90,0)),""))</f>
        <v/>
      </c>
      <c r="S961" s="35" t="str">
        <f aca="false">IF($D961="","",IFERROR(INDEX(Kontenplan!$F$5:$F$90,MATCH($D961,Kontenplan!$A$5:$A$90,0)),""))</f>
        <v/>
      </c>
      <c r="T961" s="35" t="str">
        <f aca="false">IF($D961="","",IFERROR(INDEX(Kontenplan!$C$5:$C$90,MATCH($D961,Kontenplan!$A$5:$A$90,0)),"?"))</f>
        <v/>
      </c>
      <c r="U961" s="35" t="str">
        <f aca="false">IF($E961="","",IFERROR(INDEX(Kontenplan!$C$5:$C$90,MATCH($E961,Kontenplan!$A$5:$A$90,0)),"?"))</f>
        <v/>
      </c>
      <c r="V961" s="35" t="str">
        <f aca="false">IF($F961="","",IF(OR($D961="",$E961="",$T961="?",$U961="?"),"Konto prüfen!",IF($A961="","Datum fehlt",IF(YEAR($A961)&lt;&gt;Einstellungen!$B$7,"anderes Jahr!",IF($G961="","MWST-Code fehlt","OK")))))</f>
        <v/>
      </c>
      <c r="W961" s="35" t="str">
        <f aca="false">IF($F961="","",IF(OR($D961=Kontoauszug!$C$4,$E961=Kontoauszug!$C$4),MAX(W$4:W960)+1,""))</f>
        <v/>
      </c>
    </row>
    <row r="962" customFormat="false" ht="15" hidden="false" customHeight="false" outlineLevel="0" collapsed="false">
      <c r="A962" s="33"/>
      <c r="B962" s="32"/>
      <c r="C962" s="32"/>
      <c r="D962" s="32"/>
      <c r="E962" s="32"/>
      <c r="F962" s="30"/>
      <c r="G962" s="32"/>
      <c r="H962" s="34" t="n">
        <f aca="false">IF($G962="",0,IFERROR(INDEX(Einstellungen!$G$5:$G$11,MATCH($G962,Einstellungen!$E$5:$E$11,0)),0))</f>
        <v>0</v>
      </c>
      <c r="I962" s="35" t="str">
        <f aca="false">IF($G962="","-",IFERROR(INDEX(Einstellungen!$H$5:$H$11,MATCH($G962,Einstellungen!$E$5:$E$11,0)),"-"))</f>
        <v>-</v>
      </c>
      <c r="J962" s="35" t="str">
        <f aca="false">IF(AND(Einstellungen!$B$8="Ja",Einstellungen!$B$9="Effektiv"),$I962,"-")</f>
        <v>-</v>
      </c>
      <c r="K962" s="31" t="n">
        <f aca="false">IF(OR($F962="",$J962="-"),0,ROUND($F962-$F962/(1+$H962),2))</f>
        <v>0</v>
      </c>
      <c r="L962" s="31" t="n">
        <f aca="false">IF($F962="",0,$F962-$K962)</f>
        <v>0</v>
      </c>
      <c r="M962" s="31" t="n">
        <f aca="false">IF($F962="",0,IF($J962="V",$L962,$F962))</f>
        <v>0</v>
      </c>
      <c r="N962" s="31" t="n">
        <f aca="false">IF($F962="",0,IF($J962="U",$L962,$F962))</f>
        <v>0</v>
      </c>
      <c r="O962" s="35" t="str">
        <f aca="false">IF($A962="","",MONTH($A962))</f>
        <v/>
      </c>
      <c r="P962" s="35" t="str">
        <f aca="false">IF($A962="","",ROUNDUP(MONTH($A962)/3,0))</f>
        <v/>
      </c>
      <c r="Q962" s="35" t="str">
        <f aca="false">IF($A962="","",IF(MONTH($A962)&lt;=6,1,2))</f>
        <v/>
      </c>
      <c r="R962" s="35" t="str">
        <f aca="false">IF($E962="","",IFERROR(INDEX(Kontenplan!$F$5:$F$90,MATCH($E962,Kontenplan!$A$5:$A$90,0)),""))</f>
        <v/>
      </c>
      <c r="S962" s="35" t="str">
        <f aca="false">IF($D962="","",IFERROR(INDEX(Kontenplan!$F$5:$F$90,MATCH($D962,Kontenplan!$A$5:$A$90,0)),""))</f>
        <v/>
      </c>
      <c r="T962" s="35" t="str">
        <f aca="false">IF($D962="","",IFERROR(INDEX(Kontenplan!$C$5:$C$90,MATCH($D962,Kontenplan!$A$5:$A$90,0)),"?"))</f>
        <v/>
      </c>
      <c r="U962" s="35" t="str">
        <f aca="false">IF($E962="","",IFERROR(INDEX(Kontenplan!$C$5:$C$90,MATCH($E962,Kontenplan!$A$5:$A$90,0)),"?"))</f>
        <v/>
      </c>
      <c r="V962" s="35" t="str">
        <f aca="false">IF($F962="","",IF(OR($D962="",$E962="",$T962="?",$U962="?"),"Konto prüfen!",IF($A962="","Datum fehlt",IF(YEAR($A962)&lt;&gt;Einstellungen!$B$7,"anderes Jahr!",IF($G962="","MWST-Code fehlt","OK")))))</f>
        <v/>
      </c>
      <c r="W962" s="35" t="str">
        <f aca="false">IF($F962="","",IF(OR($D962=Kontoauszug!$C$4,$E962=Kontoauszug!$C$4),MAX(W$4:W961)+1,""))</f>
        <v/>
      </c>
    </row>
    <row r="963" customFormat="false" ht="15" hidden="false" customHeight="false" outlineLevel="0" collapsed="false">
      <c r="A963" s="33"/>
      <c r="B963" s="32"/>
      <c r="C963" s="32"/>
      <c r="D963" s="32"/>
      <c r="E963" s="32"/>
      <c r="F963" s="30"/>
      <c r="G963" s="32"/>
      <c r="H963" s="34" t="n">
        <f aca="false">IF($G963="",0,IFERROR(INDEX(Einstellungen!$G$5:$G$11,MATCH($G963,Einstellungen!$E$5:$E$11,0)),0))</f>
        <v>0</v>
      </c>
      <c r="I963" s="35" t="str">
        <f aca="false">IF($G963="","-",IFERROR(INDEX(Einstellungen!$H$5:$H$11,MATCH($G963,Einstellungen!$E$5:$E$11,0)),"-"))</f>
        <v>-</v>
      </c>
      <c r="J963" s="35" t="str">
        <f aca="false">IF(AND(Einstellungen!$B$8="Ja",Einstellungen!$B$9="Effektiv"),$I963,"-")</f>
        <v>-</v>
      </c>
      <c r="K963" s="31" t="n">
        <f aca="false">IF(OR($F963="",$J963="-"),0,ROUND($F963-$F963/(1+$H963),2))</f>
        <v>0</v>
      </c>
      <c r="L963" s="31" t="n">
        <f aca="false">IF($F963="",0,$F963-$K963)</f>
        <v>0</v>
      </c>
      <c r="M963" s="31" t="n">
        <f aca="false">IF($F963="",0,IF($J963="V",$L963,$F963))</f>
        <v>0</v>
      </c>
      <c r="N963" s="31" t="n">
        <f aca="false">IF($F963="",0,IF($J963="U",$L963,$F963))</f>
        <v>0</v>
      </c>
      <c r="O963" s="35" t="str">
        <f aca="false">IF($A963="","",MONTH($A963))</f>
        <v/>
      </c>
      <c r="P963" s="35" t="str">
        <f aca="false">IF($A963="","",ROUNDUP(MONTH($A963)/3,0))</f>
        <v/>
      </c>
      <c r="Q963" s="35" t="str">
        <f aca="false">IF($A963="","",IF(MONTH($A963)&lt;=6,1,2))</f>
        <v/>
      </c>
      <c r="R963" s="35" t="str">
        <f aca="false">IF($E963="","",IFERROR(INDEX(Kontenplan!$F$5:$F$90,MATCH($E963,Kontenplan!$A$5:$A$90,0)),""))</f>
        <v/>
      </c>
      <c r="S963" s="35" t="str">
        <f aca="false">IF($D963="","",IFERROR(INDEX(Kontenplan!$F$5:$F$90,MATCH($D963,Kontenplan!$A$5:$A$90,0)),""))</f>
        <v/>
      </c>
      <c r="T963" s="35" t="str">
        <f aca="false">IF($D963="","",IFERROR(INDEX(Kontenplan!$C$5:$C$90,MATCH($D963,Kontenplan!$A$5:$A$90,0)),"?"))</f>
        <v/>
      </c>
      <c r="U963" s="35" t="str">
        <f aca="false">IF($E963="","",IFERROR(INDEX(Kontenplan!$C$5:$C$90,MATCH($E963,Kontenplan!$A$5:$A$90,0)),"?"))</f>
        <v/>
      </c>
      <c r="V963" s="35" t="str">
        <f aca="false">IF($F963="","",IF(OR($D963="",$E963="",$T963="?",$U963="?"),"Konto prüfen!",IF($A963="","Datum fehlt",IF(YEAR($A963)&lt;&gt;Einstellungen!$B$7,"anderes Jahr!",IF($G963="","MWST-Code fehlt","OK")))))</f>
        <v/>
      </c>
      <c r="W963" s="35" t="str">
        <f aca="false">IF($F963="","",IF(OR($D963=Kontoauszug!$C$4,$E963=Kontoauszug!$C$4),MAX(W$4:W962)+1,""))</f>
        <v/>
      </c>
    </row>
    <row r="964" customFormat="false" ht="15" hidden="false" customHeight="false" outlineLevel="0" collapsed="false">
      <c r="A964" s="33"/>
      <c r="B964" s="32"/>
      <c r="C964" s="32"/>
      <c r="D964" s="32"/>
      <c r="E964" s="32"/>
      <c r="F964" s="30"/>
      <c r="G964" s="32"/>
      <c r="H964" s="34" t="n">
        <f aca="false">IF($G964="",0,IFERROR(INDEX(Einstellungen!$G$5:$G$11,MATCH($G964,Einstellungen!$E$5:$E$11,0)),0))</f>
        <v>0</v>
      </c>
      <c r="I964" s="35" t="str">
        <f aca="false">IF($G964="","-",IFERROR(INDEX(Einstellungen!$H$5:$H$11,MATCH($G964,Einstellungen!$E$5:$E$11,0)),"-"))</f>
        <v>-</v>
      </c>
      <c r="J964" s="35" t="str">
        <f aca="false">IF(AND(Einstellungen!$B$8="Ja",Einstellungen!$B$9="Effektiv"),$I964,"-")</f>
        <v>-</v>
      </c>
      <c r="K964" s="31" t="n">
        <f aca="false">IF(OR($F964="",$J964="-"),0,ROUND($F964-$F964/(1+$H964),2))</f>
        <v>0</v>
      </c>
      <c r="L964" s="31" t="n">
        <f aca="false">IF($F964="",0,$F964-$K964)</f>
        <v>0</v>
      </c>
      <c r="M964" s="31" t="n">
        <f aca="false">IF($F964="",0,IF($J964="V",$L964,$F964))</f>
        <v>0</v>
      </c>
      <c r="N964" s="31" t="n">
        <f aca="false">IF($F964="",0,IF($J964="U",$L964,$F964))</f>
        <v>0</v>
      </c>
      <c r="O964" s="35" t="str">
        <f aca="false">IF($A964="","",MONTH($A964))</f>
        <v/>
      </c>
      <c r="P964" s="35" t="str">
        <f aca="false">IF($A964="","",ROUNDUP(MONTH($A964)/3,0))</f>
        <v/>
      </c>
      <c r="Q964" s="35" t="str">
        <f aca="false">IF($A964="","",IF(MONTH($A964)&lt;=6,1,2))</f>
        <v/>
      </c>
      <c r="R964" s="35" t="str">
        <f aca="false">IF($E964="","",IFERROR(INDEX(Kontenplan!$F$5:$F$90,MATCH($E964,Kontenplan!$A$5:$A$90,0)),""))</f>
        <v/>
      </c>
      <c r="S964" s="35" t="str">
        <f aca="false">IF($D964="","",IFERROR(INDEX(Kontenplan!$F$5:$F$90,MATCH($D964,Kontenplan!$A$5:$A$90,0)),""))</f>
        <v/>
      </c>
      <c r="T964" s="35" t="str">
        <f aca="false">IF($D964="","",IFERROR(INDEX(Kontenplan!$C$5:$C$90,MATCH($D964,Kontenplan!$A$5:$A$90,0)),"?"))</f>
        <v/>
      </c>
      <c r="U964" s="35" t="str">
        <f aca="false">IF($E964="","",IFERROR(INDEX(Kontenplan!$C$5:$C$90,MATCH($E964,Kontenplan!$A$5:$A$90,0)),"?"))</f>
        <v/>
      </c>
      <c r="V964" s="35" t="str">
        <f aca="false">IF($F964="","",IF(OR($D964="",$E964="",$T964="?",$U964="?"),"Konto prüfen!",IF($A964="","Datum fehlt",IF(YEAR($A964)&lt;&gt;Einstellungen!$B$7,"anderes Jahr!",IF($G964="","MWST-Code fehlt","OK")))))</f>
        <v/>
      </c>
      <c r="W964" s="35" t="str">
        <f aca="false">IF($F964="","",IF(OR($D964=Kontoauszug!$C$4,$E964=Kontoauszug!$C$4),MAX(W$4:W963)+1,""))</f>
        <v/>
      </c>
    </row>
    <row r="965" customFormat="false" ht="15" hidden="false" customHeight="false" outlineLevel="0" collapsed="false">
      <c r="A965" s="33"/>
      <c r="B965" s="32"/>
      <c r="C965" s="32"/>
      <c r="D965" s="32"/>
      <c r="E965" s="32"/>
      <c r="F965" s="30"/>
      <c r="G965" s="32"/>
      <c r="H965" s="34" t="n">
        <f aca="false">IF($G965="",0,IFERROR(INDEX(Einstellungen!$G$5:$G$11,MATCH($G965,Einstellungen!$E$5:$E$11,0)),0))</f>
        <v>0</v>
      </c>
      <c r="I965" s="35" t="str">
        <f aca="false">IF($G965="","-",IFERROR(INDEX(Einstellungen!$H$5:$H$11,MATCH($G965,Einstellungen!$E$5:$E$11,0)),"-"))</f>
        <v>-</v>
      </c>
      <c r="J965" s="35" t="str">
        <f aca="false">IF(AND(Einstellungen!$B$8="Ja",Einstellungen!$B$9="Effektiv"),$I965,"-")</f>
        <v>-</v>
      </c>
      <c r="K965" s="31" t="n">
        <f aca="false">IF(OR($F965="",$J965="-"),0,ROUND($F965-$F965/(1+$H965),2))</f>
        <v>0</v>
      </c>
      <c r="L965" s="31" t="n">
        <f aca="false">IF($F965="",0,$F965-$K965)</f>
        <v>0</v>
      </c>
      <c r="M965" s="31" t="n">
        <f aca="false">IF($F965="",0,IF($J965="V",$L965,$F965))</f>
        <v>0</v>
      </c>
      <c r="N965" s="31" t="n">
        <f aca="false">IF($F965="",0,IF($J965="U",$L965,$F965))</f>
        <v>0</v>
      </c>
      <c r="O965" s="35" t="str">
        <f aca="false">IF($A965="","",MONTH($A965))</f>
        <v/>
      </c>
      <c r="P965" s="35" t="str">
        <f aca="false">IF($A965="","",ROUNDUP(MONTH($A965)/3,0))</f>
        <v/>
      </c>
      <c r="Q965" s="35" t="str">
        <f aca="false">IF($A965="","",IF(MONTH($A965)&lt;=6,1,2))</f>
        <v/>
      </c>
      <c r="R965" s="35" t="str">
        <f aca="false">IF($E965="","",IFERROR(INDEX(Kontenplan!$F$5:$F$90,MATCH($E965,Kontenplan!$A$5:$A$90,0)),""))</f>
        <v/>
      </c>
      <c r="S965" s="35" t="str">
        <f aca="false">IF($D965="","",IFERROR(INDEX(Kontenplan!$F$5:$F$90,MATCH($D965,Kontenplan!$A$5:$A$90,0)),""))</f>
        <v/>
      </c>
      <c r="T965" s="35" t="str">
        <f aca="false">IF($D965="","",IFERROR(INDEX(Kontenplan!$C$5:$C$90,MATCH($D965,Kontenplan!$A$5:$A$90,0)),"?"))</f>
        <v/>
      </c>
      <c r="U965" s="35" t="str">
        <f aca="false">IF($E965="","",IFERROR(INDEX(Kontenplan!$C$5:$C$90,MATCH($E965,Kontenplan!$A$5:$A$90,0)),"?"))</f>
        <v/>
      </c>
      <c r="V965" s="35" t="str">
        <f aca="false">IF($F965="","",IF(OR($D965="",$E965="",$T965="?",$U965="?"),"Konto prüfen!",IF($A965="","Datum fehlt",IF(YEAR($A965)&lt;&gt;Einstellungen!$B$7,"anderes Jahr!",IF($G965="","MWST-Code fehlt","OK")))))</f>
        <v/>
      </c>
      <c r="W965" s="35" t="str">
        <f aca="false">IF($F965="","",IF(OR($D965=Kontoauszug!$C$4,$E965=Kontoauszug!$C$4),MAX(W$4:W964)+1,""))</f>
        <v/>
      </c>
    </row>
    <row r="966" customFormat="false" ht="15" hidden="false" customHeight="false" outlineLevel="0" collapsed="false">
      <c r="A966" s="33"/>
      <c r="B966" s="32"/>
      <c r="C966" s="32"/>
      <c r="D966" s="32"/>
      <c r="E966" s="32"/>
      <c r="F966" s="30"/>
      <c r="G966" s="32"/>
      <c r="H966" s="34" t="n">
        <f aca="false">IF($G966="",0,IFERROR(INDEX(Einstellungen!$G$5:$G$11,MATCH($G966,Einstellungen!$E$5:$E$11,0)),0))</f>
        <v>0</v>
      </c>
      <c r="I966" s="35" t="str">
        <f aca="false">IF($G966="","-",IFERROR(INDEX(Einstellungen!$H$5:$H$11,MATCH($G966,Einstellungen!$E$5:$E$11,0)),"-"))</f>
        <v>-</v>
      </c>
      <c r="J966" s="35" t="str">
        <f aca="false">IF(AND(Einstellungen!$B$8="Ja",Einstellungen!$B$9="Effektiv"),$I966,"-")</f>
        <v>-</v>
      </c>
      <c r="K966" s="31" t="n">
        <f aca="false">IF(OR($F966="",$J966="-"),0,ROUND($F966-$F966/(1+$H966),2))</f>
        <v>0</v>
      </c>
      <c r="L966" s="31" t="n">
        <f aca="false">IF($F966="",0,$F966-$K966)</f>
        <v>0</v>
      </c>
      <c r="M966" s="31" t="n">
        <f aca="false">IF($F966="",0,IF($J966="V",$L966,$F966))</f>
        <v>0</v>
      </c>
      <c r="N966" s="31" t="n">
        <f aca="false">IF($F966="",0,IF($J966="U",$L966,$F966))</f>
        <v>0</v>
      </c>
      <c r="O966" s="35" t="str">
        <f aca="false">IF($A966="","",MONTH($A966))</f>
        <v/>
      </c>
      <c r="P966" s="35" t="str">
        <f aca="false">IF($A966="","",ROUNDUP(MONTH($A966)/3,0))</f>
        <v/>
      </c>
      <c r="Q966" s="35" t="str">
        <f aca="false">IF($A966="","",IF(MONTH($A966)&lt;=6,1,2))</f>
        <v/>
      </c>
      <c r="R966" s="35" t="str">
        <f aca="false">IF($E966="","",IFERROR(INDEX(Kontenplan!$F$5:$F$90,MATCH($E966,Kontenplan!$A$5:$A$90,0)),""))</f>
        <v/>
      </c>
      <c r="S966" s="35" t="str">
        <f aca="false">IF($D966="","",IFERROR(INDEX(Kontenplan!$F$5:$F$90,MATCH($D966,Kontenplan!$A$5:$A$90,0)),""))</f>
        <v/>
      </c>
      <c r="T966" s="35" t="str">
        <f aca="false">IF($D966="","",IFERROR(INDEX(Kontenplan!$C$5:$C$90,MATCH($D966,Kontenplan!$A$5:$A$90,0)),"?"))</f>
        <v/>
      </c>
      <c r="U966" s="35" t="str">
        <f aca="false">IF($E966="","",IFERROR(INDEX(Kontenplan!$C$5:$C$90,MATCH($E966,Kontenplan!$A$5:$A$90,0)),"?"))</f>
        <v/>
      </c>
      <c r="V966" s="35" t="str">
        <f aca="false">IF($F966="","",IF(OR($D966="",$E966="",$T966="?",$U966="?"),"Konto prüfen!",IF($A966="","Datum fehlt",IF(YEAR($A966)&lt;&gt;Einstellungen!$B$7,"anderes Jahr!",IF($G966="","MWST-Code fehlt","OK")))))</f>
        <v/>
      </c>
      <c r="W966" s="35" t="str">
        <f aca="false">IF($F966="","",IF(OR($D966=Kontoauszug!$C$4,$E966=Kontoauszug!$C$4),MAX(W$4:W965)+1,""))</f>
        <v/>
      </c>
    </row>
    <row r="967" customFormat="false" ht="15" hidden="false" customHeight="false" outlineLevel="0" collapsed="false">
      <c r="A967" s="33"/>
      <c r="B967" s="32"/>
      <c r="C967" s="32"/>
      <c r="D967" s="32"/>
      <c r="E967" s="32"/>
      <c r="F967" s="30"/>
      <c r="G967" s="32"/>
      <c r="H967" s="34" t="n">
        <f aca="false">IF($G967="",0,IFERROR(INDEX(Einstellungen!$G$5:$G$11,MATCH($G967,Einstellungen!$E$5:$E$11,0)),0))</f>
        <v>0</v>
      </c>
      <c r="I967" s="35" t="str">
        <f aca="false">IF($G967="","-",IFERROR(INDEX(Einstellungen!$H$5:$H$11,MATCH($G967,Einstellungen!$E$5:$E$11,0)),"-"))</f>
        <v>-</v>
      </c>
      <c r="J967" s="35" t="str">
        <f aca="false">IF(AND(Einstellungen!$B$8="Ja",Einstellungen!$B$9="Effektiv"),$I967,"-")</f>
        <v>-</v>
      </c>
      <c r="K967" s="31" t="n">
        <f aca="false">IF(OR($F967="",$J967="-"),0,ROUND($F967-$F967/(1+$H967),2))</f>
        <v>0</v>
      </c>
      <c r="L967" s="31" t="n">
        <f aca="false">IF($F967="",0,$F967-$K967)</f>
        <v>0</v>
      </c>
      <c r="M967" s="31" t="n">
        <f aca="false">IF($F967="",0,IF($J967="V",$L967,$F967))</f>
        <v>0</v>
      </c>
      <c r="N967" s="31" t="n">
        <f aca="false">IF($F967="",0,IF($J967="U",$L967,$F967))</f>
        <v>0</v>
      </c>
      <c r="O967" s="35" t="str">
        <f aca="false">IF($A967="","",MONTH($A967))</f>
        <v/>
      </c>
      <c r="P967" s="35" t="str">
        <f aca="false">IF($A967="","",ROUNDUP(MONTH($A967)/3,0))</f>
        <v/>
      </c>
      <c r="Q967" s="35" t="str">
        <f aca="false">IF($A967="","",IF(MONTH($A967)&lt;=6,1,2))</f>
        <v/>
      </c>
      <c r="R967" s="35" t="str">
        <f aca="false">IF($E967="","",IFERROR(INDEX(Kontenplan!$F$5:$F$90,MATCH($E967,Kontenplan!$A$5:$A$90,0)),""))</f>
        <v/>
      </c>
      <c r="S967" s="35" t="str">
        <f aca="false">IF($D967="","",IFERROR(INDEX(Kontenplan!$F$5:$F$90,MATCH($D967,Kontenplan!$A$5:$A$90,0)),""))</f>
        <v/>
      </c>
      <c r="T967" s="35" t="str">
        <f aca="false">IF($D967="","",IFERROR(INDEX(Kontenplan!$C$5:$C$90,MATCH($D967,Kontenplan!$A$5:$A$90,0)),"?"))</f>
        <v/>
      </c>
      <c r="U967" s="35" t="str">
        <f aca="false">IF($E967="","",IFERROR(INDEX(Kontenplan!$C$5:$C$90,MATCH($E967,Kontenplan!$A$5:$A$90,0)),"?"))</f>
        <v/>
      </c>
      <c r="V967" s="35" t="str">
        <f aca="false">IF($F967="","",IF(OR($D967="",$E967="",$T967="?",$U967="?"),"Konto prüfen!",IF($A967="","Datum fehlt",IF(YEAR($A967)&lt;&gt;Einstellungen!$B$7,"anderes Jahr!",IF($G967="","MWST-Code fehlt","OK")))))</f>
        <v/>
      </c>
      <c r="W967" s="35" t="str">
        <f aca="false">IF($F967="","",IF(OR($D967=Kontoauszug!$C$4,$E967=Kontoauszug!$C$4),MAX(W$4:W966)+1,""))</f>
        <v/>
      </c>
    </row>
    <row r="968" customFormat="false" ht="15" hidden="false" customHeight="false" outlineLevel="0" collapsed="false">
      <c r="A968" s="33"/>
      <c r="B968" s="32"/>
      <c r="C968" s="32"/>
      <c r="D968" s="32"/>
      <c r="E968" s="32"/>
      <c r="F968" s="30"/>
      <c r="G968" s="32"/>
      <c r="H968" s="34" t="n">
        <f aca="false">IF($G968="",0,IFERROR(INDEX(Einstellungen!$G$5:$G$11,MATCH($G968,Einstellungen!$E$5:$E$11,0)),0))</f>
        <v>0</v>
      </c>
      <c r="I968" s="35" t="str">
        <f aca="false">IF($G968="","-",IFERROR(INDEX(Einstellungen!$H$5:$H$11,MATCH($G968,Einstellungen!$E$5:$E$11,0)),"-"))</f>
        <v>-</v>
      </c>
      <c r="J968" s="35" t="str">
        <f aca="false">IF(AND(Einstellungen!$B$8="Ja",Einstellungen!$B$9="Effektiv"),$I968,"-")</f>
        <v>-</v>
      </c>
      <c r="K968" s="31" t="n">
        <f aca="false">IF(OR($F968="",$J968="-"),0,ROUND($F968-$F968/(1+$H968),2))</f>
        <v>0</v>
      </c>
      <c r="L968" s="31" t="n">
        <f aca="false">IF($F968="",0,$F968-$K968)</f>
        <v>0</v>
      </c>
      <c r="M968" s="31" t="n">
        <f aca="false">IF($F968="",0,IF($J968="V",$L968,$F968))</f>
        <v>0</v>
      </c>
      <c r="N968" s="31" t="n">
        <f aca="false">IF($F968="",0,IF($J968="U",$L968,$F968))</f>
        <v>0</v>
      </c>
      <c r="O968" s="35" t="str">
        <f aca="false">IF($A968="","",MONTH($A968))</f>
        <v/>
      </c>
      <c r="P968" s="35" t="str">
        <f aca="false">IF($A968="","",ROUNDUP(MONTH($A968)/3,0))</f>
        <v/>
      </c>
      <c r="Q968" s="35" t="str">
        <f aca="false">IF($A968="","",IF(MONTH($A968)&lt;=6,1,2))</f>
        <v/>
      </c>
      <c r="R968" s="35" t="str">
        <f aca="false">IF($E968="","",IFERROR(INDEX(Kontenplan!$F$5:$F$90,MATCH($E968,Kontenplan!$A$5:$A$90,0)),""))</f>
        <v/>
      </c>
      <c r="S968" s="35" t="str">
        <f aca="false">IF($D968="","",IFERROR(INDEX(Kontenplan!$F$5:$F$90,MATCH($D968,Kontenplan!$A$5:$A$90,0)),""))</f>
        <v/>
      </c>
      <c r="T968" s="35" t="str">
        <f aca="false">IF($D968="","",IFERROR(INDEX(Kontenplan!$C$5:$C$90,MATCH($D968,Kontenplan!$A$5:$A$90,0)),"?"))</f>
        <v/>
      </c>
      <c r="U968" s="35" t="str">
        <f aca="false">IF($E968="","",IFERROR(INDEX(Kontenplan!$C$5:$C$90,MATCH($E968,Kontenplan!$A$5:$A$90,0)),"?"))</f>
        <v/>
      </c>
      <c r="V968" s="35" t="str">
        <f aca="false">IF($F968="","",IF(OR($D968="",$E968="",$T968="?",$U968="?"),"Konto prüfen!",IF($A968="","Datum fehlt",IF(YEAR($A968)&lt;&gt;Einstellungen!$B$7,"anderes Jahr!",IF($G968="","MWST-Code fehlt","OK")))))</f>
        <v/>
      </c>
      <c r="W968" s="35" t="str">
        <f aca="false">IF($F968="","",IF(OR($D968=Kontoauszug!$C$4,$E968=Kontoauszug!$C$4),MAX(W$4:W967)+1,""))</f>
        <v/>
      </c>
    </row>
    <row r="969" customFormat="false" ht="15" hidden="false" customHeight="false" outlineLevel="0" collapsed="false">
      <c r="A969" s="33"/>
      <c r="B969" s="32"/>
      <c r="C969" s="32"/>
      <c r="D969" s="32"/>
      <c r="E969" s="32"/>
      <c r="F969" s="30"/>
      <c r="G969" s="32"/>
      <c r="H969" s="34" t="n">
        <f aca="false">IF($G969="",0,IFERROR(INDEX(Einstellungen!$G$5:$G$11,MATCH($G969,Einstellungen!$E$5:$E$11,0)),0))</f>
        <v>0</v>
      </c>
      <c r="I969" s="35" t="str">
        <f aca="false">IF($G969="","-",IFERROR(INDEX(Einstellungen!$H$5:$H$11,MATCH($G969,Einstellungen!$E$5:$E$11,0)),"-"))</f>
        <v>-</v>
      </c>
      <c r="J969" s="35" t="str">
        <f aca="false">IF(AND(Einstellungen!$B$8="Ja",Einstellungen!$B$9="Effektiv"),$I969,"-")</f>
        <v>-</v>
      </c>
      <c r="K969" s="31" t="n">
        <f aca="false">IF(OR($F969="",$J969="-"),0,ROUND($F969-$F969/(1+$H969),2))</f>
        <v>0</v>
      </c>
      <c r="L969" s="31" t="n">
        <f aca="false">IF($F969="",0,$F969-$K969)</f>
        <v>0</v>
      </c>
      <c r="M969" s="31" t="n">
        <f aca="false">IF($F969="",0,IF($J969="V",$L969,$F969))</f>
        <v>0</v>
      </c>
      <c r="N969" s="31" t="n">
        <f aca="false">IF($F969="",0,IF($J969="U",$L969,$F969))</f>
        <v>0</v>
      </c>
      <c r="O969" s="35" t="str">
        <f aca="false">IF($A969="","",MONTH($A969))</f>
        <v/>
      </c>
      <c r="P969" s="35" t="str">
        <f aca="false">IF($A969="","",ROUNDUP(MONTH($A969)/3,0))</f>
        <v/>
      </c>
      <c r="Q969" s="35" t="str">
        <f aca="false">IF($A969="","",IF(MONTH($A969)&lt;=6,1,2))</f>
        <v/>
      </c>
      <c r="R969" s="35" t="str">
        <f aca="false">IF($E969="","",IFERROR(INDEX(Kontenplan!$F$5:$F$90,MATCH($E969,Kontenplan!$A$5:$A$90,0)),""))</f>
        <v/>
      </c>
      <c r="S969" s="35" t="str">
        <f aca="false">IF($D969="","",IFERROR(INDEX(Kontenplan!$F$5:$F$90,MATCH($D969,Kontenplan!$A$5:$A$90,0)),""))</f>
        <v/>
      </c>
      <c r="T969" s="35" t="str">
        <f aca="false">IF($D969="","",IFERROR(INDEX(Kontenplan!$C$5:$C$90,MATCH($D969,Kontenplan!$A$5:$A$90,0)),"?"))</f>
        <v/>
      </c>
      <c r="U969" s="35" t="str">
        <f aca="false">IF($E969="","",IFERROR(INDEX(Kontenplan!$C$5:$C$90,MATCH($E969,Kontenplan!$A$5:$A$90,0)),"?"))</f>
        <v/>
      </c>
      <c r="V969" s="35" t="str">
        <f aca="false">IF($F969="","",IF(OR($D969="",$E969="",$T969="?",$U969="?"),"Konto prüfen!",IF($A969="","Datum fehlt",IF(YEAR($A969)&lt;&gt;Einstellungen!$B$7,"anderes Jahr!",IF($G969="","MWST-Code fehlt","OK")))))</f>
        <v/>
      </c>
      <c r="W969" s="35" t="str">
        <f aca="false">IF($F969="","",IF(OR($D969=Kontoauszug!$C$4,$E969=Kontoauszug!$C$4),MAX(W$4:W968)+1,""))</f>
        <v/>
      </c>
    </row>
    <row r="970" customFormat="false" ht="15" hidden="false" customHeight="false" outlineLevel="0" collapsed="false">
      <c r="A970" s="33"/>
      <c r="B970" s="32"/>
      <c r="C970" s="32"/>
      <c r="D970" s="32"/>
      <c r="E970" s="32"/>
      <c r="F970" s="30"/>
      <c r="G970" s="32"/>
      <c r="H970" s="34" t="n">
        <f aca="false">IF($G970="",0,IFERROR(INDEX(Einstellungen!$G$5:$G$11,MATCH($G970,Einstellungen!$E$5:$E$11,0)),0))</f>
        <v>0</v>
      </c>
      <c r="I970" s="35" t="str">
        <f aca="false">IF($G970="","-",IFERROR(INDEX(Einstellungen!$H$5:$H$11,MATCH($G970,Einstellungen!$E$5:$E$11,0)),"-"))</f>
        <v>-</v>
      </c>
      <c r="J970" s="35" t="str">
        <f aca="false">IF(AND(Einstellungen!$B$8="Ja",Einstellungen!$B$9="Effektiv"),$I970,"-")</f>
        <v>-</v>
      </c>
      <c r="K970" s="31" t="n">
        <f aca="false">IF(OR($F970="",$J970="-"),0,ROUND($F970-$F970/(1+$H970),2))</f>
        <v>0</v>
      </c>
      <c r="L970" s="31" t="n">
        <f aca="false">IF($F970="",0,$F970-$K970)</f>
        <v>0</v>
      </c>
      <c r="M970" s="31" t="n">
        <f aca="false">IF($F970="",0,IF($J970="V",$L970,$F970))</f>
        <v>0</v>
      </c>
      <c r="N970" s="31" t="n">
        <f aca="false">IF($F970="",0,IF($J970="U",$L970,$F970))</f>
        <v>0</v>
      </c>
      <c r="O970" s="35" t="str">
        <f aca="false">IF($A970="","",MONTH($A970))</f>
        <v/>
      </c>
      <c r="P970" s="35" t="str">
        <f aca="false">IF($A970="","",ROUNDUP(MONTH($A970)/3,0))</f>
        <v/>
      </c>
      <c r="Q970" s="35" t="str">
        <f aca="false">IF($A970="","",IF(MONTH($A970)&lt;=6,1,2))</f>
        <v/>
      </c>
      <c r="R970" s="35" t="str">
        <f aca="false">IF($E970="","",IFERROR(INDEX(Kontenplan!$F$5:$F$90,MATCH($E970,Kontenplan!$A$5:$A$90,0)),""))</f>
        <v/>
      </c>
      <c r="S970" s="35" t="str">
        <f aca="false">IF($D970="","",IFERROR(INDEX(Kontenplan!$F$5:$F$90,MATCH($D970,Kontenplan!$A$5:$A$90,0)),""))</f>
        <v/>
      </c>
      <c r="T970" s="35" t="str">
        <f aca="false">IF($D970="","",IFERROR(INDEX(Kontenplan!$C$5:$C$90,MATCH($D970,Kontenplan!$A$5:$A$90,0)),"?"))</f>
        <v/>
      </c>
      <c r="U970" s="35" t="str">
        <f aca="false">IF($E970="","",IFERROR(INDEX(Kontenplan!$C$5:$C$90,MATCH($E970,Kontenplan!$A$5:$A$90,0)),"?"))</f>
        <v/>
      </c>
      <c r="V970" s="35" t="str">
        <f aca="false">IF($F970="","",IF(OR($D970="",$E970="",$T970="?",$U970="?"),"Konto prüfen!",IF($A970="","Datum fehlt",IF(YEAR($A970)&lt;&gt;Einstellungen!$B$7,"anderes Jahr!",IF($G970="","MWST-Code fehlt","OK")))))</f>
        <v/>
      </c>
      <c r="W970" s="35" t="str">
        <f aca="false">IF($F970="","",IF(OR($D970=Kontoauszug!$C$4,$E970=Kontoauszug!$C$4),MAX(W$4:W969)+1,""))</f>
        <v/>
      </c>
    </row>
    <row r="971" customFormat="false" ht="15" hidden="false" customHeight="false" outlineLevel="0" collapsed="false">
      <c r="A971" s="33"/>
      <c r="B971" s="32"/>
      <c r="C971" s="32"/>
      <c r="D971" s="32"/>
      <c r="E971" s="32"/>
      <c r="F971" s="30"/>
      <c r="G971" s="32"/>
      <c r="H971" s="34" t="n">
        <f aca="false">IF($G971="",0,IFERROR(INDEX(Einstellungen!$G$5:$G$11,MATCH($G971,Einstellungen!$E$5:$E$11,0)),0))</f>
        <v>0</v>
      </c>
      <c r="I971" s="35" t="str">
        <f aca="false">IF($G971="","-",IFERROR(INDEX(Einstellungen!$H$5:$H$11,MATCH($G971,Einstellungen!$E$5:$E$11,0)),"-"))</f>
        <v>-</v>
      </c>
      <c r="J971" s="35" t="str">
        <f aca="false">IF(AND(Einstellungen!$B$8="Ja",Einstellungen!$B$9="Effektiv"),$I971,"-")</f>
        <v>-</v>
      </c>
      <c r="K971" s="31" t="n">
        <f aca="false">IF(OR($F971="",$J971="-"),0,ROUND($F971-$F971/(1+$H971),2))</f>
        <v>0</v>
      </c>
      <c r="L971" s="31" t="n">
        <f aca="false">IF($F971="",0,$F971-$K971)</f>
        <v>0</v>
      </c>
      <c r="M971" s="31" t="n">
        <f aca="false">IF($F971="",0,IF($J971="V",$L971,$F971))</f>
        <v>0</v>
      </c>
      <c r="N971" s="31" t="n">
        <f aca="false">IF($F971="",0,IF($J971="U",$L971,$F971))</f>
        <v>0</v>
      </c>
      <c r="O971" s="35" t="str">
        <f aca="false">IF($A971="","",MONTH($A971))</f>
        <v/>
      </c>
      <c r="P971" s="35" t="str">
        <f aca="false">IF($A971="","",ROUNDUP(MONTH($A971)/3,0))</f>
        <v/>
      </c>
      <c r="Q971" s="35" t="str">
        <f aca="false">IF($A971="","",IF(MONTH($A971)&lt;=6,1,2))</f>
        <v/>
      </c>
      <c r="R971" s="35" t="str">
        <f aca="false">IF($E971="","",IFERROR(INDEX(Kontenplan!$F$5:$F$90,MATCH($E971,Kontenplan!$A$5:$A$90,0)),""))</f>
        <v/>
      </c>
      <c r="S971" s="35" t="str">
        <f aca="false">IF($D971="","",IFERROR(INDEX(Kontenplan!$F$5:$F$90,MATCH($D971,Kontenplan!$A$5:$A$90,0)),""))</f>
        <v/>
      </c>
      <c r="T971" s="35" t="str">
        <f aca="false">IF($D971="","",IFERROR(INDEX(Kontenplan!$C$5:$C$90,MATCH($D971,Kontenplan!$A$5:$A$90,0)),"?"))</f>
        <v/>
      </c>
      <c r="U971" s="35" t="str">
        <f aca="false">IF($E971="","",IFERROR(INDEX(Kontenplan!$C$5:$C$90,MATCH($E971,Kontenplan!$A$5:$A$90,0)),"?"))</f>
        <v/>
      </c>
      <c r="V971" s="35" t="str">
        <f aca="false">IF($F971="","",IF(OR($D971="",$E971="",$T971="?",$U971="?"),"Konto prüfen!",IF($A971="","Datum fehlt",IF(YEAR($A971)&lt;&gt;Einstellungen!$B$7,"anderes Jahr!",IF($G971="","MWST-Code fehlt","OK")))))</f>
        <v/>
      </c>
      <c r="W971" s="35" t="str">
        <f aca="false">IF($F971="","",IF(OR($D971=Kontoauszug!$C$4,$E971=Kontoauszug!$C$4),MAX(W$4:W970)+1,""))</f>
        <v/>
      </c>
    </row>
    <row r="972" customFormat="false" ht="15" hidden="false" customHeight="false" outlineLevel="0" collapsed="false">
      <c r="A972" s="33"/>
      <c r="B972" s="32"/>
      <c r="C972" s="32"/>
      <c r="D972" s="32"/>
      <c r="E972" s="32"/>
      <c r="F972" s="30"/>
      <c r="G972" s="32"/>
      <c r="H972" s="34" t="n">
        <f aca="false">IF($G972="",0,IFERROR(INDEX(Einstellungen!$G$5:$G$11,MATCH($G972,Einstellungen!$E$5:$E$11,0)),0))</f>
        <v>0</v>
      </c>
      <c r="I972" s="35" t="str">
        <f aca="false">IF($G972="","-",IFERROR(INDEX(Einstellungen!$H$5:$H$11,MATCH($G972,Einstellungen!$E$5:$E$11,0)),"-"))</f>
        <v>-</v>
      </c>
      <c r="J972" s="35" t="str">
        <f aca="false">IF(AND(Einstellungen!$B$8="Ja",Einstellungen!$B$9="Effektiv"),$I972,"-")</f>
        <v>-</v>
      </c>
      <c r="K972" s="31" t="n">
        <f aca="false">IF(OR($F972="",$J972="-"),0,ROUND($F972-$F972/(1+$H972),2))</f>
        <v>0</v>
      </c>
      <c r="L972" s="31" t="n">
        <f aca="false">IF($F972="",0,$F972-$K972)</f>
        <v>0</v>
      </c>
      <c r="M972" s="31" t="n">
        <f aca="false">IF($F972="",0,IF($J972="V",$L972,$F972))</f>
        <v>0</v>
      </c>
      <c r="N972" s="31" t="n">
        <f aca="false">IF($F972="",0,IF($J972="U",$L972,$F972))</f>
        <v>0</v>
      </c>
      <c r="O972" s="35" t="str">
        <f aca="false">IF($A972="","",MONTH($A972))</f>
        <v/>
      </c>
      <c r="P972" s="35" t="str">
        <f aca="false">IF($A972="","",ROUNDUP(MONTH($A972)/3,0))</f>
        <v/>
      </c>
      <c r="Q972" s="35" t="str">
        <f aca="false">IF($A972="","",IF(MONTH($A972)&lt;=6,1,2))</f>
        <v/>
      </c>
      <c r="R972" s="35" t="str">
        <f aca="false">IF($E972="","",IFERROR(INDEX(Kontenplan!$F$5:$F$90,MATCH($E972,Kontenplan!$A$5:$A$90,0)),""))</f>
        <v/>
      </c>
      <c r="S972" s="35" t="str">
        <f aca="false">IF($D972="","",IFERROR(INDEX(Kontenplan!$F$5:$F$90,MATCH($D972,Kontenplan!$A$5:$A$90,0)),""))</f>
        <v/>
      </c>
      <c r="T972" s="35" t="str">
        <f aca="false">IF($D972="","",IFERROR(INDEX(Kontenplan!$C$5:$C$90,MATCH($D972,Kontenplan!$A$5:$A$90,0)),"?"))</f>
        <v/>
      </c>
      <c r="U972" s="35" t="str">
        <f aca="false">IF($E972="","",IFERROR(INDEX(Kontenplan!$C$5:$C$90,MATCH($E972,Kontenplan!$A$5:$A$90,0)),"?"))</f>
        <v/>
      </c>
      <c r="V972" s="35" t="str">
        <f aca="false">IF($F972="","",IF(OR($D972="",$E972="",$T972="?",$U972="?"),"Konto prüfen!",IF($A972="","Datum fehlt",IF(YEAR($A972)&lt;&gt;Einstellungen!$B$7,"anderes Jahr!",IF($G972="","MWST-Code fehlt","OK")))))</f>
        <v/>
      </c>
      <c r="W972" s="35" t="str">
        <f aca="false">IF($F972="","",IF(OR($D972=Kontoauszug!$C$4,$E972=Kontoauszug!$C$4),MAX(W$4:W971)+1,""))</f>
        <v/>
      </c>
    </row>
    <row r="973" customFormat="false" ht="15" hidden="false" customHeight="false" outlineLevel="0" collapsed="false">
      <c r="A973" s="33"/>
      <c r="B973" s="32"/>
      <c r="C973" s="32"/>
      <c r="D973" s="32"/>
      <c r="E973" s="32"/>
      <c r="F973" s="30"/>
      <c r="G973" s="32"/>
      <c r="H973" s="34" t="n">
        <f aca="false">IF($G973="",0,IFERROR(INDEX(Einstellungen!$G$5:$G$11,MATCH($G973,Einstellungen!$E$5:$E$11,0)),0))</f>
        <v>0</v>
      </c>
      <c r="I973" s="35" t="str">
        <f aca="false">IF($G973="","-",IFERROR(INDEX(Einstellungen!$H$5:$H$11,MATCH($G973,Einstellungen!$E$5:$E$11,0)),"-"))</f>
        <v>-</v>
      </c>
      <c r="J973" s="35" t="str">
        <f aca="false">IF(AND(Einstellungen!$B$8="Ja",Einstellungen!$B$9="Effektiv"),$I973,"-")</f>
        <v>-</v>
      </c>
      <c r="K973" s="31" t="n">
        <f aca="false">IF(OR($F973="",$J973="-"),0,ROUND($F973-$F973/(1+$H973),2))</f>
        <v>0</v>
      </c>
      <c r="L973" s="31" t="n">
        <f aca="false">IF($F973="",0,$F973-$K973)</f>
        <v>0</v>
      </c>
      <c r="M973" s="31" t="n">
        <f aca="false">IF($F973="",0,IF($J973="V",$L973,$F973))</f>
        <v>0</v>
      </c>
      <c r="N973" s="31" t="n">
        <f aca="false">IF($F973="",0,IF($J973="U",$L973,$F973))</f>
        <v>0</v>
      </c>
      <c r="O973" s="35" t="str">
        <f aca="false">IF($A973="","",MONTH($A973))</f>
        <v/>
      </c>
      <c r="P973" s="35" t="str">
        <f aca="false">IF($A973="","",ROUNDUP(MONTH($A973)/3,0))</f>
        <v/>
      </c>
      <c r="Q973" s="35" t="str">
        <f aca="false">IF($A973="","",IF(MONTH($A973)&lt;=6,1,2))</f>
        <v/>
      </c>
      <c r="R973" s="35" t="str">
        <f aca="false">IF($E973="","",IFERROR(INDEX(Kontenplan!$F$5:$F$90,MATCH($E973,Kontenplan!$A$5:$A$90,0)),""))</f>
        <v/>
      </c>
      <c r="S973" s="35" t="str">
        <f aca="false">IF($D973="","",IFERROR(INDEX(Kontenplan!$F$5:$F$90,MATCH($D973,Kontenplan!$A$5:$A$90,0)),""))</f>
        <v/>
      </c>
      <c r="T973" s="35" t="str">
        <f aca="false">IF($D973="","",IFERROR(INDEX(Kontenplan!$C$5:$C$90,MATCH($D973,Kontenplan!$A$5:$A$90,0)),"?"))</f>
        <v/>
      </c>
      <c r="U973" s="35" t="str">
        <f aca="false">IF($E973="","",IFERROR(INDEX(Kontenplan!$C$5:$C$90,MATCH($E973,Kontenplan!$A$5:$A$90,0)),"?"))</f>
        <v/>
      </c>
      <c r="V973" s="35" t="str">
        <f aca="false">IF($F973="","",IF(OR($D973="",$E973="",$T973="?",$U973="?"),"Konto prüfen!",IF($A973="","Datum fehlt",IF(YEAR($A973)&lt;&gt;Einstellungen!$B$7,"anderes Jahr!",IF($G973="","MWST-Code fehlt","OK")))))</f>
        <v/>
      </c>
      <c r="W973" s="35" t="str">
        <f aca="false">IF($F973="","",IF(OR($D973=Kontoauszug!$C$4,$E973=Kontoauszug!$C$4),MAX(W$4:W972)+1,""))</f>
        <v/>
      </c>
    </row>
    <row r="974" customFormat="false" ht="15" hidden="false" customHeight="false" outlineLevel="0" collapsed="false">
      <c r="A974" s="33"/>
      <c r="B974" s="32"/>
      <c r="C974" s="32"/>
      <c r="D974" s="32"/>
      <c r="E974" s="32"/>
      <c r="F974" s="30"/>
      <c r="G974" s="32"/>
      <c r="H974" s="34" t="n">
        <f aca="false">IF($G974="",0,IFERROR(INDEX(Einstellungen!$G$5:$G$11,MATCH($G974,Einstellungen!$E$5:$E$11,0)),0))</f>
        <v>0</v>
      </c>
      <c r="I974" s="35" t="str">
        <f aca="false">IF($G974="","-",IFERROR(INDEX(Einstellungen!$H$5:$H$11,MATCH($G974,Einstellungen!$E$5:$E$11,0)),"-"))</f>
        <v>-</v>
      </c>
      <c r="J974" s="35" t="str">
        <f aca="false">IF(AND(Einstellungen!$B$8="Ja",Einstellungen!$B$9="Effektiv"),$I974,"-")</f>
        <v>-</v>
      </c>
      <c r="K974" s="31" t="n">
        <f aca="false">IF(OR($F974="",$J974="-"),0,ROUND($F974-$F974/(1+$H974),2))</f>
        <v>0</v>
      </c>
      <c r="L974" s="31" t="n">
        <f aca="false">IF($F974="",0,$F974-$K974)</f>
        <v>0</v>
      </c>
      <c r="M974" s="31" t="n">
        <f aca="false">IF($F974="",0,IF($J974="V",$L974,$F974))</f>
        <v>0</v>
      </c>
      <c r="N974" s="31" t="n">
        <f aca="false">IF($F974="",0,IF($J974="U",$L974,$F974))</f>
        <v>0</v>
      </c>
      <c r="O974" s="35" t="str">
        <f aca="false">IF($A974="","",MONTH($A974))</f>
        <v/>
      </c>
      <c r="P974" s="35" t="str">
        <f aca="false">IF($A974="","",ROUNDUP(MONTH($A974)/3,0))</f>
        <v/>
      </c>
      <c r="Q974" s="35" t="str">
        <f aca="false">IF($A974="","",IF(MONTH($A974)&lt;=6,1,2))</f>
        <v/>
      </c>
      <c r="R974" s="35" t="str">
        <f aca="false">IF($E974="","",IFERROR(INDEX(Kontenplan!$F$5:$F$90,MATCH($E974,Kontenplan!$A$5:$A$90,0)),""))</f>
        <v/>
      </c>
      <c r="S974" s="35" t="str">
        <f aca="false">IF($D974="","",IFERROR(INDEX(Kontenplan!$F$5:$F$90,MATCH($D974,Kontenplan!$A$5:$A$90,0)),""))</f>
        <v/>
      </c>
      <c r="T974" s="35" t="str">
        <f aca="false">IF($D974="","",IFERROR(INDEX(Kontenplan!$C$5:$C$90,MATCH($D974,Kontenplan!$A$5:$A$90,0)),"?"))</f>
        <v/>
      </c>
      <c r="U974" s="35" t="str">
        <f aca="false">IF($E974="","",IFERROR(INDEX(Kontenplan!$C$5:$C$90,MATCH($E974,Kontenplan!$A$5:$A$90,0)),"?"))</f>
        <v/>
      </c>
      <c r="V974" s="35" t="str">
        <f aca="false">IF($F974="","",IF(OR($D974="",$E974="",$T974="?",$U974="?"),"Konto prüfen!",IF($A974="","Datum fehlt",IF(YEAR($A974)&lt;&gt;Einstellungen!$B$7,"anderes Jahr!",IF($G974="","MWST-Code fehlt","OK")))))</f>
        <v/>
      </c>
      <c r="W974" s="35" t="str">
        <f aca="false">IF($F974="","",IF(OR($D974=Kontoauszug!$C$4,$E974=Kontoauszug!$C$4),MAX(W$4:W973)+1,""))</f>
        <v/>
      </c>
    </row>
    <row r="975" customFormat="false" ht="15" hidden="false" customHeight="false" outlineLevel="0" collapsed="false">
      <c r="A975" s="33"/>
      <c r="B975" s="32"/>
      <c r="C975" s="32"/>
      <c r="D975" s="32"/>
      <c r="E975" s="32"/>
      <c r="F975" s="30"/>
      <c r="G975" s="32"/>
      <c r="H975" s="34" t="n">
        <f aca="false">IF($G975="",0,IFERROR(INDEX(Einstellungen!$G$5:$G$11,MATCH($G975,Einstellungen!$E$5:$E$11,0)),0))</f>
        <v>0</v>
      </c>
      <c r="I975" s="35" t="str">
        <f aca="false">IF($G975="","-",IFERROR(INDEX(Einstellungen!$H$5:$H$11,MATCH($G975,Einstellungen!$E$5:$E$11,0)),"-"))</f>
        <v>-</v>
      </c>
      <c r="J975" s="35" t="str">
        <f aca="false">IF(AND(Einstellungen!$B$8="Ja",Einstellungen!$B$9="Effektiv"),$I975,"-")</f>
        <v>-</v>
      </c>
      <c r="K975" s="31" t="n">
        <f aca="false">IF(OR($F975="",$J975="-"),0,ROUND($F975-$F975/(1+$H975),2))</f>
        <v>0</v>
      </c>
      <c r="L975" s="31" t="n">
        <f aca="false">IF($F975="",0,$F975-$K975)</f>
        <v>0</v>
      </c>
      <c r="M975" s="31" t="n">
        <f aca="false">IF($F975="",0,IF($J975="V",$L975,$F975))</f>
        <v>0</v>
      </c>
      <c r="N975" s="31" t="n">
        <f aca="false">IF($F975="",0,IF($J975="U",$L975,$F975))</f>
        <v>0</v>
      </c>
      <c r="O975" s="35" t="str">
        <f aca="false">IF($A975="","",MONTH($A975))</f>
        <v/>
      </c>
      <c r="P975" s="35" t="str">
        <f aca="false">IF($A975="","",ROUNDUP(MONTH($A975)/3,0))</f>
        <v/>
      </c>
      <c r="Q975" s="35" t="str">
        <f aca="false">IF($A975="","",IF(MONTH($A975)&lt;=6,1,2))</f>
        <v/>
      </c>
      <c r="R975" s="35" t="str">
        <f aca="false">IF($E975="","",IFERROR(INDEX(Kontenplan!$F$5:$F$90,MATCH($E975,Kontenplan!$A$5:$A$90,0)),""))</f>
        <v/>
      </c>
      <c r="S975" s="35" t="str">
        <f aca="false">IF($D975="","",IFERROR(INDEX(Kontenplan!$F$5:$F$90,MATCH($D975,Kontenplan!$A$5:$A$90,0)),""))</f>
        <v/>
      </c>
      <c r="T975" s="35" t="str">
        <f aca="false">IF($D975="","",IFERROR(INDEX(Kontenplan!$C$5:$C$90,MATCH($D975,Kontenplan!$A$5:$A$90,0)),"?"))</f>
        <v/>
      </c>
      <c r="U975" s="35" t="str">
        <f aca="false">IF($E975="","",IFERROR(INDEX(Kontenplan!$C$5:$C$90,MATCH($E975,Kontenplan!$A$5:$A$90,0)),"?"))</f>
        <v/>
      </c>
      <c r="V975" s="35" t="str">
        <f aca="false">IF($F975="","",IF(OR($D975="",$E975="",$T975="?",$U975="?"),"Konto prüfen!",IF($A975="","Datum fehlt",IF(YEAR($A975)&lt;&gt;Einstellungen!$B$7,"anderes Jahr!",IF($G975="","MWST-Code fehlt","OK")))))</f>
        <v/>
      </c>
      <c r="W975" s="35" t="str">
        <f aca="false">IF($F975="","",IF(OR($D975=Kontoauszug!$C$4,$E975=Kontoauszug!$C$4),MAX(W$4:W974)+1,""))</f>
        <v/>
      </c>
    </row>
    <row r="976" customFormat="false" ht="15" hidden="false" customHeight="false" outlineLevel="0" collapsed="false">
      <c r="A976" s="33"/>
      <c r="B976" s="32"/>
      <c r="C976" s="32"/>
      <c r="D976" s="32"/>
      <c r="E976" s="32"/>
      <c r="F976" s="30"/>
      <c r="G976" s="32"/>
      <c r="H976" s="34" t="n">
        <f aca="false">IF($G976="",0,IFERROR(INDEX(Einstellungen!$G$5:$G$11,MATCH($G976,Einstellungen!$E$5:$E$11,0)),0))</f>
        <v>0</v>
      </c>
      <c r="I976" s="35" t="str">
        <f aca="false">IF($G976="","-",IFERROR(INDEX(Einstellungen!$H$5:$H$11,MATCH($G976,Einstellungen!$E$5:$E$11,0)),"-"))</f>
        <v>-</v>
      </c>
      <c r="J976" s="35" t="str">
        <f aca="false">IF(AND(Einstellungen!$B$8="Ja",Einstellungen!$B$9="Effektiv"),$I976,"-")</f>
        <v>-</v>
      </c>
      <c r="K976" s="31" t="n">
        <f aca="false">IF(OR($F976="",$J976="-"),0,ROUND($F976-$F976/(1+$H976),2))</f>
        <v>0</v>
      </c>
      <c r="L976" s="31" t="n">
        <f aca="false">IF($F976="",0,$F976-$K976)</f>
        <v>0</v>
      </c>
      <c r="M976" s="31" t="n">
        <f aca="false">IF($F976="",0,IF($J976="V",$L976,$F976))</f>
        <v>0</v>
      </c>
      <c r="N976" s="31" t="n">
        <f aca="false">IF($F976="",0,IF($J976="U",$L976,$F976))</f>
        <v>0</v>
      </c>
      <c r="O976" s="35" t="str">
        <f aca="false">IF($A976="","",MONTH($A976))</f>
        <v/>
      </c>
      <c r="P976" s="35" t="str">
        <f aca="false">IF($A976="","",ROUNDUP(MONTH($A976)/3,0))</f>
        <v/>
      </c>
      <c r="Q976" s="35" t="str">
        <f aca="false">IF($A976="","",IF(MONTH($A976)&lt;=6,1,2))</f>
        <v/>
      </c>
      <c r="R976" s="35" t="str">
        <f aca="false">IF($E976="","",IFERROR(INDEX(Kontenplan!$F$5:$F$90,MATCH($E976,Kontenplan!$A$5:$A$90,0)),""))</f>
        <v/>
      </c>
      <c r="S976" s="35" t="str">
        <f aca="false">IF($D976="","",IFERROR(INDEX(Kontenplan!$F$5:$F$90,MATCH($D976,Kontenplan!$A$5:$A$90,0)),""))</f>
        <v/>
      </c>
      <c r="T976" s="35" t="str">
        <f aca="false">IF($D976="","",IFERROR(INDEX(Kontenplan!$C$5:$C$90,MATCH($D976,Kontenplan!$A$5:$A$90,0)),"?"))</f>
        <v/>
      </c>
      <c r="U976" s="35" t="str">
        <f aca="false">IF($E976="","",IFERROR(INDEX(Kontenplan!$C$5:$C$90,MATCH($E976,Kontenplan!$A$5:$A$90,0)),"?"))</f>
        <v/>
      </c>
      <c r="V976" s="35" t="str">
        <f aca="false">IF($F976="","",IF(OR($D976="",$E976="",$T976="?",$U976="?"),"Konto prüfen!",IF($A976="","Datum fehlt",IF(YEAR($A976)&lt;&gt;Einstellungen!$B$7,"anderes Jahr!",IF($G976="","MWST-Code fehlt","OK")))))</f>
        <v/>
      </c>
      <c r="W976" s="35" t="str">
        <f aca="false">IF($F976="","",IF(OR($D976=Kontoauszug!$C$4,$E976=Kontoauszug!$C$4),MAX(W$4:W975)+1,""))</f>
        <v/>
      </c>
    </row>
    <row r="977" customFormat="false" ht="15" hidden="false" customHeight="false" outlineLevel="0" collapsed="false">
      <c r="A977" s="33"/>
      <c r="B977" s="32"/>
      <c r="C977" s="32"/>
      <c r="D977" s="32"/>
      <c r="E977" s="32"/>
      <c r="F977" s="30"/>
      <c r="G977" s="32"/>
      <c r="H977" s="34" t="n">
        <f aca="false">IF($G977="",0,IFERROR(INDEX(Einstellungen!$G$5:$G$11,MATCH($G977,Einstellungen!$E$5:$E$11,0)),0))</f>
        <v>0</v>
      </c>
      <c r="I977" s="35" t="str">
        <f aca="false">IF($G977="","-",IFERROR(INDEX(Einstellungen!$H$5:$H$11,MATCH($G977,Einstellungen!$E$5:$E$11,0)),"-"))</f>
        <v>-</v>
      </c>
      <c r="J977" s="35" t="str">
        <f aca="false">IF(AND(Einstellungen!$B$8="Ja",Einstellungen!$B$9="Effektiv"),$I977,"-")</f>
        <v>-</v>
      </c>
      <c r="K977" s="31" t="n">
        <f aca="false">IF(OR($F977="",$J977="-"),0,ROUND($F977-$F977/(1+$H977),2))</f>
        <v>0</v>
      </c>
      <c r="L977" s="31" t="n">
        <f aca="false">IF($F977="",0,$F977-$K977)</f>
        <v>0</v>
      </c>
      <c r="M977" s="31" t="n">
        <f aca="false">IF($F977="",0,IF($J977="V",$L977,$F977))</f>
        <v>0</v>
      </c>
      <c r="N977" s="31" t="n">
        <f aca="false">IF($F977="",0,IF($J977="U",$L977,$F977))</f>
        <v>0</v>
      </c>
      <c r="O977" s="35" t="str">
        <f aca="false">IF($A977="","",MONTH($A977))</f>
        <v/>
      </c>
      <c r="P977" s="35" t="str">
        <f aca="false">IF($A977="","",ROUNDUP(MONTH($A977)/3,0))</f>
        <v/>
      </c>
      <c r="Q977" s="35" t="str">
        <f aca="false">IF($A977="","",IF(MONTH($A977)&lt;=6,1,2))</f>
        <v/>
      </c>
      <c r="R977" s="35" t="str">
        <f aca="false">IF($E977="","",IFERROR(INDEX(Kontenplan!$F$5:$F$90,MATCH($E977,Kontenplan!$A$5:$A$90,0)),""))</f>
        <v/>
      </c>
      <c r="S977" s="35" t="str">
        <f aca="false">IF($D977="","",IFERROR(INDEX(Kontenplan!$F$5:$F$90,MATCH($D977,Kontenplan!$A$5:$A$90,0)),""))</f>
        <v/>
      </c>
      <c r="T977" s="35" t="str">
        <f aca="false">IF($D977="","",IFERROR(INDEX(Kontenplan!$C$5:$C$90,MATCH($D977,Kontenplan!$A$5:$A$90,0)),"?"))</f>
        <v/>
      </c>
      <c r="U977" s="35" t="str">
        <f aca="false">IF($E977="","",IFERROR(INDEX(Kontenplan!$C$5:$C$90,MATCH($E977,Kontenplan!$A$5:$A$90,0)),"?"))</f>
        <v/>
      </c>
      <c r="V977" s="35" t="str">
        <f aca="false">IF($F977="","",IF(OR($D977="",$E977="",$T977="?",$U977="?"),"Konto prüfen!",IF($A977="","Datum fehlt",IF(YEAR($A977)&lt;&gt;Einstellungen!$B$7,"anderes Jahr!",IF($G977="","MWST-Code fehlt","OK")))))</f>
        <v/>
      </c>
      <c r="W977" s="35" t="str">
        <f aca="false">IF($F977="","",IF(OR($D977=Kontoauszug!$C$4,$E977=Kontoauszug!$C$4),MAX(W$4:W976)+1,""))</f>
        <v/>
      </c>
    </row>
    <row r="978" customFormat="false" ht="15" hidden="false" customHeight="false" outlineLevel="0" collapsed="false">
      <c r="A978" s="33"/>
      <c r="B978" s="32"/>
      <c r="C978" s="32"/>
      <c r="D978" s="32"/>
      <c r="E978" s="32"/>
      <c r="F978" s="30"/>
      <c r="G978" s="32"/>
      <c r="H978" s="34" t="n">
        <f aca="false">IF($G978="",0,IFERROR(INDEX(Einstellungen!$G$5:$G$11,MATCH($G978,Einstellungen!$E$5:$E$11,0)),0))</f>
        <v>0</v>
      </c>
      <c r="I978" s="35" t="str">
        <f aca="false">IF($G978="","-",IFERROR(INDEX(Einstellungen!$H$5:$H$11,MATCH($G978,Einstellungen!$E$5:$E$11,0)),"-"))</f>
        <v>-</v>
      </c>
      <c r="J978" s="35" t="str">
        <f aca="false">IF(AND(Einstellungen!$B$8="Ja",Einstellungen!$B$9="Effektiv"),$I978,"-")</f>
        <v>-</v>
      </c>
      <c r="K978" s="31" t="n">
        <f aca="false">IF(OR($F978="",$J978="-"),0,ROUND($F978-$F978/(1+$H978),2))</f>
        <v>0</v>
      </c>
      <c r="L978" s="31" t="n">
        <f aca="false">IF($F978="",0,$F978-$K978)</f>
        <v>0</v>
      </c>
      <c r="M978" s="31" t="n">
        <f aca="false">IF($F978="",0,IF($J978="V",$L978,$F978))</f>
        <v>0</v>
      </c>
      <c r="N978" s="31" t="n">
        <f aca="false">IF($F978="",0,IF($J978="U",$L978,$F978))</f>
        <v>0</v>
      </c>
      <c r="O978" s="35" t="str">
        <f aca="false">IF($A978="","",MONTH($A978))</f>
        <v/>
      </c>
      <c r="P978" s="35" t="str">
        <f aca="false">IF($A978="","",ROUNDUP(MONTH($A978)/3,0))</f>
        <v/>
      </c>
      <c r="Q978" s="35" t="str">
        <f aca="false">IF($A978="","",IF(MONTH($A978)&lt;=6,1,2))</f>
        <v/>
      </c>
      <c r="R978" s="35" t="str">
        <f aca="false">IF($E978="","",IFERROR(INDEX(Kontenplan!$F$5:$F$90,MATCH($E978,Kontenplan!$A$5:$A$90,0)),""))</f>
        <v/>
      </c>
      <c r="S978" s="35" t="str">
        <f aca="false">IF($D978="","",IFERROR(INDEX(Kontenplan!$F$5:$F$90,MATCH($D978,Kontenplan!$A$5:$A$90,0)),""))</f>
        <v/>
      </c>
      <c r="T978" s="35" t="str">
        <f aca="false">IF($D978="","",IFERROR(INDEX(Kontenplan!$C$5:$C$90,MATCH($D978,Kontenplan!$A$5:$A$90,0)),"?"))</f>
        <v/>
      </c>
      <c r="U978" s="35" t="str">
        <f aca="false">IF($E978="","",IFERROR(INDEX(Kontenplan!$C$5:$C$90,MATCH($E978,Kontenplan!$A$5:$A$90,0)),"?"))</f>
        <v/>
      </c>
      <c r="V978" s="35" t="str">
        <f aca="false">IF($F978="","",IF(OR($D978="",$E978="",$T978="?",$U978="?"),"Konto prüfen!",IF($A978="","Datum fehlt",IF(YEAR($A978)&lt;&gt;Einstellungen!$B$7,"anderes Jahr!",IF($G978="","MWST-Code fehlt","OK")))))</f>
        <v/>
      </c>
      <c r="W978" s="35" t="str">
        <f aca="false">IF($F978="","",IF(OR($D978=Kontoauszug!$C$4,$E978=Kontoauszug!$C$4),MAX(W$4:W977)+1,""))</f>
        <v/>
      </c>
    </row>
    <row r="979" customFormat="false" ht="15" hidden="false" customHeight="false" outlineLevel="0" collapsed="false">
      <c r="A979" s="33"/>
      <c r="B979" s="32"/>
      <c r="C979" s="32"/>
      <c r="D979" s="32"/>
      <c r="E979" s="32"/>
      <c r="F979" s="30"/>
      <c r="G979" s="32"/>
      <c r="H979" s="34" t="n">
        <f aca="false">IF($G979="",0,IFERROR(INDEX(Einstellungen!$G$5:$G$11,MATCH($G979,Einstellungen!$E$5:$E$11,0)),0))</f>
        <v>0</v>
      </c>
      <c r="I979" s="35" t="str">
        <f aca="false">IF($G979="","-",IFERROR(INDEX(Einstellungen!$H$5:$H$11,MATCH($G979,Einstellungen!$E$5:$E$11,0)),"-"))</f>
        <v>-</v>
      </c>
      <c r="J979" s="35" t="str">
        <f aca="false">IF(AND(Einstellungen!$B$8="Ja",Einstellungen!$B$9="Effektiv"),$I979,"-")</f>
        <v>-</v>
      </c>
      <c r="K979" s="31" t="n">
        <f aca="false">IF(OR($F979="",$J979="-"),0,ROUND($F979-$F979/(1+$H979),2))</f>
        <v>0</v>
      </c>
      <c r="L979" s="31" t="n">
        <f aca="false">IF($F979="",0,$F979-$K979)</f>
        <v>0</v>
      </c>
      <c r="M979" s="31" t="n">
        <f aca="false">IF($F979="",0,IF($J979="V",$L979,$F979))</f>
        <v>0</v>
      </c>
      <c r="N979" s="31" t="n">
        <f aca="false">IF($F979="",0,IF($J979="U",$L979,$F979))</f>
        <v>0</v>
      </c>
      <c r="O979" s="35" t="str">
        <f aca="false">IF($A979="","",MONTH($A979))</f>
        <v/>
      </c>
      <c r="P979" s="35" t="str">
        <f aca="false">IF($A979="","",ROUNDUP(MONTH($A979)/3,0))</f>
        <v/>
      </c>
      <c r="Q979" s="35" t="str">
        <f aca="false">IF($A979="","",IF(MONTH($A979)&lt;=6,1,2))</f>
        <v/>
      </c>
      <c r="R979" s="35" t="str">
        <f aca="false">IF($E979="","",IFERROR(INDEX(Kontenplan!$F$5:$F$90,MATCH($E979,Kontenplan!$A$5:$A$90,0)),""))</f>
        <v/>
      </c>
      <c r="S979" s="35" t="str">
        <f aca="false">IF($D979="","",IFERROR(INDEX(Kontenplan!$F$5:$F$90,MATCH($D979,Kontenplan!$A$5:$A$90,0)),""))</f>
        <v/>
      </c>
      <c r="T979" s="35" t="str">
        <f aca="false">IF($D979="","",IFERROR(INDEX(Kontenplan!$C$5:$C$90,MATCH($D979,Kontenplan!$A$5:$A$90,0)),"?"))</f>
        <v/>
      </c>
      <c r="U979" s="35" t="str">
        <f aca="false">IF($E979="","",IFERROR(INDEX(Kontenplan!$C$5:$C$90,MATCH($E979,Kontenplan!$A$5:$A$90,0)),"?"))</f>
        <v/>
      </c>
      <c r="V979" s="35" t="str">
        <f aca="false">IF($F979="","",IF(OR($D979="",$E979="",$T979="?",$U979="?"),"Konto prüfen!",IF($A979="","Datum fehlt",IF(YEAR($A979)&lt;&gt;Einstellungen!$B$7,"anderes Jahr!",IF($G979="","MWST-Code fehlt","OK")))))</f>
        <v/>
      </c>
      <c r="W979" s="35" t="str">
        <f aca="false">IF($F979="","",IF(OR($D979=Kontoauszug!$C$4,$E979=Kontoauszug!$C$4),MAX(W$4:W978)+1,""))</f>
        <v/>
      </c>
    </row>
    <row r="980" customFormat="false" ht="15" hidden="false" customHeight="false" outlineLevel="0" collapsed="false">
      <c r="A980" s="33"/>
      <c r="B980" s="32"/>
      <c r="C980" s="32"/>
      <c r="D980" s="32"/>
      <c r="E980" s="32"/>
      <c r="F980" s="30"/>
      <c r="G980" s="32"/>
      <c r="H980" s="34" t="n">
        <f aca="false">IF($G980="",0,IFERROR(INDEX(Einstellungen!$G$5:$G$11,MATCH($G980,Einstellungen!$E$5:$E$11,0)),0))</f>
        <v>0</v>
      </c>
      <c r="I980" s="35" t="str">
        <f aca="false">IF($G980="","-",IFERROR(INDEX(Einstellungen!$H$5:$H$11,MATCH($G980,Einstellungen!$E$5:$E$11,0)),"-"))</f>
        <v>-</v>
      </c>
      <c r="J980" s="35" t="str">
        <f aca="false">IF(AND(Einstellungen!$B$8="Ja",Einstellungen!$B$9="Effektiv"),$I980,"-")</f>
        <v>-</v>
      </c>
      <c r="K980" s="31" t="n">
        <f aca="false">IF(OR($F980="",$J980="-"),0,ROUND($F980-$F980/(1+$H980),2))</f>
        <v>0</v>
      </c>
      <c r="L980" s="31" t="n">
        <f aca="false">IF($F980="",0,$F980-$K980)</f>
        <v>0</v>
      </c>
      <c r="M980" s="31" t="n">
        <f aca="false">IF($F980="",0,IF($J980="V",$L980,$F980))</f>
        <v>0</v>
      </c>
      <c r="N980" s="31" t="n">
        <f aca="false">IF($F980="",0,IF($J980="U",$L980,$F980))</f>
        <v>0</v>
      </c>
      <c r="O980" s="35" t="str">
        <f aca="false">IF($A980="","",MONTH($A980))</f>
        <v/>
      </c>
      <c r="P980" s="35" t="str">
        <f aca="false">IF($A980="","",ROUNDUP(MONTH($A980)/3,0))</f>
        <v/>
      </c>
      <c r="Q980" s="35" t="str">
        <f aca="false">IF($A980="","",IF(MONTH($A980)&lt;=6,1,2))</f>
        <v/>
      </c>
      <c r="R980" s="35" t="str">
        <f aca="false">IF($E980="","",IFERROR(INDEX(Kontenplan!$F$5:$F$90,MATCH($E980,Kontenplan!$A$5:$A$90,0)),""))</f>
        <v/>
      </c>
      <c r="S980" s="35" t="str">
        <f aca="false">IF($D980="","",IFERROR(INDEX(Kontenplan!$F$5:$F$90,MATCH($D980,Kontenplan!$A$5:$A$90,0)),""))</f>
        <v/>
      </c>
      <c r="T980" s="35" t="str">
        <f aca="false">IF($D980="","",IFERROR(INDEX(Kontenplan!$C$5:$C$90,MATCH($D980,Kontenplan!$A$5:$A$90,0)),"?"))</f>
        <v/>
      </c>
      <c r="U980" s="35" t="str">
        <f aca="false">IF($E980="","",IFERROR(INDEX(Kontenplan!$C$5:$C$90,MATCH($E980,Kontenplan!$A$5:$A$90,0)),"?"))</f>
        <v/>
      </c>
      <c r="V980" s="35" t="str">
        <f aca="false">IF($F980="","",IF(OR($D980="",$E980="",$T980="?",$U980="?"),"Konto prüfen!",IF($A980="","Datum fehlt",IF(YEAR($A980)&lt;&gt;Einstellungen!$B$7,"anderes Jahr!",IF($G980="","MWST-Code fehlt","OK")))))</f>
        <v/>
      </c>
      <c r="W980" s="35" t="str">
        <f aca="false">IF($F980="","",IF(OR($D980=Kontoauszug!$C$4,$E980=Kontoauszug!$C$4),MAX(W$4:W979)+1,""))</f>
        <v/>
      </c>
    </row>
    <row r="981" customFormat="false" ht="15" hidden="false" customHeight="false" outlineLevel="0" collapsed="false">
      <c r="A981" s="33"/>
      <c r="B981" s="32"/>
      <c r="C981" s="32"/>
      <c r="D981" s="32"/>
      <c r="E981" s="32"/>
      <c r="F981" s="30"/>
      <c r="G981" s="32"/>
      <c r="H981" s="34" t="n">
        <f aca="false">IF($G981="",0,IFERROR(INDEX(Einstellungen!$G$5:$G$11,MATCH($G981,Einstellungen!$E$5:$E$11,0)),0))</f>
        <v>0</v>
      </c>
      <c r="I981" s="35" t="str">
        <f aca="false">IF($G981="","-",IFERROR(INDEX(Einstellungen!$H$5:$H$11,MATCH($G981,Einstellungen!$E$5:$E$11,0)),"-"))</f>
        <v>-</v>
      </c>
      <c r="J981" s="35" t="str">
        <f aca="false">IF(AND(Einstellungen!$B$8="Ja",Einstellungen!$B$9="Effektiv"),$I981,"-")</f>
        <v>-</v>
      </c>
      <c r="K981" s="31" t="n">
        <f aca="false">IF(OR($F981="",$J981="-"),0,ROUND($F981-$F981/(1+$H981),2))</f>
        <v>0</v>
      </c>
      <c r="L981" s="31" t="n">
        <f aca="false">IF($F981="",0,$F981-$K981)</f>
        <v>0</v>
      </c>
      <c r="M981" s="31" t="n">
        <f aca="false">IF($F981="",0,IF($J981="V",$L981,$F981))</f>
        <v>0</v>
      </c>
      <c r="N981" s="31" t="n">
        <f aca="false">IF($F981="",0,IF($J981="U",$L981,$F981))</f>
        <v>0</v>
      </c>
      <c r="O981" s="35" t="str">
        <f aca="false">IF($A981="","",MONTH($A981))</f>
        <v/>
      </c>
      <c r="P981" s="35" t="str">
        <f aca="false">IF($A981="","",ROUNDUP(MONTH($A981)/3,0))</f>
        <v/>
      </c>
      <c r="Q981" s="35" t="str">
        <f aca="false">IF($A981="","",IF(MONTH($A981)&lt;=6,1,2))</f>
        <v/>
      </c>
      <c r="R981" s="35" t="str">
        <f aca="false">IF($E981="","",IFERROR(INDEX(Kontenplan!$F$5:$F$90,MATCH($E981,Kontenplan!$A$5:$A$90,0)),""))</f>
        <v/>
      </c>
      <c r="S981" s="35" t="str">
        <f aca="false">IF($D981="","",IFERROR(INDEX(Kontenplan!$F$5:$F$90,MATCH($D981,Kontenplan!$A$5:$A$90,0)),""))</f>
        <v/>
      </c>
      <c r="T981" s="35" t="str">
        <f aca="false">IF($D981="","",IFERROR(INDEX(Kontenplan!$C$5:$C$90,MATCH($D981,Kontenplan!$A$5:$A$90,0)),"?"))</f>
        <v/>
      </c>
      <c r="U981" s="35" t="str">
        <f aca="false">IF($E981="","",IFERROR(INDEX(Kontenplan!$C$5:$C$90,MATCH($E981,Kontenplan!$A$5:$A$90,0)),"?"))</f>
        <v/>
      </c>
      <c r="V981" s="35" t="str">
        <f aca="false">IF($F981="","",IF(OR($D981="",$E981="",$T981="?",$U981="?"),"Konto prüfen!",IF($A981="","Datum fehlt",IF(YEAR($A981)&lt;&gt;Einstellungen!$B$7,"anderes Jahr!",IF($G981="","MWST-Code fehlt","OK")))))</f>
        <v/>
      </c>
      <c r="W981" s="35" t="str">
        <f aca="false">IF($F981="","",IF(OR($D981=Kontoauszug!$C$4,$E981=Kontoauszug!$C$4),MAX(W$4:W980)+1,""))</f>
        <v/>
      </c>
    </row>
    <row r="982" customFormat="false" ht="15" hidden="false" customHeight="false" outlineLevel="0" collapsed="false">
      <c r="A982" s="33"/>
      <c r="B982" s="32"/>
      <c r="C982" s="32"/>
      <c r="D982" s="32"/>
      <c r="E982" s="32"/>
      <c r="F982" s="30"/>
      <c r="G982" s="32"/>
      <c r="H982" s="34" t="n">
        <f aca="false">IF($G982="",0,IFERROR(INDEX(Einstellungen!$G$5:$G$11,MATCH($G982,Einstellungen!$E$5:$E$11,0)),0))</f>
        <v>0</v>
      </c>
      <c r="I982" s="35" t="str">
        <f aca="false">IF($G982="","-",IFERROR(INDEX(Einstellungen!$H$5:$H$11,MATCH($G982,Einstellungen!$E$5:$E$11,0)),"-"))</f>
        <v>-</v>
      </c>
      <c r="J982" s="35" t="str">
        <f aca="false">IF(AND(Einstellungen!$B$8="Ja",Einstellungen!$B$9="Effektiv"),$I982,"-")</f>
        <v>-</v>
      </c>
      <c r="K982" s="31" t="n">
        <f aca="false">IF(OR($F982="",$J982="-"),0,ROUND($F982-$F982/(1+$H982),2))</f>
        <v>0</v>
      </c>
      <c r="L982" s="31" t="n">
        <f aca="false">IF($F982="",0,$F982-$K982)</f>
        <v>0</v>
      </c>
      <c r="M982" s="31" t="n">
        <f aca="false">IF($F982="",0,IF($J982="V",$L982,$F982))</f>
        <v>0</v>
      </c>
      <c r="N982" s="31" t="n">
        <f aca="false">IF($F982="",0,IF($J982="U",$L982,$F982))</f>
        <v>0</v>
      </c>
      <c r="O982" s="35" t="str">
        <f aca="false">IF($A982="","",MONTH($A982))</f>
        <v/>
      </c>
      <c r="P982" s="35" t="str">
        <f aca="false">IF($A982="","",ROUNDUP(MONTH($A982)/3,0))</f>
        <v/>
      </c>
      <c r="Q982" s="35" t="str">
        <f aca="false">IF($A982="","",IF(MONTH($A982)&lt;=6,1,2))</f>
        <v/>
      </c>
      <c r="R982" s="35" t="str">
        <f aca="false">IF($E982="","",IFERROR(INDEX(Kontenplan!$F$5:$F$90,MATCH($E982,Kontenplan!$A$5:$A$90,0)),""))</f>
        <v/>
      </c>
      <c r="S982" s="35" t="str">
        <f aca="false">IF($D982="","",IFERROR(INDEX(Kontenplan!$F$5:$F$90,MATCH($D982,Kontenplan!$A$5:$A$90,0)),""))</f>
        <v/>
      </c>
      <c r="T982" s="35" t="str">
        <f aca="false">IF($D982="","",IFERROR(INDEX(Kontenplan!$C$5:$C$90,MATCH($D982,Kontenplan!$A$5:$A$90,0)),"?"))</f>
        <v/>
      </c>
      <c r="U982" s="35" t="str">
        <f aca="false">IF($E982="","",IFERROR(INDEX(Kontenplan!$C$5:$C$90,MATCH($E982,Kontenplan!$A$5:$A$90,0)),"?"))</f>
        <v/>
      </c>
      <c r="V982" s="35" t="str">
        <f aca="false">IF($F982="","",IF(OR($D982="",$E982="",$T982="?",$U982="?"),"Konto prüfen!",IF($A982="","Datum fehlt",IF(YEAR($A982)&lt;&gt;Einstellungen!$B$7,"anderes Jahr!",IF($G982="","MWST-Code fehlt","OK")))))</f>
        <v/>
      </c>
      <c r="W982" s="35" t="str">
        <f aca="false">IF($F982="","",IF(OR($D982=Kontoauszug!$C$4,$E982=Kontoauszug!$C$4),MAX(W$4:W981)+1,""))</f>
        <v/>
      </c>
    </row>
    <row r="983" customFormat="false" ht="15" hidden="false" customHeight="false" outlineLevel="0" collapsed="false">
      <c r="A983" s="33"/>
      <c r="B983" s="32"/>
      <c r="C983" s="32"/>
      <c r="D983" s="32"/>
      <c r="E983" s="32"/>
      <c r="F983" s="30"/>
      <c r="G983" s="32"/>
      <c r="H983" s="34" t="n">
        <f aca="false">IF($G983="",0,IFERROR(INDEX(Einstellungen!$G$5:$G$11,MATCH($G983,Einstellungen!$E$5:$E$11,0)),0))</f>
        <v>0</v>
      </c>
      <c r="I983" s="35" t="str">
        <f aca="false">IF($G983="","-",IFERROR(INDEX(Einstellungen!$H$5:$H$11,MATCH($G983,Einstellungen!$E$5:$E$11,0)),"-"))</f>
        <v>-</v>
      </c>
      <c r="J983" s="35" t="str">
        <f aca="false">IF(AND(Einstellungen!$B$8="Ja",Einstellungen!$B$9="Effektiv"),$I983,"-")</f>
        <v>-</v>
      </c>
      <c r="K983" s="31" t="n">
        <f aca="false">IF(OR($F983="",$J983="-"),0,ROUND($F983-$F983/(1+$H983),2))</f>
        <v>0</v>
      </c>
      <c r="L983" s="31" t="n">
        <f aca="false">IF($F983="",0,$F983-$K983)</f>
        <v>0</v>
      </c>
      <c r="M983" s="31" t="n">
        <f aca="false">IF($F983="",0,IF($J983="V",$L983,$F983))</f>
        <v>0</v>
      </c>
      <c r="N983" s="31" t="n">
        <f aca="false">IF($F983="",0,IF($J983="U",$L983,$F983))</f>
        <v>0</v>
      </c>
      <c r="O983" s="35" t="str">
        <f aca="false">IF($A983="","",MONTH($A983))</f>
        <v/>
      </c>
      <c r="P983" s="35" t="str">
        <f aca="false">IF($A983="","",ROUNDUP(MONTH($A983)/3,0))</f>
        <v/>
      </c>
      <c r="Q983" s="35" t="str">
        <f aca="false">IF($A983="","",IF(MONTH($A983)&lt;=6,1,2))</f>
        <v/>
      </c>
      <c r="R983" s="35" t="str">
        <f aca="false">IF($E983="","",IFERROR(INDEX(Kontenplan!$F$5:$F$90,MATCH($E983,Kontenplan!$A$5:$A$90,0)),""))</f>
        <v/>
      </c>
      <c r="S983" s="35" t="str">
        <f aca="false">IF($D983="","",IFERROR(INDEX(Kontenplan!$F$5:$F$90,MATCH($D983,Kontenplan!$A$5:$A$90,0)),""))</f>
        <v/>
      </c>
      <c r="T983" s="35" t="str">
        <f aca="false">IF($D983="","",IFERROR(INDEX(Kontenplan!$C$5:$C$90,MATCH($D983,Kontenplan!$A$5:$A$90,0)),"?"))</f>
        <v/>
      </c>
      <c r="U983" s="35" t="str">
        <f aca="false">IF($E983="","",IFERROR(INDEX(Kontenplan!$C$5:$C$90,MATCH($E983,Kontenplan!$A$5:$A$90,0)),"?"))</f>
        <v/>
      </c>
      <c r="V983" s="35" t="str">
        <f aca="false">IF($F983="","",IF(OR($D983="",$E983="",$T983="?",$U983="?"),"Konto prüfen!",IF($A983="","Datum fehlt",IF(YEAR($A983)&lt;&gt;Einstellungen!$B$7,"anderes Jahr!",IF($G983="","MWST-Code fehlt","OK")))))</f>
        <v/>
      </c>
      <c r="W983" s="35" t="str">
        <f aca="false">IF($F983="","",IF(OR($D983=Kontoauszug!$C$4,$E983=Kontoauszug!$C$4),MAX(W$4:W982)+1,""))</f>
        <v/>
      </c>
    </row>
    <row r="984" customFormat="false" ht="15" hidden="false" customHeight="false" outlineLevel="0" collapsed="false">
      <c r="A984" s="33"/>
      <c r="B984" s="32"/>
      <c r="C984" s="32"/>
      <c r="D984" s="32"/>
      <c r="E984" s="32"/>
      <c r="F984" s="30"/>
      <c r="G984" s="32"/>
      <c r="H984" s="34" t="n">
        <f aca="false">IF($G984="",0,IFERROR(INDEX(Einstellungen!$G$5:$G$11,MATCH($G984,Einstellungen!$E$5:$E$11,0)),0))</f>
        <v>0</v>
      </c>
      <c r="I984" s="35" t="str">
        <f aca="false">IF($G984="","-",IFERROR(INDEX(Einstellungen!$H$5:$H$11,MATCH($G984,Einstellungen!$E$5:$E$11,0)),"-"))</f>
        <v>-</v>
      </c>
      <c r="J984" s="35" t="str">
        <f aca="false">IF(AND(Einstellungen!$B$8="Ja",Einstellungen!$B$9="Effektiv"),$I984,"-")</f>
        <v>-</v>
      </c>
      <c r="K984" s="31" t="n">
        <f aca="false">IF(OR($F984="",$J984="-"),0,ROUND($F984-$F984/(1+$H984),2))</f>
        <v>0</v>
      </c>
      <c r="L984" s="31" t="n">
        <f aca="false">IF($F984="",0,$F984-$K984)</f>
        <v>0</v>
      </c>
      <c r="M984" s="31" t="n">
        <f aca="false">IF($F984="",0,IF($J984="V",$L984,$F984))</f>
        <v>0</v>
      </c>
      <c r="N984" s="31" t="n">
        <f aca="false">IF($F984="",0,IF($J984="U",$L984,$F984))</f>
        <v>0</v>
      </c>
      <c r="O984" s="35" t="str">
        <f aca="false">IF($A984="","",MONTH($A984))</f>
        <v/>
      </c>
      <c r="P984" s="35" t="str">
        <f aca="false">IF($A984="","",ROUNDUP(MONTH($A984)/3,0))</f>
        <v/>
      </c>
      <c r="Q984" s="35" t="str">
        <f aca="false">IF($A984="","",IF(MONTH($A984)&lt;=6,1,2))</f>
        <v/>
      </c>
      <c r="R984" s="35" t="str">
        <f aca="false">IF($E984="","",IFERROR(INDEX(Kontenplan!$F$5:$F$90,MATCH($E984,Kontenplan!$A$5:$A$90,0)),""))</f>
        <v/>
      </c>
      <c r="S984" s="35" t="str">
        <f aca="false">IF($D984="","",IFERROR(INDEX(Kontenplan!$F$5:$F$90,MATCH($D984,Kontenplan!$A$5:$A$90,0)),""))</f>
        <v/>
      </c>
      <c r="T984" s="35" t="str">
        <f aca="false">IF($D984="","",IFERROR(INDEX(Kontenplan!$C$5:$C$90,MATCH($D984,Kontenplan!$A$5:$A$90,0)),"?"))</f>
        <v/>
      </c>
      <c r="U984" s="35" t="str">
        <f aca="false">IF($E984="","",IFERROR(INDEX(Kontenplan!$C$5:$C$90,MATCH($E984,Kontenplan!$A$5:$A$90,0)),"?"))</f>
        <v/>
      </c>
      <c r="V984" s="35" t="str">
        <f aca="false">IF($F984="","",IF(OR($D984="",$E984="",$T984="?",$U984="?"),"Konto prüfen!",IF($A984="","Datum fehlt",IF(YEAR($A984)&lt;&gt;Einstellungen!$B$7,"anderes Jahr!",IF($G984="","MWST-Code fehlt","OK")))))</f>
        <v/>
      </c>
      <c r="W984" s="35" t="str">
        <f aca="false">IF($F984="","",IF(OR($D984=Kontoauszug!$C$4,$E984=Kontoauszug!$C$4),MAX(W$4:W983)+1,""))</f>
        <v/>
      </c>
    </row>
    <row r="985" customFormat="false" ht="15" hidden="false" customHeight="false" outlineLevel="0" collapsed="false">
      <c r="A985" s="33"/>
      <c r="B985" s="32"/>
      <c r="C985" s="32"/>
      <c r="D985" s="32"/>
      <c r="E985" s="32"/>
      <c r="F985" s="30"/>
      <c r="G985" s="32"/>
      <c r="H985" s="34" t="n">
        <f aca="false">IF($G985="",0,IFERROR(INDEX(Einstellungen!$G$5:$G$11,MATCH($G985,Einstellungen!$E$5:$E$11,0)),0))</f>
        <v>0</v>
      </c>
      <c r="I985" s="35" t="str">
        <f aca="false">IF($G985="","-",IFERROR(INDEX(Einstellungen!$H$5:$H$11,MATCH($G985,Einstellungen!$E$5:$E$11,0)),"-"))</f>
        <v>-</v>
      </c>
      <c r="J985" s="35" t="str">
        <f aca="false">IF(AND(Einstellungen!$B$8="Ja",Einstellungen!$B$9="Effektiv"),$I985,"-")</f>
        <v>-</v>
      </c>
      <c r="K985" s="31" t="n">
        <f aca="false">IF(OR($F985="",$J985="-"),0,ROUND($F985-$F985/(1+$H985),2))</f>
        <v>0</v>
      </c>
      <c r="L985" s="31" t="n">
        <f aca="false">IF($F985="",0,$F985-$K985)</f>
        <v>0</v>
      </c>
      <c r="M985" s="31" t="n">
        <f aca="false">IF($F985="",0,IF($J985="V",$L985,$F985))</f>
        <v>0</v>
      </c>
      <c r="N985" s="31" t="n">
        <f aca="false">IF($F985="",0,IF($J985="U",$L985,$F985))</f>
        <v>0</v>
      </c>
      <c r="O985" s="35" t="str">
        <f aca="false">IF($A985="","",MONTH($A985))</f>
        <v/>
      </c>
      <c r="P985" s="35" t="str">
        <f aca="false">IF($A985="","",ROUNDUP(MONTH($A985)/3,0))</f>
        <v/>
      </c>
      <c r="Q985" s="35" t="str">
        <f aca="false">IF($A985="","",IF(MONTH($A985)&lt;=6,1,2))</f>
        <v/>
      </c>
      <c r="R985" s="35" t="str">
        <f aca="false">IF($E985="","",IFERROR(INDEX(Kontenplan!$F$5:$F$90,MATCH($E985,Kontenplan!$A$5:$A$90,0)),""))</f>
        <v/>
      </c>
      <c r="S985" s="35" t="str">
        <f aca="false">IF($D985="","",IFERROR(INDEX(Kontenplan!$F$5:$F$90,MATCH($D985,Kontenplan!$A$5:$A$90,0)),""))</f>
        <v/>
      </c>
      <c r="T985" s="35" t="str">
        <f aca="false">IF($D985="","",IFERROR(INDEX(Kontenplan!$C$5:$C$90,MATCH($D985,Kontenplan!$A$5:$A$90,0)),"?"))</f>
        <v/>
      </c>
      <c r="U985" s="35" t="str">
        <f aca="false">IF($E985="","",IFERROR(INDEX(Kontenplan!$C$5:$C$90,MATCH($E985,Kontenplan!$A$5:$A$90,0)),"?"))</f>
        <v/>
      </c>
      <c r="V985" s="35" t="str">
        <f aca="false">IF($F985="","",IF(OR($D985="",$E985="",$T985="?",$U985="?"),"Konto prüfen!",IF($A985="","Datum fehlt",IF(YEAR($A985)&lt;&gt;Einstellungen!$B$7,"anderes Jahr!",IF($G985="","MWST-Code fehlt","OK")))))</f>
        <v/>
      </c>
      <c r="W985" s="35" t="str">
        <f aca="false">IF($F985="","",IF(OR($D985=Kontoauszug!$C$4,$E985=Kontoauszug!$C$4),MAX(W$4:W984)+1,""))</f>
        <v/>
      </c>
    </row>
    <row r="986" customFormat="false" ht="15" hidden="false" customHeight="false" outlineLevel="0" collapsed="false">
      <c r="A986" s="33"/>
      <c r="B986" s="32"/>
      <c r="C986" s="32"/>
      <c r="D986" s="32"/>
      <c r="E986" s="32"/>
      <c r="F986" s="30"/>
      <c r="G986" s="32"/>
      <c r="H986" s="34" t="n">
        <f aca="false">IF($G986="",0,IFERROR(INDEX(Einstellungen!$G$5:$G$11,MATCH($G986,Einstellungen!$E$5:$E$11,0)),0))</f>
        <v>0</v>
      </c>
      <c r="I986" s="35" t="str">
        <f aca="false">IF($G986="","-",IFERROR(INDEX(Einstellungen!$H$5:$H$11,MATCH($G986,Einstellungen!$E$5:$E$11,0)),"-"))</f>
        <v>-</v>
      </c>
      <c r="J986" s="35" t="str">
        <f aca="false">IF(AND(Einstellungen!$B$8="Ja",Einstellungen!$B$9="Effektiv"),$I986,"-")</f>
        <v>-</v>
      </c>
      <c r="K986" s="31" t="n">
        <f aca="false">IF(OR($F986="",$J986="-"),0,ROUND($F986-$F986/(1+$H986),2))</f>
        <v>0</v>
      </c>
      <c r="L986" s="31" t="n">
        <f aca="false">IF($F986="",0,$F986-$K986)</f>
        <v>0</v>
      </c>
      <c r="M986" s="31" t="n">
        <f aca="false">IF($F986="",0,IF($J986="V",$L986,$F986))</f>
        <v>0</v>
      </c>
      <c r="N986" s="31" t="n">
        <f aca="false">IF($F986="",0,IF($J986="U",$L986,$F986))</f>
        <v>0</v>
      </c>
      <c r="O986" s="35" t="str">
        <f aca="false">IF($A986="","",MONTH($A986))</f>
        <v/>
      </c>
      <c r="P986" s="35" t="str">
        <f aca="false">IF($A986="","",ROUNDUP(MONTH($A986)/3,0))</f>
        <v/>
      </c>
      <c r="Q986" s="35" t="str">
        <f aca="false">IF($A986="","",IF(MONTH($A986)&lt;=6,1,2))</f>
        <v/>
      </c>
      <c r="R986" s="35" t="str">
        <f aca="false">IF($E986="","",IFERROR(INDEX(Kontenplan!$F$5:$F$90,MATCH($E986,Kontenplan!$A$5:$A$90,0)),""))</f>
        <v/>
      </c>
      <c r="S986" s="35" t="str">
        <f aca="false">IF($D986="","",IFERROR(INDEX(Kontenplan!$F$5:$F$90,MATCH($D986,Kontenplan!$A$5:$A$90,0)),""))</f>
        <v/>
      </c>
      <c r="T986" s="35" t="str">
        <f aca="false">IF($D986="","",IFERROR(INDEX(Kontenplan!$C$5:$C$90,MATCH($D986,Kontenplan!$A$5:$A$90,0)),"?"))</f>
        <v/>
      </c>
      <c r="U986" s="35" t="str">
        <f aca="false">IF($E986="","",IFERROR(INDEX(Kontenplan!$C$5:$C$90,MATCH($E986,Kontenplan!$A$5:$A$90,0)),"?"))</f>
        <v/>
      </c>
      <c r="V986" s="35" t="str">
        <f aca="false">IF($F986="","",IF(OR($D986="",$E986="",$T986="?",$U986="?"),"Konto prüfen!",IF($A986="","Datum fehlt",IF(YEAR($A986)&lt;&gt;Einstellungen!$B$7,"anderes Jahr!",IF($G986="","MWST-Code fehlt","OK")))))</f>
        <v/>
      </c>
      <c r="W986" s="35" t="str">
        <f aca="false">IF($F986="","",IF(OR($D986=Kontoauszug!$C$4,$E986=Kontoauszug!$C$4),MAX(W$4:W985)+1,""))</f>
        <v/>
      </c>
    </row>
    <row r="987" customFormat="false" ht="15" hidden="false" customHeight="false" outlineLevel="0" collapsed="false">
      <c r="A987" s="33"/>
      <c r="B987" s="32"/>
      <c r="C987" s="32"/>
      <c r="D987" s="32"/>
      <c r="E987" s="32"/>
      <c r="F987" s="30"/>
      <c r="G987" s="32"/>
      <c r="H987" s="34" t="n">
        <f aca="false">IF($G987="",0,IFERROR(INDEX(Einstellungen!$G$5:$G$11,MATCH($G987,Einstellungen!$E$5:$E$11,0)),0))</f>
        <v>0</v>
      </c>
      <c r="I987" s="35" t="str">
        <f aca="false">IF($G987="","-",IFERROR(INDEX(Einstellungen!$H$5:$H$11,MATCH($G987,Einstellungen!$E$5:$E$11,0)),"-"))</f>
        <v>-</v>
      </c>
      <c r="J987" s="35" t="str">
        <f aca="false">IF(AND(Einstellungen!$B$8="Ja",Einstellungen!$B$9="Effektiv"),$I987,"-")</f>
        <v>-</v>
      </c>
      <c r="K987" s="31" t="n">
        <f aca="false">IF(OR($F987="",$J987="-"),0,ROUND($F987-$F987/(1+$H987),2))</f>
        <v>0</v>
      </c>
      <c r="L987" s="31" t="n">
        <f aca="false">IF($F987="",0,$F987-$K987)</f>
        <v>0</v>
      </c>
      <c r="M987" s="31" t="n">
        <f aca="false">IF($F987="",0,IF($J987="V",$L987,$F987))</f>
        <v>0</v>
      </c>
      <c r="N987" s="31" t="n">
        <f aca="false">IF($F987="",0,IF($J987="U",$L987,$F987))</f>
        <v>0</v>
      </c>
      <c r="O987" s="35" t="str">
        <f aca="false">IF($A987="","",MONTH($A987))</f>
        <v/>
      </c>
      <c r="P987" s="35" t="str">
        <f aca="false">IF($A987="","",ROUNDUP(MONTH($A987)/3,0))</f>
        <v/>
      </c>
      <c r="Q987" s="35" t="str">
        <f aca="false">IF($A987="","",IF(MONTH($A987)&lt;=6,1,2))</f>
        <v/>
      </c>
      <c r="R987" s="35" t="str">
        <f aca="false">IF($E987="","",IFERROR(INDEX(Kontenplan!$F$5:$F$90,MATCH($E987,Kontenplan!$A$5:$A$90,0)),""))</f>
        <v/>
      </c>
      <c r="S987" s="35" t="str">
        <f aca="false">IF($D987="","",IFERROR(INDEX(Kontenplan!$F$5:$F$90,MATCH($D987,Kontenplan!$A$5:$A$90,0)),""))</f>
        <v/>
      </c>
      <c r="T987" s="35" t="str">
        <f aca="false">IF($D987="","",IFERROR(INDEX(Kontenplan!$C$5:$C$90,MATCH($D987,Kontenplan!$A$5:$A$90,0)),"?"))</f>
        <v/>
      </c>
      <c r="U987" s="35" t="str">
        <f aca="false">IF($E987="","",IFERROR(INDEX(Kontenplan!$C$5:$C$90,MATCH($E987,Kontenplan!$A$5:$A$90,0)),"?"))</f>
        <v/>
      </c>
      <c r="V987" s="35" t="str">
        <f aca="false">IF($F987="","",IF(OR($D987="",$E987="",$T987="?",$U987="?"),"Konto prüfen!",IF($A987="","Datum fehlt",IF(YEAR($A987)&lt;&gt;Einstellungen!$B$7,"anderes Jahr!",IF($G987="","MWST-Code fehlt","OK")))))</f>
        <v/>
      </c>
      <c r="W987" s="35" t="str">
        <f aca="false">IF($F987="","",IF(OR($D987=Kontoauszug!$C$4,$E987=Kontoauszug!$C$4),MAX(W$4:W986)+1,""))</f>
        <v/>
      </c>
    </row>
    <row r="988" customFormat="false" ht="15" hidden="false" customHeight="false" outlineLevel="0" collapsed="false">
      <c r="A988" s="33"/>
      <c r="B988" s="32"/>
      <c r="C988" s="32"/>
      <c r="D988" s="32"/>
      <c r="E988" s="32"/>
      <c r="F988" s="30"/>
      <c r="G988" s="32"/>
      <c r="H988" s="34" t="n">
        <f aca="false">IF($G988="",0,IFERROR(INDEX(Einstellungen!$G$5:$G$11,MATCH($G988,Einstellungen!$E$5:$E$11,0)),0))</f>
        <v>0</v>
      </c>
      <c r="I988" s="35" t="str">
        <f aca="false">IF($G988="","-",IFERROR(INDEX(Einstellungen!$H$5:$H$11,MATCH($G988,Einstellungen!$E$5:$E$11,0)),"-"))</f>
        <v>-</v>
      </c>
      <c r="J988" s="35" t="str">
        <f aca="false">IF(AND(Einstellungen!$B$8="Ja",Einstellungen!$B$9="Effektiv"),$I988,"-")</f>
        <v>-</v>
      </c>
      <c r="K988" s="31" t="n">
        <f aca="false">IF(OR($F988="",$J988="-"),0,ROUND($F988-$F988/(1+$H988),2))</f>
        <v>0</v>
      </c>
      <c r="L988" s="31" t="n">
        <f aca="false">IF($F988="",0,$F988-$K988)</f>
        <v>0</v>
      </c>
      <c r="M988" s="31" t="n">
        <f aca="false">IF($F988="",0,IF($J988="V",$L988,$F988))</f>
        <v>0</v>
      </c>
      <c r="N988" s="31" t="n">
        <f aca="false">IF($F988="",0,IF($J988="U",$L988,$F988))</f>
        <v>0</v>
      </c>
      <c r="O988" s="35" t="str">
        <f aca="false">IF($A988="","",MONTH($A988))</f>
        <v/>
      </c>
      <c r="P988" s="35" t="str">
        <f aca="false">IF($A988="","",ROUNDUP(MONTH($A988)/3,0))</f>
        <v/>
      </c>
      <c r="Q988" s="35" t="str">
        <f aca="false">IF($A988="","",IF(MONTH($A988)&lt;=6,1,2))</f>
        <v/>
      </c>
      <c r="R988" s="35" t="str">
        <f aca="false">IF($E988="","",IFERROR(INDEX(Kontenplan!$F$5:$F$90,MATCH($E988,Kontenplan!$A$5:$A$90,0)),""))</f>
        <v/>
      </c>
      <c r="S988" s="35" t="str">
        <f aca="false">IF($D988="","",IFERROR(INDEX(Kontenplan!$F$5:$F$90,MATCH($D988,Kontenplan!$A$5:$A$90,0)),""))</f>
        <v/>
      </c>
      <c r="T988" s="35" t="str">
        <f aca="false">IF($D988="","",IFERROR(INDEX(Kontenplan!$C$5:$C$90,MATCH($D988,Kontenplan!$A$5:$A$90,0)),"?"))</f>
        <v/>
      </c>
      <c r="U988" s="35" t="str">
        <f aca="false">IF($E988="","",IFERROR(INDEX(Kontenplan!$C$5:$C$90,MATCH($E988,Kontenplan!$A$5:$A$90,0)),"?"))</f>
        <v/>
      </c>
      <c r="V988" s="35" t="str">
        <f aca="false">IF($F988="","",IF(OR($D988="",$E988="",$T988="?",$U988="?"),"Konto prüfen!",IF($A988="","Datum fehlt",IF(YEAR($A988)&lt;&gt;Einstellungen!$B$7,"anderes Jahr!",IF($G988="","MWST-Code fehlt","OK")))))</f>
        <v/>
      </c>
      <c r="W988" s="35" t="str">
        <f aca="false">IF($F988="","",IF(OR($D988=Kontoauszug!$C$4,$E988=Kontoauszug!$C$4),MAX(W$4:W987)+1,""))</f>
        <v/>
      </c>
    </row>
    <row r="989" customFormat="false" ht="15" hidden="false" customHeight="false" outlineLevel="0" collapsed="false">
      <c r="A989" s="33"/>
      <c r="B989" s="32"/>
      <c r="C989" s="32"/>
      <c r="D989" s="32"/>
      <c r="E989" s="32"/>
      <c r="F989" s="30"/>
      <c r="G989" s="32"/>
      <c r="H989" s="34" t="n">
        <f aca="false">IF($G989="",0,IFERROR(INDEX(Einstellungen!$G$5:$G$11,MATCH($G989,Einstellungen!$E$5:$E$11,0)),0))</f>
        <v>0</v>
      </c>
      <c r="I989" s="35" t="str">
        <f aca="false">IF($G989="","-",IFERROR(INDEX(Einstellungen!$H$5:$H$11,MATCH($G989,Einstellungen!$E$5:$E$11,0)),"-"))</f>
        <v>-</v>
      </c>
      <c r="J989" s="35" t="str">
        <f aca="false">IF(AND(Einstellungen!$B$8="Ja",Einstellungen!$B$9="Effektiv"),$I989,"-")</f>
        <v>-</v>
      </c>
      <c r="K989" s="31" t="n">
        <f aca="false">IF(OR($F989="",$J989="-"),0,ROUND($F989-$F989/(1+$H989),2))</f>
        <v>0</v>
      </c>
      <c r="L989" s="31" t="n">
        <f aca="false">IF($F989="",0,$F989-$K989)</f>
        <v>0</v>
      </c>
      <c r="M989" s="31" t="n">
        <f aca="false">IF($F989="",0,IF($J989="V",$L989,$F989))</f>
        <v>0</v>
      </c>
      <c r="N989" s="31" t="n">
        <f aca="false">IF($F989="",0,IF($J989="U",$L989,$F989))</f>
        <v>0</v>
      </c>
      <c r="O989" s="35" t="str">
        <f aca="false">IF($A989="","",MONTH($A989))</f>
        <v/>
      </c>
      <c r="P989" s="35" t="str">
        <f aca="false">IF($A989="","",ROUNDUP(MONTH($A989)/3,0))</f>
        <v/>
      </c>
      <c r="Q989" s="35" t="str">
        <f aca="false">IF($A989="","",IF(MONTH($A989)&lt;=6,1,2))</f>
        <v/>
      </c>
      <c r="R989" s="35" t="str">
        <f aca="false">IF($E989="","",IFERROR(INDEX(Kontenplan!$F$5:$F$90,MATCH($E989,Kontenplan!$A$5:$A$90,0)),""))</f>
        <v/>
      </c>
      <c r="S989" s="35" t="str">
        <f aca="false">IF($D989="","",IFERROR(INDEX(Kontenplan!$F$5:$F$90,MATCH($D989,Kontenplan!$A$5:$A$90,0)),""))</f>
        <v/>
      </c>
      <c r="T989" s="35" t="str">
        <f aca="false">IF($D989="","",IFERROR(INDEX(Kontenplan!$C$5:$C$90,MATCH($D989,Kontenplan!$A$5:$A$90,0)),"?"))</f>
        <v/>
      </c>
      <c r="U989" s="35" t="str">
        <f aca="false">IF($E989="","",IFERROR(INDEX(Kontenplan!$C$5:$C$90,MATCH($E989,Kontenplan!$A$5:$A$90,0)),"?"))</f>
        <v/>
      </c>
      <c r="V989" s="35" t="str">
        <f aca="false">IF($F989="","",IF(OR($D989="",$E989="",$T989="?",$U989="?"),"Konto prüfen!",IF($A989="","Datum fehlt",IF(YEAR($A989)&lt;&gt;Einstellungen!$B$7,"anderes Jahr!",IF($G989="","MWST-Code fehlt","OK")))))</f>
        <v/>
      </c>
      <c r="W989" s="35" t="str">
        <f aca="false">IF($F989="","",IF(OR($D989=Kontoauszug!$C$4,$E989=Kontoauszug!$C$4),MAX(W$4:W988)+1,""))</f>
        <v/>
      </c>
    </row>
    <row r="990" customFormat="false" ht="15" hidden="false" customHeight="false" outlineLevel="0" collapsed="false">
      <c r="A990" s="33"/>
      <c r="B990" s="32"/>
      <c r="C990" s="32"/>
      <c r="D990" s="32"/>
      <c r="E990" s="32"/>
      <c r="F990" s="30"/>
      <c r="G990" s="32"/>
      <c r="H990" s="34" t="n">
        <f aca="false">IF($G990="",0,IFERROR(INDEX(Einstellungen!$G$5:$G$11,MATCH($G990,Einstellungen!$E$5:$E$11,0)),0))</f>
        <v>0</v>
      </c>
      <c r="I990" s="35" t="str">
        <f aca="false">IF($G990="","-",IFERROR(INDEX(Einstellungen!$H$5:$H$11,MATCH($G990,Einstellungen!$E$5:$E$11,0)),"-"))</f>
        <v>-</v>
      </c>
      <c r="J990" s="35" t="str">
        <f aca="false">IF(AND(Einstellungen!$B$8="Ja",Einstellungen!$B$9="Effektiv"),$I990,"-")</f>
        <v>-</v>
      </c>
      <c r="K990" s="31" t="n">
        <f aca="false">IF(OR($F990="",$J990="-"),0,ROUND($F990-$F990/(1+$H990),2))</f>
        <v>0</v>
      </c>
      <c r="L990" s="31" t="n">
        <f aca="false">IF($F990="",0,$F990-$K990)</f>
        <v>0</v>
      </c>
      <c r="M990" s="31" t="n">
        <f aca="false">IF($F990="",0,IF($J990="V",$L990,$F990))</f>
        <v>0</v>
      </c>
      <c r="N990" s="31" t="n">
        <f aca="false">IF($F990="",0,IF($J990="U",$L990,$F990))</f>
        <v>0</v>
      </c>
      <c r="O990" s="35" t="str">
        <f aca="false">IF($A990="","",MONTH($A990))</f>
        <v/>
      </c>
      <c r="P990" s="35" t="str">
        <f aca="false">IF($A990="","",ROUNDUP(MONTH($A990)/3,0))</f>
        <v/>
      </c>
      <c r="Q990" s="35" t="str">
        <f aca="false">IF($A990="","",IF(MONTH($A990)&lt;=6,1,2))</f>
        <v/>
      </c>
      <c r="R990" s="35" t="str">
        <f aca="false">IF($E990="","",IFERROR(INDEX(Kontenplan!$F$5:$F$90,MATCH($E990,Kontenplan!$A$5:$A$90,0)),""))</f>
        <v/>
      </c>
      <c r="S990" s="35" t="str">
        <f aca="false">IF($D990="","",IFERROR(INDEX(Kontenplan!$F$5:$F$90,MATCH($D990,Kontenplan!$A$5:$A$90,0)),""))</f>
        <v/>
      </c>
      <c r="T990" s="35" t="str">
        <f aca="false">IF($D990="","",IFERROR(INDEX(Kontenplan!$C$5:$C$90,MATCH($D990,Kontenplan!$A$5:$A$90,0)),"?"))</f>
        <v/>
      </c>
      <c r="U990" s="35" t="str">
        <f aca="false">IF($E990="","",IFERROR(INDEX(Kontenplan!$C$5:$C$90,MATCH($E990,Kontenplan!$A$5:$A$90,0)),"?"))</f>
        <v/>
      </c>
      <c r="V990" s="35" t="str">
        <f aca="false">IF($F990="","",IF(OR($D990="",$E990="",$T990="?",$U990="?"),"Konto prüfen!",IF($A990="","Datum fehlt",IF(YEAR($A990)&lt;&gt;Einstellungen!$B$7,"anderes Jahr!",IF($G990="","MWST-Code fehlt","OK")))))</f>
        <v/>
      </c>
      <c r="W990" s="35" t="str">
        <f aca="false">IF($F990="","",IF(OR($D990=Kontoauszug!$C$4,$E990=Kontoauszug!$C$4),MAX(W$4:W989)+1,""))</f>
        <v/>
      </c>
    </row>
    <row r="991" customFormat="false" ht="15" hidden="false" customHeight="false" outlineLevel="0" collapsed="false">
      <c r="A991" s="33"/>
      <c r="B991" s="32"/>
      <c r="C991" s="32"/>
      <c r="D991" s="32"/>
      <c r="E991" s="32"/>
      <c r="F991" s="30"/>
      <c r="G991" s="32"/>
      <c r="H991" s="34" t="n">
        <f aca="false">IF($G991="",0,IFERROR(INDEX(Einstellungen!$G$5:$G$11,MATCH($G991,Einstellungen!$E$5:$E$11,0)),0))</f>
        <v>0</v>
      </c>
      <c r="I991" s="35" t="str">
        <f aca="false">IF($G991="","-",IFERROR(INDEX(Einstellungen!$H$5:$H$11,MATCH($G991,Einstellungen!$E$5:$E$11,0)),"-"))</f>
        <v>-</v>
      </c>
      <c r="J991" s="35" t="str">
        <f aca="false">IF(AND(Einstellungen!$B$8="Ja",Einstellungen!$B$9="Effektiv"),$I991,"-")</f>
        <v>-</v>
      </c>
      <c r="K991" s="31" t="n">
        <f aca="false">IF(OR($F991="",$J991="-"),0,ROUND($F991-$F991/(1+$H991),2))</f>
        <v>0</v>
      </c>
      <c r="L991" s="31" t="n">
        <f aca="false">IF($F991="",0,$F991-$K991)</f>
        <v>0</v>
      </c>
      <c r="M991" s="31" t="n">
        <f aca="false">IF($F991="",0,IF($J991="V",$L991,$F991))</f>
        <v>0</v>
      </c>
      <c r="N991" s="31" t="n">
        <f aca="false">IF($F991="",0,IF($J991="U",$L991,$F991))</f>
        <v>0</v>
      </c>
      <c r="O991" s="35" t="str">
        <f aca="false">IF($A991="","",MONTH($A991))</f>
        <v/>
      </c>
      <c r="P991" s="35" t="str">
        <f aca="false">IF($A991="","",ROUNDUP(MONTH($A991)/3,0))</f>
        <v/>
      </c>
      <c r="Q991" s="35" t="str">
        <f aca="false">IF($A991="","",IF(MONTH($A991)&lt;=6,1,2))</f>
        <v/>
      </c>
      <c r="R991" s="35" t="str">
        <f aca="false">IF($E991="","",IFERROR(INDEX(Kontenplan!$F$5:$F$90,MATCH($E991,Kontenplan!$A$5:$A$90,0)),""))</f>
        <v/>
      </c>
      <c r="S991" s="35" t="str">
        <f aca="false">IF($D991="","",IFERROR(INDEX(Kontenplan!$F$5:$F$90,MATCH($D991,Kontenplan!$A$5:$A$90,0)),""))</f>
        <v/>
      </c>
      <c r="T991" s="35" t="str">
        <f aca="false">IF($D991="","",IFERROR(INDEX(Kontenplan!$C$5:$C$90,MATCH($D991,Kontenplan!$A$5:$A$90,0)),"?"))</f>
        <v/>
      </c>
      <c r="U991" s="35" t="str">
        <f aca="false">IF($E991="","",IFERROR(INDEX(Kontenplan!$C$5:$C$90,MATCH($E991,Kontenplan!$A$5:$A$90,0)),"?"))</f>
        <v/>
      </c>
      <c r="V991" s="35" t="str">
        <f aca="false">IF($F991="","",IF(OR($D991="",$E991="",$T991="?",$U991="?"),"Konto prüfen!",IF($A991="","Datum fehlt",IF(YEAR($A991)&lt;&gt;Einstellungen!$B$7,"anderes Jahr!",IF($G991="","MWST-Code fehlt","OK")))))</f>
        <v/>
      </c>
      <c r="W991" s="35" t="str">
        <f aca="false">IF($F991="","",IF(OR($D991=Kontoauszug!$C$4,$E991=Kontoauszug!$C$4),MAX(W$4:W990)+1,""))</f>
        <v/>
      </c>
    </row>
    <row r="992" customFormat="false" ht="15" hidden="false" customHeight="false" outlineLevel="0" collapsed="false">
      <c r="A992" s="33"/>
      <c r="B992" s="32"/>
      <c r="C992" s="32"/>
      <c r="D992" s="32"/>
      <c r="E992" s="32"/>
      <c r="F992" s="30"/>
      <c r="G992" s="32"/>
      <c r="H992" s="34" t="n">
        <f aca="false">IF($G992="",0,IFERROR(INDEX(Einstellungen!$G$5:$G$11,MATCH($G992,Einstellungen!$E$5:$E$11,0)),0))</f>
        <v>0</v>
      </c>
      <c r="I992" s="35" t="str">
        <f aca="false">IF($G992="","-",IFERROR(INDEX(Einstellungen!$H$5:$H$11,MATCH($G992,Einstellungen!$E$5:$E$11,0)),"-"))</f>
        <v>-</v>
      </c>
      <c r="J992" s="35" t="str">
        <f aca="false">IF(AND(Einstellungen!$B$8="Ja",Einstellungen!$B$9="Effektiv"),$I992,"-")</f>
        <v>-</v>
      </c>
      <c r="K992" s="31" t="n">
        <f aca="false">IF(OR($F992="",$J992="-"),0,ROUND($F992-$F992/(1+$H992),2))</f>
        <v>0</v>
      </c>
      <c r="L992" s="31" t="n">
        <f aca="false">IF($F992="",0,$F992-$K992)</f>
        <v>0</v>
      </c>
      <c r="M992" s="31" t="n">
        <f aca="false">IF($F992="",0,IF($J992="V",$L992,$F992))</f>
        <v>0</v>
      </c>
      <c r="N992" s="31" t="n">
        <f aca="false">IF($F992="",0,IF($J992="U",$L992,$F992))</f>
        <v>0</v>
      </c>
      <c r="O992" s="35" t="str">
        <f aca="false">IF($A992="","",MONTH($A992))</f>
        <v/>
      </c>
      <c r="P992" s="35" t="str">
        <f aca="false">IF($A992="","",ROUNDUP(MONTH($A992)/3,0))</f>
        <v/>
      </c>
      <c r="Q992" s="35" t="str">
        <f aca="false">IF($A992="","",IF(MONTH($A992)&lt;=6,1,2))</f>
        <v/>
      </c>
      <c r="R992" s="35" t="str">
        <f aca="false">IF($E992="","",IFERROR(INDEX(Kontenplan!$F$5:$F$90,MATCH($E992,Kontenplan!$A$5:$A$90,0)),""))</f>
        <v/>
      </c>
      <c r="S992" s="35" t="str">
        <f aca="false">IF($D992="","",IFERROR(INDEX(Kontenplan!$F$5:$F$90,MATCH($D992,Kontenplan!$A$5:$A$90,0)),""))</f>
        <v/>
      </c>
      <c r="T992" s="35" t="str">
        <f aca="false">IF($D992="","",IFERROR(INDEX(Kontenplan!$C$5:$C$90,MATCH($D992,Kontenplan!$A$5:$A$90,0)),"?"))</f>
        <v/>
      </c>
      <c r="U992" s="35" t="str">
        <f aca="false">IF($E992="","",IFERROR(INDEX(Kontenplan!$C$5:$C$90,MATCH($E992,Kontenplan!$A$5:$A$90,0)),"?"))</f>
        <v/>
      </c>
      <c r="V992" s="35" t="str">
        <f aca="false">IF($F992="","",IF(OR($D992="",$E992="",$T992="?",$U992="?"),"Konto prüfen!",IF($A992="","Datum fehlt",IF(YEAR($A992)&lt;&gt;Einstellungen!$B$7,"anderes Jahr!",IF($G992="","MWST-Code fehlt","OK")))))</f>
        <v/>
      </c>
      <c r="W992" s="35" t="str">
        <f aca="false">IF($F992="","",IF(OR($D992=Kontoauszug!$C$4,$E992=Kontoauszug!$C$4),MAX(W$4:W991)+1,""))</f>
        <v/>
      </c>
    </row>
    <row r="993" customFormat="false" ht="15" hidden="false" customHeight="false" outlineLevel="0" collapsed="false">
      <c r="A993" s="33"/>
      <c r="B993" s="32"/>
      <c r="C993" s="32"/>
      <c r="D993" s="32"/>
      <c r="E993" s="32"/>
      <c r="F993" s="30"/>
      <c r="G993" s="32"/>
      <c r="H993" s="34" t="n">
        <f aca="false">IF($G993="",0,IFERROR(INDEX(Einstellungen!$G$5:$G$11,MATCH($G993,Einstellungen!$E$5:$E$11,0)),0))</f>
        <v>0</v>
      </c>
      <c r="I993" s="35" t="str">
        <f aca="false">IF($G993="","-",IFERROR(INDEX(Einstellungen!$H$5:$H$11,MATCH($G993,Einstellungen!$E$5:$E$11,0)),"-"))</f>
        <v>-</v>
      </c>
      <c r="J993" s="35" t="str">
        <f aca="false">IF(AND(Einstellungen!$B$8="Ja",Einstellungen!$B$9="Effektiv"),$I993,"-")</f>
        <v>-</v>
      </c>
      <c r="K993" s="31" t="n">
        <f aca="false">IF(OR($F993="",$J993="-"),0,ROUND($F993-$F993/(1+$H993),2))</f>
        <v>0</v>
      </c>
      <c r="L993" s="31" t="n">
        <f aca="false">IF($F993="",0,$F993-$K993)</f>
        <v>0</v>
      </c>
      <c r="M993" s="31" t="n">
        <f aca="false">IF($F993="",0,IF($J993="V",$L993,$F993))</f>
        <v>0</v>
      </c>
      <c r="N993" s="31" t="n">
        <f aca="false">IF($F993="",0,IF($J993="U",$L993,$F993))</f>
        <v>0</v>
      </c>
      <c r="O993" s="35" t="str">
        <f aca="false">IF($A993="","",MONTH($A993))</f>
        <v/>
      </c>
      <c r="P993" s="35" t="str">
        <f aca="false">IF($A993="","",ROUNDUP(MONTH($A993)/3,0))</f>
        <v/>
      </c>
      <c r="Q993" s="35" t="str">
        <f aca="false">IF($A993="","",IF(MONTH($A993)&lt;=6,1,2))</f>
        <v/>
      </c>
      <c r="R993" s="35" t="str">
        <f aca="false">IF($E993="","",IFERROR(INDEX(Kontenplan!$F$5:$F$90,MATCH($E993,Kontenplan!$A$5:$A$90,0)),""))</f>
        <v/>
      </c>
      <c r="S993" s="35" t="str">
        <f aca="false">IF($D993="","",IFERROR(INDEX(Kontenplan!$F$5:$F$90,MATCH($D993,Kontenplan!$A$5:$A$90,0)),""))</f>
        <v/>
      </c>
      <c r="T993" s="35" t="str">
        <f aca="false">IF($D993="","",IFERROR(INDEX(Kontenplan!$C$5:$C$90,MATCH($D993,Kontenplan!$A$5:$A$90,0)),"?"))</f>
        <v/>
      </c>
      <c r="U993" s="35" t="str">
        <f aca="false">IF($E993="","",IFERROR(INDEX(Kontenplan!$C$5:$C$90,MATCH($E993,Kontenplan!$A$5:$A$90,0)),"?"))</f>
        <v/>
      </c>
      <c r="V993" s="35" t="str">
        <f aca="false">IF($F993="","",IF(OR($D993="",$E993="",$T993="?",$U993="?"),"Konto prüfen!",IF($A993="","Datum fehlt",IF(YEAR($A993)&lt;&gt;Einstellungen!$B$7,"anderes Jahr!",IF($G993="","MWST-Code fehlt","OK")))))</f>
        <v/>
      </c>
      <c r="W993" s="35" t="str">
        <f aca="false">IF($F993="","",IF(OR($D993=Kontoauszug!$C$4,$E993=Kontoauszug!$C$4),MAX(W$4:W992)+1,""))</f>
        <v/>
      </c>
    </row>
    <row r="994" customFormat="false" ht="15" hidden="false" customHeight="false" outlineLevel="0" collapsed="false">
      <c r="A994" s="33"/>
      <c r="B994" s="32"/>
      <c r="C994" s="32"/>
      <c r="D994" s="32"/>
      <c r="E994" s="32"/>
      <c r="F994" s="30"/>
      <c r="G994" s="32"/>
      <c r="H994" s="34" t="n">
        <f aca="false">IF($G994="",0,IFERROR(INDEX(Einstellungen!$G$5:$G$11,MATCH($G994,Einstellungen!$E$5:$E$11,0)),0))</f>
        <v>0</v>
      </c>
      <c r="I994" s="35" t="str">
        <f aca="false">IF($G994="","-",IFERROR(INDEX(Einstellungen!$H$5:$H$11,MATCH($G994,Einstellungen!$E$5:$E$11,0)),"-"))</f>
        <v>-</v>
      </c>
      <c r="J994" s="35" t="str">
        <f aca="false">IF(AND(Einstellungen!$B$8="Ja",Einstellungen!$B$9="Effektiv"),$I994,"-")</f>
        <v>-</v>
      </c>
      <c r="K994" s="31" t="n">
        <f aca="false">IF(OR($F994="",$J994="-"),0,ROUND($F994-$F994/(1+$H994),2))</f>
        <v>0</v>
      </c>
      <c r="L994" s="31" t="n">
        <f aca="false">IF($F994="",0,$F994-$K994)</f>
        <v>0</v>
      </c>
      <c r="M994" s="31" t="n">
        <f aca="false">IF($F994="",0,IF($J994="V",$L994,$F994))</f>
        <v>0</v>
      </c>
      <c r="N994" s="31" t="n">
        <f aca="false">IF($F994="",0,IF($J994="U",$L994,$F994))</f>
        <v>0</v>
      </c>
      <c r="O994" s="35" t="str">
        <f aca="false">IF($A994="","",MONTH($A994))</f>
        <v/>
      </c>
      <c r="P994" s="35" t="str">
        <f aca="false">IF($A994="","",ROUNDUP(MONTH($A994)/3,0))</f>
        <v/>
      </c>
      <c r="Q994" s="35" t="str">
        <f aca="false">IF($A994="","",IF(MONTH($A994)&lt;=6,1,2))</f>
        <v/>
      </c>
      <c r="R994" s="35" t="str">
        <f aca="false">IF($E994="","",IFERROR(INDEX(Kontenplan!$F$5:$F$90,MATCH($E994,Kontenplan!$A$5:$A$90,0)),""))</f>
        <v/>
      </c>
      <c r="S994" s="35" t="str">
        <f aca="false">IF($D994="","",IFERROR(INDEX(Kontenplan!$F$5:$F$90,MATCH($D994,Kontenplan!$A$5:$A$90,0)),""))</f>
        <v/>
      </c>
      <c r="T994" s="35" t="str">
        <f aca="false">IF($D994="","",IFERROR(INDEX(Kontenplan!$C$5:$C$90,MATCH($D994,Kontenplan!$A$5:$A$90,0)),"?"))</f>
        <v/>
      </c>
      <c r="U994" s="35" t="str">
        <f aca="false">IF($E994="","",IFERROR(INDEX(Kontenplan!$C$5:$C$90,MATCH($E994,Kontenplan!$A$5:$A$90,0)),"?"))</f>
        <v/>
      </c>
      <c r="V994" s="35" t="str">
        <f aca="false">IF($F994="","",IF(OR($D994="",$E994="",$T994="?",$U994="?"),"Konto prüfen!",IF($A994="","Datum fehlt",IF(YEAR($A994)&lt;&gt;Einstellungen!$B$7,"anderes Jahr!",IF($G994="","MWST-Code fehlt","OK")))))</f>
        <v/>
      </c>
      <c r="W994" s="35" t="str">
        <f aca="false">IF($F994="","",IF(OR($D994=Kontoauszug!$C$4,$E994=Kontoauszug!$C$4),MAX(W$4:W993)+1,""))</f>
        <v/>
      </c>
    </row>
    <row r="995" customFormat="false" ht="15" hidden="false" customHeight="false" outlineLevel="0" collapsed="false">
      <c r="A995" s="33"/>
      <c r="B995" s="32"/>
      <c r="C995" s="32"/>
      <c r="D995" s="32"/>
      <c r="E995" s="32"/>
      <c r="F995" s="30"/>
      <c r="G995" s="32"/>
      <c r="H995" s="34" t="n">
        <f aca="false">IF($G995="",0,IFERROR(INDEX(Einstellungen!$G$5:$G$11,MATCH($G995,Einstellungen!$E$5:$E$11,0)),0))</f>
        <v>0</v>
      </c>
      <c r="I995" s="35" t="str">
        <f aca="false">IF($G995="","-",IFERROR(INDEX(Einstellungen!$H$5:$H$11,MATCH($G995,Einstellungen!$E$5:$E$11,0)),"-"))</f>
        <v>-</v>
      </c>
      <c r="J995" s="35" t="str">
        <f aca="false">IF(AND(Einstellungen!$B$8="Ja",Einstellungen!$B$9="Effektiv"),$I995,"-")</f>
        <v>-</v>
      </c>
      <c r="K995" s="31" t="n">
        <f aca="false">IF(OR($F995="",$J995="-"),0,ROUND($F995-$F995/(1+$H995),2))</f>
        <v>0</v>
      </c>
      <c r="L995" s="31" t="n">
        <f aca="false">IF($F995="",0,$F995-$K995)</f>
        <v>0</v>
      </c>
      <c r="M995" s="31" t="n">
        <f aca="false">IF($F995="",0,IF($J995="V",$L995,$F995))</f>
        <v>0</v>
      </c>
      <c r="N995" s="31" t="n">
        <f aca="false">IF($F995="",0,IF($J995="U",$L995,$F995))</f>
        <v>0</v>
      </c>
      <c r="O995" s="35" t="str">
        <f aca="false">IF($A995="","",MONTH($A995))</f>
        <v/>
      </c>
      <c r="P995" s="35" t="str">
        <f aca="false">IF($A995="","",ROUNDUP(MONTH($A995)/3,0))</f>
        <v/>
      </c>
      <c r="Q995" s="35" t="str">
        <f aca="false">IF($A995="","",IF(MONTH($A995)&lt;=6,1,2))</f>
        <v/>
      </c>
      <c r="R995" s="35" t="str">
        <f aca="false">IF($E995="","",IFERROR(INDEX(Kontenplan!$F$5:$F$90,MATCH($E995,Kontenplan!$A$5:$A$90,0)),""))</f>
        <v/>
      </c>
      <c r="S995" s="35" t="str">
        <f aca="false">IF($D995="","",IFERROR(INDEX(Kontenplan!$F$5:$F$90,MATCH($D995,Kontenplan!$A$5:$A$90,0)),""))</f>
        <v/>
      </c>
      <c r="T995" s="35" t="str">
        <f aca="false">IF($D995="","",IFERROR(INDEX(Kontenplan!$C$5:$C$90,MATCH($D995,Kontenplan!$A$5:$A$90,0)),"?"))</f>
        <v/>
      </c>
      <c r="U995" s="35" t="str">
        <f aca="false">IF($E995="","",IFERROR(INDEX(Kontenplan!$C$5:$C$90,MATCH($E995,Kontenplan!$A$5:$A$90,0)),"?"))</f>
        <v/>
      </c>
      <c r="V995" s="35" t="str">
        <f aca="false">IF($F995="","",IF(OR($D995="",$E995="",$T995="?",$U995="?"),"Konto prüfen!",IF($A995="","Datum fehlt",IF(YEAR($A995)&lt;&gt;Einstellungen!$B$7,"anderes Jahr!",IF($G995="","MWST-Code fehlt","OK")))))</f>
        <v/>
      </c>
      <c r="W995" s="35" t="str">
        <f aca="false">IF($F995="","",IF(OR($D995=Kontoauszug!$C$4,$E995=Kontoauszug!$C$4),MAX(W$4:W994)+1,""))</f>
        <v/>
      </c>
    </row>
    <row r="996" customFormat="false" ht="15" hidden="false" customHeight="false" outlineLevel="0" collapsed="false">
      <c r="A996" s="33"/>
      <c r="B996" s="32"/>
      <c r="C996" s="32"/>
      <c r="D996" s="32"/>
      <c r="E996" s="32"/>
      <c r="F996" s="30"/>
      <c r="G996" s="32"/>
      <c r="H996" s="34" t="n">
        <f aca="false">IF($G996="",0,IFERROR(INDEX(Einstellungen!$G$5:$G$11,MATCH($G996,Einstellungen!$E$5:$E$11,0)),0))</f>
        <v>0</v>
      </c>
      <c r="I996" s="35" t="str">
        <f aca="false">IF($G996="","-",IFERROR(INDEX(Einstellungen!$H$5:$H$11,MATCH($G996,Einstellungen!$E$5:$E$11,0)),"-"))</f>
        <v>-</v>
      </c>
      <c r="J996" s="35" t="str">
        <f aca="false">IF(AND(Einstellungen!$B$8="Ja",Einstellungen!$B$9="Effektiv"),$I996,"-")</f>
        <v>-</v>
      </c>
      <c r="K996" s="31" t="n">
        <f aca="false">IF(OR($F996="",$J996="-"),0,ROUND($F996-$F996/(1+$H996),2))</f>
        <v>0</v>
      </c>
      <c r="L996" s="31" t="n">
        <f aca="false">IF($F996="",0,$F996-$K996)</f>
        <v>0</v>
      </c>
      <c r="M996" s="31" t="n">
        <f aca="false">IF($F996="",0,IF($J996="V",$L996,$F996))</f>
        <v>0</v>
      </c>
      <c r="N996" s="31" t="n">
        <f aca="false">IF($F996="",0,IF($J996="U",$L996,$F996))</f>
        <v>0</v>
      </c>
      <c r="O996" s="35" t="str">
        <f aca="false">IF($A996="","",MONTH($A996))</f>
        <v/>
      </c>
      <c r="P996" s="35" t="str">
        <f aca="false">IF($A996="","",ROUNDUP(MONTH($A996)/3,0))</f>
        <v/>
      </c>
      <c r="Q996" s="35" t="str">
        <f aca="false">IF($A996="","",IF(MONTH($A996)&lt;=6,1,2))</f>
        <v/>
      </c>
      <c r="R996" s="35" t="str">
        <f aca="false">IF($E996="","",IFERROR(INDEX(Kontenplan!$F$5:$F$90,MATCH($E996,Kontenplan!$A$5:$A$90,0)),""))</f>
        <v/>
      </c>
      <c r="S996" s="35" t="str">
        <f aca="false">IF($D996="","",IFERROR(INDEX(Kontenplan!$F$5:$F$90,MATCH($D996,Kontenplan!$A$5:$A$90,0)),""))</f>
        <v/>
      </c>
      <c r="T996" s="35" t="str">
        <f aca="false">IF($D996="","",IFERROR(INDEX(Kontenplan!$C$5:$C$90,MATCH($D996,Kontenplan!$A$5:$A$90,0)),"?"))</f>
        <v/>
      </c>
      <c r="U996" s="35" t="str">
        <f aca="false">IF($E996="","",IFERROR(INDEX(Kontenplan!$C$5:$C$90,MATCH($E996,Kontenplan!$A$5:$A$90,0)),"?"))</f>
        <v/>
      </c>
      <c r="V996" s="35" t="str">
        <f aca="false">IF($F996="","",IF(OR($D996="",$E996="",$T996="?",$U996="?"),"Konto prüfen!",IF($A996="","Datum fehlt",IF(YEAR($A996)&lt;&gt;Einstellungen!$B$7,"anderes Jahr!",IF($G996="","MWST-Code fehlt","OK")))))</f>
        <v/>
      </c>
      <c r="W996" s="35" t="str">
        <f aca="false">IF($F996="","",IF(OR($D996=Kontoauszug!$C$4,$E996=Kontoauszug!$C$4),MAX(W$4:W995)+1,""))</f>
        <v/>
      </c>
    </row>
    <row r="997" customFormat="false" ht="15" hidden="false" customHeight="false" outlineLevel="0" collapsed="false">
      <c r="A997" s="33"/>
      <c r="B997" s="32"/>
      <c r="C997" s="32"/>
      <c r="D997" s="32"/>
      <c r="E997" s="32"/>
      <c r="F997" s="30"/>
      <c r="G997" s="32"/>
      <c r="H997" s="34" t="n">
        <f aca="false">IF($G997="",0,IFERROR(INDEX(Einstellungen!$G$5:$G$11,MATCH($G997,Einstellungen!$E$5:$E$11,0)),0))</f>
        <v>0</v>
      </c>
      <c r="I997" s="35" t="str">
        <f aca="false">IF($G997="","-",IFERROR(INDEX(Einstellungen!$H$5:$H$11,MATCH($G997,Einstellungen!$E$5:$E$11,0)),"-"))</f>
        <v>-</v>
      </c>
      <c r="J997" s="35" t="str">
        <f aca="false">IF(AND(Einstellungen!$B$8="Ja",Einstellungen!$B$9="Effektiv"),$I997,"-")</f>
        <v>-</v>
      </c>
      <c r="K997" s="31" t="n">
        <f aca="false">IF(OR($F997="",$J997="-"),0,ROUND($F997-$F997/(1+$H997),2))</f>
        <v>0</v>
      </c>
      <c r="L997" s="31" t="n">
        <f aca="false">IF($F997="",0,$F997-$K997)</f>
        <v>0</v>
      </c>
      <c r="M997" s="31" t="n">
        <f aca="false">IF($F997="",0,IF($J997="V",$L997,$F997))</f>
        <v>0</v>
      </c>
      <c r="N997" s="31" t="n">
        <f aca="false">IF($F997="",0,IF($J997="U",$L997,$F997))</f>
        <v>0</v>
      </c>
      <c r="O997" s="35" t="str">
        <f aca="false">IF($A997="","",MONTH($A997))</f>
        <v/>
      </c>
      <c r="P997" s="35" t="str">
        <f aca="false">IF($A997="","",ROUNDUP(MONTH($A997)/3,0))</f>
        <v/>
      </c>
      <c r="Q997" s="35" t="str">
        <f aca="false">IF($A997="","",IF(MONTH($A997)&lt;=6,1,2))</f>
        <v/>
      </c>
      <c r="R997" s="35" t="str">
        <f aca="false">IF($E997="","",IFERROR(INDEX(Kontenplan!$F$5:$F$90,MATCH($E997,Kontenplan!$A$5:$A$90,0)),""))</f>
        <v/>
      </c>
      <c r="S997" s="35" t="str">
        <f aca="false">IF($D997="","",IFERROR(INDEX(Kontenplan!$F$5:$F$90,MATCH($D997,Kontenplan!$A$5:$A$90,0)),""))</f>
        <v/>
      </c>
      <c r="T997" s="35" t="str">
        <f aca="false">IF($D997="","",IFERROR(INDEX(Kontenplan!$C$5:$C$90,MATCH($D997,Kontenplan!$A$5:$A$90,0)),"?"))</f>
        <v/>
      </c>
      <c r="U997" s="35" t="str">
        <f aca="false">IF($E997="","",IFERROR(INDEX(Kontenplan!$C$5:$C$90,MATCH($E997,Kontenplan!$A$5:$A$90,0)),"?"))</f>
        <v/>
      </c>
      <c r="V997" s="35" t="str">
        <f aca="false">IF($F997="","",IF(OR($D997="",$E997="",$T997="?",$U997="?"),"Konto prüfen!",IF($A997="","Datum fehlt",IF(YEAR($A997)&lt;&gt;Einstellungen!$B$7,"anderes Jahr!",IF($G997="","MWST-Code fehlt","OK")))))</f>
        <v/>
      </c>
      <c r="W997" s="35" t="str">
        <f aca="false">IF($F997="","",IF(OR($D997=Kontoauszug!$C$4,$E997=Kontoauszug!$C$4),MAX(W$4:W996)+1,""))</f>
        <v/>
      </c>
    </row>
    <row r="998" customFormat="false" ht="15" hidden="false" customHeight="false" outlineLevel="0" collapsed="false">
      <c r="A998" s="33"/>
      <c r="B998" s="32"/>
      <c r="C998" s="32"/>
      <c r="D998" s="32"/>
      <c r="E998" s="32"/>
      <c r="F998" s="30"/>
      <c r="G998" s="32"/>
      <c r="H998" s="34" t="n">
        <f aca="false">IF($G998="",0,IFERROR(INDEX(Einstellungen!$G$5:$G$11,MATCH($G998,Einstellungen!$E$5:$E$11,0)),0))</f>
        <v>0</v>
      </c>
      <c r="I998" s="35" t="str">
        <f aca="false">IF($G998="","-",IFERROR(INDEX(Einstellungen!$H$5:$H$11,MATCH($G998,Einstellungen!$E$5:$E$11,0)),"-"))</f>
        <v>-</v>
      </c>
      <c r="J998" s="35" t="str">
        <f aca="false">IF(AND(Einstellungen!$B$8="Ja",Einstellungen!$B$9="Effektiv"),$I998,"-")</f>
        <v>-</v>
      </c>
      <c r="K998" s="31" t="n">
        <f aca="false">IF(OR($F998="",$J998="-"),0,ROUND($F998-$F998/(1+$H998),2))</f>
        <v>0</v>
      </c>
      <c r="L998" s="31" t="n">
        <f aca="false">IF($F998="",0,$F998-$K998)</f>
        <v>0</v>
      </c>
      <c r="M998" s="31" t="n">
        <f aca="false">IF($F998="",0,IF($J998="V",$L998,$F998))</f>
        <v>0</v>
      </c>
      <c r="N998" s="31" t="n">
        <f aca="false">IF($F998="",0,IF($J998="U",$L998,$F998))</f>
        <v>0</v>
      </c>
      <c r="O998" s="35" t="str">
        <f aca="false">IF($A998="","",MONTH($A998))</f>
        <v/>
      </c>
      <c r="P998" s="35" t="str">
        <f aca="false">IF($A998="","",ROUNDUP(MONTH($A998)/3,0))</f>
        <v/>
      </c>
      <c r="Q998" s="35" t="str">
        <f aca="false">IF($A998="","",IF(MONTH($A998)&lt;=6,1,2))</f>
        <v/>
      </c>
      <c r="R998" s="35" t="str">
        <f aca="false">IF($E998="","",IFERROR(INDEX(Kontenplan!$F$5:$F$90,MATCH($E998,Kontenplan!$A$5:$A$90,0)),""))</f>
        <v/>
      </c>
      <c r="S998" s="35" t="str">
        <f aca="false">IF($D998="","",IFERROR(INDEX(Kontenplan!$F$5:$F$90,MATCH($D998,Kontenplan!$A$5:$A$90,0)),""))</f>
        <v/>
      </c>
      <c r="T998" s="35" t="str">
        <f aca="false">IF($D998="","",IFERROR(INDEX(Kontenplan!$C$5:$C$90,MATCH($D998,Kontenplan!$A$5:$A$90,0)),"?"))</f>
        <v/>
      </c>
      <c r="U998" s="35" t="str">
        <f aca="false">IF($E998="","",IFERROR(INDEX(Kontenplan!$C$5:$C$90,MATCH($E998,Kontenplan!$A$5:$A$90,0)),"?"))</f>
        <v/>
      </c>
      <c r="V998" s="35" t="str">
        <f aca="false">IF($F998="","",IF(OR($D998="",$E998="",$T998="?",$U998="?"),"Konto prüfen!",IF($A998="","Datum fehlt",IF(YEAR($A998)&lt;&gt;Einstellungen!$B$7,"anderes Jahr!",IF($G998="","MWST-Code fehlt","OK")))))</f>
        <v/>
      </c>
      <c r="W998" s="35" t="str">
        <f aca="false">IF($F998="","",IF(OR($D998=Kontoauszug!$C$4,$E998=Kontoauszug!$C$4),MAX(W$4:W997)+1,""))</f>
        <v/>
      </c>
    </row>
    <row r="999" customFormat="false" ht="15" hidden="false" customHeight="false" outlineLevel="0" collapsed="false">
      <c r="A999" s="33"/>
      <c r="B999" s="32"/>
      <c r="C999" s="32"/>
      <c r="D999" s="32"/>
      <c r="E999" s="32"/>
      <c r="F999" s="30"/>
      <c r="G999" s="32"/>
      <c r="H999" s="34" t="n">
        <f aca="false">IF($G999="",0,IFERROR(INDEX(Einstellungen!$G$5:$G$11,MATCH($G999,Einstellungen!$E$5:$E$11,0)),0))</f>
        <v>0</v>
      </c>
      <c r="I999" s="35" t="str">
        <f aca="false">IF($G999="","-",IFERROR(INDEX(Einstellungen!$H$5:$H$11,MATCH($G999,Einstellungen!$E$5:$E$11,0)),"-"))</f>
        <v>-</v>
      </c>
      <c r="J999" s="35" t="str">
        <f aca="false">IF(AND(Einstellungen!$B$8="Ja",Einstellungen!$B$9="Effektiv"),$I999,"-")</f>
        <v>-</v>
      </c>
      <c r="K999" s="31" t="n">
        <f aca="false">IF(OR($F999="",$J999="-"),0,ROUND($F999-$F999/(1+$H999),2))</f>
        <v>0</v>
      </c>
      <c r="L999" s="31" t="n">
        <f aca="false">IF($F999="",0,$F999-$K999)</f>
        <v>0</v>
      </c>
      <c r="M999" s="31" t="n">
        <f aca="false">IF($F999="",0,IF($J999="V",$L999,$F999))</f>
        <v>0</v>
      </c>
      <c r="N999" s="31" t="n">
        <f aca="false">IF($F999="",0,IF($J999="U",$L999,$F999))</f>
        <v>0</v>
      </c>
      <c r="O999" s="35" t="str">
        <f aca="false">IF($A999="","",MONTH($A999))</f>
        <v/>
      </c>
      <c r="P999" s="35" t="str">
        <f aca="false">IF($A999="","",ROUNDUP(MONTH($A999)/3,0))</f>
        <v/>
      </c>
      <c r="Q999" s="35" t="str">
        <f aca="false">IF($A999="","",IF(MONTH($A999)&lt;=6,1,2))</f>
        <v/>
      </c>
      <c r="R999" s="35" t="str">
        <f aca="false">IF($E999="","",IFERROR(INDEX(Kontenplan!$F$5:$F$90,MATCH($E999,Kontenplan!$A$5:$A$90,0)),""))</f>
        <v/>
      </c>
      <c r="S999" s="35" t="str">
        <f aca="false">IF($D999="","",IFERROR(INDEX(Kontenplan!$F$5:$F$90,MATCH($D999,Kontenplan!$A$5:$A$90,0)),""))</f>
        <v/>
      </c>
      <c r="T999" s="35" t="str">
        <f aca="false">IF($D999="","",IFERROR(INDEX(Kontenplan!$C$5:$C$90,MATCH($D999,Kontenplan!$A$5:$A$90,0)),"?"))</f>
        <v/>
      </c>
      <c r="U999" s="35" t="str">
        <f aca="false">IF($E999="","",IFERROR(INDEX(Kontenplan!$C$5:$C$90,MATCH($E999,Kontenplan!$A$5:$A$90,0)),"?"))</f>
        <v/>
      </c>
      <c r="V999" s="35" t="str">
        <f aca="false">IF($F999="","",IF(OR($D999="",$E999="",$T999="?",$U999="?"),"Konto prüfen!",IF($A999="","Datum fehlt",IF(YEAR($A999)&lt;&gt;Einstellungen!$B$7,"anderes Jahr!",IF($G999="","MWST-Code fehlt","OK")))))</f>
        <v/>
      </c>
      <c r="W999" s="35" t="str">
        <f aca="false">IF($F999="","",IF(OR($D999=Kontoauszug!$C$4,$E999=Kontoauszug!$C$4),MAX(W$4:W998)+1,""))</f>
        <v/>
      </c>
    </row>
    <row r="1000" customFormat="false" ht="15" hidden="false" customHeight="false" outlineLevel="0" collapsed="false">
      <c r="A1000" s="33"/>
      <c r="B1000" s="32"/>
      <c r="C1000" s="32"/>
      <c r="D1000" s="32"/>
      <c r="E1000" s="32"/>
      <c r="F1000" s="30"/>
      <c r="G1000" s="32"/>
      <c r="H1000" s="34" t="n">
        <f aca="false">IF($G1000="",0,IFERROR(INDEX(Einstellungen!$G$5:$G$11,MATCH($G1000,Einstellungen!$E$5:$E$11,0)),0))</f>
        <v>0</v>
      </c>
      <c r="I1000" s="35" t="str">
        <f aca="false">IF($G1000="","-",IFERROR(INDEX(Einstellungen!$H$5:$H$11,MATCH($G1000,Einstellungen!$E$5:$E$11,0)),"-"))</f>
        <v>-</v>
      </c>
      <c r="J1000" s="35" t="str">
        <f aca="false">IF(AND(Einstellungen!$B$8="Ja",Einstellungen!$B$9="Effektiv"),$I1000,"-")</f>
        <v>-</v>
      </c>
      <c r="K1000" s="31" t="n">
        <f aca="false">IF(OR($F1000="",$J1000="-"),0,ROUND($F1000-$F1000/(1+$H1000),2))</f>
        <v>0</v>
      </c>
      <c r="L1000" s="31" t="n">
        <f aca="false">IF($F1000="",0,$F1000-$K1000)</f>
        <v>0</v>
      </c>
      <c r="M1000" s="31" t="n">
        <f aca="false">IF($F1000="",0,IF($J1000="V",$L1000,$F1000))</f>
        <v>0</v>
      </c>
      <c r="N1000" s="31" t="n">
        <f aca="false">IF($F1000="",0,IF($J1000="U",$L1000,$F1000))</f>
        <v>0</v>
      </c>
      <c r="O1000" s="35" t="str">
        <f aca="false">IF($A1000="","",MONTH($A1000))</f>
        <v/>
      </c>
      <c r="P1000" s="35" t="str">
        <f aca="false">IF($A1000="","",ROUNDUP(MONTH($A1000)/3,0))</f>
        <v/>
      </c>
      <c r="Q1000" s="35" t="str">
        <f aca="false">IF($A1000="","",IF(MONTH($A1000)&lt;=6,1,2))</f>
        <v/>
      </c>
      <c r="R1000" s="35" t="str">
        <f aca="false">IF($E1000="","",IFERROR(INDEX(Kontenplan!$F$5:$F$90,MATCH($E1000,Kontenplan!$A$5:$A$90,0)),""))</f>
        <v/>
      </c>
      <c r="S1000" s="35" t="str">
        <f aca="false">IF($D1000="","",IFERROR(INDEX(Kontenplan!$F$5:$F$90,MATCH($D1000,Kontenplan!$A$5:$A$90,0)),""))</f>
        <v/>
      </c>
      <c r="T1000" s="35" t="str">
        <f aca="false">IF($D1000="","",IFERROR(INDEX(Kontenplan!$C$5:$C$90,MATCH($D1000,Kontenplan!$A$5:$A$90,0)),"?"))</f>
        <v/>
      </c>
      <c r="U1000" s="35" t="str">
        <f aca="false">IF($E1000="","",IFERROR(INDEX(Kontenplan!$C$5:$C$90,MATCH($E1000,Kontenplan!$A$5:$A$90,0)),"?"))</f>
        <v/>
      </c>
      <c r="V1000" s="35" t="str">
        <f aca="false">IF($F1000="","",IF(OR($D1000="",$E1000="",$T1000="?",$U1000="?"),"Konto prüfen!",IF($A1000="","Datum fehlt",IF(YEAR($A1000)&lt;&gt;Einstellungen!$B$7,"anderes Jahr!",IF($G1000="","MWST-Code fehlt","OK")))))</f>
        <v/>
      </c>
      <c r="W1000" s="35" t="str">
        <f aca="false">IF($F1000="","",IF(OR($D1000=Kontoauszug!$C$4,$E1000=Kontoauszug!$C$4),MAX(W$4:W999)+1,""))</f>
        <v/>
      </c>
    </row>
    <row r="1001" customFormat="false" ht="15" hidden="false" customHeight="false" outlineLevel="0" collapsed="false">
      <c r="A1001" s="33"/>
      <c r="B1001" s="32"/>
      <c r="C1001" s="32"/>
      <c r="D1001" s="32"/>
      <c r="E1001" s="32"/>
      <c r="F1001" s="30"/>
      <c r="G1001" s="32"/>
      <c r="H1001" s="34" t="n">
        <f aca="false">IF($G1001="",0,IFERROR(INDEX(Einstellungen!$G$5:$G$11,MATCH($G1001,Einstellungen!$E$5:$E$11,0)),0))</f>
        <v>0</v>
      </c>
      <c r="I1001" s="35" t="str">
        <f aca="false">IF($G1001="","-",IFERROR(INDEX(Einstellungen!$H$5:$H$11,MATCH($G1001,Einstellungen!$E$5:$E$11,0)),"-"))</f>
        <v>-</v>
      </c>
      <c r="J1001" s="35" t="str">
        <f aca="false">IF(AND(Einstellungen!$B$8="Ja",Einstellungen!$B$9="Effektiv"),$I1001,"-")</f>
        <v>-</v>
      </c>
      <c r="K1001" s="31" t="n">
        <f aca="false">IF(OR($F1001="",$J1001="-"),0,ROUND($F1001-$F1001/(1+$H1001),2))</f>
        <v>0</v>
      </c>
      <c r="L1001" s="31" t="n">
        <f aca="false">IF($F1001="",0,$F1001-$K1001)</f>
        <v>0</v>
      </c>
      <c r="M1001" s="31" t="n">
        <f aca="false">IF($F1001="",0,IF($J1001="V",$L1001,$F1001))</f>
        <v>0</v>
      </c>
      <c r="N1001" s="31" t="n">
        <f aca="false">IF($F1001="",0,IF($J1001="U",$L1001,$F1001))</f>
        <v>0</v>
      </c>
      <c r="O1001" s="35" t="str">
        <f aca="false">IF($A1001="","",MONTH($A1001))</f>
        <v/>
      </c>
      <c r="P1001" s="35" t="str">
        <f aca="false">IF($A1001="","",ROUNDUP(MONTH($A1001)/3,0))</f>
        <v/>
      </c>
      <c r="Q1001" s="35" t="str">
        <f aca="false">IF($A1001="","",IF(MONTH($A1001)&lt;=6,1,2))</f>
        <v/>
      </c>
      <c r="R1001" s="35" t="str">
        <f aca="false">IF($E1001="","",IFERROR(INDEX(Kontenplan!$F$5:$F$90,MATCH($E1001,Kontenplan!$A$5:$A$90,0)),""))</f>
        <v/>
      </c>
      <c r="S1001" s="35" t="str">
        <f aca="false">IF($D1001="","",IFERROR(INDEX(Kontenplan!$F$5:$F$90,MATCH($D1001,Kontenplan!$A$5:$A$90,0)),""))</f>
        <v/>
      </c>
      <c r="T1001" s="35" t="str">
        <f aca="false">IF($D1001="","",IFERROR(INDEX(Kontenplan!$C$5:$C$90,MATCH($D1001,Kontenplan!$A$5:$A$90,0)),"?"))</f>
        <v/>
      </c>
      <c r="U1001" s="35" t="str">
        <f aca="false">IF($E1001="","",IFERROR(INDEX(Kontenplan!$C$5:$C$90,MATCH($E1001,Kontenplan!$A$5:$A$90,0)),"?"))</f>
        <v/>
      </c>
      <c r="V1001" s="35" t="str">
        <f aca="false">IF($F1001="","",IF(OR($D1001="",$E1001="",$T1001="?",$U1001="?"),"Konto prüfen!",IF($A1001="","Datum fehlt",IF(YEAR($A1001)&lt;&gt;Einstellungen!$B$7,"anderes Jahr!",IF($G1001="","MWST-Code fehlt","OK")))))</f>
        <v/>
      </c>
      <c r="W1001" s="35" t="str">
        <f aca="false">IF($F1001="","",IF(OR($D1001=Kontoauszug!$C$4,$E1001=Kontoauszug!$C$4),MAX(W$4:W1000)+1,""))</f>
        <v/>
      </c>
    </row>
    <row r="1002" customFormat="false" ht="15" hidden="false" customHeight="false" outlineLevel="0" collapsed="false">
      <c r="A1002" s="33"/>
      <c r="B1002" s="32"/>
      <c r="C1002" s="32"/>
      <c r="D1002" s="32"/>
      <c r="E1002" s="32"/>
      <c r="F1002" s="30"/>
      <c r="G1002" s="32"/>
      <c r="H1002" s="34" t="n">
        <f aca="false">IF($G1002="",0,IFERROR(INDEX(Einstellungen!$G$5:$G$11,MATCH($G1002,Einstellungen!$E$5:$E$11,0)),0))</f>
        <v>0</v>
      </c>
      <c r="I1002" s="35" t="str">
        <f aca="false">IF($G1002="","-",IFERROR(INDEX(Einstellungen!$H$5:$H$11,MATCH($G1002,Einstellungen!$E$5:$E$11,0)),"-"))</f>
        <v>-</v>
      </c>
      <c r="J1002" s="35" t="str">
        <f aca="false">IF(AND(Einstellungen!$B$8="Ja",Einstellungen!$B$9="Effektiv"),$I1002,"-")</f>
        <v>-</v>
      </c>
      <c r="K1002" s="31" t="n">
        <f aca="false">IF(OR($F1002="",$J1002="-"),0,ROUND($F1002-$F1002/(1+$H1002),2))</f>
        <v>0</v>
      </c>
      <c r="L1002" s="31" t="n">
        <f aca="false">IF($F1002="",0,$F1002-$K1002)</f>
        <v>0</v>
      </c>
      <c r="M1002" s="31" t="n">
        <f aca="false">IF($F1002="",0,IF($J1002="V",$L1002,$F1002))</f>
        <v>0</v>
      </c>
      <c r="N1002" s="31" t="n">
        <f aca="false">IF($F1002="",0,IF($J1002="U",$L1002,$F1002))</f>
        <v>0</v>
      </c>
      <c r="O1002" s="35" t="str">
        <f aca="false">IF($A1002="","",MONTH($A1002))</f>
        <v/>
      </c>
      <c r="P1002" s="35" t="str">
        <f aca="false">IF($A1002="","",ROUNDUP(MONTH($A1002)/3,0))</f>
        <v/>
      </c>
      <c r="Q1002" s="35" t="str">
        <f aca="false">IF($A1002="","",IF(MONTH($A1002)&lt;=6,1,2))</f>
        <v/>
      </c>
      <c r="R1002" s="35" t="str">
        <f aca="false">IF($E1002="","",IFERROR(INDEX(Kontenplan!$F$5:$F$90,MATCH($E1002,Kontenplan!$A$5:$A$90,0)),""))</f>
        <v/>
      </c>
      <c r="S1002" s="35" t="str">
        <f aca="false">IF($D1002="","",IFERROR(INDEX(Kontenplan!$F$5:$F$90,MATCH($D1002,Kontenplan!$A$5:$A$90,0)),""))</f>
        <v/>
      </c>
      <c r="T1002" s="35" t="str">
        <f aca="false">IF($D1002="","",IFERROR(INDEX(Kontenplan!$C$5:$C$90,MATCH($D1002,Kontenplan!$A$5:$A$90,0)),"?"))</f>
        <v/>
      </c>
      <c r="U1002" s="35" t="str">
        <f aca="false">IF($E1002="","",IFERROR(INDEX(Kontenplan!$C$5:$C$90,MATCH($E1002,Kontenplan!$A$5:$A$90,0)),"?"))</f>
        <v/>
      </c>
      <c r="V1002" s="35" t="str">
        <f aca="false">IF($F1002="","",IF(OR($D1002="",$E1002="",$T1002="?",$U1002="?"),"Konto prüfen!",IF($A1002="","Datum fehlt",IF(YEAR($A1002)&lt;&gt;Einstellungen!$B$7,"anderes Jahr!",IF($G1002="","MWST-Code fehlt","OK")))))</f>
        <v/>
      </c>
      <c r="W1002" s="35" t="str">
        <f aca="false">IF($F1002="","",IF(OR($D1002=Kontoauszug!$C$4,$E1002=Kontoauszug!$C$4),MAX(W$4:W1001)+1,""))</f>
        <v/>
      </c>
    </row>
    <row r="1003" customFormat="false" ht="15" hidden="false" customHeight="false" outlineLevel="0" collapsed="false">
      <c r="A1003" s="33"/>
      <c r="B1003" s="32"/>
      <c r="C1003" s="32"/>
      <c r="D1003" s="32"/>
      <c r="E1003" s="32"/>
      <c r="F1003" s="30"/>
      <c r="G1003" s="32"/>
      <c r="H1003" s="34" t="n">
        <f aca="false">IF($G1003="",0,IFERROR(INDEX(Einstellungen!$G$5:$G$11,MATCH($G1003,Einstellungen!$E$5:$E$11,0)),0))</f>
        <v>0</v>
      </c>
      <c r="I1003" s="35" t="str">
        <f aca="false">IF($G1003="","-",IFERROR(INDEX(Einstellungen!$H$5:$H$11,MATCH($G1003,Einstellungen!$E$5:$E$11,0)),"-"))</f>
        <v>-</v>
      </c>
      <c r="J1003" s="35" t="str">
        <f aca="false">IF(AND(Einstellungen!$B$8="Ja",Einstellungen!$B$9="Effektiv"),$I1003,"-")</f>
        <v>-</v>
      </c>
      <c r="K1003" s="31" t="n">
        <f aca="false">IF(OR($F1003="",$J1003="-"),0,ROUND($F1003-$F1003/(1+$H1003),2))</f>
        <v>0</v>
      </c>
      <c r="L1003" s="31" t="n">
        <f aca="false">IF($F1003="",0,$F1003-$K1003)</f>
        <v>0</v>
      </c>
      <c r="M1003" s="31" t="n">
        <f aca="false">IF($F1003="",0,IF($J1003="V",$L1003,$F1003))</f>
        <v>0</v>
      </c>
      <c r="N1003" s="31" t="n">
        <f aca="false">IF($F1003="",0,IF($J1003="U",$L1003,$F1003))</f>
        <v>0</v>
      </c>
      <c r="O1003" s="35" t="str">
        <f aca="false">IF($A1003="","",MONTH($A1003))</f>
        <v/>
      </c>
      <c r="P1003" s="35" t="str">
        <f aca="false">IF($A1003="","",ROUNDUP(MONTH($A1003)/3,0))</f>
        <v/>
      </c>
      <c r="Q1003" s="35" t="str">
        <f aca="false">IF($A1003="","",IF(MONTH($A1003)&lt;=6,1,2))</f>
        <v/>
      </c>
      <c r="R1003" s="35" t="str">
        <f aca="false">IF($E1003="","",IFERROR(INDEX(Kontenplan!$F$5:$F$90,MATCH($E1003,Kontenplan!$A$5:$A$90,0)),""))</f>
        <v/>
      </c>
      <c r="S1003" s="35" t="str">
        <f aca="false">IF($D1003="","",IFERROR(INDEX(Kontenplan!$F$5:$F$90,MATCH($D1003,Kontenplan!$A$5:$A$90,0)),""))</f>
        <v/>
      </c>
      <c r="T1003" s="35" t="str">
        <f aca="false">IF($D1003="","",IFERROR(INDEX(Kontenplan!$C$5:$C$90,MATCH($D1003,Kontenplan!$A$5:$A$90,0)),"?"))</f>
        <v/>
      </c>
      <c r="U1003" s="35" t="str">
        <f aca="false">IF($E1003="","",IFERROR(INDEX(Kontenplan!$C$5:$C$90,MATCH($E1003,Kontenplan!$A$5:$A$90,0)),"?"))</f>
        <v/>
      </c>
      <c r="V1003" s="35" t="str">
        <f aca="false">IF($F1003="","",IF(OR($D1003="",$E1003="",$T1003="?",$U1003="?"),"Konto prüfen!",IF($A1003="","Datum fehlt",IF(YEAR($A1003)&lt;&gt;Einstellungen!$B$7,"anderes Jahr!",IF($G1003="","MWST-Code fehlt","OK")))))</f>
        <v/>
      </c>
      <c r="W1003" s="35" t="str">
        <f aca="false">IF($F1003="","",IF(OR($D1003=Kontoauszug!$C$4,$E1003=Kontoauszug!$C$4),MAX(W$4:W1002)+1,""))</f>
        <v/>
      </c>
    </row>
    <row r="1004" customFormat="false" ht="15" hidden="false" customHeight="false" outlineLevel="0" collapsed="false">
      <c r="A1004" s="33"/>
      <c r="B1004" s="32"/>
      <c r="C1004" s="32"/>
      <c r="D1004" s="32"/>
      <c r="E1004" s="32"/>
      <c r="F1004" s="30"/>
      <c r="G1004" s="32"/>
      <c r="H1004" s="34" t="n">
        <f aca="false">IF($G1004="",0,IFERROR(INDEX(Einstellungen!$G$5:$G$11,MATCH($G1004,Einstellungen!$E$5:$E$11,0)),0))</f>
        <v>0</v>
      </c>
      <c r="I1004" s="35" t="str">
        <f aca="false">IF($G1004="","-",IFERROR(INDEX(Einstellungen!$H$5:$H$11,MATCH($G1004,Einstellungen!$E$5:$E$11,0)),"-"))</f>
        <v>-</v>
      </c>
      <c r="J1004" s="35" t="str">
        <f aca="false">IF(AND(Einstellungen!$B$8="Ja",Einstellungen!$B$9="Effektiv"),$I1004,"-")</f>
        <v>-</v>
      </c>
      <c r="K1004" s="31" t="n">
        <f aca="false">IF(OR($F1004="",$J1004="-"),0,ROUND($F1004-$F1004/(1+$H1004),2))</f>
        <v>0</v>
      </c>
      <c r="L1004" s="31" t="n">
        <f aca="false">IF($F1004="",0,$F1004-$K1004)</f>
        <v>0</v>
      </c>
      <c r="M1004" s="31" t="n">
        <f aca="false">IF($F1004="",0,IF($J1004="V",$L1004,$F1004))</f>
        <v>0</v>
      </c>
      <c r="N1004" s="31" t="n">
        <f aca="false">IF($F1004="",0,IF($J1004="U",$L1004,$F1004))</f>
        <v>0</v>
      </c>
      <c r="O1004" s="35" t="str">
        <f aca="false">IF($A1004="","",MONTH($A1004))</f>
        <v/>
      </c>
      <c r="P1004" s="35" t="str">
        <f aca="false">IF($A1004="","",ROUNDUP(MONTH($A1004)/3,0))</f>
        <v/>
      </c>
      <c r="Q1004" s="35" t="str">
        <f aca="false">IF($A1004="","",IF(MONTH($A1004)&lt;=6,1,2))</f>
        <v/>
      </c>
      <c r="R1004" s="35" t="str">
        <f aca="false">IF($E1004="","",IFERROR(INDEX(Kontenplan!$F$5:$F$90,MATCH($E1004,Kontenplan!$A$5:$A$90,0)),""))</f>
        <v/>
      </c>
      <c r="S1004" s="35" t="str">
        <f aca="false">IF($D1004="","",IFERROR(INDEX(Kontenplan!$F$5:$F$90,MATCH($D1004,Kontenplan!$A$5:$A$90,0)),""))</f>
        <v/>
      </c>
      <c r="T1004" s="35" t="str">
        <f aca="false">IF($D1004="","",IFERROR(INDEX(Kontenplan!$C$5:$C$90,MATCH($D1004,Kontenplan!$A$5:$A$90,0)),"?"))</f>
        <v/>
      </c>
      <c r="U1004" s="35" t="str">
        <f aca="false">IF($E1004="","",IFERROR(INDEX(Kontenplan!$C$5:$C$90,MATCH($E1004,Kontenplan!$A$5:$A$90,0)),"?"))</f>
        <v/>
      </c>
      <c r="V1004" s="35" t="str">
        <f aca="false">IF($F1004="","",IF(OR($D1004="",$E1004="",$T1004="?",$U1004="?"),"Konto prüfen!",IF($A1004="","Datum fehlt",IF(YEAR($A1004)&lt;&gt;Einstellungen!$B$7,"anderes Jahr!",IF($G1004="","MWST-Code fehlt","OK")))))</f>
        <v/>
      </c>
      <c r="W1004" s="35" t="str">
        <f aca="false">IF($F1004="","",IF(OR($D1004=Kontoauszug!$C$4,$E1004=Kontoauszug!$C$4),MAX(W$4:W1003)+1,""))</f>
        <v/>
      </c>
    </row>
    <row r="1005" customFormat="false" ht="15" hidden="false" customHeight="false" outlineLevel="0" collapsed="false">
      <c r="A1005" s="33"/>
      <c r="B1005" s="32"/>
      <c r="C1005" s="32"/>
      <c r="D1005" s="32"/>
      <c r="E1005" s="32"/>
      <c r="F1005" s="30"/>
      <c r="G1005" s="32"/>
      <c r="H1005" s="34" t="n">
        <f aca="false">IF($G1005="",0,IFERROR(INDEX(Einstellungen!$G$5:$G$11,MATCH($G1005,Einstellungen!$E$5:$E$11,0)),0))</f>
        <v>0</v>
      </c>
      <c r="I1005" s="35" t="str">
        <f aca="false">IF($G1005="","-",IFERROR(INDEX(Einstellungen!$H$5:$H$11,MATCH($G1005,Einstellungen!$E$5:$E$11,0)),"-"))</f>
        <v>-</v>
      </c>
      <c r="J1005" s="35" t="str">
        <f aca="false">IF(AND(Einstellungen!$B$8="Ja",Einstellungen!$B$9="Effektiv"),$I1005,"-")</f>
        <v>-</v>
      </c>
      <c r="K1005" s="31" t="n">
        <f aca="false">IF(OR($F1005="",$J1005="-"),0,ROUND($F1005-$F1005/(1+$H1005),2))</f>
        <v>0</v>
      </c>
      <c r="L1005" s="31" t="n">
        <f aca="false">IF($F1005="",0,$F1005-$K1005)</f>
        <v>0</v>
      </c>
      <c r="M1005" s="31" t="n">
        <f aca="false">IF($F1005="",0,IF($J1005="V",$L1005,$F1005))</f>
        <v>0</v>
      </c>
      <c r="N1005" s="31" t="n">
        <f aca="false">IF($F1005="",0,IF($J1005="U",$L1005,$F1005))</f>
        <v>0</v>
      </c>
      <c r="O1005" s="35" t="str">
        <f aca="false">IF($A1005="","",MONTH($A1005))</f>
        <v/>
      </c>
      <c r="P1005" s="35" t="str">
        <f aca="false">IF($A1005="","",ROUNDUP(MONTH($A1005)/3,0))</f>
        <v/>
      </c>
      <c r="Q1005" s="35" t="str">
        <f aca="false">IF($A1005="","",IF(MONTH($A1005)&lt;=6,1,2))</f>
        <v/>
      </c>
      <c r="R1005" s="35" t="str">
        <f aca="false">IF($E1005="","",IFERROR(INDEX(Kontenplan!$F$5:$F$90,MATCH($E1005,Kontenplan!$A$5:$A$90,0)),""))</f>
        <v/>
      </c>
      <c r="S1005" s="35" t="str">
        <f aca="false">IF($D1005="","",IFERROR(INDEX(Kontenplan!$F$5:$F$90,MATCH($D1005,Kontenplan!$A$5:$A$90,0)),""))</f>
        <v/>
      </c>
      <c r="T1005" s="35" t="str">
        <f aca="false">IF($D1005="","",IFERROR(INDEX(Kontenplan!$C$5:$C$90,MATCH($D1005,Kontenplan!$A$5:$A$90,0)),"?"))</f>
        <v/>
      </c>
      <c r="U1005" s="35" t="str">
        <f aca="false">IF($E1005="","",IFERROR(INDEX(Kontenplan!$C$5:$C$90,MATCH($E1005,Kontenplan!$A$5:$A$90,0)),"?"))</f>
        <v/>
      </c>
      <c r="V1005" s="35" t="str">
        <f aca="false">IF($F1005="","",IF(OR($D1005="",$E1005="",$T1005="?",$U1005="?"),"Konto prüfen!",IF($A1005="","Datum fehlt",IF(YEAR($A1005)&lt;&gt;Einstellungen!$B$7,"anderes Jahr!",IF($G1005="","MWST-Code fehlt","OK")))))</f>
        <v/>
      </c>
      <c r="W1005" s="35" t="str">
        <f aca="false">IF($F1005="","",IF(OR($D1005=Kontoauszug!$C$4,$E1005=Kontoauszug!$C$4),MAX(W$4:W1004)+1,""))</f>
        <v/>
      </c>
    </row>
    <row r="1006" customFormat="false" ht="15" hidden="false" customHeight="false" outlineLevel="0" collapsed="false">
      <c r="A1006" s="33"/>
      <c r="B1006" s="32"/>
      <c r="C1006" s="32"/>
      <c r="D1006" s="32"/>
      <c r="E1006" s="32"/>
      <c r="F1006" s="30"/>
      <c r="G1006" s="32"/>
      <c r="H1006" s="34" t="n">
        <f aca="false">IF($G1006="",0,IFERROR(INDEX(Einstellungen!$G$5:$G$11,MATCH($G1006,Einstellungen!$E$5:$E$11,0)),0))</f>
        <v>0</v>
      </c>
      <c r="I1006" s="35" t="str">
        <f aca="false">IF($G1006="","-",IFERROR(INDEX(Einstellungen!$H$5:$H$11,MATCH($G1006,Einstellungen!$E$5:$E$11,0)),"-"))</f>
        <v>-</v>
      </c>
      <c r="J1006" s="35" t="str">
        <f aca="false">IF(AND(Einstellungen!$B$8="Ja",Einstellungen!$B$9="Effektiv"),$I1006,"-")</f>
        <v>-</v>
      </c>
      <c r="K1006" s="31" t="n">
        <f aca="false">IF(OR($F1006="",$J1006="-"),0,ROUND($F1006-$F1006/(1+$H1006),2))</f>
        <v>0</v>
      </c>
      <c r="L1006" s="31" t="n">
        <f aca="false">IF($F1006="",0,$F1006-$K1006)</f>
        <v>0</v>
      </c>
      <c r="M1006" s="31" t="n">
        <f aca="false">IF($F1006="",0,IF($J1006="V",$L1006,$F1006))</f>
        <v>0</v>
      </c>
      <c r="N1006" s="31" t="n">
        <f aca="false">IF($F1006="",0,IF($J1006="U",$L1006,$F1006))</f>
        <v>0</v>
      </c>
      <c r="O1006" s="35" t="str">
        <f aca="false">IF($A1006="","",MONTH($A1006))</f>
        <v/>
      </c>
      <c r="P1006" s="35" t="str">
        <f aca="false">IF($A1006="","",ROUNDUP(MONTH($A1006)/3,0))</f>
        <v/>
      </c>
      <c r="Q1006" s="35" t="str">
        <f aca="false">IF($A1006="","",IF(MONTH($A1006)&lt;=6,1,2))</f>
        <v/>
      </c>
      <c r="R1006" s="35" t="str">
        <f aca="false">IF($E1006="","",IFERROR(INDEX(Kontenplan!$F$5:$F$90,MATCH($E1006,Kontenplan!$A$5:$A$90,0)),""))</f>
        <v/>
      </c>
      <c r="S1006" s="35" t="str">
        <f aca="false">IF($D1006="","",IFERROR(INDEX(Kontenplan!$F$5:$F$90,MATCH($D1006,Kontenplan!$A$5:$A$90,0)),""))</f>
        <v/>
      </c>
      <c r="T1006" s="35" t="str">
        <f aca="false">IF($D1006="","",IFERROR(INDEX(Kontenplan!$C$5:$C$90,MATCH($D1006,Kontenplan!$A$5:$A$90,0)),"?"))</f>
        <v/>
      </c>
      <c r="U1006" s="35" t="str">
        <f aca="false">IF($E1006="","",IFERROR(INDEX(Kontenplan!$C$5:$C$90,MATCH($E1006,Kontenplan!$A$5:$A$90,0)),"?"))</f>
        <v/>
      </c>
      <c r="V1006" s="35" t="str">
        <f aca="false">IF($F1006="","",IF(OR($D1006="",$E1006="",$T1006="?",$U1006="?"),"Konto prüfen!",IF($A1006="","Datum fehlt",IF(YEAR($A1006)&lt;&gt;Einstellungen!$B$7,"anderes Jahr!",IF($G1006="","MWST-Code fehlt","OK")))))</f>
        <v/>
      </c>
      <c r="W1006" s="35" t="str">
        <f aca="false">IF($F1006="","",IF(OR($D1006=Kontoauszug!$C$4,$E1006=Kontoauszug!$C$4),MAX(W$4:W1005)+1,""))</f>
        <v/>
      </c>
    </row>
    <row r="1007" customFormat="false" ht="15" hidden="false" customHeight="false" outlineLevel="0" collapsed="false">
      <c r="A1007" s="33"/>
      <c r="B1007" s="32"/>
      <c r="C1007" s="32"/>
      <c r="D1007" s="32"/>
      <c r="E1007" s="32"/>
      <c r="F1007" s="30"/>
      <c r="G1007" s="32"/>
      <c r="H1007" s="34" t="n">
        <f aca="false">IF($G1007="",0,IFERROR(INDEX(Einstellungen!$G$5:$G$11,MATCH($G1007,Einstellungen!$E$5:$E$11,0)),0))</f>
        <v>0</v>
      </c>
      <c r="I1007" s="35" t="str">
        <f aca="false">IF($G1007="","-",IFERROR(INDEX(Einstellungen!$H$5:$H$11,MATCH($G1007,Einstellungen!$E$5:$E$11,0)),"-"))</f>
        <v>-</v>
      </c>
      <c r="J1007" s="35" t="str">
        <f aca="false">IF(AND(Einstellungen!$B$8="Ja",Einstellungen!$B$9="Effektiv"),$I1007,"-")</f>
        <v>-</v>
      </c>
      <c r="K1007" s="31" t="n">
        <f aca="false">IF(OR($F1007="",$J1007="-"),0,ROUND($F1007-$F1007/(1+$H1007),2))</f>
        <v>0</v>
      </c>
      <c r="L1007" s="31" t="n">
        <f aca="false">IF($F1007="",0,$F1007-$K1007)</f>
        <v>0</v>
      </c>
      <c r="M1007" s="31" t="n">
        <f aca="false">IF($F1007="",0,IF($J1007="V",$L1007,$F1007))</f>
        <v>0</v>
      </c>
      <c r="N1007" s="31" t="n">
        <f aca="false">IF($F1007="",0,IF($J1007="U",$L1007,$F1007))</f>
        <v>0</v>
      </c>
      <c r="O1007" s="35" t="str">
        <f aca="false">IF($A1007="","",MONTH($A1007))</f>
        <v/>
      </c>
      <c r="P1007" s="35" t="str">
        <f aca="false">IF($A1007="","",ROUNDUP(MONTH($A1007)/3,0))</f>
        <v/>
      </c>
      <c r="Q1007" s="35" t="str">
        <f aca="false">IF($A1007="","",IF(MONTH($A1007)&lt;=6,1,2))</f>
        <v/>
      </c>
      <c r="R1007" s="35" t="str">
        <f aca="false">IF($E1007="","",IFERROR(INDEX(Kontenplan!$F$5:$F$90,MATCH($E1007,Kontenplan!$A$5:$A$90,0)),""))</f>
        <v/>
      </c>
      <c r="S1007" s="35" t="str">
        <f aca="false">IF($D1007="","",IFERROR(INDEX(Kontenplan!$F$5:$F$90,MATCH($D1007,Kontenplan!$A$5:$A$90,0)),""))</f>
        <v/>
      </c>
      <c r="T1007" s="35" t="str">
        <f aca="false">IF($D1007="","",IFERROR(INDEX(Kontenplan!$C$5:$C$90,MATCH($D1007,Kontenplan!$A$5:$A$90,0)),"?"))</f>
        <v/>
      </c>
      <c r="U1007" s="35" t="str">
        <f aca="false">IF($E1007="","",IFERROR(INDEX(Kontenplan!$C$5:$C$90,MATCH($E1007,Kontenplan!$A$5:$A$90,0)),"?"))</f>
        <v/>
      </c>
      <c r="V1007" s="35" t="str">
        <f aca="false">IF($F1007="","",IF(OR($D1007="",$E1007="",$T1007="?",$U1007="?"),"Konto prüfen!",IF($A1007="","Datum fehlt",IF(YEAR($A1007)&lt;&gt;Einstellungen!$B$7,"anderes Jahr!",IF($G1007="","MWST-Code fehlt","OK")))))</f>
        <v/>
      </c>
      <c r="W1007" s="35" t="str">
        <f aca="false">IF($F1007="","",IF(OR($D1007=Kontoauszug!$C$4,$E1007=Kontoauszug!$C$4),MAX(W$4:W1006)+1,""))</f>
        <v/>
      </c>
    </row>
    <row r="1008" customFormat="false" ht="15" hidden="false" customHeight="false" outlineLevel="0" collapsed="false">
      <c r="A1008" s="33"/>
      <c r="B1008" s="32"/>
      <c r="C1008" s="32"/>
      <c r="D1008" s="32"/>
      <c r="E1008" s="32"/>
      <c r="F1008" s="30"/>
      <c r="G1008" s="32"/>
      <c r="H1008" s="34" t="n">
        <f aca="false">IF($G1008="",0,IFERROR(INDEX(Einstellungen!$G$5:$G$11,MATCH($G1008,Einstellungen!$E$5:$E$11,0)),0))</f>
        <v>0</v>
      </c>
      <c r="I1008" s="35" t="str">
        <f aca="false">IF($G1008="","-",IFERROR(INDEX(Einstellungen!$H$5:$H$11,MATCH($G1008,Einstellungen!$E$5:$E$11,0)),"-"))</f>
        <v>-</v>
      </c>
      <c r="J1008" s="35" t="str">
        <f aca="false">IF(AND(Einstellungen!$B$8="Ja",Einstellungen!$B$9="Effektiv"),$I1008,"-")</f>
        <v>-</v>
      </c>
      <c r="K1008" s="31" t="n">
        <f aca="false">IF(OR($F1008="",$J1008="-"),0,ROUND($F1008-$F1008/(1+$H1008),2))</f>
        <v>0</v>
      </c>
      <c r="L1008" s="31" t="n">
        <f aca="false">IF($F1008="",0,$F1008-$K1008)</f>
        <v>0</v>
      </c>
      <c r="M1008" s="31" t="n">
        <f aca="false">IF($F1008="",0,IF($J1008="V",$L1008,$F1008))</f>
        <v>0</v>
      </c>
      <c r="N1008" s="31" t="n">
        <f aca="false">IF($F1008="",0,IF($J1008="U",$L1008,$F1008))</f>
        <v>0</v>
      </c>
      <c r="O1008" s="35" t="str">
        <f aca="false">IF($A1008="","",MONTH($A1008))</f>
        <v/>
      </c>
      <c r="P1008" s="35" t="str">
        <f aca="false">IF($A1008="","",ROUNDUP(MONTH($A1008)/3,0))</f>
        <v/>
      </c>
      <c r="Q1008" s="35" t="str">
        <f aca="false">IF($A1008="","",IF(MONTH($A1008)&lt;=6,1,2))</f>
        <v/>
      </c>
      <c r="R1008" s="35" t="str">
        <f aca="false">IF($E1008="","",IFERROR(INDEX(Kontenplan!$F$5:$F$90,MATCH($E1008,Kontenplan!$A$5:$A$90,0)),""))</f>
        <v/>
      </c>
      <c r="S1008" s="35" t="str">
        <f aca="false">IF($D1008="","",IFERROR(INDEX(Kontenplan!$F$5:$F$90,MATCH($D1008,Kontenplan!$A$5:$A$90,0)),""))</f>
        <v/>
      </c>
      <c r="T1008" s="35" t="str">
        <f aca="false">IF($D1008="","",IFERROR(INDEX(Kontenplan!$C$5:$C$90,MATCH($D1008,Kontenplan!$A$5:$A$90,0)),"?"))</f>
        <v/>
      </c>
      <c r="U1008" s="35" t="str">
        <f aca="false">IF($E1008="","",IFERROR(INDEX(Kontenplan!$C$5:$C$90,MATCH($E1008,Kontenplan!$A$5:$A$90,0)),"?"))</f>
        <v/>
      </c>
      <c r="V1008" s="35" t="str">
        <f aca="false">IF($F1008="","",IF(OR($D1008="",$E1008="",$T1008="?",$U1008="?"),"Konto prüfen!",IF($A1008="","Datum fehlt",IF(YEAR($A1008)&lt;&gt;Einstellungen!$B$7,"anderes Jahr!",IF($G1008="","MWST-Code fehlt","OK")))))</f>
        <v/>
      </c>
      <c r="W1008" s="35" t="str">
        <f aca="false">IF($F1008="","",IF(OR($D1008=Kontoauszug!$C$4,$E1008=Kontoauszug!$C$4),MAX(W$4:W1007)+1,""))</f>
        <v/>
      </c>
    </row>
    <row r="1009" customFormat="false" ht="15" hidden="false" customHeight="false" outlineLevel="0" collapsed="false">
      <c r="A1009" s="33"/>
      <c r="B1009" s="32"/>
      <c r="C1009" s="32"/>
      <c r="D1009" s="32"/>
      <c r="E1009" s="32"/>
      <c r="F1009" s="30"/>
      <c r="G1009" s="32"/>
      <c r="H1009" s="34" t="n">
        <f aca="false">IF($G1009="",0,IFERROR(INDEX(Einstellungen!$G$5:$G$11,MATCH($G1009,Einstellungen!$E$5:$E$11,0)),0))</f>
        <v>0</v>
      </c>
      <c r="I1009" s="35" t="str">
        <f aca="false">IF($G1009="","-",IFERROR(INDEX(Einstellungen!$H$5:$H$11,MATCH($G1009,Einstellungen!$E$5:$E$11,0)),"-"))</f>
        <v>-</v>
      </c>
      <c r="J1009" s="35" t="str">
        <f aca="false">IF(AND(Einstellungen!$B$8="Ja",Einstellungen!$B$9="Effektiv"),$I1009,"-")</f>
        <v>-</v>
      </c>
      <c r="K1009" s="31" t="n">
        <f aca="false">IF(OR($F1009="",$J1009="-"),0,ROUND($F1009-$F1009/(1+$H1009),2))</f>
        <v>0</v>
      </c>
      <c r="L1009" s="31" t="n">
        <f aca="false">IF($F1009="",0,$F1009-$K1009)</f>
        <v>0</v>
      </c>
      <c r="M1009" s="31" t="n">
        <f aca="false">IF($F1009="",0,IF($J1009="V",$L1009,$F1009))</f>
        <v>0</v>
      </c>
      <c r="N1009" s="31" t="n">
        <f aca="false">IF($F1009="",0,IF($J1009="U",$L1009,$F1009))</f>
        <v>0</v>
      </c>
      <c r="O1009" s="35" t="str">
        <f aca="false">IF($A1009="","",MONTH($A1009))</f>
        <v/>
      </c>
      <c r="P1009" s="35" t="str">
        <f aca="false">IF($A1009="","",ROUNDUP(MONTH($A1009)/3,0))</f>
        <v/>
      </c>
      <c r="Q1009" s="35" t="str">
        <f aca="false">IF($A1009="","",IF(MONTH($A1009)&lt;=6,1,2))</f>
        <v/>
      </c>
      <c r="R1009" s="35" t="str">
        <f aca="false">IF($E1009="","",IFERROR(INDEX(Kontenplan!$F$5:$F$90,MATCH($E1009,Kontenplan!$A$5:$A$90,0)),""))</f>
        <v/>
      </c>
      <c r="S1009" s="35" t="str">
        <f aca="false">IF($D1009="","",IFERROR(INDEX(Kontenplan!$F$5:$F$90,MATCH($D1009,Kontenplan!$A$5:$A$90,0)),""))</f>
        <v/>
      </c>
      <c r="T1009" s="35" t="str">
        <f aca="false">IF($D1009="","",IFERROR(INDEX(Kontenplan!$C$5:$C$90,MATCH($D1009,Kontenplan!$A$5:$A$90,0)),"?"))</f>
        <v/>
      </c>
      <c r="U1009" s="35" t="str">
        <f aca="false">IF($E1009="","",IFERROR(INDEX(Kontenplan!$C$5:$C$90,MATCH($E1009,Kontenplan!$A$5:$A$90,0)),"?"))</f>
        <v/>
      </c>
      <c r="V1009" s="35" t="str">
        <f aca="false">IF($F1009="","",IF(OR($D1009="",$E1009="",$T1009="?",$U1009="?"),"Konto prüfen!",IF($A1009="","Datum fehlt",IF(YEAR($A1009)&lt;&gt;Einstellungen!$B$7,"anderes Jahr!",IF($G1009="","MWST-Code fehlt","OK")))))</f>
        <v/>
      </c>
      <c r="W1009" s="35" t="str">
        <f aca="false">IF($F1009="","",IF(OR($D1009=Kontoauszug!$C$4,$E1009=Kontoauszug!$C$4),MAX(W$4:W1008)+1,""))</f>
        <v/>
      </c>
    </row>
    <row r="1010" customFormat="false" ht="15" hidden="false" customHeight="false" outlineLevel="0" collapsed="false">
      <c r="A1010" s="33"/>
      <c r="B1010" s="32"/>
      <c r="C1010" s="32"/>
      <c r="D1010" s="32"/>
      <c r="E1010" s="32"/>
      <c r="F1010" s="30"/>
      <c r="G1010" s="32"/>
      <c r="H1010" s="34" t="n">
        <f aca="false">IF($G1010="",0,IFERROR(INDEX(Einstellungen!$G$5:$G$11,MATCH($G1010,Einstellungen!$E$5:$E$11,0)),0))</f>
        <v>0</v>
      </c>
      <c r="I1010" s="35" t="str">
        <f aca="false">IF($G1010="","-",IFERROR(INDEX(Einstellungen!$H$5:$H$11,MATCH($G1010,Einstellungen!$E$5:$E$11,0)),"-"))</f>
        <v>-</v>
      </c>
      <c r="J1010" s="35" t="str">
        <f aca="false">IF(AND(Einstellungen!$B$8="Ja",Einstellungen!$B$9="Effektiv"),$I1010,"-")</f>
        <v>-</v>
      </c>
      <c r="K1010" s="31" t="n">
        <f aca="false">IF(OR($F1010="",$J1010="-"),0,ROUND($F1010-$F1010/(1+$H1010),2))</f>
        <v>0</v>
      </c>
      <c r="L1010" s="31" t="n">
        <f aca="false">IF($F1010="",0,$F1010-$K1010)</f>
        <v>0</v>
      </c>
      <c r="M1010" s="31" t="n">
        <f aca="false">IF($F1010="",0,IF($J1010="V",$L1010,$F1010))</f>
        <v>0</v>
      </c>
      <c r="N1010" s="31" t="n">
        <f aca="false">IF($F1010="",0,IF($J1010="U",$L1010,$F1010))</f>
        <v>0</v>
      </c>
      <c r="O1010" s="35" t="str">
        <f aca="false">IF($A1010="","",MONTH($A1010))</f>
        <v/>
      </c>
      <c r="P1010" s="35" t="str">
        <f aca="false">IF($A1010="","",ROUNDUP(MONTH($A1010)/3,0))</f>
        <v/>
      </c>
      <c r="Q1010" s="35" t="str">
        <f aca="false">IF($A1010="","",IF(MONTH($A1010)&lt;=6,1,2))</f>
        <v/>
      </c>
      <c r="R1010" s="35" t="str">
        <f aca="false">IF($E1010="","",IFERROR(INDEX(Kontenplan!$F$5:$F$90,MATCH($E1010,Kontenplan!$A$5:$A$90,0)),""))</f>
        <v/>
      </c>
      <c r="S1010" s="35" t="str">
        <f aca="false">IF($D1010="","",IFERROR(INDEX(Kontenplan!$F$5:$F$90,MATCH($D1010,Kontenplan!$A$5:$A$90,0)),""))</f>
        <v/>
      </c>
      <c r="T1010" s="35" t="str">
        <f aca="false">IF($D1010="","",IFERROR(INDEX(Kontenplan!$C$5:$C$90,MATCH($D1010,Kontenplan!$A$5:$A$90,0)),"?"))</f>
        <v/>
      </c>
      <c r="U1010" s="35" t="str">
        <f aca="false">IF($E1010="","",IFERROR(INDEX(Kontenplan!$C$5:$C$90,MATCH($E1010,Kontenplan!$A$5:$A$90,0)),"?"))</f>
        <v/>
      </c>
      <c r="V1010" s="35" t="str">
        <f aca="false">IF($F1010="","",IF(OR($D1010="",$E1010="",$T1010="?",$U1010="?"),"Konto prüfen!",IF($A1010="","Datum fehlt",IF(YEAR($A1010)&lt;&gt;Einstellungen!$B$7,"anderes Jahr!",IF($G1010="","MWST-Code fehlt","OK")))))</f>
        <v/>
      </c>
      <c r="W1010" s="35" t="str">
        <f aca="false">IF($F1010="","",IF(OR($D1010=Kontoauszug!$C$4,$E1010=Kontoauszug!$C$4),MAX(W$4:W1009)+1,""))</f>
        <v/>
      </c>
    </row>
    <row r="1011" customFormat="false" ht="15" hidden="false" customHeight="false" outlineLevel="0" collapsed="false">
      <c r="A1011" s="33"/>
      <c r="B1011" s="32"/>
      <c r="C1011" s="32"/>
      <c r="D1011" s="32"/>
      <c r="E1011" s="32"/>
      <c r="F1011" s="30"/>
      <c r="G1011" s="32"/>
      <c r="H1011" s="34" t="n">
        <f aca="false">IF($G1011="",0,IFERROR(INDEX(Einstellungen!$G$5:$G$11,MATCH($G1011,Einstellungen!$E$5:$E$11,0)),0))</f>
        <v>0</v>
      </c>
      <c r="I1011" s="35" t="str">
        <f aca="false">IF($G1011="","-",IFERROR(INDEX(Einstellungen!$H$5:$H$11,MATCH($G1011,Einstellungen!$E$5:$E$11,0)),"-"))</f>
        <v>-</v>
      </c>
      <c r="J1011" s="35" t="str">
        <f aca="false">IF(AND(Einstellungen!$B$8="Ja",Einstellungen!$B$9="Effektiv"),$I1011,"-")</f>
        <v>-</v>
      </c>
      <c r="K1011" s="31" t="n">
        <f aca="false">IF(OR($F1011="",$J1011="-"),0,ROUND($F1011-$F1011/(1+$H1011),2))</f>
        <v>0</v>
      </c>
      <c r="L1011" s="31" t="n">
        <f aca="false">IF($F1011="",0,$F1011-$K1011)</f>
        <v>0</v>
      </c>
      <c r="M1011" s="31" t="n">
        <f aca="false">IF($F1011="",0,IF($J1011="V",$L1011,$F1011))</f>
        <v>0</v>
      </c>
      <c r="N1011" s="31" t="n">
        <f aca="false">IF($F1011="",0,IF($J1011="U",$L1011,$F1011))</f>
        <v>0</v>
      </c>
      <c r="O1011" s="35" t="str">
        <f aca="false">IF($A1011="","",MONTH($A1011))</f>
        <v/>
      </c>
      <c r="P1011" s="35" t="str">
        <f aca="false">IF($A1011="","",ROUNDUP(MONTH($A1011)/3,0))</f>
        <v/>
      </c>
      <c r="Q1011" s="35" t="str">
        <f aca="false">IF($A1011="","",IF(MONTH($A1011)&lt;=6,1,2))</f>
        <v/>
      </c>
      <c r="R1011" s="35" t="str">
        <f aca="false">IF($E1011="","",IFERROR(INDEX(Kontenplan!$F$5:$F$90,MATCH($E1011,Kontenplan!$A$5:$A$90,0)),""))</f>
        <v/>
      </c>
      <c r="S1011" s="35" t="str">
        <f aca="false">IF($D1011="","",IFERROR(INDEX(Kontenplan!$F$5:$F$90,MATCH($D1011,Kontenplan!$A$5:$A$90,0)),""))</f>
        <v/>
      </c>
      <c r="T1011" s="35" t="str">
        <f aca="false">IF($D1011="","",IFERROR(INDEX(Kontenplan!$C$5:$C$90,MATCH($D1011,Kontenplan!$A$5:$A$90,0)),"?"))</f>
        <v/>
      </c>
      <c r="U1011" s="35" t="str">
        <f aca="false">IF($E1011="","",IFERROR(INDEX(Kontenplan!$C$5:$C$90,MATCH($E1011,Kontenplan!$A$5:$A$90,0)),"?"))</f>
        <v/>
      </c>
      <c r="V1011" s="35" t="str">
        <f aca="false">IF($F1011="","",IF(OR($D1011="",$E1011="",$T1011="?",$U1011="?"),"Konto prüfen!",IF($A1011="","Datum fehlt",IF(YEAR($A1011)&lt;&gt;Einstellungen!$B$7,"anderes Jahr!",IF($G1011="","MWST-Code fehlt","OK")))))</f>
        <v/>
      </c>
      <c r="W1011" s="35" t="str">
        <f aca="false">IF($F1011="","",IF(OR($D1011=Kontoauszug!$C$4,$E1011=Kontoauszug!$C$4),MAX(W$4:W1010)+1,""))</f>
        <v/>
      </c>
    </row>
    <row r="1012" customFormat="false" ht="15" hidden="false" customHeight="false" outlineLevel="0" collapsed="false">
      <c r="A1012" s="33"/>
      <c r="B1012" s="32"/>
      <c r="C1012" s="32"/>
      <c r="D1012" s="32"/>
      <c r="E1012" s="32"/>
      <c r="F1012" s="30"/>
      <c r="G1012" s="32"/>
      <c r="H1012" s="34" t="n">
        <f aca="false">IF($G1012="",0,IFERROR(INDEX(Einstellungen!$G$5:$G$11,MATCH($G1012,Einstellungen!$E$5:$E$11,0)),0))</f>
        <v>0</v>
      </c>
      <c r="I1012" s="35" t="str">
        <f aca="false">IF($G1012="","-",IFERROR(INDEX(Einstellungen!$H$5:$H$11,MATCH($G1012,Einstellungen!$E$5:$E$11,0)),"-"))</f>
        <v>-</v>
      </c>
      <c r="J1012" s="35" t="str">
        <f aca="false">IF(AND(Einstellungen!$B$8="Ja",Einstellungen!$B$9="Effektiv"),$I1012,"-")</f>
        <v>-</v>
      </c>
      <c r="K1012" s="31" t="n">
        <f aca="false">IF(OR($F1012="",$J1012="-"),0,ROUND($F1012-$F1012/(1+$H1012),2))</f>
        <v>0</v>
      </c>
      <c r="L1012" s="31" t="n">
        <f aca="false">IF($F1012="",0,$F1012-$K1012)</f>
        <v>0</v>
      </c>
      <c r="M1012" s="31" t="n">
        <f aca="false">IF($F1012="",0,IF($J1012="V",$L1012,$F1012))</f>
        <v>0</v>
      </c>
      <c r="N1012" s="31" t="n">
        <f aca="false">IF($F1012="",0,IF($J1012="U",$L1012,$F1012))</f>
        <v>0</v>
      </c>
      <c r="O1012" s="35" t="str">
        <f aca="false">IF($A1012="","",MONTH($A1012))</f>
        <v/>
      </c>
      <c r="P1012" s="35" t="str">
        <f aca="false">IF($A1012="","",ROUNDUP(MONTH($A1012)/3,0))</f>
        <v/>
      </c>
      <c r="Q1012" s="35" t="str">
        <f aca="false">IF($A1012="","",IF(MONTH($A1012)&lt;=6,1,2))</f>
        <v/>
      </c>
      <c r="R1012" s="35" t="str">
        <f aca="false">IF($E1012="","",IFERROR(INDEX(Kontenplan!$F$5:$F$90,MATCH($E1012,Kontenplan!$A$5:$A$90,0)),""))</f>
        <v/>
      </c>
      <c r="S1012" s="35" t="str">
        <f aca="false">IF($D1012="","",IFERROR(INDEX(Kontenplan!$F$5:$F$90,MATCH($D1012,Kontenplan!$A$5:$A$90,0)),""))</f>
        <v/>
      </c>
      <c r="T1012" s="35" t="str">
        <f aca="false">IF($D1012="","",IFERROR(INDEX(Kontenplan!$C$5:$C$90,MATCH($D1012,Kontenplan!$A$5:$A$90,0)),"?"))</f>
        <v/>
      </c>
      <c r="U1012" s="35" t="str">
        <f aca="false">IF($E1012="","",IFERROR(INDEX(Kontenplan!$C$5:$C$90,MATCH($E1012,Kontenplan!$A$5:$A$90,0)),"?"))</f>
        <v/>
      </c>
      <c r="V1012" s="35" t="str">
        <f aca="false">IF($F1012="","",IF(OR($D1012="",$E1012="",$T1012="?",$U1012="?"),"Konto prüfen!",IF($A1012="","Datum fehlt",IF(YEAR($A1012)&lt;&gt;Einstellungen!$B$7,"anderes Jahr!",IF($G1012="","MWST-Code fehlt","OK")))))</f>
        <v/>
      </c>
      <c r="W1012" s="35" t="str">
        <f aca="false">IF($F1012="","",IF(OR($D1012=Kontoauszug!$C$4,$E1012=Kontoauszug!$C$4),MAX(W$4:W1011)+1,""))</f>
        <v/>
      </c>
    </row>
    <row r="1013" customFormat="false" ht="15" hidden="false" customHeight="false" outlineLevel="0" collapsed="false">
      <c r="A1013" s="33"/>
      <c r="B1013" s="32"/>
      <c r="C1013" s="32"/>
      <c r="D1013" s="32"/>
      <c r="E1013" s="32"/>
      <c r="F1013" s="30"/>
      <c r="G1013" s="32"/>
      <c r="H1013" s="34" t="n">
        <f aca="false">IF($G1013="",0,IFERROR(INDEX(Einstellungen!$G$5:$G$11,MATCH($G1013,Einstellungen!$E$5:$E$11,0)),0))</f>
        <v>0</v>
      </c>
      <c r="I1013" s="35" t="str">
        <f aca="false">IF($G1013="","-",IFERROR(INDEX(Einstellungen!$H$5:$H$11,MATCH($G1013,Einstellungen!$E$5:$E$11,0)),"-"))</f>
        <v>-</v>
      </c>
      <c r="J1013" s="35" t="str">
        <f aca="false">IF(AND(Einstellungen!$B$8="Ja",Einstellungen!$B$9="Effektiv"),$I1013,"-")</f>
        <v>-</v>
      </c>
      <c r="K1013" s="31" t="n">
        <f aca="false">IF(OR($F1013="",$J1013="-"),0,ROUND($F1013-$F1013/(1+$H1013),2))</f>
        <v>0</v>
      </c>
      <c r="L1013" s="31" t="n">
        <f aca="false">IF($F1013="",0,$F1013-$K1013)</f>
        <v>0</v>
      </c>
      <c r="M1013" s="31" t="n">
        <f aca="false">IF($F1013="",0,IF($J1013="V",$L1013,$F1013))</f>
        <v>0</v>
      </c>
      <c r="N1013" s="31" t="n">
        <f aca="false">IF($F1013="",0,IF($J1013="U",$L1013,$F1013))</f>
        <v>0</v>
      </c>
      <c r="O1013" s="35" t="str">
        <f aca="false">IF($A1013="","",MONTH($A1013))</f>
        <v/>
      </c>
      <c r="P1013" s="35" t="str">
        <f aca="false">IF($A1013="","",ROUNDUP(MONTH($A1013)/3,0))</f>
        <v/>
      </c>
      <c r="Q1013" s="35" t="str">
        <f aca="false">IF($A1013="","",IF(MONTH($A1013)&lt;=6,1,2))</f>
        <v/>
      </c>
      <c r="R1013" s="35" t="str">
        <f aca="false">IF($E1013="","",IFERROR(INDEX(Kontenplan!$F$5:$F$90,MATCH($E1013,Kontenplan!$A$5:$A$90,0)),""))</f>
        <v/>
      </c>
      <c r="S1013" s="35" t="str">
        <f aca="false">IF($D1013="","",IFERROR(INDEX(Kontenplan!$F$5:$F$90,MATCH($D1013,Kontenplan!$A$5:$A$90,0)),""))</f>
        <v/>
      </c>
      <c r="T1013" s="35" t="str">
        <f aca="false">IF($D1013="","",IFERROR(INDEX(Kontenplan!$C$5:$C$90,MATCH($D1013,Kontenplan!$A$5:$A$90,0)),"?"))</f>
        <v/>
      </c>
      <c r="U1013" s="35" t="str">
        <f aca="false">IF($E1013="","",IFERROR(INDEX(Kontenplan!$C$5:$C$90,MATCH($E1013,Kontenplan!$A$5:$A$90,0)),"?"))</f>
        <v/>
      </c>
      <c r="V1013" s="35" t="str">
        <f aca="false">IF($F1013="","",IF(OR($D1013="",$E1013="",$T1013="?",$U1013="?"),"Konto prüfen!",IF($A1013="","Datum fehlt",IF(YEAR($A1013)&lt;&gt;Einstellungen!$B$7,"anderes Jahr!",IF($G1013="","MWST-Code fehlt","OK")))))</f>
        <v/>
      </c>
      <c r="W1013" s="35" t="str">
        <f aca="false">IF($F1013="","",IF(OR($D1013=Kontoauszug!$C$4,$E1013=Kontoauszug!$C$4),MAX(W$4:W1012)+1,""))</f>
        <v/>
      </c>
    </row>
    <row r="1014" customFormat="false" ht="15" hidden="false" customHeight="false" outlineLevel="0" collapsed="false">
      <c r="A1014" s="33"/>
      <c r="B1014" s="32"/>
      <c r="C1014" s="32"/>
      <c r="D1014" s="32"/>
      <c r="E1014" s="32"/>
      <c r="F1014" s="30"/>
      <c r="G1014" s="32"/>
      <c r="H1014" s="34" t="n">
        <f aca="false">IF($G1014="",0,IFERROR(INDEX(Einstellungen!$G$5:$G$11,MATCH($G1014,Einstellungen!$E$5:$E$11,0)),0))</f>
        <v>0</v>
      </c>
      <c r="I1014" s="35" t="str">
        <f aca="false">IF($G1014="","-",IFERROR(INDEX(Einstellungen!$H$5:$H$11,MATCH($G1014,Einstellungen!$E$5:$E$11,0)),"-"))</f>
        <v>-</v>
      </c>
      <c r="J1014" s="35" t="str">
        <f aca="false">IF(AND(Einstellungen!$B$8="Ja",Einstellungen!$B$9="Effektiv"),$I1014,"-")</f>
        <v>-</v>
      </c>
      <c r="K1014" s="31" t="n">
        <f aca="false">IF(OR($F1014="",$J1014="-"),0,ROUND($F1014-$F1014/(1+$H1014),2))</f>
        <v>0</v>
      </c>
      <c r="L1014" s="31" t="n">
        <f aca="false">IF($F1014="",0,$F1014-$K1014)</f>
        <v>0</v>
      </c>
      <c r="M1014" s="31" t="n">
        <f aca="false">IF($F1014="",0,IF($J1014="V",$L1014,$F1014))</f>
        <v>0</v>
      </c>
      <c r="N1014" s="31" t="n">
        <f aca="false">IF($F1014="",0,IF($J1014="U",$L1014,$F1014))</f>
        <v>0</v>
      </c>
      <c r="O1014" s="35" t="str">
        <f aca="false">IF($A1014="","",MONTH($A1014))</f>
        <v/>
      </c>
      <c r="P1014" s="35" t="str">
        <f aca="false">IF($A1014="","",ROUNDUP(MONTH($A1014)/3,0))</f>
        <v/>
      </c>
      <c r="Q1014" s="35" t="str">
        <f aca="false">IF($A1014="","",IF(MONTH($A1014)&lt;=6,1,2))</f>
        <v/>
      </c>
      <c r="R1014" s="35" t="str">
        <f aca="false">IF($E1014="","",IFERROR(INDEX(Kontenplan!$F$5:$F$90,MATCH($E1014,Kontenplan!$A$5:$A$90,0)),""))</f>
        <v/>
      </c>
      <c r="S1014" s="35" t="str">
        <f aca="false">IF($D1014="","",IFERROR(INDEX(Kontenplan!$F$5:$F$90,MATCH($D1014,Kontenplan!$A$5:$A$90,0)),""))</f>
        <v/>
      </c>
      <c r="T1014" s="35" t="str">
        <f aca="false">IF($D1014="","",IFERROR(INDEX(Kontenplan!$C$5:$C$90,MATCH($D1014,Kontenplan!$A$5:$A$90,0)),"?"))</f>
        <v/>
      </c>
      <c r="U1014" s="35" t="str">
        <f aca="false">IF($E1014="","",IFERROR(INDEX(Kontenplan!$C$5:$C$90,MATCH($E1014,Kontenplan!$A$5:$A$90,0)),"?"))</f>
        <v/>
      </c>
      <c r="V1014" s="35" t="str">
        <f aca="false">IF($F1014="","",IF(OR($D1014="",$E1014="",$T1014="?",$U1014="?"),"Konto prüfen!",IF($A1014="","Datum fehlt",IF(YEAR($A1014)&lt;&gt;Einstellungen!$B$7,"anderes Jahr!",IF($G1014="","MWST-Code fehlt","OK")))))</f>
        <v/>
      </c>
      <c r="W1014" s="35" t="str">
        <f aca="false">IF($F1014="","",IF(OR($D1014=Kontoauszug!$C$4,$E1014=Kontoauszug!$C$4),MAX(W$4:W1013)+1,""))</f>
        <v/>
      </c>
    </row>
    <row r="1015" customFormat="false" ht="15" hidden="false" customHeight="false" outlineLevel="0" collapsed="false">
      <c r="A1015" s="33"/>
      <c r="B1015" s="32"/>
      <c r="C1015" s="32"/>
      <c r="D1015" s="32"/>
      <c r="E1015" s="32"/>
      <c r="F1015" s="30"/>
      <c r="G1015" s="32"/>
      <c r="H1015" s="34" t="n">
        <f aca="false">IF($G1015="",0,IFERROR(INDEX(Einstellungen!$G$5:$G$11,MATCH($G1015,Einstellungen!$E$5:$E$11,0)),0))</f>
        <v>0</v>
      </c>
      <c r="I1015" s="35" t="str">
        <f aca="false">IF($G1015="","-",IFERROR(INDEX(Einstellungen!$H$5:$H$11,MATCH($G1015,Einstellungen!$E$5:$E$11,0)),"-"))</f>
        <v>-</v>
      </c>
      <c r="J1015" s="35" t="str">
        <f aca="false">IF(AND(Einstellungen!$B$8="Ja",Einstellungen!$B$9="Effektiv"),$I1015,"-")</f>
        <v>-</v>
      </c>
      <c r="K1015" s="31" t="n">
        <f aca="false">IF(OR($F1015="",$J1015="-"),0,ROUND($F1015-$F1015/(1+$H1015),2))</f>
        <v>0</v>
      </c>
      <c r="L1015" s="31" t="n">
        <f aca="false">IF($F1015="",0,$F1015-$K1015)</f>
        <v>0</v>
      </c>
      <c r="M1015" s="31" t="n">
        <f aca="false">IF($F1015="",0,IF($J1015="V",$L1015,$F1015))</f>
        <v>0</v>
      </c>
      <c r="N1015" s="31" t="n">
        <f aca="false">IF($F1015="",0,IF($J1015="U",$L1015,$F1015))</f>
        <v>0</v>
      </c>
      <c r="O1015" s="35" t="str">
        <f aca="false">IF($A1015="","",MONTH($A1015))</f>
        <v/>
      </c>
      <c r="P1015" s="35" t="str">
        <f aca="false">IF($A1015="","",ROUNDUP(MONTH($A1015)/3,0))</f>
        <v/>
      </c>
      <c r="Q1015" s="35" t="str">
        <f aca="false">IF($A1015="","",IF(MONTH($A1015)&lt;=6,1,2))</f>
        <v/>
      </c>
      <c r="R1015" s="35" t="str">
        <f aca="false">IF($E1015="","",IFERROR(INDEX(Kontenplan!$F$5:$F$90,MATCH($E1015,Kontenplan!$A$5:$A$90,0)),""))</f>
        <v/>
      </c>
      <c r="S1015" s="35" t="str">
        <f aca="false">IF($D1015="","",IFERROR(INDEX(Kontenplan!$F$5:$F$90,MATCH($D1015,Kontenplan!$A$5:$A$90,0)),""))</f>
        <v/>
      </c>
      <c r="T1015" s="35" t="str">
        <f aca="false">IF($D1015="","",IFERROR(INDEX(Kontenplan!$C$5:$C$90,MATCH($D1015,Kontenplan!$A$5:$A$90,0)),"?"))</f>
        <v/>
      </c>
      <c r="U1015" s="35" t="str">
        <f aca="false">IF($E1015="","",IFERROR(INDEX(Kontenplan!$C$5:$C$90,MATCH($E1015,Kontenplan!$A$5:$A$90,0)),"?"))</f>
        <v/>
      </c>
      <c r="V1015" s="35" t="str">
        <f aca="false">IF($F1015="","",IF(OR($D1015="",$E1015="",$T1015="?",$U1015="?"),"Konto prüfen!",IF($A1015="","Datum fehlt",IF(YEAR($A1015)&lt;&gt;Einstellungen!$B$7,"anderes Jahr!",IF($G1015="","MWST-Code fehlt","OK")))))</f>
        <v/>
      </c>
      <c r="W1015" s="35" t="str">
        <f aca="false">IF($F1015="","",IF(OR($D1015=Kontoauszug!$C$4,$E1015=Kontoauszug!$C$4),MAX(W$4:W1014)+1,""))</f>
        <v/>
      </c>
    </row>
    <row r="1016" customFormat="false" ht="15" hidden="false" customHeight="false" outlineLevel="0" collapsed="false">
      <c r="A1016" s="33"/>
      <c r="B1016" s="32"/>
      <c r="C1016" s="32"/>
      <c r="D1016" s="32"/>
      <c r="E1016" s="32"/>
      <c r="F1016" s="30"/>
      <c r="G1016" s="32"/>
      <c r="H1016" s="34" t="n">
        <f aca="false">IF($G1016="",0,IFERROR(INDEX(Einstellungen!$G$5:$G$11,MATCH($G1016,Einstellungen!$E$5:$E$11,0)),0))</f>
        <v>0</v>
      </c>
      <c r="I1016" s="35" t="str">
        <f aca="false">IF($G1016="","-",IFERROR(INDEX(Einstellungen!$H$5:$H$11,MATCH($G1016,Einstellungen!$E$5:$E$11,0)),"-"))</f>
        <v>-</v>
      </c>
      <c r="J1016" s="35" t="str">
        <f aca="false">IF(AND(Einstellungen!$B$8="Ja",Einstellungen!$B$9="Effektiv"),$I1016,"-")</f>
        <v>-</v>
      </c>
      <c r="K1016" s="31" t="n">
        <f aca="false">IF(OR($F1016="",$J1016="-"),0,ROUND($F1016-$F1016/(1+$H1016),2))</f>
        <v>0</v>
      </c>
      <c r="L1016" s="31" t="n">
        <f aca="false">IF($F1016="",0,$F1016-$K1016)</f>
        <v>0</v>
      </c>
      <c r="M1016" s="31" t="n">
        <f aca="false">IF($F1016="",0,IF($J1016="V",$L1016,$F1016))</f>
        <v>0</v>
      </c>
      <c r="N1016" s="31" t="n">
        <f aca="false">IF($F1016="",0,IF($J1016="U",$L1016,$F1016))</f>
        <v>0</v>
      </c>
      <c r="O1016" s="35" t="str">
        <f aca="false">IF($A1016="","",MONTH($A1016))</f>
        <v/>
      </c>
      <c r="P1016" s="35" t="str">
        <f aca="false">IF($A1016="","",ROUNDUP(MONTH($A1016)/3,0))</f>
        <v/>
      </c>
      <c r="Q1016" s="35" t="str">
        <f aca="false">IF($A1016="","",IF(MONTH($A1016)&lt;=6,1,2))</f>
        <v/>
      </c>
      <c r="R1016" s="35" t="str">
        <f aca="false">IF($E1016="","",IFERROR(INDEX(Kontenplan!$F$5:$F$90,MATCH($E1016,Kontenplan!$A$5:$A$90,0)),""))</f>
        <v/>
      </c>
      <c r="S1016" s="35" t="str">
        <f aca="false">IF($D1016="","",IFERROR(INDEX(Kontenplan!$F$5:$F$90,MATCH($D1016,Kontenplan!$A$5:$A$90,0)),""))</f>
        <v/>
      </c>
      <c r="T1016" s="35" t="str">
        <f aca="false">IF($D1016="","",IFERROR(INDEX(Kontenplan!$C$5:$C$90,MATCH($D1016,Kontenplan!$A$5:$A$90,0)),"?"))</f>
        <v/>
      </c>
      <c r="U1016" s="35" t="str">
        <f aca="false">IF($E1016="","",IFERROR(INDEX(Kontenplan!$C$5:$C$90,MATCH($E1016,Kontenplan!$A$5:$A$90,0)),"?"))</f>
        <v/>
      </c>
      <c r="V1016" s="35" t="str">
        <f aca="false">IF($F1016="","",IF(OR($D1016="",$E1016="",$T1016="?",$U1016="?"),"Konto prüfen!",IF($A1016="","Datum fehlt",IF(YEAR($A1016)&lt;&gt;Einstellungen!$B$7,"anderes Jahr!",IF($G1016="","MWST-Code fehlt","OK")))))</f>
        <v/>
      </c>
      <c r="W1016" s="35" t="str">
        <f aca="false">IF($F1016="","",IF(OR($D1016=Kontoauszug!$C$4,$E1016=Kontoauszug!$C$4),MAX(W$4:W1015)+1,""))</f>
        <v/>
      </c>
    </row>
    <row r="1017" customFormat="false" ht="15" hidden="false" customHeight="false" outlineLevel="0" collapsed="false">
      <c r="A1017" s="33"/>
      <c r="B1017" s="32"/>
      <c r="C1017" s="32"/>
      <c r="D1017" s="32"/>
      <c r="E1017" s="32"/>
      <c r="F1017" s="30"/>
      <c r="G1017" s="32"/>
      <c r="H1017" s="34" t="n">
        <f aca="false">IF($G1017="",0,IFERROR(INDEX(Einstellungen!$G$5:$G$11,MATCH($G1017,Einstellungen!$E$5:$E$11,0)),0))</f>
        <v>0</v>
      </c>
      <c r="I1017" s="35" t="str">
        <f aca="false">IF($G1017="","-",IFERROR(INDEX(Einstellungen!$H$5:$H$11,MATCH($G1017,Einstellungen!$E$5:$E$11,0)),"-"))</f>
        <v>-</v>
      </c>
      <c r="J1017" s="35" t="str">
        <f aca="false">IF(AND(Einstellungen!$B$8="Ja",Einstellungen!$B$9="Effektiv"),$I1017,"-")</f>
        <v>-</v>
      </c>
      <c r="K1017" s="31" t="n">
        <f aca="false">IF(OR($F1017="",$J1017="-"),0,ROUND($F1017-$F1017/(1+$H1017),2))</f>
        <v>0</v>
      </c>
      <c r="L1017" s="31" t="n">
        <f aca="false">IF($F1017="",0,$F1017-$K1017)</f>
        <v>0</v>
      </c>
      <c r="M1017" s="31" t="n">
        <f aca="false">IF($F1017="",0,IF($J1017="V",$L1017,$F1017))</f>
        <v>0</v>
      </c>
      <c r="N1017" s="31" t="n">
        <f aca="false">IF($F1017="",0,IF($J1017="U",$L1017,$F1017))</f>
        <v>0</v>
      </c>
      <c r="O1017" s="35" t="str">
        <f aca="false">IF($A1017="","",MONTH($A1017))</f>
        <v/>
      </c>
      <c r="P1017" s="35" t="str">
        <f aca="false">IF($A1017="","",ROUNDUP(MONTH($A1017)/3,0))</f>
        <v/>
      </c>
      <c r="Q1017" s="35" t="str">
        <f aca="false">IF($A1017="","",IF(MONTH($A1017)&lt;=6,1,2))</f>
        <v/>
      </c>
      <c r="R1017" s="35" t="str">
        <f aca="false">IF($E1017="","",IFERROR(INDEX(Kontenplan!$F$5:$F$90,MATCH($E1017,Kontenplan!$A$5:$A$90,0)),""))</f>
        <v/>
      </c>
      <c r="S1017" s="35" t="str">
        <f aca="false">IF($D1017="","",IFERROR(INDEX(Kontenplan!$F$5:$F$90,MATCH($D1017,Kontenplan!$A$5:$A$90,0)),""))</f>
        <v/>
      </c>
      <c r="T1017" s="35" t="str">
        <f aca="false">IF($D1017="","",IFERROR(INDEX(Kontenplan!$C$5:$C$90,MATCH($D1017,Kontenplan!$A$5:$A$90,0)),"?"))</f>
        <v/>
      </c>
      <c r="U1017" s="35" t="str">
        <f aca="false">IF($E1017="","",IFERROR(INDEX(Kontenplan!$C$5:$C$90,MATCH($E1017,Kontenplan!$A$5:$A$90,0)),"?"))</f>
        <v/>
      </c>
      <c r="V1017" s="35" t="str">
        <f aca="false">IF($F1017="","",IF(OR($D1017="",$E1017="",$T1017="?",$U1017="?"),"Konto prüfen!",IF($A1017="","Datum fehlt",IF(YEAR($A1017)&lt;&gt;Einstellungen!$B$7,"anderes Jahr!",IF($G1017="","MWST-Code fehlt","OK")))))</f>
        <v/>
      </c>
      <c r="W1017" s="35" t="str">
        <f aca="false">IF($F1017="","",IF(OR($D1017=Kontoauszug!$C$4,$E1017=Kontoauszug!$C$4),MAX(W$4:W1016)+1,""))</f>
        <v/>
      </c>
    </row>
    <row r="1018" customFormat="false" ht="15" hidden="false" customHeight="false" outlineLevel="0" collapsed="false">
      <c r="A1018" s="33"/>
      <c r="B1018" s="32"/>
      <c r="C1018" s="32"/>
      <c r="D1018" s="32"/>
      <c r="E1018" s="32"/>
      <c r="F1018" s="30"/>
      <c r="G1018" s="32"/>
      <c r="H1018" s="34" t="n">
        <f aca="false">IF($G1018="",0,IFERROR(INDEX(Einstellungen!$G$5:$G$11,MATCH($G1018,Einstellungen!$E$5:$E$11,0)),0))</f>
        <v>0</v>
      </c>
      <c r="I1018" s="35" t="str">
        <f aca="false">IF($G1018="","-",IFERROR(INDEX(Einstellungen!$H$5:$H$11,MATCH($G1018,Einstellungen!$E$5:$E$11,0)),"-"))</f>
        <v>-</v>
      </c>
      <c r="J1018" s="35" t="str">
        <f aca="false">IF(AND(Einstellungen!$B$8="Ja",Einstellungen!$B$9="Effektiv"),$I1018,"-")</f>
        <v>-</v>
      </c>
      <c r="K1018" s="31" t="n">
        <f aca="false">IF(OR($F1018="",$J1018="-"),0,ROUND($F1018-$F1018/(1+$H1018),2))</f>
        <v>0</v>
      </c>
      <c r="L1018" s="31" t="n">
        <f aca="false">IF($F1018="",0,$F1018-$K1018)</f>
        <v>0</v>
      </c>
      <c r="M1018" s="31" t="n">
        <f aca="false">IF($F1018="",0,IF($J1018="V",$L1018,$F1018))</f>
        <v>0</v>
      </c>
      <c r="N1018" s="31" t="n">
        <f aca="false">IF($F1018="",0,IF($J1018="U",$L1018,$F1018))</f>
        <v>0</v>
      </c>
      <c r="O1018" s="35" t="str">
        <f aca="false">IF($A1018="","",MONTH($A1018))</f>
        <v/>
      </c>
      <c r="P1018" s="35" t="str">
        <f aca="false">IF($A1018="","",ROUNDUP(MONTH($A1018)/3,0))</f>
        <v/>
      </c>
      <c r="Q1018" s="35" t="str">
        <f aca="false">IF($A1018="","",IF(MONTH($A1018)&lt;=6,1,2))</f>
        <v/>
      </c>
      <c r="R1018" s="35" t="str">
        <f aca="false">IF($E1018="","",IFERROR(INDEX(Kontenplan!$F$5:$F$90,MATCH($E1018,Kontenplan!$A$5:$A$90,0)),""))</f>
        <v/>
      </c>
      <c r="S1018" s="35" t="str">
        <f aca="false">IF($D1018="","",IFERROR(INDEX(Kontenplan!$F$5:$F$90,MATCH($D1018,Kontenplan!$A$5:$A$90,0)),""))</f>
        <v/>
      </c>
      <c r="T1018" s="35" t="str">
        <f aca="false">IF($D1018="","",IFERROR(INDEX(Kontenplan!$C$5:$C$90,MATCH($D1018,Kontenplan!$A$5:$A$90,0)),"?"))</f>
        <v/>
      </c>
      <c r="U1018" s="35" t="str">
        <f aca="false">IF($E1018="","",IFERROR(INDEX(Kontenplan!$C$5:$C$90,MATCH($E1018,Kontenplan!$A$5:$A$90,0)),"?"))</f>
        <v/>
      </c>
      <c r="V1018" s="35" t="str">
        <f aca="false">IF($F1018="","",IF(OR($D1018="",$E1018="",$T1018="?",$U1018="?"),"Konto prüfen!",IF($A1018="","Datum fehlt",IF(YEAR($A1018)&lt;&gt;Einstellungen!$B$7,"anderes Jahr!",IF($G1018="","MWST-Code fehlt","OK")))))</f>
        <v/>
      </c>
      <c r="W1018" s="35" t="str">
        <f aca="false">IF($F1018="","",IF(OR($D1018=Kontoauszug!$C$4,$E1018=Kontoauszug!$C$4),MAX(W$4:W1017)+1,""))</f>
        <v/>
      </c>
    </row>
    <row r="1019" customFormat="false" ht="15" hidden="false" customHeight="false" outlineLevel="0" collapsed="false">
      <c r="A1019" s="33"/>
      <c r="B1019" s="32"/>
      <c r="C1019" s="32"/>
      <c r="D1019" s="32"/>
      <c r="E1019" s="32"/>
      <c r="F1019" s="30"/>
      <c r="G1019" s="32"/>
      <c r="H1019" s="34" t="n">
        <f aca="false">IF($G1019="",0,IFERROR(INDEX(Einstellungen!$G$5:$G$11,MATCH($G1019,Einstellungen!$E$5:$E$11,0)),0))</f>
        <v>0</v>
      </c>
      <c r="I1019" s="35" t="str">
        <f aca="false">IF($G1019="","-",IFERROR(INDEX(Einstellungen!$H$5:$H$11,MATCH($G1019,Einstellungen!$E$5:$E$11,0)),"-"))</f>
        <v>-</v>
      </c>
      <c r="J1019" s="35" t="str">
        <f aca="false">IF(AND(Einstellungen!$B$8="Ja",Einstellungen!$B$9="Effektiv"),$I1019,"-")</f>
        <v>-</v>
      </c>
      <c r="K1019" s="31" t="n">
        <f aca="false">IF(OR($F1019="",$J1019="-"),0,ROUND($F1019-$F1019/(1+$H1019),2))</f>
        <v>0</v>
      </c>
      <c r="L1019" s="31" t="n">
        <f aca="false">IF($F1019="",0,$F1019-$K1019)</f>
        <v>0</v>
      </c>
      <c r="M1019" s="31" t="n">
        <f aca="false">IF($F1019="",0,IF($J1019="V",$L1019,$F1019))</f>
        <v>0</v>
      </c>
      <c r="N1019" s="31" t="n">
        <f aca="false">IF($F1019="",0,IF($J1019="U",$L1019,$F1019))</f>
        <v>0</v>
      </c>
      <c r="O1019" s="35" t="str">
        <f aca="false">IF($A1019="","",MONTH($A1019))</f>
        <v/>
      </c>
      <c r="P1019" s="35" t="str">
        <f aca="false">IF($A1019="","",ROUNDUP(MONTH($A1019)/3,0))</f>
        <v/>
      </c>
      <c r="Q1019" s="35" t="str">
        <f aca="false">IF($A1019="","",IF(MONTH($A1019)&lt;=6,1,2))</f>
        <v/>
      </c>
      <c r="R1019" s="35" t="str">
        <f aca="false">IF($E1019="","",IFERROR(INDEX(Kontenplan!$F$5:$F$90,MATCH($E1019,Kontenplan!$A$5:$A$90,0)),""))</f>
        <v/>
      </c>
      <c r="S1019" s="35" t="str">
        <f aca="false">IF($D1019="","",IFERROR(INDEX(Kontenplan!$F$5:$F$90,MATCH($D1019,Kontenplan!$A$5:$A$90,0)),""))</f>
        <v/>
      </c>
      <c r="T1019" s="35" t="str">
        <f aca="false">IF($D1019="","",IFERROR(INDEX(Kontenplan!$C$5:$C$90,MATCH($D1019,Kontenplan!$A$5:$A$90,0)),"?"))</f>
        <v/>
      </c>
      <c r="U1019" s="35" t="str">
        <f aca="false">IF($E1019="","",IFERROR(INDEX(Kontenplan!$C$5:$C$90,MATCH($E1019,Kontenplan!$A$5:$A$90,0)),"?"))</f>
        <v/>
      </c>
      <c r="V1019" s="35" t="str">
        <f aca="false">IF($F1019="","",IF(OR($D1019="",$E1019="",$T1019="?",$U1019="?"),"Konto prüfen!",IF($A1019="","Datum fehlt",IF(YEAR($A1019)&lt;&gt;Einstellungen!$B$7,"anderes Jahr!",IF($G1019="","MWST-Code fehlt","OK")))))</f>
        <v/>
      </c>
      <c r="W1019" s="35" t="str">
        <f aca="false">IF($F1019="","",IF(OR($D1019=Kontoauszug!$C$4,$E1019=Kontoauszug!$C$4),MAX(W$4:W1018)+1,""))</f>
        <v/>
      </c>
    </row>
    <row r="1020" customFormat="false" ht="15" hidden="false" customHeight="false" outlineLevel="0" collapsed="false">
      <c r="A1020" s="33"/>
      <c r="B1020" s="32"/>
      <c r="C1020" s="32"/>
      <c r="D1020" s="32"/>
      <c r="E1020" s="32"/>
      <c r="F1020" s="30"/>
      <c r="G1020" s="32"/>
      <c r="H1020" s="34" t="n">
        <f aca="false">IF($G1020="",0,IFERROR(INDEX(Einstellungen!$G$5:$G$11,MATCH($G1020,Einstellungen!$E$5:$E$11,0)),0))</f>
        <v>0</v>
      </c>
      <c r="I1020" s="35" t="str">
        <f aca="false">IF($G1020="","-",IFERROR(INDEX(Einstellungen!$H$5:$H$11,MATCH($G1020,Einstellungen!$E$5:$E$11,0)),"-"))</f>
        <v>-</v>
      </c>
      <c r="J1020" s="35" t="str">
        <f aca="false">IF(AND(Einstellungen!$B$8="Ja",Einstellungen!$B$9="Effektiv"),$I1020,"-")</f>
        <v>-</v>
      </c>
      <c r="K1020" s="31" t="n">
        <f aca="false">IF(OR($F1020="",$J1020="-"),0,ROUND($F1020-$F1020/(1+$H1020),2))</f>
        <v>0</v>
      </c>
      <c r="L1020" s="31" t="n">
        <f aca="false">IF($F1020="",0,$F1020-$K1020)</f>
        <v>0</v>
      </c>
      <c r="M1020" s="31" t="n">
        <f aca="false">IF($F1020="",0,IF($J1020="V",$L1020,$F1020))</f>
        <v>0</v>
      </c>
      <c r="N1020" s="31" t="n">
        <f aca="false">IF($F1020="",0,IF($J1020="U",$L1020,$F1020))</f>
        <v>0</v>
      </c>
      <c r="O1020" s="35" t="str">
        <f aca="false">IF($A1020="","",MONTH($A1020))</f>
        <v/>
      </c>
      <c r="P1020" s="35" t="str">
        <f aca="false">IF($A1020="","",ROUNDUP(MONTH($A1020)/3,0))</f>
        <v/>
      </c>
      <c r="Q1020" s="35" t="str">
        <f aca="false">IF($A1020="","",IF(MONTH($A1020)&lt;=6,1,2))</f>
        <v/>
      </c>
      <c r="R1020" s="35" t="str">
        <f aca="false">IF($E1020="","",IFERROR(INDEX(Kontenplan!$F$5:$F$90,MATCH($E1020,Kontenplan!$A$5:$A$90,0)),""))</f>
        <v/>
      </c>
      <c r="S1020" s="35" t="str">
        <f aca="false">IF($D1020="","",IFERROR(INDEX(Kontenplan!$F$5:$F$90,MATCH($D1020,Kontenplan!$A$5:$A$90,0)),""))</f>
        <v/>
      </c>
      <c r="T1020" s="35" t="str">
        <f aca="false">IF($D1020="","",IFERROR(INDEX(Kontenplan!$C$5:$C$90,MATCH($D1020,Kontenplan!$A$5:$A$90,0)),"?"))</f>
        <v/>
      </c>
      <c r="U1020" s="35" t="str">
        <f aca="false">IF($E1020="","",IFERROR(INDEX(Kontenplan!$C$5:$C$90,MATCH($E1020,Kontenplan!$A$5:$A$90,0)),"?"))</f>
        <v/>
      </c>
      <c r="V1020" s="35" t="str">
        <f aca="false">IF($F1020="","",IF(OR($D1020="",$E1020="",$T1020="?",$U1020="?"),"Konto prüfen!",IF($A1020="","Datum fehlt",IF(YEAR($A1020)&lt;&gt;Einstellungen!$B$7,"anderes Jahr!",IF($G1020="","MWST-Code fehlt","OK")))))</f>
        <v/>
      </c>
      <c r="W1020" s="35" t="str">
        <f aca="false">IF($F1020="","",IF(OR($D1020=Kontoauszug!$C$4,$E1020=Kontoauszug!$C$4),MAX(W$4:W1019)+1,""))</f>
        <v/>
      </c>
    </row>
    <row r="1021" customFormat="false" ht="15" hidden="false" customHeight="false" outlineLevel="0" collapsed="false">
      <c r="A1021" s="33"/>
      <c r="B1021" s="32"/>
      <c r="C1021" s="32"/>
      <c r="D1021" s="32"/>
      <c r="E1021" s="32"/>
      <c r="F1021" s="30"/>
      <c r="G1021" s="32"/>
      <c r="H1021" s="34" t="n">
        <f aca="false">IF($G1021="",0,IFERROR(INDEX(Einstellungen!$G$5:$G$11,MATCH($G1021,Einstellungen!$E$5:$E$11,0)),0))</f>
        <v>0</v>
      </c>
      <c r="I1021" s="35" t="str">
        <f aca="false">IF($G1021="","-",IFERROR(INDEX(Einstellungen!$H$5:$H$11,MATCH($G1021,Einstellungen!$E$5:$E$11,0)),"-"))</f>
        <v>-</v>
      </c>
      <c r="J1021" s="35" t="str">
        <f aca="false">IF(AND(Einstellungen!$B$8="Ja",Einstellungen!$B$9="Effektiv"),$I1021,"-")</f>
        <v>-</v>
      </c>
      <c r="K1021" s="31" t="n">
        <f aca="false">IF(OR($F1021="",$J1021="-"),0,ROUND($F1021-$F1021/(1+$H1021),2))</f>
        <v>0</v>
      </c>
      <c r="L1021" s="31" t="n">
        <f aca="false">IF($F1021="",0,$F1021-$K1021)</f>
        <v>0</v>
      </c>
      <c r="M1021" s="31" t="n">
        <f aca="false">IF($F1021="",0,IF($J1021="V",$L1021,$F1021))</f>
        <v>0</v>
      </c>
      <c r="N1021" s="31" t="n">
        <f aca="false">IF($F1021="",0,IF($J1021="U",$L1021,$F1021))</f>
        <v>0</v>
      </c>
      <c r="O1021" s="35" t="str">
        <f aca="false">IF($A1021="","",MONTH($A1021))</f>
        <v/>
      </c>
      <c r="P1021" s="35" t="str">
        <f aca="false">IF($A1021="","",ROUNDUP(MONTH($A1021)/3,0))</f>
        <v/>
      </c>
      <c r="Q1021" s="35" t="str">
        <f aca="false">IF($A1021="","",IF(MONTH($A1021)&lt;=6,1,2))</f>
        <v/>
      </c>
      <c r="R1021" s="35" t="str">
        <f aca="false">IF($E1021="","",IFERROR(INDEX(Kontenplan!$F$5:$F$90,MATCH($E1021,Kontenplan!$A$5:$A$90,0)),""))</f>
        <v/>
      </c>
      <c r="S1021" s="35" t="str">
        <f aca="false">IF($D1021="","",IFERROR(INDEX(Kontenplan!$F$5:$F$90,MATCH($D1021,Kontenplan!$A$5:$A$90,0)),""))</f>
        <v/>
      </c>
      <c r="T1021" s="35" t="str">
        <f aca="false">IF($D1021="","",IFERROR(INDEX(Kontenplan!$C$5:$C$90,MATCH($D1021,Kontenplan!$A$5:$A$90,0)),"?"))</f>
        <v/>
      </c>
      <c r="U1021" s="35" t="str">
        <f aca="false">IF($E1021="","",IFERROR(INDEX(Kontenplan!$C$5:$C$90,MATCH($E1021,Kontenplan!$A$5:$A$90,0)),"?"))</f>
        <v/>
      </c>
      <c r="V1021" s="35" t="str">
        <f aca="false">IF($F1021="","",IF(OR($D1021="",$E1021="",$T1021="?",$U1021="?"),"Konto prüfen!",IF($A1021="","Datum fehlt",IF(YEAR($A1021)&lt;&gt;Einstellungen!$B$7,"anderes Jahr!",IF($G1021="","MWST-Code fehlt","OK")))))</f>
        <v/>
      </c>
      <c r="W1021" s="35" t="str">
        <f aca="false">IF($F1021="","",IF(OR($D1021=Kontoauszug!$C$4,$E1021=Kontoauszug!$C$4),MAX(W$4:W1020)+1,""))</f>
        <v/>
      </c>
    </row>
    <row r="1022" customFormat="false" ht="15" hidden="false" customHeight="false" outlineLevel="0" collapsed="false">
      <c r="A1022" s="33"/>
      <c r="B1022" s="32"/>
      <c r="C1022" s="32"/>
      <c r="D1022" s="32"/>
      <c r="E1022" s="32"/>
      <c r="F1022" s="30"/>
      <c r="G1022" s="32"/>
      <c r="H1022" s="34" t="n">
        <f aca="false">IF($G1022="",0,IFERROR(INDEX(Einstellungen!$G$5:$G$11,MATCH($G1022,Einstellungen!$E$5:$E$11,0)),0))</f>
        <v>0</v>
      </c>
      <c r="I1022" s="35" t="str">
        <f aca="false">IF($G1022="","-",IFERROR(INDEX(Einstellungen!$H$5:$H$11,MATCH($G1022,Einstellungen!$E$5:$E$11,0)),"-"))</f>
        <v>-</v>
      </c>
      <c r="J1022" s="35" t="str">
        <f aca="false">IF(AND(Einstellungen!$B$8="Ja",Einstellungen!$B$9="Effektiv"),$I1022,"-")</f>
        <v>-</v>
      </c>
      <c r="K1022" s="31" t="n">
        <f aca="false">IF(OR($F1022="",$J1022="-"),0,ROUND($F1022-$F1022/(1+$H1022),2))</f>
        <v>0</v>
      </c>
      <c r="L1022" s="31" t="n">
        <f aca="false">IF($F1022="",0,$F1022-$K1022)</f>
        <v>0</v>
      </c>
      <c r="M1022" s="31" t="n">
        <f aca="false">IF($F1022="",0,IF($J1022="V",$L1022,$F1022))</f>
        <v>0</v>
      </c>
      <c r="N1022" s="31" t="n">
        <f aca="false">IF($F1022="",0,IF($J1022="U",$L1022,$F1022))</f>
        <v>0</v>
      </c>
      <c r="O1022" s="35" t="str">
        <f aca="false">IF($A1022="","",MONTH($A1022))</f>
        <v/>
      </c>
      <c r="P1022" s="35" t="str">
        <f aca="false">IF($A1022="","",ROUNDUP(MONTH($A1022)/3,0))</f>
        <v/>
      </c>
      <c r="Q1022" s="35" t="str">
        <f aca="false">IF($A1022="","",IF(MONTH($A1022)&lt;=6,1,2))</f>
        <v/>
      </c>
      <c r="R1022" s="35" t="str">
        <f aca="false">IF($E1022="","",IFERROR(INDEX(Kontenplan!$F$5:$F$90,MATCH($E1022,Kontenplan!$A$5:$A$90,0)),""))</f>
        <v/>
      </c>
      <c r="S1022" s="35" t="str">
        <f aca="false">IF($D1022="","",IFERROR(INDEX(Kontenplan!$F$5:$F$90,MATCH($D1022,Kontenplan!$A$5:$A$90,0)),""))</f>
        <v/>
      </c>
      <c r="T1022" s="35" t="str">
        <f aca="false">IF($D1022="","",IFERROR(INDEX(Kontenplan!$C$5:$C$90,MATCH($D1022,Kontenplan!$A$5:$A$90,0)),"?"))</f>
        <v/>
      </c>
      <c r="U1022" s="35" t="str">
        <f aca="false">IF($E1022="","",IFERROR(INDEX(Kontenplan!$C$5:$C$90,MATCH($E1022,Kontenplan!$A$5:$A$90,0)),"?"))</f>
        <v/>
      </c>
      <c r="V1022" s="35" t="str">
        <f aca="false">IF($F1022="","",IF(OR($D1022="",$E1022="",$T1022="?",$U1022="?"),"Konto prüfen!",IF($A1022="","Datum fehlt",IF(YEAR($A1022)&lt;&gt;Einstellungen!$B$7,"anderes Jahr!",IF($G1022="","MWST-Code fehlt","OK")))))</f>
        <v/>
      </c>
      <c r="W1022" s="35" t="str">
        <f aca="false">IF($F1022="","",IF(OR($D1022=Kontoauszug!$C$4,$E1022=Kontoauszug!$C$4),MAX(W$4:W1021)+1,""))</f>
        <v/>
      </c>
    </row>
    <row r="1023" customFormat="false" ht="15" hidden="false" customHeight="false" outlineLevel="0" collapsed="false">
      <c r="A1023" s="33"/>
      <c r="B1023" s="32"/>
      <c r="C1023" s="32"/>
      <c r="D1023" s="32"/>
      <c r="E1023" s="32"/>
      <c r="F1023" s="30"/>
      <c r="G1023" s="32"/>
      <c r="H1023" s="34" t="n">
        <f aca="false">IF($G1023="",0,IFERROR(INDEX(Einstellungen!$G$5:$G$11,MATCH($G1023,Einstellungen!$E$5:$E$11,0)),0))</f>
        <v>0</v>
      </c>
      <c r="I1023" s="35" t="str">
        <f aca="false">IF($G1023="","-",IFERROR(INDEX(Einstellungen!$H$5:$H$11,MATCH($G1023,Einstellungen!$E$5:$E$11,0)),"-"))</f>
        <v>-</v>
      </c>
      <c r="J1023" s="35" t="str">
        <f aca="false">IF(AND(Einstellungen!$B$8="Ja",Einstellungen!$B$9="Effektiv"),$I1023,"-")</f>
        <v>-</v>
      </c>
      <c r="K1023" s="31" t="n">
        <f aca="false">IF(OR($F1023="",$J1023="-"),0,ROUND($F1023-$F1023/(1+$H1023),2))</f>
        <v>0</v>
      </c>
      <c r="L1023" s="31" t="n">
        <f aca="false">IF($F1023="",0,$F1023-$K1023)</f>
        <v>0</v>
      </c>
      <c r="M1023" s="31" t="n">
        <f aca="false">IF($F1023="",0,IF($J1023="V",$L1023,$F1023))</f>
        <v>0</v>
      </c>
      <c r="N1023" s="31" t="n">
        <f aca="false">IF($F1023="",0,IF($J1023="U",$L1023,$F1023))</f>
        <v>0</v>
      </c>
      <c r="O1023" s="35" t="str">
        <f aca="false">IF($A1023="","",MONTH($A1023))</f>
        <v/>
      </c>
      <c r="P1023" s="35" t="str">
        <f aca="false">IF($A1023="","",ROUNDUP(MONTH($A1023)/3,0))</f>
        <v/>
      </c>
      <c r="Q1023" s="35" t="str">
        <f aca="false">IF($A1023="","",IF(MONTH($A1023)&lt;=6,1,2))</f>
        <v/>
      </c>
      <c r="R1023" s="35" t="str">
        <f aca="false">IF($E1023="","",IFERROR(INDEX(Kontenplan!$F$5:$F$90,MATCH($E1023,Kontenplan!$A$5:$A$90,0)),""))</f>
        <v/>
      </c>
      <c r="S1023" s="35" t="str">
        <f aca="false">IF($D1023="","",IFERROR(INDEX(Kontenplan!$F$5:$F$90,MATCH($D1023,Kontenplan!$A$5:$A$90,0)),""))</f>
        <v/>
      </c>
      <c r="T1023" s="35" t="str">
        <f aca="false">IF($D1023="","",IFERROR(INDEX(Kontenplan!$C$5:$C$90,MATCH($D1023,Kontenplan!$A$5:$A$90,0)),"?"))</f>
        <v/>
      </c>
      <c r="U1023" s="35" t="str">
        <f aca="false">IF($E1023="","",IFERROR(INDEX(Kontenplan!$C$5:$C$90,MATCH($E1023,Kontenplan!$A$5:$A$90,0)),"?"))</f>
        <v/>
      </c>
      <c r="V1023" s="35" t="str">
        <f aca="false">IF($F1023="","",IF(OR($D1023="",$E1023="",$T1023="?",$U1023="?"),"Konto prüfen!",IF($A1023="","Datum fehlt",IF(YEAR($A1023)&lt;&gt;Einstellungen!$B$7,"anderes Jahr!",IF($G1023="","MWST-Code fehlt","OK")))))</f>
        <v/>
      </c>
      <c r="W1023" s="35" t="str">
        <f aca="false">IF($F1023="","",IF(OR($D1023=Kontoauszug!$C$4,$E1023=Kontoauszug!$C$4),MAX(W$4:W1022)+1,""))</f>
        <v/>
      </c>
    </row>
    <row r="1024" customFormat="false" ht="15" hidden="false" customHeight="false" outlineLevel="0" collapsed="false">
      <c r="A1024" s="33"/>
      <c r="B1024" s="32"/>
      <c r="C1024" s="32"/>
      <c r="D1024" s="32"/>
      <c r="E1024" s="32"/>
      <c r="F1024" s="30"/>
      <c r="G1024" s="32"/>
      <c r="H1024" s="34" t="n">
        <f aca="false">IF($G1024="",0,IFERROR(INDEX(Einstellungen!$G$5:$G$11,MATCH($G1024,Einstellungen!$E$5:$E$11,0)),0))</f>
        <v>0</v>
      </c>
      <c r="I1024" s="35" t="str">
        <f aca="false">IF($G1024="","-",IFERROR(INDEX(Einstellungen!$H$5:$H$11,MATCH($G1024,Einstellungen!$E$5:$E$11,0)),"-"))</f>
        <v>-</v>
      </c>
      <c r="J1024" s="35" t="str">
        <f aca="false">IF(AND(Einstellungen!$B$8="Ja",Einstellungen!$B$9="Effektiv"),$I1024,"-")</f>
        <v>-</v>
      </c>
      <c r="K1024" s="31" t="n">
        <f aca="false">IF(OR($F1024="",$J1024="-"),0,ROUND($F1024-$F1024/(1+$H1024),2))</f>
        <v>0</v>
      </c>
      <c r="L1024" s="31" t="n">
        <f aca="false">IF($F1024="",0,$F1024-$K1024)</f>
        <v>0</v>
      </c>
      <c r="M1024" s="31" t="n">
        <f aca="false">IF($F1024="",0,IF($J1024="V",$L1024,$F1024))</f>
        <v>0</v>
      </c>
      <c r="N1024" s="31" t="n">
        <f aca="false">IF($F1024="",0,IF($J1024="U",$L1024,$F1024))</f>
        <v>0</v>
      </c>
      <c r="O1024" s="35" t="str">
        <f aca="false">IF($A1024="","",MONTH($A1024))</f>
        <v/>
      </c>
      <c r="P1024" s="35" t="str">
        <f aca="false">IF($A1024="","",ROUNDUP(MONTH($A1024)/3,0))</f>
        <v/>
      </c>
      <c r="Q1024" s="35" t="str">
        <f aca="false">IF($A1024="","",IF(MONTH($A1024)&lt;=6,1,2))</f>
        <v/>
      </c>
      <c r="R1024" s="35" t="str">
        <f aca="false">IF($E1024="","",IFERROR(INDEX(Kontenplan!$F$5:$F$90,MATCH($E1024,Kontenplan!$A$5:$A$90,0)),""))</f>
        <v/>
      </c>
      <c r="S1024" s="35" t="str">
        <f aca="false">IF($D1024="","",IFERROR(INDEX(Kontenplan!$F$5:$F$90,MATCH($D1024,Kontenplan!$A$5:$A$90,0)),""))</f>
        <v/>
      </c>
      <c r="T1024" s="35" t="str">
        <f aca="false">IF($D1024="","",IFERROR(INDEX(Kontenplan!$C$5:$C$90,MATCH($D1024,Kontenplan!$A$5:$A$90,0)),"?"))</f>
        <v/>
      </c>
      <c r="U1024" s="35" t="str">
        <f aca="false">IF($E1024="","",IFERROR(INDEX(Kontenplan!$C$5:$C$90,MATCH($E1024,Kontenplan!$A$5:$A$90,0)),"?"))</f>
        <v/>
      </c>
      <c r="V1024" s="35" t="str">
        <f aca="false">IF($F1024="","",IF(OR($D1024="",$E1024="",$T1024="?",$U1024="?"),"Konto prüfen!",IF($A1024="","Datum fehlt",IF(YEAR($A1024)&lt;&gt;Einstellungen!$B$7,"anderes Jahr!",IF($G1024="","MWST-Code fehlt","OK")))))</f>
        <v/>
      </c>
      <c r="W1024" s="35" t="str">
        <f aca="false">IF($F1024="","",IF(OR($D1024=Kontoauszug!$C$4,$E1024=Kontoauszug!$C$4),MAX(W$4:W1023)+1,""))</f>
        <v/>
      </c>
    </row>
    <row r="1025" customFormat="false" ht="15" hidden="false" customHeight="false" outlineLevel="0" collapsed="false">
      <c r="A1025" s="33"/>
      <c r="B1025" s="32"/>
      <c r="C1025" s="32"/>
      <c r="D1025" s="32"/>
      <c r="E1025" s="32"/>
      <c r="F1025" s="30"/>
      <c r="G1025" s="32"/>
      <c r="H1025" s="34" t="n">
        <f aca="false">IF($G1025="",0,IFERROR(INDEX(Einstellungen!$G$5:$G$11,MATCH($G1025,Einstellungen!$E$5:$E$11,0)),0))</f>
        <v>0</v>
      </c>
      <c r="I1025" s="35" t="str">
        <f aca="false">IF($G1025="","-",IFERROR(INDEX(Einstellungen!$H$5:$H$11,MATCH($G1025,Einstellungen!$E$5:$E$11,0)),"-"))</f>
        <v>-</v>
      </c>
      <c r="J1025" s="35" t="str">
        <f aca="false">IF(AND(Einstellungen!$B$8="Ja",Einstellungen!$B$9="Effektiv"),$I1025,"-")</f>
        <v>-</v>
      </c>
      <c r="K1025" s="31" t="n">
        <f aca="false">IF(OR($F1025="",$J1025="-"),0,ROUND($F1025-$F1025/(1+$H1025),2))</f>
        <v>0</v>
      </c>
      <c r="L1025" s="31" t="n">
        <f aca="false">IF($F1025="",0,$F1025-$K1025)</f>
        <v>0</v>
      </c>
      <c r="M1025" s="31" t="n">
        <f aca="false">IF($F1025="",0,IF($J1025="V",$L1025,$F1025))</f>
        <v>0</v>
      </c>
      <c r="N1025" s="31" t="n">
        <f aca="false">IF($F1025="",0,IF($J1025="U",$L1025,$F1025))</f>
        <v>0</v>
      </c>
      <c r="O1025" s="35" t="str">
        <f aca="false">IF($A1025="","",MONTH($A1025))</f>
        <v/>
      </c>
      <c r="P1025" s="35" t="str">
        <f aca="false">IF($A1025="","",ROUNDUP(MONTH($A1025)/3,0))</f>
        <v/>
      </c>
      <c r="Q1025" s="35" t="str">
        <f aca="false">IF($A1025="","",IF(MONTH($A1025)&lt;=6,1,2))</f>
        <v/>
      </c>
      <c r="R1025" s="35" t="str">
        <f aca="false">IF($E1025="","",IFERROR(INDEX(Kontenplan!$F$5:$F$90,MATCH($E1025,Kontenplan!$A$5:$A$90,0)),""))</f>
        <v/>
      </c>
      <c r="S1025" s="35" t="str">
        <f aca="false">IF($D1025="","",IFERROR(INDEX(Kontenplan!$F$5:$F$90,MATCH($D1025,Kontenplan!$A$5:$A$90,0)),""))</f>
        <v/>
      </c>
      <c r="T1025" s="35" t="str">
        <f aca="false">IF($D1025="","",IFERROR(INDEX(Kontenplan!$C$5:$C$90,MATCH($D1025,Kontenplan!$A$5:$A$90,0)),"?"))</f>
        <v/>
      </c>
      <c r="U1025" s="35" t="str">
        <f aca="false">IF($E1025="","",IFERROR(INDEX(Kontenplan!$C$5:$C$90,MATCH($E1025,Kontenplan!$A$5:$A$90,0)),"?"))</f>
        <v/>
      </c>
      <c r="V1025" s="35" t="str">
        <f aca="false">IF($F1025="","",IF(OR($D1025="",$E1025="",$T1025="?",$U1025="?"),"Konto prüfen!",IF($A1025="","Datum fehlt",IF(YEAR($A1025)&lt;&gt;Einstellungen!$B$7,"anderes Jahr!",IF($G1025="","MWST-Code fehlt","OK")))))</f>
        <v/>
      </c>
      <c r="W1025" s="35" t="str">
        <f aca="false">IF($F1025="","",IF(OR($D1025=Kontoauszug!$C$4,$E1025=Kontoauszug!$C$4),MAX(W$4:W1024)+1,""))</f>
        <v/>
      </c>
    </row>
    <row r="1026" customFormat="false" ht="15" hidden="false" customHeight="false" outlineLevel="0" collapsed="false">
      <c r="A1026" s="33"/>
      <c r="B1026" s="32"/>
      <c r="C1026" s="32"/>
      <c r="D1026" s="32"/>
      <c r="E1026" s="32"/>
      <c r="F1026" s="30"/>
      <c r="G1026" s="32"/>
      <c r="H1026" s="34" t="n">
        <f aca="false">IF($G1026="",0,IFERROR(INDEX(Einstellungen!$G$5:$G$11,MATCH($G1026,Einstellungen!$E$5:$E$11,0)),0))</f>
        <v>0</v>
      </c>
      <c r="I1026" s="35" t="str">
        <f aca="false">IF($G1026="","-",IFERROR(INDEX(Einstellungen!$H$5:$H$11,MATCH($G1026,Einstellungen!$E$5:$E$11,0)),"-"))</f>
        <v>-</v>
      </c>
      <c r="J1026" s="35" t="str">
        <f aca="false">IF(AND(Einstellungen!$B$8="Ja",Einstellungen!$B$9="Effektiv"),$I1026,"-")</f>
        <v>-</v>
      </c>
      <c r="K1026" s="31" t="n">
        <f aca="false">IF(OR($F1026="",$J1026="-"),0,ROUND($F1026-$F1026/(1+$H1026),2))</f>
        <v>0</v>
      </c>
      <c r="L1026" s="31" t="n">
        <f aca="false">IF($F1026="",0,$F1026-$K1026)</f>
        <v>0</v>
      </c>
      <c r="M1026" s="31" t="n">
        <f aca="false">IF($F1026="",0,IF($J1026="V",$L1026,$F1026))</f>
        <v>0</v>
      </c>
      <c r="N1026" s="31" t="n">
        <f aca="false">IF($F1026="",0,IF($J1026="U",$L1026,$F1026))</f>
        <v>0</v>
      </c>
      <c r="O1026" s="35" t="str">
        <f aca="false">IF($A1026="","",MONTH($A1026))</f>
        <v/>
      </c>
      <c r="P1026" s="35" t="str">
        <f aca="false">IF($A1026="","",ROUNDUP(MONTH($A1026)/3,0))</f>
        <v/>
      </c>
      <c r="Q1026" s="35" t="str">
        <f aca="false">IF($A1026="","",IF(MONTH($A1026)&lt;=6,1,2))</f>
        <v/>
      </c>
      <c r="R1026" s="35" t="str">
        <f aca="false">IF($E1026="","",IFERROR(INDEX(Kontenplan!$F$5:$F$90,MATCH($E1026,Kontenplan!$A$5:$A$90,0)),""))</f>
        <v/>
      </c>
      <c r="S1026" s="35" t="str">
        <f aca="false">IF($D1026="","",IFERROR(INDEX(Kontenplan!$F$5:$F$90,MATCH($D1026,Kontenplan!$A$5:$A$90,0)),""))</f>
        <v/>
      </c>
      <c r="T1026" s="35" t="str">
        <f aca="false">IF($D1026="","",IFERROR(INDEX(Kontenplan!$C$5:$C$90,MATCH($D1026,Kontenplan!$A$5:$A$90,0)),"?"))</f>
        <v/>
      </c>
      <c r="U1026" s="35" t="str">
        <f aca="false">IF($E1026="","",IFERROR(INDEX(Kontenplan!$C$5:$C$90,MATCH($E1026,Kontenplan!$A$5:$A$90,0)),"?"))</f>
        <v/>
      </c>
      <c r="V1026" s="35" t="str">
        <f aca="false">IF($F1026="","",IF(OR($D1026="",$E1026="",$T1026="?",$U1026="?"),"Konto prüfen!",IF($A1026="","Datum fehlt",IF(YEAR($A1026)&lt;&gt;Einstellungen!$B$7,"anderes Jahr!",IF($G1026="","MWST-Code fehlt","OK")))))</f>
        <v/>
      </c>
      <c r="W1026" s="35" t="str">
        <f aca="false">IF($F1026="","",IF(OR($D1026=Kontoauszug!$C$4,$E1026=Kontoauszug!$C$4),MAX(W$4:W1025)+1,""))</f>
        <v/>
      </c>
    </row>
    <row r="1027" customFormat="false" ht="15" hidden="false" customHeight="false" outlineLevel="0" collapsed="false">
      <c r="A1027" s="33"/>
      <c r="B1027" s="32"/>
      <c r="C1027" s="32"/>
      <c r="D1027" s="32"/>
      <c r="E1027" s="32"/>
      <c r="F1027" s="30"/>
      <c r="G1027" s="32"/>
      <c r="H1027" s="34" t="n">
        <f aca="false">IF($G1027="",0,IFERROR(INDEX(Einstellungen!$G$5:$G$11,MATCH($G1027,Einstellungen!$E$5:$E$11,0)),0))</f>
        <v>0</v>
      </c>
      <c r="I1027" s="35" t="str">
        <f aca="false">IF($G1027="","-",IFERROR(INDEX(Einstellungen!$H$5:$H$11,MATCH($G1027,Einstellungen!$E$5:$E$11,0)),"-"))</f>
        <v>-</v>
      </c>
      <c r="J1027" s="35" t="str">
        <f aca="false">IF(AND(Einstellungen!$B$8="Ja",Einstellungen!$B$9="Effektiv"),$I1027,"-")</f>
        <v>-</v>
      </c>
      <c r="K1027" s="31" t="n">
        <f aca="false">IF(OR($F1027="",$J1027="-"),0,ROUND($F1027-$F1027/(1+$H1027),2))</f>
        <v>0</v>
      </c>
      <c r="L1027" s="31" t="n">
        <f aca="false">IF($F1027="",0,$F1027-$K1027)</f>
        <v>0</v>
      </c>
      <c r="M1027" s="31" t="n">
        <f aca="false">IF($F1027="",0,IF($J1027="V",$L1027,$F1027))</f>
        <v>0</v>
      </c>
      <c r="N1027" s="31" t="n">
        <f aca="false">IF($F1027="",0,IF($J1027="U",$L1027,$F1027))</f>
        <v>0</v>
      </c>
      <c r="O1027" s="35" t="str">
        <f aca="false">IF($A1027="","",MONTH($A1027))</f>
        <v/>
      </c>
      <c r="P1027" s="35" t="str">
        <f aca="false">IF($A1027="","",ROUNDUP(MONTH($A1027)/3,0))</f>
        <v/>
      </c>
      <c r="Q1027" s="35" t="str">
        <f aca="false">IF($A1027="","",IF(MONTH($A1027)&lt;=6,1,2))</f>
        <v/>
      </c>
      <c r="R1027" s="35" t="str">
        <f aca="false">IF($E1027="","",IFERROR(INDEX(Kontenplan!$F$5:$F$90,MATCH($E1027,Kontenplan!$A$5:$A$90,0)),""))</f>
        <v/>
      </c>
      <c r="S1027" s="35" t="str">
        <f aca="false">IF($D1027="","",IFERROR(INDEX(Kontenplan!$F$5:$F$90,MATCH($D1027,Kontenplan!$A$5:$A$90,0)),""))</f>
        <v/>
      </c>
      <c r="T1027" s="35" t="str">
        <f aca="false">IF($D1027="","",IFERROR(INDEX(Kontenplan!$C$5:$C$90,MATCH($D1027,Kontenplan!$A$5:$A$90,0)),"?"))</f>
        <v/>
      </c>
      <c r="U1027" s="35" t="str">
        <f aca="false">IF($E1027="","",IFERROR(INDEX(Kontenplan!$C$5:$C$90,MATCH($E1027,Kontenplan!$A$5:$A$90,0)),"?"))</f>
        <v/>
      </c>
      <c r="V1027" s="35" t="str">
        <f aca="false">IF($F1027="","",IF(OR($D1027="",$E1027="",$T1027="?",$U1027="?"),"Konto prüfen!",IF($A1027="","Datum fehlt",IF(YEAR($A1027)&lt;&gt;Einstellungen!$B$7,"anderes Jahr!",IF($G1027="","MWST-Code fehlt","OK")))))</f>
        <v/>
      </c>
      <c r="W1027" s="35" t="str">
        <f aca="false">IF($F1027="","",IF(OR($D1027=Kontoauszug!$C$4,$E1027=Kontoauszug!$C$4),MAX(W$4:W1026)+1,""))</f>
        <v/>
      </c>
    </row>
    <row r="1028" customFormat="false" ht="15" hidden="false" customHeight="false" outlineLevel="0" collapsed="false">
      <c r="A1028" s="33"/>
      <c r="B1028" s="32"/>
      <c r="C1028" s="32"/>
      <c r="D1028" s="32"/>
      <c r="E1028" s="32"/>
      <c r="F1028" s="30"/>
      <c r="G1028" s="32"/>
      <c r="H1028" s="34" t="n">
        <f aca="false">IF($G1028="",0,IFERROR(INDEX(Einstellungen!$G$5:$G$11,MATCH($G1028,Einstellungen!$E$5:$E$11,0)),0))</f>
        <v>0</v>
      </c>
      <c r="I1028" s="35" t="str">
        <f aca="false">IF($G1028="","-",IFERROR(INDEX(Einstellungen!$H$5:$H$11,MATCH($G1028,Einstellungen!$E$5:$E$11,0)),"-"))</f>
        <v>-</v>
      </c>
      <c r="J1028" s="35" t="str">
        <f aca="false">IF(AND(Einstellungen!$B$8="Ja",Einstellungen!$B$9="Effektiv"),$I1028,"-")</f>
        <v>-</v>
      </c>
      <c r="K1028" s="31" t="n">
        <f aca="false">IF(OR($F1028="",$J1028="-"),0,ROUND($F1028-$F1028/(1+$H1028),2))</f>
        <v>0</v>
      </c>
      <c r="L1028" s="31" t="n">
        <f aca="false">IF($F1028="",0,$F1028-$K1028)</f>
        <v>0</v>
      </c>
      <c r="M1028" s="31" t="n">
        <f aca="false">IF($F1028="",0,IF($J1028="V",$L1028,$F1028))</f>
        <v>0</v>
      </c>
      <c r="N1028" s="31" t="n">
        <f aca="false">IF($F1028="",0,IF($J1028="U",$L1028,$F1028))</f>
        <v>0</v>
      </c>
      <c r="O1028" s="35" t="str">
        <f aca="false">IF($A1028="","",MONTH($A1028))</f>
        <v/>
      </c>
      <c r="P1028" s="35" t="str">
        <f aca="false">IF($A1028="","",ROUNDUP(MONTH($A1028)/3,0))</f>
        <v/>
      </c>
      <c r="Q1028" s="35" t="str">
        <f aca="false">IF($A1028="","",IF(MONTH($A1028)&lt;=6,1,2))</f>
        <v/>
      </c>
      <c r="R1028" s="35" t="str">
        <f aca="false">IF($E1028="","",IFERROR(INDEX(Kontenplan!$F$5:$F$90,MATCH($E1028,Kontenplan!$A$5:$A$90,0)),""))</f>
        <v/>
      </c>
      <c r="S1028" s="35" t="str">
        <f aca="false">IF($D1028="","",IFERROR(INDEX(Kontenplan!$F$5:$F$90,MATCH($D1028,Kontenplan!$A$5:$A$90,0)),""))</f>
        <v/>
      </c>
      <c r="T1028" s="35" t="str">
        <f aca="false">IF($D1028="","",IFERROR(INDEX(Kontenplan!$C$5:$C$90,MATCH($D1028,Kontenplan!$A$5:$A$90,0)),"?"))</f>
        <v/>
      </c>
      <c r="U1028" s="35" t="str">
        <f aca="false">IF($E1028="","",IFERROR(INDEX(Kontenplan!$C$5:$C$90,MATCH($E1028,Kontenplan!$A$5:$A$90,0)),"?"))</f>
        <v/>
      </c>
      <c r="V1028" s="35" t="str">
        <f aca="false">IF($F1028="","",IF(OR($D1028="",$E1028="",$T1028="?",$U1028="?"),"Konto prüfen!",IF($A1028="","Datum fehlt",IF(YEAR($A1028)&lt;&gt;Einstellungen!$B$7,"anderes Jahr!",IF($G1028="","MWST-Code fehlt","OK")))))</f>
        <v/>
      </c>
      <c r="W1028" s="35" t="str">
        <f aca="false">IF($F1028="","",IF(OR($D1028=Kontoauszug!$C$4,$E1028=Kontoauszug!$C$4),MAX(W$4:W1027)+1,""))</f>
        <v/>
      </c>
    </row>
    <row r="1029" customFormat="false" ht="15" hidden="false" customHeight="false" outlineLevel="0" collapsed="false">
      <c r="A1029" s="33"/>
      <c r="B1029" s="32"/>
      <c r="C1029" s="32"/>
      <c r="D1029" s="32"/>
      <c r="E1029" s="32"/>
      <c r="F1029" s="30"/>
      <c r="G1029" s="32"/>
      <c r="H1029" s="34" t="n">
        <f aca="false">IF($G1029="",0,IFERROR(INDEX(Einstellungen!$G$5:$G$11,MATCH($G1029,Einstellungen!$E$5:$E$11,0)),0))</f>
        <v>0</v>
      </c>
      <c r="I1029" s="35" t="str">
        <f aca="false">IF($G1029="","-",IFERROR(INDEX(Einstellungen!$H$5:$H$11,MATCH($G1029,Einstellungen!$E$5:$E$11,0)),"-"))</f>
        <v>-</v>
      </c>
      <c r="J1029" s="35" t="str">
        <f aca="false">IF(AND(Einstellungen!$B$8="Ja",Einstellungen!$B$9="Effektiv"),$I1029,"-")</f>
        <v>-</v>
      </c>
      <c r="K1029" s="31" t="n">
        <f aca="false">IF(OR($F1029="",$J1029="-"),0,ROUND($F1029-$F1029/(1+$H1029),2))</f>
        <v>0</v>
      </c>
      <c r="L1029" s="31" t="n">
        <f aca="false">IF($F1029="",0,$F1029-$K1029)</f>
        <v>0</v>
      </c>
      <c r="M1029" s="31" t="n">
        <f aca="false">IF($F1029="",0,IF($J1029="V",$L1029,$F1029))</f>
        <v>0</v>
      </c>
      <c r="N1029" s="31" t="n">
        <f aca="false">IF($F1029="",0,IF($J1029="U",$L1029,$F1029))</f>
        <v>0</v>
      </c>
      <c r="O1029" s="35" t="str">
        <f aca="false">IF($A1029="","",MONTH($A1029))</f>
        <v/>
      </c>
      <c r="P1029" s="35" t="str">
        <f aca="false">IF($A1029="","",ROUNDUP(MONTH($A1029)/3,0))</f>
        <v/>
      </c>
      <c r="Q1029" s="35" t="str">
        <f aca="false">IF($A1029="","",IF(MONTH($A1029)&lt;=6,1,2))</f>
        <v/>
      </c>
      <c r="R1029" s="35" t="str">
        <f aca="false">IF($E1029="","",IFERROR(INDEX(Kontenplan!$F$5:$F$90,MATCH($E1029,Kontenplan!$A$5:$A$90,0)),""))</f>
        <v/>
      </c>
      <c r="S1029" s="35" t="str">
        <f aca="false">IF($D1029="","",IFERROR(INDEX(Kontenplan!$F$5:$F$90,MATCH($D1029,Kontenplan!$A$5:$A$90,0)),""))</f>
        <v/>
      </c>
      <c r="T1029" s="35" t="str">
        <f aca="false">IF($D1029="","",IFERROR(INDEX(Kontenplan!$C$5:$C$90,MATCH($D1029,Kontenplan!$A$5:$A$90,0)),"?"))</f>
        <v/>
      </c>
      <c r="U1029" s="35" t="str">
        <f aca="false">IF($E1029="","",IFERROR(INDEX(Kontenplan!$C$5:$C$90,MATCH($E1029,Kontenplan!$A$5:$A$90,0)),"?"))</f>
        <v/>
      </c>
      <c r="V1029" s="35" t="str">
        <f aca="false">IF($F1029="","",IF(OR($D1029="",$E1029="",$T1029="?",$U1029="?"),"Konto prüfen!",IF($A1029="","Datum fehlt",IF(YEAR($A1029)&lt;&gt;Einstellungen!$B$7,"anderes Jahr!",IF($G1029="","MWST-Code fehlt","OK")))))</f>
        <v/>
      </c>
      <c r="W1029" s="35" t="str">
        <f aca="false">IF($F1029="","",IF(OR($D1029=Kontoauszug!$C$4,$E1029=Kontoauszug!$C$4),MAX(W$4:W1028)+1,""))</f>
        <v/>
      </c>
    </row>
    <row r="1030" customFormat="false" ht="15" hidden="false" customHeight="false" outlineLevel="0" collapsed="false">
      <c r="A1030" s="33"/>
      <c r="B1030" s="32"/>
      <c r="C1030" s="32"/>
      <c r="D1030" s="32"/>
      <c r="E1030" s="32"/>
      <c r="F1030" s="30"/>
      <c r="G1030" s="32"/>
      <c r="H1030" s="34" t="n">
        <f aca="false">IF($G1030="",0,IFERROR(INDEX(Einstellungen!$G$5:$G$11,MATCH($G1030,Einstellungen!$E$5:$E$11,0)),0))</f>
        <v>0</v>
      </c>
      <c r="I1030" s="35" t="str">
        <f aca="false">IF($G1030="","-",IFERROR(INDEX(Einstellungen!$H$5:$H$11,MATCH($G1030,Einstellungen!$E$5:$E$11,0)),"-"))</f>
        <v>-</v>
      </c>
      <c r="J1030" s="35" t="str">
        <f aca="false">IF(AND(Einstellungen!$B$8="Ja",Einstellungen!$B$9="Effektiv"),$I1030,"-")</f>
        <v>-</v>
      </c>
      <c r="K1030" s="31" t="n">
        <f aca="false">IF(OR($F1030="",$J1030="-"),0,ROUND($F1030-$F1030/(1+$H1030),2))</f>
        <v>0</v>
      </c>
      <c r="L1030" s="31" t="n">
        <f aca="false">IF($F1030="",0,$F1030-$K1030)</f>
        <v>0</v>
      </c>
      <c r="M1030" s="31" t="n">
        <f aca="false">IF($F1030="",0,IF($J1030="V",$L1030,$F1030))</f>
        <v>0</v>
      </c>
      <c r="N1030" s="31" t="n">
        <f aca="false">IF($F1030="",0,IF($J1030="U",$L1030,$F1030))</f>
        <v>0</v>
      </c>
      <c r="O1030" s="35" t="str">
        <f aca="false">IF($A1030="","",MONTH($A1030))</f>
        <v/>
      </c>
      <c r="P1030" s="35" t="str">
        <f aca="false">IF($A1030="","",ROUNDUP(MONTH($A1030)/3,0))</f>
        <v/>
      </c>
      <c r="Q1030" s="35" t="str">
        <f aca="false">IF($A1030="","",IF(MONTH($A1030)&lt;=6,1,2))</f>
        <v/>
      </c>
      <c r="R1030" s="35" t="str">
        <f aca="false">IF($E1030="","",IFERROR(INDEX(Kontenplan!$F$5:$F$90,MATCH($E1030,Kontenplan!$A$5:$A$90,0)),""))</f>
        <v/>
      </c>
      <c r="S1030" s="35" t="str">
        <f aca="false">IF($D1030="","",IFERROR(INDEX(Kontenplan!$F$5:$F$90,MATCH($D1030,Kontenplan!$A$5:$A$90,0)),""))</f>
        <v/>
      </c>
      <c r="T1030" s="35" t="str">
        <f aca="false">IF($D1030="","",IFERROR(INDEX(Kontenplan!$C$5:$C$90,MATCH($D1030,Kontenplan!$A$5:$A$90,0)),"?"))</f>
        <v/>
      </c>
      <c r="U1030" s="35" t="str">
        <f aca="false">IF($E1030="","",IFERROR(INDEX(Kontenplan!$C$5:$C$90,MATCH($E1030,Kontenplan!$A$5:$A$90,0)),"?"))</f>
        <v/>
      </c>
      <c r="V1030" s="35" t="str">
        <f aca="false">IF($F1030="","",IF(OR($D1030="",$E1030="",$T1030="?",$U1030="?"),"Konto prüfen!",IF($A1030="","Datum fehlt",IF(YEAR($A1030)&lt;&gt;Einstellungen!$B$7,"anderes Jahr!",IF($G1030="","MWST-Code fehlt","OK")))))</f>
        <v/>
      </c>
      <c r="W1030" s="35" t="str">
        <f aca="false">IF($F1030="","",IF(OR($D1030=Kontoauszug!$C$4,$E1030=Kontoauszug!$C$4),MAX(W$4:W1029)+1,""))</f>
        <v/>
      </c>
    </row>
    <row r="1031" customFormat="false" ht="15" hidden="false" customHeight="false" outlineLevel="0" collapsed="false">
      <c r="A1031" s="33"/>
      <c r="B1031" s="32"/>
      <c r="C1031" s="32"/>
      <c r="D1031" s="32"/>
      <c r="E1031" s="32"/>
      <c r="F1031" s="30"/>
      <c r="G1031" s="32"/>
      <c r="H1031" s="34" t="n">
        <f aca="false">IF($G1031="",0,IFERROR(INDEX(Einstellungen!$G$5:$G$11,MATCH($G1031,Einstellungen!$E$5:$E$11,0)),0))</f>
        <v>0</v>
      </c>
      <c r="I1031" s="35" t="str">
        <f aca="false">IF($G1031="","-",IFERROR(INDEX(Einstellungen!$H$5:$H$11,MATCH($G1031,Einstellungen!$E$5:$E$11,0)),"-"))</f>
        <v>-</v>
      </c>
      <c r="J1031" s="35" t="str">
        <f aca="false">IF(AND(Einstellungen!$B$8="Ja",Einstellungen!$B$9="Effektiv"),$I1031,"-")</f>
        <v>-</v>
      </c>
      <c r="K1031" s="31" t="n">
        <f aca="false">IF(OR($F1031="",$J1031="-"),0,ROUND($F1031-$F1031/(1+$H1031),2))</f>
        <v>0</v>
      </c>
      <c r="L1031" s="31" t="n">
        <f aca="false">IF($F1031="",0,$F1031-$K1031)</f>
        <v>0</v>
      </c>
      <c r="M1031" s="31" t="n">
        <f aca="false">IF($F1031="",0,IF($J1031="V",$L1031,$F1031))</f>
        <v>0</v>
      </c>
      <c r="N1031" s="31" t="n">
        <f aca="false">IF($F1031="",0,IF($J1031="U",$L1031,$F1031))</f>
        <v>0</v>
      </c>
      <c r="O1031" s="35" t="str">
        <f aca="false">IF($A1031="","",MONTH($A1031))</f>
        <v/>
      </c>
      <c r="P1031" s="35" t="str">
        <f aca="false">IF($A1031="","",ROUNDUP(MONTH($A1031)/3,0))</f>
        <v/>
      </c>
      <c r="Q1031" s="35" t="str">
        <f aca="false">IF($A1031="","",IF(MONTH($A1031)&lt;=6,1,2))</f>
        <v/>
      </c>
      <c r="R1031" s="35" t="str">
        <f aca="false">IF($E1031="","",IFERROR(INDEX(Kontenplan!$F$5:$F$90,MATCH($E1031,Kontenplan!$A$5:$A$90,0)),""))</f>
        <v/>
      </c>
      <c r="S1031" s="35" t="str">
        <f aca="false">IF($D1031="","",IFERROR(INDEX(Kontenplan!$F$5:$F$90,MATCH($D1031,Kontenplan!$A$5:$A$90,0)),""))</f>
        <v/>
      </c>
      <c r="T1031" s="35" t="str">
        <f aca="false">IF($D1031="","",IFERROR(INDEX(Kontenplan!$C$5:$C$90,MATCH($D1031,Kontenplan!$A$5:$A$90,0)),"?"))</f>
        <v/>
      </c>
      <c r="U1031" s="35" t="str">
        <f aca="false">IF($E1031="","",IFERROR(INDEX(Kontenplan!$C$5:$C$90,MATCH($E1031,Kontenplan!$A$5:$A$90,0)),"?"))</f>
        <v/>
      </c>
      <c r="V1031" s="35" t="str">
        <f aca="false">IF($F1031="","",IF(OR($D1031="",$E1031="",$T1031="?",$U1031="?"),"Konto prüfen!",IF($A1031="","Datum fehlt",IF(YEAR($A1031)&lt;&gt;Einstellungen!$B$7,"anderes Jahr!",IF($G1031="","MWST-Code fehlt","OK")))))</f>
        <v/>
      </c>
      <c r="W1031" s="35" t="str">
        <f aca="false">IF($F1031="","",IF(OR($D1031=Kontoauszug!$C$4,$E1031=Kontoauszug!$C$4),MAX(W$4:W1030)+1,""))</f>
        <v/>
      </c>
    </row>
    <row r="1032" customFormat="false" ht="15" hidden="false" customHeight="false" outlineLevel="0" collapsed="false">
      <c r="A1032" s="33"/>
      <c r="B1032" s="32"/>
      <c r="C1032" s="32"/>
      <c r="D1032" s="32"/>
      <c r="E1032" s="32"/>
      <c r="F1032" s="30"/>
      <c r="G1032" s="32"/>
      <c r="H1032" s="34" t="n">
        <f aca="false">IF($G1032="",0,IFERROR(INDEX(Einstellungen!$G$5:$G$11,MATCH($G1032,Einstellungen!$E$5:$E$11,0)),0))</f>
        <v>0</v>
      </c>
      <c r="I1032" s="35" t="str">
        <f aca="false">IF($G1032="","-",IFERROR(INDEX(Einstellungen!$H$5:$H$11,MATCH($G1032,Einstellungen!$E$5:$E$11,0)),"-"))</f>
        <v>-</v>
      </c>
      <c r="J1032" s="35" t="str">
        <f aca="false">IF(AND(Einstellungen!$B$8="Ja",Einstellungen!$B$9="Effektiv"),$I1032,"-")</f>
        <v>-</v>
      </c>
      <c r="K1032" s="31" t="n">
        <f aca="false">IF(OR($F1032="",$J1032="-"),0,ROUND($F1032-$F1032/(1+$H1032),2))</f>
        <v>0</v>
      </c>
      <c r="L1032" s="31" t="n">
        <f aca="false">IF($F1032="",0,$F1032-$K1032)</f>
        <v>0</v>
      </c>
      <c r="M1032" s="31" t="n">
        <f aca="false">IF($F1032="",0,IF($J1032="V",$L1032,$F1032))</f>
        <v>0</v>
      </c>
      <c r="N1032" s="31" t="n">
        <f aca="false">IF($F1032="",0,IF($J1032="U",$L1032,$F1032))</f>
        <v>0</v>
      </c>
      <c r="O1032" s="35" t="str">
        <f aca="false">IF($A1032="","",MONTH($A1032))</f>
        <v/>
      </c>
      <c r="P1032" s="35" t="str">
        <f aca="false">IF($A1032="","",ROUNDUP(MONTH($A1032)/3,0))</f>
        <v/>
      </c>
      <c r="Q1032" s="35" t="str">
        <f aca="false">IF($A1032="","",IF(MONTH($A1032)&lt;=6,1,2))</f>
        <v/>
      </c>
      <c r="R1032" s="35" t="str">
        <f aca="false">IF($E1032="","",IFERROR(INDEX(Kontenplan!$F$5:$F$90,MATCH($E1032,Kontenplan!$A$5:$A$90,0)),""))</f>
        <v/>
      </c>
      <c r="S1032" s="35" t="str">
        <f aca="false">IF($D1032="","",IFERROR(INDEX(Kontenplan!$F$5:$F$90,MATCH($D1032,Kontenplan!$A$5:$A$90,0)),""))</f>
        <v/>
      </c>
      <c r="T1032" s="35" t="str">
        <f aca="false">IF($D1032="","",IFERROR(INDEX(Kontenplan!$C$5:$C$90,MATCH($D1032,Kontenplan!$A$5:$A$90,0)),"?"))</f>
        <v/>
      </c>
      <c r="U1032" s="35" t="str">
        <f aca="false">IF($E1032="","",IFERROR(INDEX(Kontenplan!$C$5:$C$90,MATCH($E1032,Kontenplan!$A$5:$A$90,0)),"?"))</f>
        <v/>
      </c>
      <c r="V1032" s="35" t="str">
        <f aca="false">IF($F1032="","",IF(OR($D1032="",$E1032="",$T1032="?",$U1032="?"),"Konto prüfen!",IF($A1032="","Datum fehlt",IF(YEAR($A1032)&lt;&gt;Einstellungen!$B$7,"anderes Jahr!",IF($G1032="","MWST-Code fehlt","OK")))))</f>
        <v/>
      </c>
      <c r="W1032" s="35" t="str">
        <f aca="false">IF($F1032="","",IF(OR($D1032=Kontoauszug!$C$4,$E1032=Kontoauszug!$C$4),MAX(W$4:W1031)+1,""))</f>
        <v/>
      </c>
    </row>
    <row r="1033" customFormat="false" ht="15" hidden="false" customHeight="false" outlineLevel="0" collapsed="false">
      <c r="A1033" s="33"/>
      <c r="B1033" s="32"/>
      <c r="C1033" s="32"/>
      <c r="D1033" s="32"/>
      <c r="E1033" s="32"/>
      <c r="F1033" s="30"/>
      <c r="G1033" s="32"/>
      <c r="H1033" s="34" t="n">
        <f aca="false">IF($G1033="",0,IFERROR(INDEX(Einstellungen!$G$5:$G$11,MATCH($G1033,Einstellungen!$E$5:$E$11,0)),0))</f>
        <v>0</v>
      </c>
      <c r="I1033" s="35" t="str">
        <f aca="false">IF($G1033="","-",IFERROR(INDEX(Einstellungen!$H$5:$H$11,MATCH($G1033,Einstellungen!$E$5:$E$11,0)),"-"))</f>
        <v>-</v>
      </c>
      <c r="J1033" s="35" t="str">
        <f aca="false">IF(AND(Einstellungen!$B$8="Ja",Einstellungen!$B$9="Effektiv"),$I1033,"-")</f>
        <v>-</v>
      </c>
      <c r="K1033" s="31" t="n">
        <f aca="false">IF(OR($F1033="",$J1033="-"),0,ROUND($F1033-$F1033/(1+$H1033),2))</f>
        <v>0</v>
      </c>
      <c r="L1033" s="31" t="n">
        <f aca="false">IF($F1033="",0,$F1033-$K1033)</f>
        <v>0</v>
      </c>
      <c r="M1033" s="31" t="n">
        <f aca="false">IF($F1033="",0,IF($J1033="V",$L1033,$F1033))</f>
        <v>0</v>
      </c>
      <c r="N1033" s="31" t="n">
        <f aca="false">IF($F1033="",0,IF($J1033="U",$L1033,$F1033))</f>
        <v>0</v>
      </c>
      <c r="O1033" s="35" t="str">
        <f aca="false">IF($A1033="","",MONTH($A1033))</f>
        <v/>
      </c>
      <c r="P1033" s="35" t="str">
        <f aca="false">IF($A1033="","",ROUNDUP(MONTH($A1033)/3,0))</f>
        <v/>
      </c>
      <c r="Q1033" s="35" t="str">
        <f aca="false">IF($A1033="","",IF(MONTH($A1033)&lt;=6,1,2))</f>
        <v/>
      </c>
      <c r="R1033" s="35" t="str">
        <f aca="false">IF($E1033="","",IFERROR(INDEX(Kontenplan!$F$5:$F$90,MATCH($E1033,Kontenplan!$A$5:$A$90,0)),""))</f>
        <v/>
      </c>
      <c r="S1033" s="35" t="str">
        <f aca="false">IF($D1033="","",IFERROR(INDEX(Kontenplan!$F$5:$F$90,MATCH($D1033,Kontenplan!$A$5:$A$90,0)),""))</f>
        <v/>
      </c>
      <c r="T1033" s="35" t="str">
        <f aca="false">IF($D1033="","",IFERROR(INDEX(Kontenplan!$C$5:$C$90,MATCH($D1033,Kontenplan!$A$5:$A$90,0)),"?"))</f>
        <v/>
      </c>
      <c r="U1033" s="35" t="str">
        <f aca="false">IF($E1033="","",IFERROR(INDEX(Kontenplan!$C$5:$C$90,MATCH($E1033,Kontenplan!$A$5:$A$90,0)),"?"))</f>
        <v/>
      </c>
      <c r="V1033" s="35" t="str">
        <f aca="false">IF($F1033="","",IF(OR($D1033="",$E1033="",$T1033="?",$U1033="?"),"Konto prüfen!",IF($A1033="","Datum fehlt",IF(YEAR($A1033)&lt;&gt;Einstellungen!$B$7,"anderes Jahr!",IF($G1033="","MWST-Code fehlt","OK")))))</f>
        <v/>
      </c>
      <c r="W1033" s="35" t="str">
        <f aca="false">IF($F1033="","",IF(OR($D1033=Kontoauszug!$C$4,$E1033=Kontoauszug!$C$4),MAX(W$4:W1032)+1,""))</f>
        <v/>
      </c>
    </row>
    <row r="1034" customFormat="false" ht="15" hidden="false" customHeight="false" outlineLevel="0" collapsed="false">
      <c r="A1034" s="33"/>
      <c r="B1034" s="32"/>
      <c r="C1034" s="32"/>
      <c r="D1034" s="32"/>
      <c r="E1034" s="32"/>
      <c r="F1034" s="30"/>
      <c r="G1034" s="32"/>
      <c r="H1034" s="34" t="n">
        <f aca="false">IF($G1034="",0,IFERROR(INDEX(Einstellungen!$G$5:$G$11,MATCH($G1034,Einstellungen!$E$5:$E$11,0)),0))</f>
        <v>0</v>
      </c>
      <c r="I1034" s="35" t="str">
        <f aca="false">IF($G1034="","-",IFERROR(INDEX(Einstellungen!$H$5:$H$11,MATCH($G1034,Einstellungen!$E$5:$E$11,0)),"-"))</f>
        <v>-</v>
      </c>
      <c r="J1034" s="35" t="str">
        <f aca="false">IF(AND(Einstellungen!$B$8="Ja",Einstellungen!$B$9="Effektiv"),$I1034,"-")</f>
        <v>-</v>
      </c>
      <c r="K1034" s="31" t="n">
        <f aca="false">IF(OR($F1034="",$J1034="-"),0,ROUND($F1034-$F1034/(1+$H1034),2))</f>
        <v>0</v>
      </c>
      <c r="L1034" s="31" t="n">
        <f aca="false">IF($F1034="",0,$F1034-$K1034)</f>
        <v>0</v>
      </c>
      <c r="M1034" s="31" t="n">
        <f aca="false">IF($F1034="",0,IF($J1034="V",$L1034,$F1034))</f>
        <v>0</v>
      </c>
      <c r="N1034" s="31" t="n">
        <f aca="false">IF($F1034="",0,IF($J1034="U",$L1034,$F1034))</f>
        <v>0</v>
      </c>
      <c r="O1034" s="35" t="str">
        <f aca="false">IF($A1034="","",MONTH($A1034))</f>
        <v/>
      </c>
      <c r="P1034" s="35" t="str">
        <f aca="false">IF($A1034="","",ROUNDUP(MONTH($A1034)/3,0))</f>
        <v/>
      </c>
      <c r="Q1034" s="35" t="str">
        <f aca="false">IF($A1034="","",IF(MONTH($A1034)&lt;=6,1,2))</f>
        <v/>
      </c>
      <c r="R1034" s="35" t="str">
        <f aca="false">IF($E1034="","",IFERROR(INDEX(Kontenplan!$F$5:$F$90,MATCH($E1034,Kontenplan!$A$5:$A$90,0)),""))</f>
        <v/>
      </c>
      <c r="S1034" s="35" t="str">
        <f aca="false">IF($D1034="","",IFERROR(INDEX(Kontenplan!$F$5:$F$90,MATCH($D1034,Kontenplan!$A$5:$A$90,0)),""))</f>
        <v/>
      </c>
      <c r="T1034" s="35" t="str">
        <f aca="false">IF($D1034="","",IFERROR(INDEX(Kontenplan!$C$5:$C$90,MATCH($D1034,Kontenplan!$A$5:$A$90,0)),"?"))</f>
        <v/>
      </c>
      <c r="U1034" s="35" t="str">
        <f aca="false">IF($E1034="","",IFERROR(INDEX(Kontenplan!$C$5:$C$90,MATCH($E1034,Kontenplan!$A$5:$A$90,0)),"?"))</f>
        <v/>
      </c>
      <c r="V1034" s="35" t="str">
        <f aca="false">IF($F1034="","",IF(OR($D1034="",$E1034="",$T1034="?",$U1034="?"),"Konto prüfen!",IF($A1034="","Datum fehlt",IF(YEAR($A1034)&lt;&gt;Einstellungen!$B$7,"anderes Jahr!",IF($G1034="","MWST-Code fehlt","OK")))))</f>
        <v/>
      </c>
      <c r="W1034" s="35" t="str">
        <f aca="false">IF($F1034="","",IF(OR($D1034=Kontoauszug!$C$4,$E1034=Kontoauszug!$C$4),MAX(W$4:W1033)+1,""))</f>
        <v/>
      </c>
    </row>
    <row r="1035" customFormat="false" ht="15" hidden="false" customHeight="false" outlineLevel="0" collapsed="false">
      <c r="A1035" s="33"/>
      <c r="B1035" s="32"/>
      <c r="C1035" s="32"/>
      <c r="D1035" s="32"/>
      <c r="E1035" s="32"/>
      <c r="F1035" s="30"/>
      <c r="G1035" s="32"/>
      <c r="H1035" s="34" t="n">
        <f aca="false">IF($G1035="",0,IFERROR(INDEX(Einstellungen!$G$5:$G$11,MATCH($G1035,Einstellungen!$E$5:$E$11,0)),0))</f>
        <v>0</v>
      </c>
      <c r="I1035" s="35" t="str">
        <f aca="false">IF($G1035="","-",IFERROR(INDEX(Einstellungen!$H$5:$H$11,MATCH($G1035,Einstellungen!$E$5:$E$11,0)),"-"))</f>
        <v>-</v>
      </c>
      <c r="J1035" s="35" t="str">
        <f aca="false">IF(AND(Einstellungen!$B$8="Ja",Einstellungen!$B$9="Effektiv"),$I1035,"-")</f>
        <v>-</v>
      </c>
      <c r="K1035" s="31" t="n">
        <f aca="false">IF(OR($F1035="",$J1035="-"),0,ROUND($F1035-$F1035/(1+$H1035),2))</f>
        <v>0</v>
      </c>
      <c r="L1035" s="31" t="n">
        <f aca="false">IF($F1035="",0,$F1035-$K1035)</f>
        <v>0</v>
      </c>
      <c r="M1035" s="31" t="n">
        <f aca="false">IF($F1035="",0,IF($J1035="V",$L1035,$F1035))</f>
        <v>0</v>
      </c>
      <c r="N1035" s="31" t="n">
        <f aca="false">IF($F1035="",0,IF($J1035="U",$L1035,$F1035))</f>
        <v>0</v>
      </c>
      <c r="O1035" s="35" t="str">
        <f aca="false">IF($A1035="","",MONTH($A1035))</f>
        <v/>
      </c>
      <c r="P1035" s="35" t="str">
        <f aca="false">IF($A1035="","",ROUNDUP(MONTH($A1035)/3,0))</f>
        <v/>
      </c>
      <c r="Q1035" s="35" t="str">
        <f aca="false">IF($A1035="","",IF(MONTH($A1035)&lt;=6,1,2))</f>
        <v/>
      </c>
      <c r="R1035" s="35" t="str">
        <f aca="false">IF($E1035="","",IFERROR(INDEX(Kontenplan!$F$5:$F$90,MATCH($E1035,Kontenplan!$A$5:$A$90,0)),""))</f>
        <v/>
      </c>
      <c r="S1035" s="35" t="str">
        <f aca="false">IF($D1035="","",IFERROR(INDEX(Kontenplan!$F$5:$F$90,MATCH($D1035,Kontenplan!$A$5:$A$90,0)),""))</f>
        <v/>
      </c>
      <c r="T1035" s="35" t="str">
        <f aca="false">IF($D1035="","",IFERROR(INDEX(Kontenplan!$C$5:$C$90,MATCH($D1035,Kontenplan!$A$5:$A$90,0)),"?"))</f>
        <v/>
      </c>
      <c r="U1035" s="35" t="str">
        <f aca="false">IF($E1035="","",IFERROR(INDEX(Kontenplan!$C$5:$C$90,MATCH($E1035,Kontenplan!$A$5:$A$90,0)),"?"))</f>
        <v/>
      </c>
      <c r="V1035" s="35" t="str">
        <f aca="false">IF($F1035="","",IF(OR($D1035="",$E1035="",$T1035="?",$U1035="?"),"Konto prüfen!",IF($A1035="","Datum fehlt",IF(YEAR($A1035)&lt;&gt;Einstellungen!$B$7,"anderes Jahr!",IF($G1035="","MWST-Code fehlt","OK")))))</f>
        <v/>
      </c>
      <c r="W1035" s="35" t="str">
        <f aca="false">IF($F1035="","",IF(OR($D1035=Kontoauszug!$C$4,$E1035=Kontoauszug!$C$4),MAX(W$4:W1034)+1,""))</f>
        <v/>
      </c>
    </row>
    <row r="1036" customFormat="false" ht="15" hidden="false" customHeight="false" outlineLevel="0" collapsed="false">
      <c r="A1036" s="33"/>
      <c r="B1036" s="32"/>
      <c r="C1036" s="32"/>
      <c r="D1036" s="32"/>
      <c r="E1036" s="32"/>
      <c r="F1036" s="30"/>
      <c r="G1036" s="32"/>
      <c r="H1036" s="34" t="n">
        <f aca="false">IF($G1036="",0,IFERROR(INDEX(Einstellungen!$G$5:$G$11,MATCH($G1036,Einstellungen!$E$5:$E$11,0)),0))</f>
        <v>0</v>
      </c>
      <c r="I1036" s="35" t="str">
        <f aca="false">IF($G1036="","-",IFERROR(INDEX(Einstellungen!$H$5:$H$11,MATCH($G1036,Einstellungen!$E$5:$E$11,0)),"-"))</f>
        <v>-</v>
      </c>
      <c r="J1036" s="35" t="str">
        <f aca="false">IF(AND(Einstellungen!$B$8="Ja",Einstellungen!$B$9="Effektiv"),$I1036,"-")</f>
        <v>-</v>
      </c>
      <c r="K1036" s="31" t="n">
        <f aca="false">IF(OR($F1036="",$J1036="-"),0,ROUND($F1036-$F1036/(1+$H1036),2))</f>
        <v>0</v>
      </c>
      <c r="L1036" s="31" t="n">
        <f aca="false">IF($F1036="",0,$F1036-$K1036)</f>
        <v>0</v>
      </c>
      <c r="M1036" s="31" t="n">
        <f aca="false">IF($F1036="",0,IF($J1036="V",$L1036,$F1036))</f>
        <v>0</v>
      </c>
      <c r="N1036" s="31" t="n">
        <f aca="false">IF($F1036="",0,IF($J1036="U",$L1036,$F1036))</f>
        <v>0</v>
      </c>
      <c r="O1036" s="35" t="str">
        <f aca="false">IF($A1036="","",MONTH($A1036))</f>
        <v/>
      </c>
      <c r="P1036" s="35" t="str">
        <f aca="false">IF($A1036="","",ROUNDUP(MONTH($A1036)/3,0))</f>
        <v/>
      </c>
      <c r="Q1036" s="35" t="str">
        <f aca="false">IF($A1036="","",IF(MONTH($A1036)&lt;=6,1,2))</f>
        <v/>
      </c>
      <c r="R1036" s="35" t="str">
        <f aca="false">IF($E1036="","",IFERROR(INDEX(Kontenplan!$F$5:$F$90,MATCH($E1036,Kontenplan!$A$5:$A$90,0)),""))</f>
        <v/>
      </c>
      <c r="S1036" s="35" t="str">
        <f aca="false">IF($D1036="","",IFERROR(INDEX(Kontenplan!$F$5:$F$90,MATCH($D1036,Kontenplan!$A$5:$A$90,0)),""))</f>
        <v/>
      </c>
      <c r="T1036" s="35" t="str">
        <f aca="false">IF($D1036="","",IFERROR(INDEX(Kontenplan!$C$5:$C$90,MATCH($D1036,Kontenplan!$A$5:$A$90,0)),"?"))</f>
        <v/>
      </c>
      <c r="U1036" s="35" t="str">
        <f aca="false">IF($E1036="","",IFERROR(INDEX(Kontenplan!$C$5:$C$90,MATCH($E1036,Kontenplan!$A$5:$A$90,0)),"?"))</f>
        <v/>
      </c>
      <c r="V1036" s="35" t="str">
        <f aca="false">IF($F1036="","",IF(OR($D1036="",$E1036="",$T1036="?",$U1036="?"),"Konto prüfen!",IF($A1036="","Datum fehlt",IF(YEAR($A1036)&lt;&gt;Einstellungen!$B$7,"anderes Jahr!",IF($G1036="","MWST-Code fehlt","OK")))))</f>
        <v/>
      </c>
      <c r="W1036" s="35" t="str">
        <f aca="false">IF($F1036="","",IF(OR($D1036=Kontoauszug!$C$4,$E1036=Kontoauszug!$C$4),MAX(W$4:W1035)+1,""))</f>
        <v/>
      </c>
    </row>
    <row r="1037" customFormat="false" ht="15" hidden="false" customHeight="false" outlineLevel="0" collapsed="false">
      <c r="A1037" s="33"/>
      <c r="B1037" s="32"/>
      <c r="C1037" s="32"/>
      <c r="D1037" s="32"/>
      <c r="E1037" s="32"/>
      <c r="F1037" s="30"/>
      <c r="G1037" s="32"/>
      <c r="H1037" s="34" t="n">
        <f aca="false">IF($G1037="",0,IFERROR(INDEX(Einstellungen!$G$5:$G$11,MATCH($G1037,Einstellungen!$E$5:$E$11,0)),0))</f>
        <v>0</v>
      </c>
      <c r="I1037" s="35" t="str">
        <f aca="false">IF($G1037="","-",IFERROR(INDEX(Einstellungen!$H$5:$H$11,MATCH($G1037,Einstellungen!$E$5:$E$11,0)),"-"))</f>
        <v>-</v>
      </c>
      <c r="J1037" s="35" t="str">
        <f aca="false">IF(AND(Einstellungen!$B$8="Ja",Einstellungen!$B$9="Effektiv"),$I1037,"-")</f>
        <v>-</v>
      </c>
      <c r="K1037" s="31" t="n">
        <f aca="false">IF(OR($F1037="",$J1037="-"),0,ROUND($F1037-$F1037/(1+$H1037),2))</f>
        <v>0</v>
      </c>
      <c r="L1037" s="31" t="n">
        <f aca="false">IF($F1037="",0,$F1037-$K1037)</f>
        <v>0</v>
      </c>
      <c r="M1037" s="31" t="n">
        <f aca="false">IF($F1037="",0,IF($J1037="V",$L1037,$F1037))</f>
        <v>0</v>
      </c>
      <c r="N1037" s="31" t="n">
        <f aca="false">IF($F1037="",0,IF($J1037="U",$L1037,$F1037))</f>
        <v>0</v>
      </c>
      <c r="O1037" s="35" t="str">
        <f aca="false">IF($A1037="","",MONTH($A1037))</f>
        <v/>
      </c>
      <c r="P1037" s="35" t="str">
        <f aca="false">IF($A1037="","",ROUNDUP(MONTH($A1037)/3,0))</f>
        <v/>
      </c>
      <c r="Q1037" s="35" t="str">
        <f aca="false">IF($A1037="","",IF(MONTH($A1037)&lt;=6,1,2))</f>
        <v/>
      </c>
      <c r="R1037" s="35" t="str">
        <f aca="false">IF($E1037="","",IFERROR(INDEX(Kontenplan!$F$5:$F$90,MATCH($E1037,Kontenplan!$A$5:$A$90,0)),""))</f>
        <v/>
      </c>
      <c r="S1037" s="35" t="str">
        <f aca="false">IF($D1037="","",IFERROR(INDEX(Kontenplan!$F$5:$F$90,MATCH($D1037,Kontenplan!$A$5:$A$90,0)),""))</f>
        <v/>
      </c>
      <c r="T1037" s="35" t="str">
        <f aca="false">IF($D1037="","",IFERROR(INDEX(Kontenplan!$C$5:$C$90,MATCH($D1037,Kontenplan!$A$5:$A$90,0)),"?"))</f>
        <v/>
      </c>
      <c r="U1037" s="35" t="str">
        <f aca="false">IF($E1037="","",IFERROR(INDEX(Kontenplan!$C$5:$C$90,MATCH($E1037,Kontenplan!$A$5:$A$90,0)),"?"))</f>
        <v/>
      </c>
      <c r="V1037" s="35" t="str">
        <f aca="false">IF($F1037="","",IF(OR($D1037="",$E1037="",$T1037="?",$U1037="?"),"Konto prüfen!",IF($A1037="","Datum fehlt",IF(YEAR($A1037)&lt;&gt;Einstellungen!$B$7,"anderes Jahr!",IF($G1037="","MWST-Code fehlt","OK")))))</f>
        <v/>
      </c>
      <c r="W1037" s="35" t="str">
        <f aca="false">IF($F1037="","",IF(OR($D1037=Kontoauszug!$C$4,$E1037=Kontoauszug!$C$4),MAX(W$4:W1036)+1,""))</f>
        <v/>
      </c>
    </row>
    <row r="1038" customFormat="false" ht="15" hidden="false" customHeight="false" outlineLevel="0" collapsed="false">
      <c r="A1038" s="33"/>
      <c r="B1038" s="32"/>
      <c r="C1038" s="32"/>
      <c r="D1038" s="32"/>
      <c r="E1038" s="32"/>
      <c r="F1038" s="30"/>
      <c r="G1038" s="32"/>
      <c r="H1038" s="34" t="n">
        <f aca="false">IF($G1038="",0,IFERROR(INDEX(Einstellungen!$G$5:$G$11,MATCH($G1038,Einstellungen!$E$5:$E$11,0)),0))</f>
        <v>0</v>
      </c>
      <c r="I1038" s="35" t="str">
        <f aca="false">IF($G1038="","-",IFERROR(INDEX(Einstellungen!$H$5:$H$11,MATCH($G1038,Einstellungen!$E$5:$E$11,0)),"-"))</f>
        <v>-</v>
      </c>
      <c r="J1038" s="35" t="str">
        <f aca="false">IF(AND(Einstellungen!$B$8="Ja",Einstellungen!$B$9="Effektiv"),$I1038,"-")</f>
        <v>-</v>
      </c>
      <c r="K1038" s="31" t="n">
        <f aca="false">IF(OR($F1038="",$J1038="-"),0,ROUND($F1038-$F1038/(1+$H1038),2))</f>
        <v>0</v>
      </c>
      <c r="L1038" s="31" t="n">
        <f aca="false">IF($F1038="",0,$F1038-$K1038)</f>
        <v>0</v>
      </c>
      <c r="M1038" s="31" t="n">
        <f aca="false">IF($F1038="",0,IF($J1038="V",$L1038,$F1038))</f>
        <v>0</v>
      </c>
      <c r="N1038" s="31" t="n">
        <f aca="false">IF($F1038="",0,IF($J1038="U",$L1038,$F1038))</f>
        <v>0</v>
      </c>
      <c r="O1038" s="35" t="str">
        <f aca="false">IF($A1038="","",MONTH($A1038))</f>
        <v/>
      </c>
      <c r="P1038" s="35" t="str">
        <f aca="false">IF($A1038="","",ROUNDUP(MONTH($A1038)/3,0))</f>
        <v/>
      </c>
      <c r="Q1038" s="35" t="str">
        <f aca="false">IF($A1038="","",IF(MONTH($A1038)&lt;=6,1,2))</f>
        <v/>
      </c>
      <c r="R1038" s="35" t="str">
        <f aca="false">IF($E1038="","",IFERROR(INDEX(Kontenplan!$F$5:$F$90,MATCH($E1038,Kontenplan!$A$5:$A$90,0)),""))</f>
        <v/>
      </c>
      <c r="S1038" s="35" t="str">
        <f aca="false">IF($D1038="","",IFERROR(INDEX(Kontenplan!$F$5:$F$90,MATCH($D1038,Kontenplan!$A$5:$A$90,0)),""))</f>
        <v/>
      </c>
      <c r="T1038" s="35" t="str">
        <f aca="false">IF($D1038="","",IFERROR(INDEX(Kontenplan!$C$5:$C$90,MATCH($D1038,Kontenplan!$A$5:$A$90,0)),"?"))</f>
        <v/>
      </c>
      <c r="U1038" s="35" t="str">
        <f aca="false">IF($E1038="","",IFERROR(INDEX(Kontenplan!$C$5:$C$90,MATCH($E1038,Kontenplan!$A$5:$A$90,0)),"?"))</f>
        <v/>
      </c>
      <c r="V1038" s="35" t="str">
        <f aca="false">IF($F1038="","",IF(OR($D1038="",$E1038="",$T1038="?",$U1038="?"),"Konto prüfen!",IF($A1038="","Datum fehlt",IF(YEAR($A1038)&lt;&gt;Einstellungen!$B$7,"anderes Jahr!",IF($G1038="","MWST-Code fehlt","OK")))))</f>
        <v/>
      </c>
      <c r="W1038" s="35" t="str">
        <f aca="false">IF($F1038="","",IF(OR($D1038=Kontoauszug!$C$4,$E1038=Kontoauszug!$C$4),MAX(W$4:W1037)+1,""))</f>
        <v/>
      </c>
    </row>
    <row r="1039" customFormat="false" ht="15" hidden="false" customHeight="false" outlineLevel="0" collapsed="false">
      <c r="A1039" s="33"/>
      <c r="B1039" s="32"/>
      <c r="C1039" s="32"/>
      <c r="D1039" s="32"/>
      <c r="E1039" s="32"/>
      <c r="F1039" s="30"/>
      <c r="G1039" s="32"/>
      <c r="H1039" s="34" t="n">
        <f aca="false">IF($G1039="",0,IFERROR(INDEX(Einstellungen!$G$5:$G$11,MATCH($G1039,Einstellungen!$E$5:$E$11,0)),0))</f>
        <v>0</v>
      </c>
      <c r="I1039" s="35" t="str">
        <f aca="false">IF($G1039="","-",IFERROR(INDEX(Einstellungen!$H$5:$H$11,MATCH($G1039,Einstellungen!$E$5:$E$11,0)),"-"))</f>
        <v>-</v>
      </c>
      <c r="J1039" s="35" t="str">
        <f aca="false">IF(AND(Einstellungen!$B$8="Ja",Einstellungen!$B$9="Effektiv"),$I1039,"-")</f>
        <v>-</v>
      </c>
      <c r="K1039" s="31" t="n">
        <f aca="false">IF(OR($F1039="",$J1039="-"),0,ROUND($F1039-$F1039/(1+$H1039),2))</f>
        <v>0</v>
      </c>
      <c r="L1039" s="31" t="n">
        <f aca="false">IF($F1039="",0,$F1039-$K1039)</f>
        <v>0</v>
      </c>
      <c r="M1039" s="31" t="n">
        <f aca="false">IF($F1039="",0,IF($J1039="V",$L1039,$F1039))</f>
        <v>0</v>
      </c>
      <c r="N1039" s="31" t="n">
        <f aca="false">IF($F1039="",0,IF($J1039="U",$L1039,$F1039))</f>
        <v>0</v>
      </c>
      <c r="O1039" s="35" t="str">
        <f aca="false">IF($A1039="","",MONTH($A1039))</f>
        <v/>
      </c>
      <c r="P1039" s="35" t="str">
        <f aca="false">IF($A1039="","",ROUNDUP(MONTH($A1039)/3,0))</f>
        <v/>
      </c>
      <c r="Q1039" s="35" t="str">
        <f aca="false">IF($A1039="","",IF(MONTH($A1039)&lt;=6,1,2))</f>
        <v/>
      </c>
      <c r="R1039" s="35" t="str">
        <f aca="false">IF($E1039="","",IFERROR(INDEX(Kontenplan!$F$5:$F$90,MATCH($E1039,Kontenplan!$A$5:$A$90,0)),""))</f>
        <v/>
      </c>
      <c r="S1039" s="35" t="str">
        <f aca="false">IF($D1039="","",IFERROR(INDEX(Kontenplan!$F$5:$F$90,MATCH($D1039,Kontenplan!$A$5:$A$90,0)),""))</f>
        <v/>
      </c>
      <c r="T1039" s="35" t="str">
        <f aca="false">IF($D1039="","",IFERROR(INDEX(Kontenplan!$C$5:$C$90,MATCH($D1039,Kontenplan!$A$5:$A$90,0)),"?"))</f>
        <v/>
      </c>
      <c r="U1039" s="35" t="str">
        <f aca="false">IF($E1039="","",IFERROR(INDEX(Kontenplan!$C$5:$C$90,MATCH($E1039,Kontenplan!$A$5:$A$90,0)),"?"))</f>
        <v/>
      </c>
      <c r="V1039" s="35" t="str">
        <f aca="false">IF($F1039="","",IF(OR($D1039="",$E1039="",$T1039="?",$U1039="?"),"Konto prüfen!",IF($A1039="","Datum fehlt",IF(YEAR($A1039)&lt;&gt;Einstellungen!$B$7,"anderes Jahr!",IF($G1039="","MWST-Code fehlt","OK")))))</f>
        <v/>
      </c>
      <c r="W1039" s="35" t="str">
        <f aca="false">IF($F1039="","",IF(OR($D1039=Kontoauszug!$C$4,$E1039=Kontoauszug!$C$4),MAX(W$4:W1038)+1,""))</f>
        <v/>
      </c>
    </row>
    <row r="1040" customFormat="false" ht="15" hidden="false" customHeight="false" outlineLevel="0" collapsed="false">
      <c r="A1040" s="33"/>
      <c r="B1040" s="32"/>
      <c r="C1040" s="32"/>
      <c r="D1040" s="32"/>
      <c r="E1040" s="32"/>
      <c r="F1040" s="30"/>
      <c r="G1040" s="32"/>
      <c r="H1040" s="34" t="n">
        <f aca="false">IF($G1040="",0,IFERROR(INDEX(Einstellungen!$G$5:$G$11,MATCH($G1040,Einstellungen!$E$5:$E$11,0)),0))</f>
        <v>0</v>
      </c>
      <c r="I1040" s="35" t="str">
        <f aca="false">IF($G1040="","-",IFERROR(INDEX(Einstellungen!$H$5:$H$11,MATCH($G1040,Einstellungen!$E$5:$E$11,0)),"-"))</f>
        <v>-</v>
      </c>
      <c r="J1040" s="35" t="str">
        <f aca="false">IF(AND(Einstellungen!$B$8="Ja",Einstellungen!$B$9="Effektiv"),$I1040,"-")</f>
        <v>-</v>
      </c>
      <c r="K1040" s="31" t="n">
        <f aca="false">IF(OR($F1040="",$J1040="-"),0,ROUND($F1040-$F1040/(1+$H1040),2))</f>
        <v>0</v>
      </c>
      <c r="L1040" s="31" t="n">
        <f aca="false">IF($F1040="",0,$F1040-$K1040)</f>
        <v>0</v>
      </c>
      <c r="M1040" s="31" t="n">
        <f aca="false">IF($F1040="",0,IF($J1040="V",$L1040,$F1040))</f>
        <v>0</v>
      </c>
      <c r="N1040" s="31" t="n">
        <f aca="false">IF($F1040="",0,IF($J1040="U",$L1040,$F1040))</f>
        <v>0</v>
      </c>
      <c r="O1040" s="35" t="str">
        <f aca="false">IF($A1040="","",MONTH($A1040))</f>
        <v/>
      </c>
      <c r="P1040" s="35" t="str">
        <f aca="false">IF($A1040="","",ROUNDUP(MONTH($A1040)/3,0))</f>
        <v/>
      </c>
      <c r="Q1040" s="35" t="str">
        <f aca="false">IF($A1040="","",IF(MONTH($A1040)&lt;=6,1,2))</f>
        <v/>
      </c>
      <c r="R1040" s="35" t="str">
        <f aca="false">IF($E1040="","",IFERROR(INDEX(Kontenplan!$F$5:$F$90,MATCH($E1040,Kontenplan!$A$5:$A$90,0)),""))</f>
        <v/>
      </c>
      <c r="S1040" s="35" t="str">
        <f aca="false">IF($D1040="","",IFERROR(INDEX(Kontenplan!$F$5:$F$90,MATCH($D1040,Kontenplan!$A$5:$A$90,0)),""))</f>
        <v/>
      </c>
      <c r="T1040" s="35" t="str">
        <f aca="false">IF($D1040="","",IFERROR(INDEX(Kontenplan!$C$5:$C$90,MATCH($D1040,Kontenplan!$A$5:$A$90,0)),"?"))</f>
        <v/>
      </c>
      <c r="U1040" s="35" t="str">
        <f aca="false">IF($E1040="","",IFERROR(INDEX(Kontenplan!$C$5:$C$90,MATCH($E1040,Kontenplan!$A$5:$A$90,0)),"?"))</f>
        <v/>
      </c>
      <c r="V1040" s="35" t="str">
        <f aca="false">IF($F1040="","",IF(OR($D1040="",$E1040="",$T1040="?",$U1040="?"),"Konto prüfen!",IF($A1040="","Datum fehlt",IF(YEAR($A1040)&lt;&gt;Einstellungen!$B$7,"anderes Jahr!",IF($G1040="","MWST-Code fehlt","OK")))))</f>
        <v/>
      </c>
      <c r="W1040" s="35" t="str">
        <f aca="false">IF($F1040="","",IF(OR($D1040=Kontoauszug!$C$4,$E1040=Kontoauszug!$C$4),MAX(W$4:W1039)+1,""))</f>
        <v/>
      </c>
    </row>
    <row r="1041" customFormat="false" ht="15" hidden="false" customHeight="false" outlineLevel="0" collapsed="false">
      <c r="A1041" s="33"/>
      <c r="B1041" s="32"/>
      <c r="C1041" s="32"/>
      <c r="D1041" s="32"/>
      <c r="E1041" s="32"/>
      <c r="F1041" s="30"/>
      <c r="G1041" s="32"/>
      <c r="H1041" s="34" t="n">
        <f aca="false">IF($G1041="",0,IFERROR(INDEX(Einstellungen!$G$5:$G$11,MATCH($G1041,Einstellungen!$E$5:$E$11,0)),0))</f>
        <v>0</v>
      </c>
      <c r="I1041" s="35" t="str">
        <f aca="false">IF($G1041="","-",IFERROR(INDEX(Einstellungen!$H$5:$H$11,MATCH($G1041,Einstellungen!$E$5:$E$11,0)),"-"))</f>
        <v>-</v>
      </c>
      <c r="J1041" s="35" t="str">
        <f aca="false">IF(AND(Einstellungen!$B$8="Ja",Einstellungen!$B$9="Effektiv"),$I1041,"-")</f>
        <v>-</v>
      </c>
      <c r="K1041" s="31" t="n">
        <f aca="false">IF(OR($F1041="",$J1041="-"),0,ROUND($F1041-$F1041/(1+$H1041),2))</f>
        <v>0</v>
      </c>
      <c r="L1041" s="31" t="n">
        <f aca="false">IF($F1041="",0,$F1041-$K1041)</f>
        <v>0</v>
      </c>
      <c r="M1041" s="31" t="n">
        <f aca="false">IF($F1041="",0,IF($J1041="V",$L1041,$F1041))</f>
        <v>0</v>
      </c>
      <c r="N1041" s="31" t="n">
        <f aca="false">IF($F1041="",0,IF($J1041="U",$L1041,$F1041))</f>
        <v>0</v>
      </c>
      <c r="O1041" s="35" t="str">
        <f aca="false">IF($A1041="","",MONTH($A1041))</f>
        <v/>
      </c>
      <c r="P1041" s="35" t="str">
        <f aca="false">IF($A1041="","",ROUNDUP(MONTH($A1041)/3,0))</f>
        <v/>
      </c>
      <c r="Q1041" s="35" t="str">
        <f aca="false">IF($A1041="","",IF(MONTH($A1041)&lt;=6,1,2))</f>
        <v/>
      </c>
      <c r="R1041" s="35" t="str">
        <f aca="false">IF($E1041="","",IFERROR(INDEX(Kontenplan!$F$5:$F$90,MATCH($E1041,Kontenplan!$A$5:$A$90,0)),""))</f>
        <v/>
      </c>
      <c r="S1041" s="35" t="str">
        <f aca="false">IF($D1041="","",IFERROR(INDEX(Kontenplan!$F$5:$F$90,MATCH($D1041,Kontenplan!$A$5:$A$90,0)),""))</f>
        <v/>
      </c>
      <c r="T1041" s="35" t="str">
        <f aca="false">IF($D1041="","",IFERROR(INDEX(Kontenplan!$C$5:$C$90,MATCH($D1041,Kontenplan!$A$5:$A$90,0)),"?"))</f>
        <v/>
      </c>
      <c r="U1041" s="35" t="str">
        <f aca="false">IF($E1041="","",IFERROR(INDEX(Kontenplan!$C$5:$C$90,MATCH($E1041,Kontenplan!$A$5:$A$90,0)),"?"))</f>
        <v/>
      </c>
      <c r="V1041" s="35" t="str">
        <f aca="false">IF($F1041="","",IF(OR($D1041="",$E1041="",$T1041="?",$U1041="?"),"Konto prüfen!",IF($A1041="","Datum fehlt",IF(YEAR($A1041)&lt;&gt;Einstellungen!$B$7,"anderes Jahr!",IF($G1041="","MWST-Code fehlt","OK")))))</f>
        <v/>
      </c>
      <c r="W1041" s="35" t="str">
        <f aca="false">IF($F1041="","",IF(OR($D1041=Kontoauszug!$C$4,$E1041=Kontoauszug!$C$4),MAX(W$4:W1040)+1,""))</f>
        <v/>
      </c>
    </row>
    <row r="1042" customFormat="false" ht="15" hidden="false" customHeight="false" outlineLevel="0" collapsed="false">
      <c r="A1042" s="33"/>
      <c r="B1042" s="32"/>
      <c r="C1042" s="32"/>
      <c r="D1042" s="32"/>
      <c r="E1042" s="32"/>
      <c r="F1042" s="30"/>
      <c r="G1042" s="32"/>
      <c r="H1042" s="34" t="n">
        <f aca="false">IF($G1042="",0,IFERROR(INDEX(Einstellungen!$G$5:$G$11,MATCH($G1042,Einstellungen!$E$5:$E$11,0)),0))</f>
        <v>0</v>
      </c>
      <c r="I1042" s="35" t="str">
        <f aca="false">IF($G1042="","-",IFERROR(INDEX(Einstellungen!$H$5:$H$11,MATCH($G1042,Einstellungen!$E$5:$E$11,0)),"-"))</f>
        <v>-</v>
      </c>
      <c r="J1042" s="35" t="str">
        <f aca="false">IF(AND(Einstellungen!$B$8="Ja",Einstellungen!$B$9="Effektiv"),$I1042,"-")</f>
        <v>-</v>
      </c>
      <c r="K1042" s="31" t="n">
        <f aca="false">IF(OR($F1042="",$J1042="-"),0,ROUND($F1042-$F1042/(1+$H1042),2))</f>
        <v>0</v>
      </c>
      <c r="L1042" s="31" t="n">
        <f aca="false">IF($F1042="",0,$F1042-$K1042)</f>
        <v>0</v>
      </c>
      <c r="M1042" s="31" t="n">
        <f aca="false">IF($F1042="",0,IF($J1042="V",$L1042,$F1042))</f>
        <v>0</v>
      </c>
      <c r="N1042" s="31" t="n">
        <f aca="false">IF($F1042="",0,IF($J1042="U",$L1042,$F1042))</f>
        <v>0</v>
      </c>
      <c r="O1042" s="35" t="str">
        <f aca="false">IF($A1042="","",MONTH($A1042))</f>
        <v/>
      </c>
      <c r="P1042" s="35" t="str">
        <f aca="false">IF($A1042="","",ROUNDUP(MONTH($A1042)/3,0))</f>
        <v/>
      </c>
      <c r="Q1042" s="35" t="str">
        <f aca="false">IF($A1042="","",IF(MONTH($A1042)&lt;=6,1,2))</f>
        <v/>
      </c>
      <c r="R1042" s="35" t="str">
        <f aca="false">IF($E1042="","",IFERROR(INDEX(Kontenplan!$F$5:$F$90,MATCH($E1042,Kontenplan!$A$5:$A$90,0)),""))</f>
        <v/>
      </c>
      <c r="S1042" s="35" t="str">
        <f aca="false">IF($D1042="","",IFERROR(INDEX(Kontenplan!$F$5:$F$90,MATCH($D1042,Kontenplan!$A$5:$A$90,0)),""))</f>
        <v/>
      </c>
      <c r="T1042" s="35" t="str">
        <f aca="false">IF($D1042="","",IFERROR(INDEX(Kontenplan!$C$5:$C$90,MATCH($D1042,Kontenplan!$A$5:$A$90,0)),"?"))</f>
        <v/>
      </c>
      <c r="U1042" s="35" t="str">
        <f aca="false">IF($E1042="","",IFERROR(INDEX(Kontenplan!$C$5:$C$90,MATCH($E1042,Kontenplan!$A$5:$A$90,0)),"?"))</f>
        <v/>
      </c>
      <c r="V1042" s="35" t="str">
        <f aca="false">IF($F1042="","",IF(OR($D1042="",$E1042="",$T1042="?",$U1042="?"),"Konto prüfen!",IF($A1042="","Datum fehlt",IF(YEAR($A1042)&lt;&gt;Einstellungen!$B$7,"anderes Jahr!",IF($G1042="","MWST-Code fehlt","OK")))))</f>
        <v/>
      </c>
      <c r="W1042" s="35" t="str">
        <f aca="false">IF($F1042="","",IF(OR($D1042=Kontoauszug!$C$4,$E1042=Kontoauszug!$C$4),MAX(W$4:W1041)+1,""))</f>
        <v/>
      </c>
    </row>
    <row r="1043" customFormat="false" ht="15" hidden="false" customHeight="false" outlineLevel="0" collapsed="false">
      <c r="A1043" s="33"/>
      <c r="B1043" s="32"/>
      <c r="C1043" s="32"/>
      <c r="D1043" s="32"/>
      <c r="E1043" s="32"/>
      <c r="F1043" s="30"/>
      <c r="G1043" s="32"/>
      <c r="H1043" s="34" t="n">
        <f aca="false">IF($G1043="",0,IFERROR(INDEX(Einstellungen!$G$5:$G$11,MATCH($G1043,Einstellungen!$E$5:$E$11,0)),0))</f>
        <v>0</v>
      </c>
      <c r="I1043" s="35" t="str">
        <f aca="false">IF($G1043="","-",IFERROR(INDEX(Einstellungen!$H$5:$H$11,MATCH($G1043,Einstellungen!$E$5:$E$11,0)),"-"))</f>
        <v>-</v>
      </c>
      <c r="J1043" s="35" t="str">
        <f aca="false">IF(AND(Einstellungen!$B$8="Ja",Einstellungen!$B$9="Effektiv"),$I1043,"-")</f>
        <v>-</v>
      </c>
      <c r="K1043" s="31" t="n">
        <f aca="false">IF(OR($F1043="",$J1043="-"),0,ROUND($F1043-$F1043/(1+$H1043),2))</f>
        <v>0</v>
      </c>
      <c r="L1043" s="31" t="n">
        <f aca="false">IF($F1043="",0,$F1043-$K1043)</f>
        <v>0</v>
      </c>
      <c r="M1043" s="31" t="n">
        <f aca="false">IF($F1043="",0,IF($J1043="V",$L1043,$F1043))</f>
        <v>0</v>
      </c>
      <c r="N1043" s="31" t="n">
        <f aca="false">IF($F1043="",0,IF($J1043="U",$L1043,$F1043))</f>
        <v>0</v>
      </c>
      <c r="O1043" s="35" t="str">
        <f aca="false">IF($A1043="","",MONTH($A1043))</f>
        <v/>
      </c>
      <c r="P1043" s="35" t="str">
        <f aca="false">IF($A1043="","",ROUNDUP(MONTH($A1043)/3,0))</f>
        <v/>
      </c>
      <c r="Q1043" s="35" t="str">
        <f aca="false">IF($A1043="","",IF(MONTH($A1043)&lt;=6,1,2))</f>
        <v/>
      </c>
      <c r="R1043" s="35" t="str">
        <f aca="false">IF($E1043="","",IFERROR(INDEX(Kontenplan!$F$5:$F$90,MATCH($E1043,Kontenplan!$A$5:$A$90,0)),""))</f>
        <v/>
      </c>
      <c r="S1043" s="35" t="str">
        <f aca="false">IF($D1043="","",IFERROR(INDEX(Kontenplan!$F$5:$F$90,MATCH($D1043,Kontenplan!$A$5:$A$90,0)),""))</f>
        <v/>
      </c>
      <c r="T1043" s="35" t="str">
        <f aca="false">IF($D1043="","",IFERROR(INDEX(Kontenplan!$C$5:$C$90,MATCH($D1043,Kontenplan!$A$5:$A$90,0)),"?"))</f>
        <v/>
      </c>
      <c r="U1043" s="35" t="str">
        <f aca="false">IF($E1043="","",IFERROR(INDEX(Kontenplan!$C$5:$C$90,MATCH($E1043,Kontenplan!$A$5:$A$90,0)),"?"))</f>
        <v/>
      </c>
      <c r="V1043" s="35" t="str">
        <f aca="false">IF($F1043="","",IF(OR($D1043="",$E1043="",$T1043="?",$U1043="?"),"Konto prüfen!",IF($A1043="","Datum fehlt",IF(YEAR($A1043)&lt;&gt;Einstellungen!$B$7,"anderes Jahr!",IF($G1043="","MWST-Code fehlt","OK")))))</f>
        <v/>
      </c>
      <c r="W1043" s="35" t="str">
        <f aca="false">IF($F1043="","",IF(OR($D1043=Kontoauszug!$C$4,$E1043=Kontoauszug!$C$4),MAX(W$4:W1042)+1,""))</f>
        <v/>
      </c>
    </row>
    <row r="1044" customFormat="false" ht="15" hidden="false" customHeight="false" outlineLevel="0" collapsed="false">
      <c r="A1044" s="33"/>
      <c r="B1044" s="32"/>
      <c r="C1044" s="32"/>
      <c r="D1044" s="32"/>
      <c r="E1044" s="32"/>
      <c r="F1044" s="30"/>
      <c r="G1044" s="32"/>
      <c r="H1044" s="34" t="n">
        <f aca="false">IF($G1044="",0,IFERROR(INDEX(Einstellungen!$G$5:$G$11,MATCH($G1044,Einstellungen!$E$5:$E$11,0)),0))</f>
        <v>0</v>
      </c>
      <c r="I1044" s="35" t="str">
        <f aca="false">IF($G1044="","-",IFERROR(INDEX(Einstellungen!$H$5:$H$11,MATCH($G1044,Einstellungen!$E$5:$E$11,0)),"-"))</f>
        <v>-</v>
      </c>
      <c r="J1044" s="35" t="str">
        <f aca="false">IF(AND(Einstellungen!$B$8="Ja",Einstellungen!$B$9="Effektiv"),$I1044,"-")</f>
        <v>-</v>
      </c>
      <c r="K1044" s="31" t="n">
        <f aca="false">IF(OR($F1044="",$J1044="-"),0,ROUND($F1044-$F1044/(1+$H1044),2))</f>
        <v>0</v>
      </c>
      <c r="L1044" s="31" t="n">
        <f aca="false">IF($F1044="",0,$F1044-$K1044)</f>
        <v>0</v>
      </c>
      <c r="M1044" s="31" t="n">
        <f aca="false">IF($F1044="",0,IF($J1044="V",$L1044,$F1044))</f>
        <v>0</v>
      </c>
      <c r="N1044" s="31" t="n">
        <f aca="false">IF($F1044="",0,IF($J1044="U",$L1044,$F1044))</f>
        <v>0</v>
      </c>
      <c r="O1044" s="35" t="str">
        <f aca="false">IF($A1044="","",MONTH($A1044))</f>
        <v/>
      </c>
      <c r="P1044" s="35" t="str">
        <f aca="false">IF($A1044="","",ROUNDUP(MONTH($A1044)/3,0))</f>
        <v/>
      </c>
      <c r="Q1044" s="35" t="str">
        <f aca="false">IF($A1044="","",IF(MONTH($A1044)&lt;=6,1,2))</f>
        <v/>
      </c>
      <c r="R1044" s="35" t="str">
        <f aca="false">IF($E1044="","",IFERROR(INDEX(Kontenplan!$F$5:$F$90,MATCH($E1044,Kontenplan!$A$5:$A$90,0)),""))</f>
        <v/>
      </c>
      <c r="S1044" s="35" t="str">
        <f aca="false">IF($D1044="","",IFERROR(INDEX(Kontenplan!$F$5:$F$90,MATCH($D1044,Kontenplan!$A$5:$A$90,0)),""))</f>
        <v/>
      </c>
      <c r="T1044" s="35" t="str">
        <f aca="false">IF($D1044="","",IFERROR(INDEX(Kontenplan!$C$5:$C$90,MATCH($D1044,Kontenplan!$A$5:$A$90,0)),"?"))</f>
        <v/>
      </c>
      <c r="U1044" s="35" t="str">
        <f aca="false">IF($E1044="","",IFERROR(INDEX(Kontenplan!$C$5:$C$90,MATCH($E1044,Kontenplan!$A$5:$A$90,0)),"?"))</f>
        <v/>
      </c>
      <c r="V1044" s="35" t="str">
        <f aca="false">IF($F1044="","",IF(OR($D1044="",$E1044="",$T1044="?",$U1044="?"),"Konto prüfen!",IF($A1044="","Datum fehlt",IF(YEAR($A1044)&lt;&gt;Einstellungen!$B$7,"anderes Jahr!",IF($G1044="","MWST-Code fehlt","OK")))))</f>
        <v/>
      </c>
      <c r="W1044" s="35" t="str">
        <f aca="false">IF($F1044="","",IF(OR($D1044=Kontoauszug!$C$4,$E1044=Kontoauszug!$C$4),MAX(W$4:W1043)+1,""))</f>
        <v/>
      </c>
    </row>
    <row r="1045" customFormat="false" ht="15" hidden="false" customHeight="false" outlineLevel="0" collapsed="false">
      <c r="A1045" s="33"/>
      <c r="B1045" s="32"/>
      <c r="C1045" s="32"/>
      <c r="D1045" s="32"/>
      <c r="E1045" s="32"/>
      <c r="F1045" s="30"/>
      <c r="G1045" s="32"/>
      <c r="H1045" s="34" t="n">
        <f aca="false">IF($G1045="",0,IFERROR(INDEX(Einstellungen!$G$5:$G$11,MATCH($G1045,Einstellungen!$E$5:$E$11,0)),0))</f>
        <v>0</v>
      </c>
      <c r="I1045" s="35" t="str">
        <f aca="false">IF($G1045="","-",IFERROR(INDEX(Einstellungen!$H$5:$H$11,MATCH($G1045,Einstellungen!$E$5:$E$11,0)),"-"))</f>
        <v>-</v>
      </c>
      <c r="J1045" s="35" t="str">
        <f aca="false">IF(AND(Einstellungen!$B$8="Ja",Einstellungen!$B$9="Effektiv"),$I1045,"-")</f>
        <v>-</v>
      </c>
      <c r="K1045" s="31" t="n">
        <f aca="false">IF(OR($F1045="",$J1045="-"),0,ROUND($F1045-$F1045/(1+$H1045),2))</f>
        <v>0</v>
      </c>
      <c r="L1045" s="31" t="n">
        <f aca="false">IF($F1045="",0,$F1045-$K1045)</f>
        <v>0</v>
      </c>
      <c r="M1045" s="31" t="n">
        <f aca="false">IF($F1045="",0,IF($J1045="V",$L1045,$F1045))</f>
        <v>0</v>
      </c>
      <c r="N1045" s="31" t="n">
        <f aca="false">IF($F1045="",0,IF($J1045="U",$L1045,$F1045))</f>
        <v>0</v>
      </c>
      <c r="O1045" s="35" t="str">
        <f aca="false">IF($A1045="","",MONTH($A1045))</f>
        <v/>
      </c>
      <c r="P1045" s="35" t="str">
        <f aca="false">IF($A1045="","",ROUNDUP(MONTH($A1045)/3,0))</f>
        <v/>
      </c>
      <c r="Q1045" s="35" t="str">
        <f aca="false">IF($A1045="","",IF(MONTH($A1045)&lt;=6,1,2))</f>
        <v/>
      </c>
      <c r="R1045" s="35" t="str">
        <f aca="false">IF($E1045="","",IFERROR(INDEX(Kontenplan!$F$5:$F$90,MATCH($E1045,Kontenplan!$A$5:$A$90,0)),""))</f>
        <v/>
      </c>
      <c r="S1045" s="35" t="str">
        <f aca="false">IF($D1045="","",IFERROR(INDEX(Kontenplan!$F$5:$F$90,MATCH($D1045,Kontenplan!$A$5:$A$90,0)),""))</f>
        <v/>
      </c>
      <c r="T1045" s="35" t="str">
        <f aca="false">IF($D1045="","",IFERROR(INDEX(Kontenplan!$C$5:$C$90,MATCH($D1045,Kontenplan!$A$5:$A$90,0)),"?"))</f>
        <v/>
      </c>
      <c r="U1045" s="35" t="str">
        <f aca="false">IF($E1045="","",IFERROR(INDEX(Kontenplan!$C$5:$C$90,MATCH($E1045,Kontenplan!$A$5:$A$90,0)),"?"))</f>
        <v/>
      </c>
      <c r="V1045" s="35" t="str">
        <f aca="false">IF($F1045="","",IF(OR($D1045="",$E1045="",$T1045="?",$U1045="?"),"Konto prüfen!",IF($A1045="","Datum fehlt",IF(YEAR($A1045)&lt;&gt;Einstellungen!$B$7,"anderes Jahr!",IF($G1045="","MWST-Code fehlt","OK")))))</f>
        <v/>
      </c>
      <c r="W1045" s="35" t="str">
        <f aca="false">IF($F1045="","",IF(OR($D1045=Kontoauszug!$C$4,$E1045=Kontoauszug!$C$4),MAX(W$4:W1044)+1,""))</f>
        <v/>
      </c>
    </row>
    <row r="1046" customFormat="false" ht="15" hidden="false" customHeight="false" outlineLevel="0" collapsed="false">
      <c r="A1046" s="33"/>
      <c r="B1046" s="32"/>
      <c r="C1046" s="32"/>
      <c r="D1046" s="32"/>
      <c r="E1046" s="32"/>
      <c r="F1046" s="30"/>
      <c r="G1046" s="32"/>
      <c r="H1046" s="34" t="n">
        <f aca="false">IF($G1046="",0,IFERROR(INDEX(Einstellungen!$G$5:$G$11,MATCH($G1046,Einstellungen!$E$5:$E$11,0)),0))</f>
        <v>0</v>
      </c>
      <c r="I1046" s="35" t="str">
        <f aca="false">IF($G1046="","-",IFERROR(INDEX(Einstellungen!$H$5:$H$11,MATCH($G1046,Einstellungen!$E$5:$E$11,0)),"-"))</f>
        <v>-</v>
      </c>
      <c r="J1046" s="35" t="str">
        <f aca="false">IF(AND(Einstellungen!$B$8="Ja",Einstellungen!$B$9="Effektiv"),$I1046,"-")</f>
        <v>-</v>
      </c>
      <c r="K1046" s="31" t="n">
        <f aca="false">IF(OR($F1046="",$J1046="-"),0,ROUND($F1046-$F1046/(1+$H1046),2))</f>
        <v>0</v>
      </c>
      <c r="L1046" s="31" t="n">
        <f aca="false">IF($F1046="",0,$F1046-$K1046)</f>
        <v>0</v>
      </c>
      <c r="M1046" s="31" t="n">
        <f aca="false">IF($F1046="",0,IF($J1046="V",$L1046,$F1046))</f>
        <v>0</v>
      </c>
      <c r="N1046" s="31" t="n">
        <f aca="false">IF($F1046="",0,IF($J1046="U",$L1046,$F1046))</f>
        <v>0</v>
      </c>
      <c r="O1046" s="35" t="str">
        <f aca="false">IF($A1046="","",MONTH($A1046))</f>
        <v/>
      </c>
      <c r="P1046" s="35" t="str">
        <f aca="false">IF($A1046="","",ROUNDUP(MONTH($A1046)/3,0))</f>
        <v/>
      </c>
      <c r="Q1046" s="35" t="str">
        <f aca="false">IF($A1046="","",IF(MONTH($A1046)&lt;=6,1,2))</f>
        <v/>
      </c>
      <c r="R1046" s="35" t="str">
        <f aca="false">IF($E1046="","",IFERROR(INDEX(Kontenplan!$F$5:$F$90,MATCH($E1046,Kontenplan!$A$5:$A$90,0)),""))</f>
        <v/>
      </c>
      <c r="S1046" s="35" t="str">
        <f aca="false">IF($D1046="","",IFERROR(INDEX(Kontenplan!$F$5:$F$90,MATCH($D1046,Kontenplan!$A$5:$A$90,0)),""))</f>
        <v/>
      </c>
      <c r="T1046" s="35" t="str">
        <f aca="false">IF($D1046="","",IFERROR(INDEX(Kontenplan!$C$5:$C$90,MATCH($D1046,Kontenplan!$A$5:$A$90,0)),"?"))</f>
        <v/>
      </c>
      <c r="U1046" s="35" t="str">
        <f aca="false">IF($E1046="","",IFERROR(INDEX(Kontenplan!$C$5:$C$90,MATCH($E1046,Kontenplan!$A$5:$A$90,0)),"?"))</f>
        <v/>
      </c>
      <c r="V1046" s="35" t="str">
        <f aca="false">IF($F1046="","",IF(OR($D1046="",$E1046="",$T1046="?",$U1046="?"),"Konto prüfen!",IF($A1046="","Datum fehlt",IF(YEAR($A1046)&lt;&gt;Einstellungen!$B$7,"anderes Jahr!",IF($G1046="","MWST-Code fehlt","OK")))))</f>
        <v/>
      </c>
      <c r="W1046" s="35" t="str">
        <f aca="false">IF($F1046="","",IF(OR($D1046=Kontoauszug!$C$4,$E1046=Kontoauszug!$C$4),MAX(W$4:W1045)+1,""))</f>
        <v/>
      </c>
    </row>
    <row r="1047" customFormat="false" ht="15" hidden="false" customHeight="false" outlineLevel="0" collapsed="false">
      <c r="A1047" s="33"/>
      <c r="B1047" s="32"/>
      <c r="C1047" s="32"/>
      <c r="D1047" s="32"/>
      <c r="E1047" s="32"/>
      <c r="F1047" s="30"/>
      <c r="G1047" s="32"/>
      <c r="H1047" s="34" t="n">
        <f aca="false">IF($G1047="",0,IFERROR(INDEX(Einstellungen!$G$5:$G$11,MATCH($G1047,Einstellungen!$E$5:$E$11,0)),0))</f>
        <v>0</v>
      </c>
      <c r="I1047" s="35" t="str">
        <f aca="false">IF($G1047="","-",IFERROR(INDEX(Einstellungen!$H$5:$H$11,MATCH($G1047,Einstellungen!$E$5:$E$11,0)),"-"))</f>
        <v>-</v>
      </c>
      <c r="J1047" s="35" t="str">
        <f aca="false">IF(AND(Einstellungen!$B$8="Ja",Einstellungen!$B$9="Effektiv"),$I1047,"-")</f>
        <v>-</v>
      </c>
      <c r="K1047" s="31" t="n">
        <f aca="false">IF(OR($F1047="",$J1047="-"),0,ROUND($F1047-$F1047/(1+$H1047),2))</f>
        <v>0</v>
      </c>
      <c r="L1047" s="31" t="n">
        <f aca="false">IF($F1047="",0,$F1047-$K1047)</f>
        <v>0</v>
      </c>
      <c r="M1047" s="31" t="n">
        <f aca="false">IF($F1047="",0,IF($J1047="V",$L1047,$F1047))</f>
        <v>0</v>
      </c>
      <c r="N1047" s="31" t="n">
        <f aca="false">IF($F1047="",0,IF($J1047="U",$L1047,$F1047))</f>
        <v>0</v>
      </c>
      <c r="O1047" s="35" t="str">
        <f aca="false">IF($A1047="","",MONTH($A1047))</f>
        <v/>
      </c>
      <c r="P1047" s="35" t="str">
        <f aca="false">IF($A1047="","",ROUNDUP(MONTH($A1047)/3,0))</f>
        <v/>
      </c>
      <c r="Q1047" s="35" t="str">
        <f aca="false">IF($A1047="","",IF(MONTH($A1047)&lt;=6,1,2))</f>
        <v/>
      </c>
      <c r="R1047" s="35" t="str">
        <f aca="false">IF($E1047="","",IFERROR(INDEX(Kontenplan!$F$5:$F$90,MATCH($E1047,Kontenplan!$A$5:$A$90,0)),""))</f>
        <v/>
      </c>
      <c r="S1047" s="35" t="str">
        <f aca="false">IF($D1047="","",IFERROR(INDEX(Kontenplan!$F$5:$F$90,MATCH($D1047,Kontenplan!$A$5:$A$90,0)),""))</f>
        <v/>
      </c>
      <c r="T1047" s="35" t="str">
        <f aca="false">IF($D1047="","",IFERROR(INDEX(Kontenplan!$C$5:$C$90,MATCH($D1047,Kontenplan!$A$5:$A$90,0)),"?"))</f>
        <v/>
      </c>
      <c r="U1047" s="35" t="str">
        <f aca="false">IF($E1047="","",IFERROR(INDEX(Kontenplan!$C$5:$C$90,MATCH($E1047,Kontenplan!$A$5:$A$90,0)),"?"))</f>
        <v/>
      </c>
      <c r="V1047" s="35" t="str">
        <f aca="false">IF($F1047="","",IF(OR($D1047="",$E1047="",$T1047="?",$U1047="?"),"Konto prüfen!",IF($A1047="","Datum fehlt",IF(YEAR($A1047)&lt;&gt;Einstellungen!$B$7,"anderes Jahr!",IF($G1047="","MWST-Code fehlt","OK")))))</f>
        <v/>
      </c>
      <c r="W1047" s="35" t="str">
        <f aca="false">IF($F1047="","",IF(OR($D1047=Kontoauszug!$C$4,$E1047=Kontoauszug!$C$4),MAX(W$4:W1046)+1,""))</f>
        <v/>
      </c>
    </row>
    <row r="1048" customFormat="false" ht="15" hidden="false" customHeight="false" outlineLevel="0" collapsed="false">
      <c r="A1048" s="33"/>
      <c r="B1048" s="32"/>
      <c r="C1048" s="32"/>
      <c r="D1048" s="32"/>
      <c r="E1048" s="32"/>
      <c r="F1048" s="30"/>
      <c r="G1048" s="32"/>
      <c r="H1048" s="34" t="n">
        <f aca="false">IF($G1048="",0,IFERROR(INDEX(Einstellungen!$G$5:$G$11,MATCH($G1048,Einstellungen!$E$5:$E$11,0)),0))</f>
        <v>0</v>
      </c>
      <c r="I1048" s="35" t="str">
        <f aca="false">IF($G1048="","-",IFERROR(INDEX(Einstellungen!$H$5:$H$11,MATCH($G1048,Einstellungen!$E$5:$E$11,0)),"-"))</f>
        <v>-</v>
      </c>
      <c r="J1048" s="35" t="str">
        <f aca="false">IF(AND(Einstellungen!$B$8="Ja",Einstellungen!$B$9="Effektiv"),$I1048,"-")</f>
        <v>-</v>
      </c>
      <c r="K1048" s="31" t="n">
        <f aca="false">IF(OR($F1048="",$J1048="-"),0,ROUND($F1048-$F1048/(1+$H1048),2))</f>
        <v>0</v>
      </c>
      <c r="L1048" s="31" t="n">
        <f aca="false">IF($F1048="",0,$F1048-$K1048)</f>
        <v>0</v>
      </c>
      <c r="M1048" s="31" t="n">
        <f aca="false">IF($F1048="",0,IF($J1048="V",$L1048,$F1048))</f>
        <v>0</v>
      </c>
      <c r="N1048" s="31" t="n">
        <f aca="false">IF($F1048="",0,IF($J1048="U",$L1048,$F1048))</f>
        <v>0</v>
      </c>
      <c r="O1048" s="35" t="str">
        <f aca="false">IF($A1048="","",MONTH($A1048))</f>
        <v/>
      </c>
      <c r="P1048" s="35" t="str">
        <f aca="false">IF($A1048="","",ROUNDUP(MONTH($A1048)/3,0))</f>
        <v/>
      </c>
      <c r="Q1048" s="35" t="str">
        <f aca="false">IF($A1048="","",IF(MONTH($A1048)&lt;=6,1,2))</f>
        <v/>
      </c>
      <c r="R1048" s="35" t="str">
        <f aca="false">IF($E1048="","",IFERROR(INDEX(Kontenplan!$F$5:$F$90,MATCH($E1048,Kontenplan!$A$5:$A$90,0)),""))</f>
        <v/>
      </c>
      <c r="S1048" s="35" t="str">
        <f aca="false">IF($D1048="","",IFERROR(INDEX(Kontenplan!$F$5:$F$90,MATCH($D1048,Kontenplan!$A$5:$A$90,0)),""))</f>
        <v/>
      </c>
      <c r="T1048" s="35" t="str">
        <f aca="false">IF($D1048="","",IFERROR(INDEX(Kontenplan!$C$5:$C$90,MATCH($D1048,Kontenplan!$A$5:$A$90,0)),"?"))</f>
        <v/>
      </c>
      <c r="U1048" s="35" t="str">
        <f aca="false">IF($E1048="","",IFERROR(INDEX(Kontenplan!$C$5:$C$90,MATCH($E1048,Kontenplan!$A$5:$A$90,0)),"?"))</f>
        <v/>
      </c>
      <c r="V1048" s="35" t="str">
        <f aca="false">IF($F1048="","",IF(OR($D1048="",$E1048="",$T1048="?",$U1048="?"),"Konto prüfen!",IF($A1048="","Datum fehlt",IF(YEAR($A1048)&lt;&gt;Einstellungen!$B$7,"anderes Jahr!",IF($G1048="","MWST-Code fehlt","OK")))))</f>
        <v/>
      </c>
      <c r="W1048" s="35" t="str">
        <f aca="false">IF($F1048="","",IF(OR($D1048=Kontoauszug!$C$4,$E1048=Kontoauszug!$C$4),MAX(W$4:W1047)+1,""))</f>
        <v/>
      </c>
    </row>
    <row r="1049" customFormat="false" ht="15" hidden="false" customHeight="false" outlineLevel="0" collapsed="false">
      <c r="A1049" s="33"/>
      <c r="B1049" s="32"/>
      <c r="C1049" s="32"/>
      <c r="D1049" s="32"/>
      <c r="E1049" s="32"/>
      <c r="F1049" s="30"/>
      <c r="G1049" s="32"/>
      <c r="H1049" s="34" t="n">
        <f aca="false">IF($G1049="",0,IFERROR(INDEX(Einstellungen!$G$5:$G$11,MATCH($G1049,Einstellungen!$E$5:$E$11,0)),0))</f>
        <v>0</v>
      </c>
      <c r="I1049" s="35" t="str">
        <f aca="false">IF($G1049="","-",IFERROR(INDEX(Einstellungen!$H$5:$H$11,MATCH($G1049,Einstellungen!$E$5:$E$11,0)),"-"))</f>
        <v>-</v>
      </c>
      <c r="J1049" s="35" t="str">
        <f aca="false">IF(AND(Einstellungen!$B$8="Ja",Einstellungen!$B$9="Effektiv"),$I1049,"-")</f>
        <v>-</v>
      </c>
      <c r="K1049" s="31" t="n">
        <f aca="false">IF(OR($F1049="",$J1049="-"),0,ROUND($F1049-$F1049/(1+$H1049),2))</f>
        <v>0</v>
      </c>
      <c r="L1049" s="31" t="n">
        <f aca="false">IF($F1049="",0,$F1049-$K1049)</f>
        <v>0</v>
      </c>
      <c r="M1049" s="31" t="n">
        <f aca="false">IF($F1049="",0,IF($J1049="V",$L1049,$F1049))</f>
        <v>0</v>
      </c>
      <c r="N1049" s="31" t="n">
        <f aca="false">IF($F1049="",0,IF($J1049="U",$L1049,$F1049))</f>
        <v>0</v>
      </c>
      <c r="O1049" s="35" t="str">
        <f aca="false">IF($A1049="","",MONTH($A1049))</f>
        <v/>
      </c>
      <c r="P1049" s="35" t="str">
        <f aca="false">IF($A1049="","",ROUNDUP(MONTH($A1049)/3,0))</f>
        <v/>
      </c>
      <c r="Q1049" s="35" t="str">
        <f aca="false">IF($A1049="","",IF(MONTH($A1049)&lt;=6,1,2))</f>
        <v/>
      </c>
      <c r="R1049" s="35" t="str">
        <f aca="false">IF($E1049="","",IFERROR(INDEX(Kontenplan!$F$5:$F$90,MATCH($E1049,Kontenplan!$A$5:$A$90,0)),""))</f>
        <v/>
      </c>
      <c r="S1049" s="35" t="str">
        <f aca="false">IF($D1049="","",IFERROR(INDEX(Kontenplan!$F$5:$F$90,MATCH($D1049,Kontenplan!$A$5:$A$90,0)),""))</f>
        <v/>
      </c>
      <c r="T1049" s="35" t="str">
        <f aca="false">IF($D1049="","",IFERROR(INDEX(Kontenplan!$C$5:$C$90,MATCH($D1049,Kontenplan!$A$5:$A$90,0)),"?"))</f>
        <v/>
      </c>
      <c r="U1049" s="35" t="str">
        <f aca="false">IF($E1049="","",IFERROR(INDEX(Kontenplan!$C$5:$C$90,MATCH($E1049,Kontenplan!$A$5:$A$90,0)),"?"))</f>
        <v/>
      </c>
      <c r="V1049" s="35" t="str">
        <f aca="false">IF($F1049="","",IF(OR($D1049="",$E1049="",$T1049="?",$U1049="?"),"Konto prüfen!",IF($A1049="","Datum fehlt",IF(YEAR($A1049)&lt;&gt;Einstellungen!$B$7,"anderes Jahr!",IF($G1049="","MWST-Code fehlt","OK")))))</f>
        <v/>
      </c>
      <c r="W1049" s="35" t="str">
        <f aca="false">IF($F1049="","",IF(OR($D1049=Kontoauszug!$C$4,$E1049=Kontoauszug!$C$4),MAX(W$4:W1048)+1,""))</f>
        <v/>
      </c>
    </row>
    <row r="1050" customFormat="false" ht="15" hidden="false" customHeight="false" outlineLevel="0" collapsed="false">
      <c r="A1050" s="33"/>
      <c r="B1050" s="32"/>
      <c r="C1050" s="32"/>
      <c r="D1050" s="32"/>
      <c r="E1050" s="32"/>
      <c r="F1050" s="30"/>
      <c r="G1050" s="32"/>
      <c r="H1050" s="34" t="n">
        <f aca="false">IF($G1050="",0,IFERROR(INDEX(Einstellungen!$G$5:$G$11,MATCH($G1050,Einstellungen!$E$5:$E$11,0)),0))</f>
        <v>0</v>
      </c>
      <c r="I1050" s="35" t="str">
        <f aca="false">IF($G1050="","-",IFERROR(INDEX(Einstellungen!$H$5:$H$11,MATCH($G1050,Einstellungen!$E$5:$E$11,0)),"-"))</f>
        <v>-</v>
      </c>
      <c r="J1050" s="35" t="str">
        <f aca="false">IF(AND(Einstellungen!$B$8="Ja",Einstellungen!$B$9="Effektiv"),$I1050,"-")</f>
        <v>-</v>
      </c>
      <c r="K1050" s="31" t="n">
        <f aca="false">IF(OR($F1050="",$J1050="-"),0,ROUND($F1050-$F1050/(1+$H1050),2))</f>
        <v>0</v>
      </c>
      <c r="L1050" s="31" t="n">
        <f aca="false">IF($F1050="",0,$F1050-$K1050)</f>
        <v>0</v>
      </c>
      <c r="M1050" s="31" t="n">
        <f aca="false">IF($F1050="",0,IF($J1050="V",$L1050,$F1050))</f>
        <v>0</v>
      </c>
      <c r="N1050" s="31" t="n">
        <f aca="false">IF($F1050="",0,IF($J1050="U",$L1050,$F1050))</f>
        <v>0</v>
      </c>
      <c r="O1050" s="35" t="str">
        <f aca="false">IF($A1050="","",MONTH($A1050))</f>
        <v/>
      </c>
      <c r="P1050" s="35" t="str">
        <f aca="false">IF($A1050="","",ROUNDUP(MONTH($A1050)/3,0))</f>
        <v/>
      </c>
      <c r="Q1050" s="35" t="str">
        <f aca="false">IF($A1050="","",IF(MONTH($A1050)&lt;=6,1,2))</f>
        <v/>
      </c>
      <c r="R1050" s="35" t="str">
        <f aca="false">IF($E1050="","",IFERROR(INDEX(Kontenplan!$F$5:$F$90,MATCH($E1050,Kontenplan!$A$5:$A$90,0)),""))</f>
        <v/>
      </c>
      <c r="S1050" s="35" t="str">
        <f aca="false">IF($D1050="","",IFERROR(INDEX(Kontenplan!$F$5:$F$90,MATCH($D1050,Kontenplan!$A$5:$A$90,0)),""))</f>
        <v/>
      </c>
      <c r="T1050" s="35" t="str">
        <f aca="false">IF($D1050="","",IFERROR(INDEX(Kontenplan!$C$5:$C$90,MATCH($D1050,Kontenplan!$A$5:$A$90,0)),"?"))</f>
        <v/>
      </c>
      <c r="U1050" s="35" t="str">
        <f aca="false">IF($E1050="","",IFERROR(INDEX(Kontenplan!$C$5:$C$90,MATCH($E1050,Kontenplan!$A$5:$A$90,0)),"?"))</f>
        <v/>
      </c>
      <c r="V1050" s="35" t="str">
        <f aca="false">IF($F1050="","",IF(OR($D1050="",$E1050="",$T1050="?",$U1050="?"),"Konto prüfen!",IF($A1050="","Datum fehlt",IF(YEAR($A1050)&lt;&gt;Einstellungen!$B$7,"anderes Jahr!",IF($G1050="","MWST-Code fehlt","OK")))))</f>
        <v/>
      </c>
      <c r="W1050" s="35" t="str">
        <f aca="false">IF($F1050="","",IF(OR($D1050=Kontoauszug!$C$4,$E1050=Kontoauszug!$C$4),MAX(W$4:W1049)+1,""))</f>
        <v/>
      </c>
    </row>
    <row r="1051" customFormat="false" ht="15" hidden="false" customHeight="false" outlineLevel="0" collapsed="false">
      <c r="A1051" s="33"/>
      <c r="B1051" s="32"/>
      <c r="C1051" s="32"/>
      <c r="D1051" s="32"/>
      <c r="E1051" s="32"/>
      <c r="F1051" s="30"/>
      <c r="G1051" s="32"/>
      <c r="H1051" s="34" t="n">
        <f aca="false">IF($G1051="",0,IFERROR(INDEX(Einstellungen!$G$5:$G$11,MATCH($G1051,Einstellungen!$E$5:$E$11,0)),0))</f>
        <v>0</v>
      </c>
      <c r="I1051" s="35" t="str">
        <f aca="false">IF($G1051="","-",IFERROR(INDEX(Einstellungen!$H$5:$H$11,MATCH($G1051,Einstellungen!$E$5:$E$11,0)),"-"))</f>
        <v>-</v>
      </c>
      <c r="J1051" s="35" t="str">
        <f aca="false">IF(AND(Einstellungen!$B$8="Ja",Einstellungen!$B$9="Effektiv"),$I1051,"-")</f>
        <v>-</v>
      </c>
      <c r="K1051" s="31" t="n">
        <f aca="false">IF(OR($F1051="",$J1051="-"),0,ROUND($F1051-$F1051/(1+$H1051),2))</f>
        <v>0</v>
      </c>
      <c r="L1051" s="31" t="n">
        <f aca="false">IF($F1051="",0,$F1051-$K1051)</f>
        <v>0</v>
      </c>
      <c r="M1051" s="31" t="n">
        <f aca="false">IF($F1051="",0,IF($J1051="V",$L1051,$F1051))</f>
        <v>0</v>
      </c>
      <c r="N1051" s="31" t="n">
        <f aca="false">IF($F1051="",0,IF($J1051="U",$L1051,$F1051))</f>
        <v>0</v>
      </c>
      <c r="O1051" s="35" t="str">
        <f aca="false">IF($A1051="","",MONTH($A1051))</f>
        <v/>
      </c>
      <c r="P1051" s="35" t="str">
        <f aca="false">IF($A1051="","",ROUNDUP(MONTH($A1051)/3,0))</f>
        <v/>
      </c>
      <c r="Q1051" s="35" t="str">
        <f aca="false">IF($A1051="","",IF(MONTH($A1051)&lt;=6,1,2))</f>
        <v/>
      </c>
      <c r="R1051" s="35" t="str">
        <f aca="false">IF($E1051="","",IFERROR(INDEX(Kontenplan!$F$5:$F$90,MATCH($E1051,Kontenplan!$A$5:$A$90,0)),""))</f>
        <v/>
      </c>
      <c r="S1051" s="35" t="str">
        <f aca="false">IF($D1051="","",IFERROR(INDEX(Kontenplan!$F$5:$F$90,MATCH($D1051,Kontenplan!$A$5:$A$90,0)),""))</f>
        <v/>
      </c>
      <c r="T1051" s="35" t="str">
        <f aca="false">IF($D1051="","",IFERROR(INDEX(Kontenplan!$C$5:$C$90,MATCH($D1051,Kontenplan!$A$5:$A$90,0)),"?"))</f>
        <v/>
      </c>
      <c r="U1051" s="35" t="str">
        <f aca="false">IF($E1051="","",IFERROR(INDEX(Kontenplan!$C$5:$C$90,MATCH($E1051,Kontenplan!$A$5:$A$90,0)),"?"))</f>
        <v/>
      </c>
      <c r="V1051" s="35" t="str">
        <f aca="false">IF($F1051="","",IF(OR($D1051="",$E1051="",$T1051="?",$U1051="?"),"Konto prüfen!",IF($A1051="","Datum fehlt",IF(YEAR($A1051)&lt;&gt;Einstellungen!$B$7,"anderes Jahr!",IF($G1051="","MWST-Code fehlt","OK")))))</f>
        <v/>
      </c>
      <c r="W1051" s="35" t="str">
        <f aca="false">IF($F1051="","",IF(OR($D1051=Kontoauszug!$C$4,$E1051=Kontoauszug!$C$4),MAX(W$4:W1050)+1,""))</f>
        <v/>
      </c>
    </row>
    <row r="1052" customFormat="false" ht="15" hidden="false" customHeight="false" outlineLevel="0" collapsed="false">
      <c r="A1052" s="33"/>
      <c r="B1052" s="32"/>
      <c r="C1052" s="32"/>
      <c r="D1052" s="32"/>
      <c r="E1052" s="32"/>
      <c r="F1052" s="30"/>
      <c r="G1052" s="32"/>
      <c r="H1052" s="34" t="n">
        <f aca="false">IF($G1052="",0,IFERROR(INDEX(Einstellungen!$G$5:$G$11,MATCH($G1052,Einstellungen!$E$5:$E$11,0)),0))</f>
        <v>0</v>
      </c>
      <c r="I1052" s="35" t="str">
        <f aca="false">IF($G1052="","-",IFERROR(INDEX(Einstellungen!$H$5:$H$11,MATCH($G1052,Einstellungen!$E$5:$E$11,0)),"-"))</f>
        <v>-</v>
      </c>
      <c r="J1052" s="35" t="str">
        <f aca="false">IF(AND(Einstellungen!$B$8="Ja",Einstellungen!$B$9="Effektiv"),$I1052,"-")</f>
        <v>-</v>
      </c>
      <c r="K1052" s="31" t="n">
        <f aca="false">IF(OR($F1052="",$J1052="-"),0,ROUND($F1052-$F1052/(1+$H1052),2))</f>
        <v>0</v>
      </c>
      <c r="L1052" s="31" t="n">
        <f aca="false">IF($F1052="",0,$F1052-$K1052)</f>
        <v>0</v>
      </c>
      <c r="M1052" s="31" t="n">
        <f aca="false">IF($F1052="",0,IF($J1052="V",$L1052,$F1052))</f>
        <v>0</v>
      </c>
      <c r="N1052" s="31" t="n">
        <f aca="false">IF($F1052="",0,IF($J1052="U",$L1052,$F1052))</f>
        <v>0</v>
      </c>
      <c r="O1052" s="35" t="str">
        <f aca="false">IF($A1052="","",MONTH($A1052))</f>
        <v/>
      </c>
      <c r="P1052" s="35" t="str">
        <f aca="false">IF($A1052="","",ROUNDUP(MONTH($A1052)/3,0))</f>
        <v/>
      </c>
      <c r="Q1052" s="35" t="str">
        <f aca="false">IF($A1052="","",IF(MONTH($A1052)&lt;=6,1,2))</f>
        <v/>
      </c>
      <c r="R1052" s="35" t="str">
        <f aca="false">IF($E1052="","",IFERROR(INDEX(Kontenplan!$F$5:$F$90,MATCH($E1052,Kontenplan!$A$5:$A$90,0)),""))</f>
        <v/>
      </c>
      <c r="S1052" s="35" t="str">
        <f aca="false">IF($D1052="","",IFERROR(INDEX(Kontenplan!$F$5:$F$90,MATCH($D1052,Kontenplan!$A$5:$A$90,0)),""))</f>
        <v/>
      </c>
      <c r="T1052" s="35" t="str">
        <f aca="false">IF($D1052="","",IFERROR(INDEX(Kontenplan!$C$5:$C$90,MATCH($D1052,Kontenplan!$A$5:$A$90,0)),"?"))</f>
        <v/>
      </c>
      <c r="U1052" s="35" t="str">
        <f aca="false">IF($E1052="","",IFERROR(INDEX(Kontenplan!$C$5:$C$90,MATCH($E1052,Kontenplan!$A$5:$A$90,0)),"?"))</f>
        <v/>
      </c>
      <c r="V1052" s="35" t="str">
        <f aca="false">IF($F1052="","",IF(OR($D1052="",$E1052="",$T1052="?",$U1052="?"),"Konto prüfen!",IF($A1052="","Datum fehlt",IF(YEAR($A1052)&lt;&gt;Einstellungen!$B$7,"anderes Jahr!",IF($G1052="","MWST-Code fehlt","OK")))))</f>
        <v/>
      </c>
      <c r="W1052" s="35" t="str">
        <f aca="false">IF($F1052="","",IF(OR($D1052=Kontoauszug!$C$4,$E1052=Kontoauszug!$C$4),MAX(W$4:W1051)+1,""))</f>
        <v/>
      </c>
    </row>
    <row r="1053" customFormat="false" ht="15" hidden="false" customHeight="false" outlineLevel="0" collapsed="false">
      <c r="A1053" s="33"/>
      <c r="B1053" s="32"/>
      <c r="C1053" s="32"/>
      <c r="D1053" s="32"/>
      <c r="E1053" s="32"/>
      <c r="F1053" s="30"/>
      <c r="G1053" s="32"/>
      <c r="H1053" s="34" t="n">
        <f aca="false">IF($G1053="",0,IFERROR(INDEX(Einstellungen!$G$5:$G$11,MATCH($G1053,Einstellungen!$E$5:$E$11,0)),0))</f>
        <v>0</v>
      </c>
      <c r="I1053" s="35" t="str">
        <f aca="false">IF($G1053="","-",IFERROR(INDEX(Einstellungen!$H$5:$H$11,MATCH($G1053,Einstellungen!$E$5:$E$11,0)),"-"))</f>
        <v>-</v>
      </c>
      <c r="J1053" s="35" t="str">
        <f aca="false">IF(AND(Einstellungen!$B$8="Ja",Einstellungen!$B$9="Effektiv"),$I1053,"-")</f>
        <v>-</v>
      </c>
      <c r="K1053" s="31" t="n">
        <f aca="false">IF(OR($F1053="",$J1053="-"),0,ROUND($F1053-$F1053/(1+$H1053),2))</f>
        <v>0</v>
      </c>
      <c r="L1053" s="31" t="n">
        <f aca="false">IF($F1053="",0,$F1053-$K1053)</f>
        <v>0</v>
      </c>
      <c r="M1053" s="31" t="n">
        <f aca="false">IF($F1053="",0,IF($J1053="V",$L1053,$F1053))</f>
        <v>0</v>
      </c>
      <c r="N1053" s="31" t="n">
        <f aca="false">IF($F1053="",0,IF($J1053="U",$L1053,$F1053))</f>
        <v>0</v>
      </c>
      <c r="O1053" s="35" t="str">
        <f aca="false">IF($A1053="","",MONTH($A1053))</f>
        <v/>
      </c>
      <c r="P1053" s="35" t="str">
        <f aca="false">IF($A1053="","",ROUNDUP(MONTH($A1053)/3,0))</f>
        <v/>
      </c>
      <c r="Q1053" s="35" t="str">
        <f aca="false">IF($A1053="","",IF(MONTH($A1053)&lt;=6,1,2))</f>
        <v/>
      </c>
      <c r="R1053" s="35" t="str">
        <f aca="false">IF($E1053="","",IFERROR(INDEX(Kontenplan!$F$5:$F$90,MATCH($E1053,Kontenplan!$A$5:$A$90,0)),""))</f>
        <v/>
      </c>
      <c r="S1053" s="35" t="str">
        <f aca="false">IF($D1053="","",IFERROR(INDEX(Kontenplan!$F$5:$F$90,MATCH($D1053,Kontenplan!$A$5:$A$90,0)),""))</f>
        <v/>
      </c>
      <c r="T1053" s="35" t="str">
        <f aca="false">IF($D1053="","",IFERROR(INDEX(Kontenplan!$C$5:$C$90,MATCH($D1053,Kontenplan!$A$5:$A$90,0)),"?"))</f>
        <v/>
      </c>
      <c r="U1053" s="35" t="str">
        <f aca="false">IF($E1053="","",IFERROR(INDEX(Kontenplan!$C$5:$C$90,MATCH($E1053,Kontenplan!$A$5:$A$90,0)),"?"))</f>
        <v/>
      </c>
      <c r="V1053" s="35" t="str">
        <f aca="false">IF($F1053="","",IF(OR($D1053="",$E1053="",$T1053="?",$U1053="?"),"Konto prüfen!",IF($A1053="","Datum fehlt",IF(YEAR($A1053)&lt;&gt;Einstellungen!$B$7,"anderes Jahr!",IF($G1053="","MWST-Code fehlt","OK")))))</f>
        <v/>
      </c>
      <c r="W1053" s="35" t="str">
        <f aca="false">IF($F1053="","",IF(OR($D1053=Kontoauszug!$C$4,$E1053=Kontoauszug!$C$4),MAX(W$4:W1052)+1,""))</f>
        <v/>
      </c>
    </row>
    <row r="1054" customFormat="false" ht="15" hidden="false" customHeight="false" outlineLevel="0" collapsed="false">
      <c r="A1054" s="33"/>
      <c r="B1054" s="32"/>
      <c r="C1054" s="32"/>
      <c r="D1054" s="32"/>
      <c r="E1054" s="32"/>
      <c r="F1054" s="30"/>
      <c r="G1054" s="32"/>
      <c r="H1054" s="34" t="n">
        <f aca="false">IF($G1054="",0,IFERROR(INDEX(Einstellungen!$G$5:$G$11,MATCH($G1054,Einstellungen!$E$5:$E$11,0)),0))</f>
        <v>0</v>
      </c>
      <c r="I1054" s="35" t="str">
        <f aca="false">IF($G1054="","-",IFERROR(INDEX(Einstellungen!$H$5:$H$11,MATCH($G1054,Einstellungen!$E$5:$E$11,0)),"-"))</f>
        <v>-</v>
      </c>
      <c r="J1054" s="35" t="str">
        <f aca="false">IF(AND(Einstellungen!$B$8="Ja",Einstellungen!$B$9="Effektiv"),$I1054,"-")</f>
        <v>-</v>
      </c>
      <c r="K1054" s="31" t="n">
        <f aca="false">IF(OR($F1054="",$J1054="-"),0,ROUND($F1054-$F1054/(1+$H1054),2))</f>
        <v>0</v>
      </c>
      <c r="L1054" s="31" t="n">
        <f aca="false">IF($F1054="",0,$F1054-$K1054)</f>
        <v>0</v>
      </c>
      <c r="M1054" s="31" t="n">
        <f aca="false">IF($F1054="",0,IF($J1054="V",$L1054,$F1054))</f>
        <v>0</v>
      </c>
      <c r="N1054" s="31" t="n">
        <f aca="false">IF($F1054="",0,IF($J1054="U",$L1054,$F1054))</f>
        <v>0</v>
      </c>
      <c r="O1054" s="35" t="str">
        <f aca="false">IF($A1054="","",MONTH($A1054))</f>
        <v/>
      </c>
      <c r="P1054" s="35" t="str">
        <f aca="false">IF($A1054="","",ROUNDUP(MONTH($A1054)/3,0))</f>
        <v/>
      </c>
      <c r="Q1054" s="35" t="str">
        <f aca="false">IF($A1054="","",IF(MONTH($A1054)&lt;=6,1,2))</f>
        <v/>
      </c>
      <c r="R1054" s="35" t="str">
        <f aca="false">IF($E1054="","",IFERROR(INDEX(Kontenplan!$F$5:$F$90,MATCH($E1054,Kontenplan!$A$5:$A$90,0)),""))</f>
        <v/>
      </c>
      <c r="S1054" s="35" t="str">
        <f aca="false">IF($D1054="","",IFERROR(INDEX(Kontenplan!$F$5:$F$90,MATCH($D1054,Kontenplan!$A$5:$A$90,0)),""))</f>
        <v/>
      </c>
      <c r="T1054" s="35" t="str">
        <f aca="false">IF($D1054="","",IFERROR(INDEX(Kontenplan!$C$5:$C$90,MATCH($D1054,Kontenplan!$A$5:$A$90,0)),"?"))</f>
        <v/>
      </c>
      <c r="U1054" s="35" t="str">
        <f aca="false">IF($E1054="","",IFERROR(INDEX(Kontenplan!$C$5:$C$90,MATCH($E1054,Kontenplan!$A$5:$A$90,0)),"?"))</f>
        <v/>
      </c>
      <c r="V1054" s="35" t="str">
        <f aca="false">IF($F1054="","",IF(OR($D1054="",$E1054="",$T1054="?",$U1054="?"),"Konto prüfen!",IF($A1054="","Datum fehlt",IF(YEAR($A1054)&lt;&gt;Einstellungen!$B$7,"anderes Jahr!",IF($G1054="","MWST-Code fehlt","OK")))))</f>
        <v/>
      </c>
      <c r="W1054" s="35" t="str">
        <f aca="false">IF($F1054="","",IF(OR($D1054=Kontoauszug!$C$4,$E1054=Kontoauszug!$C$4),MAX(W$4:W1053)+1,""))</f>
        <v/>
      </c>
    </row>
    <row r="1055" customFormat="false" ht="15" hidden="false" customHeight="false" outlineLevel="0" collapsed="false">
      <c r="A1055" s="33"/>
      <c r="B1055" s="32"/>
      <c r="C1055" s="32"/>
      <c r="D1055" s="32"/>
      <c r="E1055" s="32"/>
      <c r="F1055" s="30"/>
      <c r="G1055" s="32"/>
      <c r="H1055" s="34" t="n">
        <f aca="false">IF($G1055="",0,IFERROR(INDEX(Einstellungen!$G$5:$G$11,MATCH($G1055,Einstellungen!$E$5:$E$11,0)),0))</f>
        <v>0</v>
      </c>
      <c r="I1055" s="35" t="str">
        <f aca="false">IF($G1055="","-",IFERROR(INDEX(Einstellungen!$H$5:$H$11,MATCH($G1055,Einstellungen!$E$5:$E$11,0)),"-"))</f>
        <v>-</v>
      </c>
      <c r="J1055" s="35" t="str">
        <f aca="false">IF(AND(Einstellungen!$B$8="Ja",Einstellungen!$B$9="Effektiv"),$I1055,"-")</f>
        <v>-</v>
      </c>
      <c r="K1055" s="31" t="n">
        <f aca="false">IF(OR($F1055="",$J1055="-"),0,ROUND($F1055-$F1055/(1+$H1055),2))</f>
        <v>0</v>
      </c>
      <c r="L1055" s="31" t="n">
        <f aca="false">IF($F1055="",0,$F1055-$K1055)</f>
        <v>0</v>
      </c>
      <c r="M1055" s="31" t="n">
        <f aca="false">IF($F1055="",0,IF($J1055="V",$L1055,$F1055))</f>
        <v>0</v>
      </c>
      <c r="N1055" s="31" t="n">
        <f aca="false">IF($F1055="",0,IF($J1055="U",$L1055,$F1055))</f>
        <v>0</v>
      </c>
      <c r="O1055" s="35" t="str">
        <f aca="false">IF($A1055="","",MONTH($A1055))</f>
        <v/>
      </c>
      <c r="P1055" s="35" t="str">
        <f aca="false">IF($A1055="","",ROUNDUP(MONTH($A1055)/3,0))</f>
        <v/>
      </c>
      <c r="Q1055" s="35" t="str">
        <f aca="false">IF($A1055="","",IF(MONTH($A1055)&lt;=6,1,2))</f>
        <v/>
      </c>
      <c r="R1055" s="35" t="str">
        <f aca="false">IF($E1055="","",IFERROR(INDEX(Kontenplan!$F$5:$F$90,MATCH($E1055,Kontenplan!$A$5:$A$90,0)),""))</f>
        <v/>
      </c>
      <c r="S1055" s="35" t="str">
        <f aca="false">IF($D1055="","",IFERROR(INDEX(Kontenplan!$F$5:$F$90,MATCH($D1055,Kontenplan!$A$5:$A$90,0)),""))</f>
        <v/>
      </c>
      <c r="T1055" s="35" t="str">
        <f aca="false">IF($D1055="","",IFERROR(INDEX(Kontenplan!$C$5:$C$90,MATCH($D1055,Kontenplan!$A$5:$A$90,0)),"?"))</f>
        <v/>
      </c>
      <c r="U1055" s="35" t="str">
        <f aca="false">IF($E1055="","",IFERROR(INDEX(Kontenplan!$C$5:$C$90,MATCH($E1055,Kontenplan!$A$5:$A$90,0)),"?"))</f>
        <v/>
      </c>
      <c r="V1055" s="35" t="str">
        <f aca="false">IF($F1055="","",IF(OR($D1055="",$E1055="",$T1055="?",$U1055="?"),"Konto prüfen!",IF($A1055="","Datum fehlt",IF(YEAR($A1055)&lt;&gt;Einstellungen!$B$7,"anderes Jahr!",IF($G1055="","MWST-Code fehlt","OK")))))</f>
        <v/>
      </c>
      <c r="W1055" s="35" t="str">
        <f aca="false">IF($F1055="","",IF(OR($D1055=Kontoauszug!$C$4,$E1055=Kontoauszug!$C$4),MAX(W$4:W1054)+1,""))</f>
        <v/>
      </c>
    </row>
    <row r="1056" customFormat="false" ht="15" hidden="false" customHeight="false" outlineLevel="0" collapsed="false">
      <c r="A1056" s="33"/>
      <c r="B1056" s="32"/>
      <c r="C1056" s="32"/>
      <c r="D1056" s="32"/>
      <c r="E1056" s="32"/>
      <c r="F1056" s="30"/>
      <c r="G1056" s="32"/>
      <c r="H1056" s="34" t="n">
        <f aca="false">IF($G1056="",0,IFERROR(INDEX(Einstellungen!$G$5:$G$11,MATCH($G1056,Einstellungen!$E$5:$E$11,0)),0))</f>
        <v>0</v>
      </c>
      <c r="I1056" s="35" t="str">
        <f aca="false">IF($G1056="","-",IFERROR(INDEX(Einstellungen!$H$5:$H$11,MATCH($G1056,Einstellungen!$E$5:$E$11,0)),"-"))</f>
        <v>-</v>
      </c>
      <c r="J1056" s="35" t="str">
        <f aca="false">IF(AND(Einstellungen!$B$8="Ja",Einstellungen!$B$9="Effektiv"),$I1056,"-")</f>
        <v>-</v>
      </c>
      <c r="K1056" s="31" t="n">
        <f aca="false">IF(OR($F1056="",$J1056="-"),0,ROUND($F1056-$F1056/(1+$H1056),2))</f>
        <v>0</v>
      </c>
      <c r="L1056" s="31" t="n">
        <f aca="false">IF($F1056="",0,$F1056-$K1056)</f>
        <v>0</v>
      </c>
      <c r="M1056" s="31" t="n">
        <f aca="false">IF($F1056="",0,IF($J1056="V",$L1056,$F1056))</f>
        <v>0</v>
      </c>
      <c r="N1056" s="31" t="n">
        <f aca="false">IF($F1056="",0,IF($J1056="U",$L1056,$F1056))</f>
        <v>0</v>
      </c>
      <c r="O1056" s="35" t="str">
        <f aca="false">IF($A1056="","",MONTH($A1056))</f>
        <v/>
      </c>
      <c r="P1056" s="35" t="str">
        <f aca="false">IF($A1056="","",ROUNDUP(MONTH($A1056)/3,0))</f>
        <v/>
      </c>
      <c r="Q1056" s="35" t="str">
        <f aca="false">IF($A1056="","",IF(MONTH($A1056)&lt;=6,1,2))</f>
        <v/>
      </c>
      <c r="R1056" s="35" t="str">
        <f aca="false">IF($E1056="","",IFERROR(INDEX(Kontenplan!$F$5:$F$90,MATCH($E1056,Kontenplan!$A$5:$A$90,0)),""))</f>
        <v/>
      </c>
      <c r="S1056" s="35" t="str">
        <f aca="false">IF($D1056="","",IFERROR(INDEX(Kontenplan!$F$5:$F$90,MATCH($D1056,Kontenplan!$A$5:$A$90,0)),""))</f>
        <v/>
      </c>
      <c r="T1056" s="35" t="str">
        <f aca="false">IF($D1056="","",IFERROR(INDEX(Kontenplan!$C$5:$C$90,MATCH($D1056,Kontenplan!$A$5:$A$90,0)),"?"))</f>
        <v/>
      </c>
      <c r="U1056" s="35" t="str">
        <f aca="false">IF($E1056="","",IFERROR(INDEX(Kontenplan!$C$5:$C$90,MATCH($E1056,Kontenplan!$A$5:$A$90,0)),"?"))</f>
        <v/>
      </c>
      <c r="V1056" s="35" t="str">
        <f aca="false">IF($F1056="","",IF(OR($D1056="",$E1056="",$T1056="?",$U1056="?"),"Konto prüfen!",IF($A1056="","Datum fehlt",IF(YEAR($A1056)&lt;&gt;Einstellungen!$B$7,"anderes Jahr!",IF($G1056="","MWST-Code fehlt","OK")))))</f>
        <v/>
      </c>
      <c r="W1056" s="35" t="str">
        <f aca="false">IF($F1056="","",IF(OR($D1056=Kontoauszug!$C$4,$E1056=Kontoauszug!$C$4),MAX(W$4:W1055)+1,""))</f>
        <v/>
      </c>
    </row>
    <row r="1057" customFormat="false" ht="15" hidden="false" customHeight="false" outlineLevel="0" collapsed="false">
      <c r="A1057" s="33"/>
      <c r="B1057" s="32"/>
      <c r="C1057" s="32"/>
      <c r="D1057" s="32"/>
      <c r="E1057" s="32"/>
      <c r="F1057" s="30"/>
      <c r="G1057" s="32"/>
      <c r="H1057" s="34" t="n">
        <f aca="false">IF($G1057="",0,IFERROR(INDEX(Einstellungen!$G$5:$G$11,MATCH($G1057,Einstellungen!$E$5:$E$11,0)),0))</f>
        <v>0</v>
      </c>
      <c r="I1057" s="35" t="str">
        <f aca="false">IF($G1057="","-",IFERROR(INDEX(Einstellungen!$H$5:$H$11,MATCH($G1057,Einstellungen!$E$5:$E$11,0)),"-"))</f>
        <v>-</v>
      </c>
      <c r="J1057" s="35" t="str">
        <f aca="false">IF(AND(Einstellungen!$B$8="Ja",Einstellungen!$B$9="Effektiv"),$I1057,"-")</f>
        <v>-</v>
      </c>
      <c r="K1057" s="31" t="n">
        <f aca="false">IF(OR($F1057="",$J1057="-"),0,ROUND($F1057-$F1057/(1+$H1057),2))</f>
        <v>0</v>
      </c>
      <c r="L1057" s="31" t="n">
        <f aca="false">IF($F1057="",0,$F1057-$K1057)</f>
        <v>0</v>
      </c>
      <c r="M1057" s="31" t="n">
        <f aca="false">IF($F1057="",0,IF($J1057="V",$L1057,$F1057))</f>
        <v>0</v>
      </c>
      <c r="N1057" s="31" t="n">
        <f aca="false">IF($F1057="",0,IF($J1057="U",$L1057,$F1057))</f>
        <v>0</v>
      </c>
      <c r="O1057" s="35" t="str">
        <f aca="false">IF($A1057="","",MONTH($A1057))</f>
        <v/>
      </c>
      <c r="P1057" s="35" t="str">
        <f aca="false">IF($A1057="","",ROUNDUP(MONTH($A1057)/3,0))</f>
        <v/>
      </c>
      <c r="Q1057" s="35" t="str">
        <f aca="false">IF($A1057="","",IF(MONTH($A1057)&lt;=6,1,2))</f>
        <v/>
      </c>
      <c r="R1057" s="35" t="str">
        <f aca="false">IF($E1057="","",IFERROR(INDEX(Kontenplan!$F$5:$F$90,MATCH($E1057,Kontenplan!$A$5:$A$90,0)),""))</f>
        <v/>
      </c>
      <c r="S1057" s="35" t="str">
        <f aca="false">IF($D1057="","",IFERROR(INDEX(Kontenplan!$F$5:$F$90,MATCH($D1057,Kontenplan!$A$5:$A$90,0)),""))</f>
        <v/>
      </c>
      <c r="T1057" s="35" t="str">
        <f aca="false">IF($D1057="","",IFERROR(INDEX(Kontenplan!$C$5:$C$90,MATCH($D1057,Kontenplan!$A$5:$A$90,0)),"?"))</f>
        <v/>
      </c>
      <c r="U1057" s="35" t="str">
        <f aca="false">IF($E1057="","",IFERROR(INDEX(Kontenplan!$C$5:$C$90,MATCH($E1057,Kontenplan!$A$5:$A$90,0)),"?"))</f>
        <v/>
      </c>
      <c r="V1057" s="35" t="str">
        <f aca="false">IF($F1057="","",IF(OR($D1057="",$E1057="",$T1057="?",$U1057="?"),"Konto prüfen!",IF($A1057="","Datum fehlt",IF(YEAR($A1057)&lt;&gt;Einstellungen!$B$7,"anderes Jahr!",IF($G1057="","MWST-Code fehlt","OK")))))</f>
        <v/>
      </c>
      <c r="W1057" s="35" t="str">
        <f aca="false">IF($F1057="","",IF(OR($D1057=Kontoauszug!$C$4,$E1057=Kontoauszug!$C$4),MAX(W$4:W1056)+1,""))</f>
        <v/>
      </c>
    </row>
    <row r="1058" customFormat="false" ht="15" hidden="false" customHeight="false" outlineLevel="0" collapsed="false">
      <c r="A1058" s="33"/>
      <c r="B1058" s="32"/>
      <c r="C1058" s="32"/>
      <c r="D1058" s="32"/>
      <c r="E1058" s="32"/>
      <c r="F1058" s="30"/>
      <c r="G1058" s="32"/>
      <c r="H1058" s="34" t="n">
        <f aca="false">IF($G1058="",0,IFERROR(INDEX(Einstellungen!$G$5:$G$11,MATCH($G1058,Einstellungen!$E$5:$E$11,0)),0))</f>
        <v>0</v>
      </c>
      <c r="I1058" s="35" t="str">
        <f aca="false">IF($G1058="","-",IFERROR(INDEX(Einstellungen!$H$5:$H$11,MATCH($G1058,Einstellungen!$E$5:$E$11,0)),"-"))</f>
        <v>-</v>
      </c>
      <c r="J1058" s="35" t="str">
        <f aca="false">IF(AND(Einstellungen!$B$8="Ja",Einstellungen!$B$9="Effektiv"),$I1058,"-")</f>
        <v>-</v>
      </c>
      <c r="K1058" s="31" t="n">
        <f aca="false">IF(OR($F1058="",$J1058="-"),0,ROUND($F1058-$F1058/(1+$H1058),2))</f>
        <v>0</v>
      </c>
      <c r="L1058" s="31" t="n">
        <f aca="false">IF($F1058="",0,$F1058-$K1058)</f>
        <v>0</v>
      </c>
      <c r="M1058" s="31" t="n">
        <f aca="false">IF($F1058="",0,IF($J1058="V",$L1058,$F1058))</f>
        <v>0</v>
      </c>
      <c r="N1058" s="31" t="n">
        <f aca="false">IF($F1058="",0,IF($J1058="U",$L1058,$F1058))</f>
        <v>0</v>
      </c>
      <c r="O1058" s="35" t="str">
        <f aca="false">IF($A1058="","",MONTH($A1058))</f>
        <v/>
      </c>
      <c r="P1058" s="35" t="str">
        <f aca="false">IF($A1058="","",ROUNDUP(MONTH($A1058)/3,0))</f>
        <v/>
      </c>
      <c r="Q1058" s="35" t="str">
        <f aca="false">IF($A1058="","",IF(MONTH($A1058)&lt;=6,1,2))</f>
        <v/>
      </c>
      <c r="R1058" s="35" t="str">
        <f aca="false">IF($E1058="","",IFERROR(INDEX(Kontenplan!$F$5:$F$90,MATCH($E1058,Kontenplan!$A$5:$A$90,0)),""))</f>
        <v/>
      </c>
      <c r="S1058" s="35" t="str">
        <f aca="false">IF($D1058="","",IFERROR(INDEX(Kontenplan!$F$5:$F$90,MATCH($D1058,Kontenplan!$A$5:$A$90,0)),""))</f>
        <v/>
      </c>
      <c r="T1058" s="35" t="str">
        <f aca="false">IF($D1058="","",IFERROR(INDEX(Kontenplan!$C$5:$C$90,MATCH($D1058,Kontenplan!$A$5:$A$90,0)),"?"))</f>
        <v/>
      </c>
      <c r="U1058" s="35" t="str">
        <f aca="false">IF($E1058="","",IFERROR(INDEX(Kontenplan!$C$5:$C$90,MATCH($E1058,Kontenplan!$A$5:$A$90,0)),"?"))</f>
        <v/>
      </c>
      <c r="V1058" s="35" t="str">
        <f aca="false">IF($F1058="","",IF(OR($D1058="",$E1058="",$T1058="?",$U1058="?"),"Konto prüfen!",IF($A1058="","Datum fehlt",IF(YEAR($A1058)&lt;&gt;Einstellungen!$B$7,"anderes Jahr!",IF($G1058="","MWST-Code fehlt","OK")))))</f>
        <v/>
      </c>
      <c r="W1058" s="35" t="str">
        <f aca="false">IF($F1058="","",IF(OR($D1058=Kontoauszug!$C$4,$E1058=Kontoauszug!$C$4),MAX(W$4:W1057)+1,""))</f>
        <v/>
      </c>
    </row>
    <row r="1059" customFormat="false" ht="15" hidden="false" customHeight="false" outlineLevel="0" collapsed="false">
      <c r="A1059" s="33"/>
      <c r="B1059" s="32"/>
      <c r="C1059" s="32"/>
      <c r="D1059" s="32"/>
      <c r="E1059" s="32"/>
      <c r="F1059" s="30"/>
      <c r="G1059" s="32"/>
      <c r="H1059" s="34" t="n">
        <f aca="false">IF($G1059="",0,IFERROR(INDEX(Einstellungen!$G$5:$G$11,MATCH($G1059,Einstellungen!$E$5:$E$11,0)),0))</f>
        <v>0</v>
      </c>
      <c r="I1059" s="35" t="str">
        <f aca="false">IF($G1059="","-",IFERROR(INDEX(Einstellungen!$H$5:$H$11,MATCH($G1059,Einstellungen!$E$5:$E$11,0)),"-"))</f>
        <v>-</v>
      </c>
      <c r="J1059" s="35" t="str">
        <f aca="false">IF(AND(Einstellungen!$B$8="Ja",Einstellungen!$B$9="Effektiv"),$I1059,"-")</f>
        <v>-</v>
      </c>
      <c r="K1059" s="31" t="n">
        <f aca="false">IF(OR($F1059="",$J1059="-"),0,ROUND($F1059-$F1059/(1+$H1059),2))</f>
        <v>0</v>
      </c>
      <c r="L1059" s="31" t="n">
        <f aca="false">IF($F1059="",0,$F1059-$K1059)</f>
        <v>0</v>
      </c>
      <c r="M1059" s="31" t="n">
        <f aca="false">IF($F1059="",0,IF($J1059="V",$L1059,$F1059))</f>
        <v>0</v>
      </c>
      <c r="N1059" s="31" t="n">
        <f aca="false">IF($F1059="",0,IF($J1059="U",$L1059,$F1059))</f>
        <v>0</v>
      </c>
      <c r="O1059" s="35" t="str">
        <f aca="false">IF($A1059="","",MONTH($A1059))</f>
        <v/>
      </c>
      <c r="P1059" s="35" t="str">
        <f aca="false">IF($A1059="","",ROUNDUP(MONTH($A1059)/3,0))</f>
        <v/>
      </c>
      <c r="Q1059" s="35" t="str">
        <f aca="false">IF($A1059="","",IF(MONTH($A1059)&lt;=6,1,2))</f>
        <v/>
      </c>
      <c r="R1059" s="35" t="str">
        <f aca="false">IF($E1059="","",IFERROR(INDEX(Kontenplan!$F$5:$F$90,MATCH($E1059,Kontenplan!$A$5:$A$90,0)),""))</f>
        <v/>
      </c>
      <c r="S1059" s="35" t="str">
        <f aca="false">IF($D1059="","",IFERROR(INDEX(Kontenplan!$F$5:$F$90,MATCH($D1059,Kontenplan!$A$5:$A$90,0)),""))</f>
        <v/>
      </c>
      <c r="T1059" s="35" t="str">
        <f aca="false">IF($D1059="","",IFERROR(INDEX(Kontenplan!$C$5:$C$90,MATCH($D1059,Kontenplan!$A$5:$A$90,0)),"?"))</f>
        <v/>
      </c>
      <c r="U1059" s="35" t="str">
        <f aca="false">IF($E1059="","",IFERROR(INDEX(Kontenplan!$C$5:$C$90,MATCH($E1059,Kontenplan!$A$5:$A$90,0)),"?"))</f>
        <v/>
      </c>
      <c r="V1059" s="35" t="str">
        <f aca="false">IF($F1059="","",IF(OR($D1059="",$E1059="",$T1059="?",$U1059="?"),"Konto prüfen!",IF($A1059="","Datum fehlt",IF(YEAR($A1059)&lt;&gt;Einstellungen!$B$7,"anderes Jahr!",IF($G1059="","MWST-Code fehlt","OK")))))</f>
        <v/>
      </c>
      <c r="W1059" s="35" t="str">
        <f aca="false">IF($F1059="","",IF(OR($D1059=Kontoauszug!$C$4,$E1059=Kontoauszug!$C$4),MAX(W$4:W1058)+1,""))</f>
        <v/>
      </c>
    </row>
    <row r="1060" customFormat="false" ht="15" hidden="false" customHeight="false" outlineLevel="0" collapsed="false">
      <c r="A1060" s="33"/>
      <c r="B1060" s="32"/>
      <c r="C1060" s="32"/>
      <c r="D1060" s="32"/>
      <c r="E1060" s="32"/>
      <c r="F1060" s="30"/>
      <c r="G1060" s="32"/>
      <c r="H1060" s="34" t="n">
        <f aca="false">IF($G1060="",0,IFERROR(INDEX(Einstellungen!$G$5:$G$11,MATCH($G1060,Einstellungen!$E$5:$E$11,0)),0))</f>
        <v>0</v>
      </c>
      <c r="I1060" s="35" t="str">
        <f aca="false">IF($G1060="","-",IFERROR(INDEX(Einstellungen!$H$5:$H$11,MATCH($G1060,Einstellungen!$E$5:$E$11,0)),"-"))</f>
        <v>-</v>
      </c>
      <c r="J1060" s="35" t="str">
        <f aca="false">IF(AND(Einstellungen!$B$8="Ja",Einstellungen!$B$9="Effektiv"),$I1060,"-")</f>
        <v>-</v>
      </c>
      <c r="K1060" s="31" t="n">
        <f aca="false">IF(OR($F1060="",$J1060="-"),0,ROUND($F1060-$F1060/(1+$H1060),2))</f>
        <v>0</v>
      </c>
      <c r="L1060" s="31" t="n">
        <f aca="false">IF($F1060="",0,$F1060-$K1060)</f>
        <v>0</v>
      </c>
      <c r="M1060" s="31" t="n">
        <f aca="false">IF($F1060="",0,IF($J1060="V",$L1060,$F1060))</f>
        <v>0</v>
      </c>
      <c r="N1060" s="31" t="n">
        <f aca="false">IF($F1060="",0,IF($J1060="U",$L1060,$F1060))</f>
        <v>0</v>
      </c>
      <c r="O1060" s="35" t="str">
        <f aca="false">IF($A1060="","",MONTH($A1060))</f>
        <v/>
      </c>
      <c r="P1060" s="35" t="str">
        <f aca="false">IF($A1060="","",ROUNDUP(MONTH($A1060)/3,0))</f>
        <v/>
      </c>
      <c r="Q1060" s="35" t="str">
        <f aca="false">IF($A1060="","",IF(MONTH($A1060)&lt;=6,1,2))</f>
        <v/>
      </c>
      <c r="R1060" s="35" t="str">
        <f aca="false">IF($E1060="","",IFERROR(INDEX(Kontenplan!$F$5:$F$90,MATCH($E1060,Kontenplan!$A$5:$A$90,0)),""))</f>
        <v/>
      </c>
      <c r="S1060" s="35" t="str">
        <f aca="false">IF($D1060="","",IFERROR(INDEX(Kontenplan!$F$5:$F$90,MATCH($D1060,Kontenplan!$A$5:$A$90,0)),""))</f>
        <v/>
      </c>
      <c r="T1060" s="35" t="str">
        <f aca="false">IF($D1060="","",IFERROR(INDEX(Kontenplan!$C$5:$C$90,MATCH($D1060,Kontenplan!$A$5:$A$90,0)),"?"))</f>
        <v/>
      </c>
      <c r="U1060" s="35" t="str">
        <f aca="false">IF($E1060="","",IFERROR(INDEX(Kontenplan!$C$5:$C$90,MATCH($E1060,Kontenplan!$A$5:$A$90,0)),"?"))</f>
        <v/>
      </c>
      <c r="V1060" s="35" t="str">
        <f aca="false">IF($F1060="","",IF(OR($D1060="",$E1060="",$T1060="?",$U1060="?"),"Konto prüfen!",IF($A1060="","Datum fehlt",IF(YEAR($A1060)&lt;&gt;Einstellungen!$B$7,"anderes Jahr!",IF($G1060="","MWST-Code fehlt","OK")))))</f>
        <v/>
      </c>
      <c r="W1060" s="35" t="str">
        <f aca="false">IF($F1060="","",IF(OR($D1060=Kontoauszug!$C$4,$E1060=Kontoauszug!$C$4),MAX(W$4:W1059)+1,""))</f>
        <v/>
      </c>
    </row>
    <row r="1061" customFormat="false" ht="15" hidden="false" customHeight="false" outlineLevel="0" collapsed="false">
      <c r="A1061" s="33"/>
      <c r="B1061" s="32"/>
      <c r="C1061" s="32"/>
      <c r="D1061" s="32"/>
      <c r="E1061" s="32"/>
      <c r="F1061" s="30"/>
      <c r="G1061" s="32"/>
      <c r="H1061" s="34" t="n">
        <f aca="false">IF($G1061="",0,IFERROR(INDEX(Einstellungen!$G$5:$G$11,MATCH($G1061,Einstellungen!$E$5:$E$11,0)),0))</f>
        <v>0</v>
      </c>
      <c r="I1061" s="35" t="str">
        <f aca="false">IF($G1061="","-",IFERROR(INDEX(Einstellungen!$H$5:$H$11,MATCH($G1061,Einstellungen!$E$5:$E$11,0)),"-"))</f>
        <v>-</v>
      </c>
      <c r="J1061" s="35" t="str">
        <f aca="false">IF(AND(Einstellungen!$B$8="Ja",Einstellungen!$B$9="Effektiv"),$I1061,"-")</f>
        <v>-</v>
      </c>
      <c r="K1061" s="31" t="n">
        <f aca="false">IF(OR($F1061="",$J1061="-"),0,ROUND($F1061-$F1061/(1+$H1061),2))</f>
        <v>0</v>
      </c>
      <c r="L1061" s="31" t="n">
        <f aca="false">IF($F1061="",0,$F1061-$K1061)</f>
        <v>0</v>
      </c>
      <c r="M1061" s="31" t="n">
        <f aca="false">IF($F1061="",0,IF($J1061="V",$L1061,$F1061))</f>
        <v>0</v>
      </c>
      <c r="N1061" s="31" t="n">
        <f aca="false">IF($F1061="",0,IF($J1061="U",$L1061,$F1061))</f>
        <v>0</v>
      </c>
      <c r="O1061" s="35" t="str">
        <f aca="false">IF($A1061="","",MONTH($A1061))</f>
        <v/>
      </c>
      <c r="P1061" s="35" t="str">
        <f aca="false">IF($A1061="","",ROUNDUP(MONTH($A1061)/3,0))</f>
        <v/>
      </c>
      <c r="Q1061" s="35" t="str">
        <f aca="false">IF($A1061="","",IF(MONTH($A1061)&lt;=6,1,2))</f>
        <v/>
      </c>
      <c r="R1061" s="35" t="str">
        <f aca="false">IF($E1061="","",IFERROR(INDEX(Kontenplan!$F$5:$F$90,MATCH($E1061,Kontenplan!$A$5:$A$90,0)),""))</f>
        <v/>
      </c>
      <c r="S1061" s="35" t="str">
        <f aca="false">IF($D1061="","",IFERROR(INDEX(Kontenplan!$F$5:$F$90,MATCH($D1061,Kontenplan!$A$5:$A$90,0)),""))</f>
        <v/>
      </c>
      <c r="T1061" s="35" t="str">
        <f aca="false">IF($D1061="","",IFERROR(INDEX(Kontenplan!$C$5:$C$90,MATCH($D1061,Kontenplan!$A$5:$A$90,0)),"?"))</f>
        <v/>
      </c>
      <c r="U1061" s="35" t="str">
        <f aca="false">IF($E1061="","",IFERROR(INDEX(Kontenplan!$C$5:$C$90,MATCH($E1061,Kontenplan!$A$5:$A$90,0)),"?"))</f>
        <v/>
      </c>
      <c r="V1061" s="35" t="str">
        <f aca="false">IF($F1061="","",IF(OR($D1061="",$E1061="",$T1061="?",$U1061="?"),"Konto prüfen!",IF($A1061="","Datum fehlt",IF(YEAR($A1061)&lt;&gt;Einstellungen!$B$7,"anderes Jahr!",IF($G1061="","MWST-Code fehlt","OK")))))</f>
        <v/>
      </c>
      <c r="W1061" s="35" t="str">
        <f aca="false">IF($F1061="","",IF(OR($D1061=Kontoauszug!$C$4,$E1061=Kontoauszug!$C$4),MAX(W$4:W1060)+1,""))</f>
        <v/>
      </c>
    </row>
    <row r="1062" customFormat="false" ht="15" hidden="false" customHeight="false" outlineLevel="0" collapsed="false">
      <c r="A1062" s="33"/>
      <c r="B1062" s="32"/>
      <c r="C1062" s="32"/>
      <c r="D1062" s="32"/>
      <c r="E1062" s="32"/>
      <c r="F1062" s="30"/>
      <c r="G1062" s="32"/>
      <c r="H1062" s="34" t="n">
        <f aca="false">IF($G1062="",0,IFERROR(INDEX(Einstellungen!$G$5:$G$11,MATCH($G1062,Einstellungen!$E$5:$E$11,0)),0))</f>
        <v>0</v>
      </c>
      <c r="I1062" s="35" t="str">
        <f aca="false">IF($G1062="","-",IFERROR(INDEX(Einstellungen!$H$5:$H$11,MATCH($G1062,Einstellungen!$E$5:$E$11,0)),"-"))</f>
        <v>-</v>
      </c>
      <c r="J1062" s="35" t="str">
        <f aca="false">IF(AND(Einstellungen!$B$8="Ja",Einstellungen!$B$9="Effektiv"),$I1062,"-")</f>
        <v>-</v>
      </c>
      <c r="K1062" s="31" t="n">
        <f aca="false">IF(OR($F1062="",$J1062="-"),0,ROUND($F1062-$F1062/(1+$H1062),2))</f>
        <v>0</v>
      </c>
      <c r="L1062" s="31" t="n">
        <f aca="false">IF($F1062="",0,$F1062-$K1062)</f>
        <v>0</v>
      </c>
      <c r="M1062" s="31" t="n">
        <f aca="false">IF($F1062="",0,IF($J1062="V",$L1062,$F1062))</f>
        <v>0</v>
      </c>
      <c r="N1062" s="31" t="n">
        <f aca="false">IF($F1062="",0,IF($J1062="U",$L1062,$F1062))</f>
        <v>0</v>
      </c>
      <c r="O1062" s="35" t="str">
        <f aca="false">IF($A1062="","",MONTH($A1062))</f>
        <v/>
      </c>
      <c r="P1062" s="35" t="str">
        <f aca="false">IF($A1062="","",ROUNDUP(MONTH($A1062)/3,0))</f>
        <v/>
      </c>
      <c r="Q1062" s="35" t="str">
        <f aca="false">IF($A1062="","",IF(MONTH($A1062)&lt;=6,1,2))</f>
        <v/>
      </c>
      <c r="R1062" s="35" t="str">
        <f aca="false">IF($E1062="","",IFERROR(INDEX(Kontenplan!$F$5:$F$90,MATCH($E1062,Kontenplan!$A$5:$A$90,0)),""))</f>
        <v/>
      </c>
      <c r="S1062" s="35" t="str">
        <f aca="false">IF($D1062="","",IFERROR(INDEX(Kontenplan!$F$5:$F$90,MATCH($D1062,Kontenplan!$A$5:$A$90,0)),""))</f>
        <v/>
      </c>
      <c r="T1062" s="35" t="str">
        <f aca="false">IF($D1062="","",IFERROR(INDEX(Kontenplan!$C$5:$C$90,MATCH($D1062,Kontenplan!$A$5:$A$90,0)),"?"))</f>
        <v/>
      </c>
      <c r="U1062" s="35" t="str">
        <f aca="false">IF($E1062="","",IFERROR(INDEX(Kontenplan!$C$5:$C$90,MATCH($E1062,Kontenplan!$A$5:$A$90,0)),"?"))</f>
        <v/>
      </c>
      <c r="V1062" s="35" t="str">
        <f aca="false">IF($F1062="","",IF(OR($D1062="",$E1062="",$T1062="?",$U1062="?"),"Konto prüfen!",IF($A1062="","Datum fehlt",IF(YEAR($A1062)&lt;&gt;Einstellungen!$B$7,"anderes Jahr!",IF($G1062="","MWST-Code fehlt","OK")))))</f>
        <v/>
      </c>
      <c r="W1062" s="35" t="str">
        <f aca="false">IF($F1062="","",IF(OR($D1062=Kontoauszug!$C$4,$E1062=Kontoauszug!$C$4),MAX(W$4:W1061)+1,""))</f>
        <v/>
      </c>
    </row>
    <row r="1063" customFormat="false" ht="15" hidden="false" customHeight="false" outlineLevel="0" collapsed="false">
      <c r="A1063" s="33"/>
      <c r="B1063" s="32"/>
      <c r="C1063" s="32"/>
      <c r="D1063" s="32"/>
      <c r="E1063" s="32"/>
      <c r="F1063" s="30"/>
      <c r="G1063" s="32"/>
      <c r="H1063" s="34" t="n">
        <f aca="false">IF($G1063="",0,IFERROR(INDEX(Einstellungen!$G$5:$G$11,MATCH($G1063,Einstellungen!$E$5:$E$11,0)),0))</f>
        <v>0</v>
      </c>
      <c r="I1063" s="35" t="str">
        <f aca="false">IF($G1063="","-",IFERROR(INDEX(Einstellungen!$H$5:$H$11,MATCH($G1063,Einstellungen!$E$5:$E$11,0)),"-"))</f>
        <v>-</v>
      </c>
      <c r="J1063" s="35" t="str">
        <f aca="false">IF(AND(Einstellungen!$B$8="Ja",Einstellungen!$B$9="Effektiv"),$I1063,"-")</f>
        <v>-</v>
      </c>
      <c r="K1063" s="31" t="n">
        <f aca="false">IF(OR($F1063="",$J1063="-"),0,ROUND($F1063-$F1063/(1+$H1063),2))</f>
        <v>0</v>
      </c>
      <c r="L1063" s="31" t="n">
        <f aca="false">IF($F1063="",0,$F1063-$K1063)</f>
        <v>0</v>
      </c>
      <c r="M1063" s="31" t="n">
        <f aca="false">IF($F1063="",0,IF($J1063="V",$L1063,$F1063))</f>
        <v>0</v>
      </c>
      <c r="N1063" s="31" t="n">
        <f aca="false">IF($F1063="",0,IF($J1063="U",$L1063,$F1063))</f>
        <v>0</v>
      </c>
      <c r="O1063" s="35" t="str">
        <f aca="false">IF($A1063="","",MONTH($A1063))</f>
        <v/>
      </c>
      <c r="P1063" s="35" t="str">
        <f aca="false">IF($A1063="","",ROUNDUP(MONTH($A1063)/3,0))</f>
        <v/>
      </c>
      <c r="Q1063" s="35" t="str">
        <f aca="false">IF($A1063="","",IF(MONTH($A1063)&lt;=6,1,2))</f>
        <v/>
      </c>
      <c r="R1063" s="35" t="str">
        <f aca="false">IF($E1063="","",IFERROR(INDEX(Kontenplan!$F$5:$F$90,MATCH($E1063,Kontenplan!$A$5:$A$90,0)),""))</f>
        <v/>
      </c>
      <c r="S1063" s="35" t="str">
        <f aca="false">IF($D1063="","",IFERROR(INDEX(Kontenplan!$F$5:$F$90,MATCH($D1063,Kontenplan!$A$5:$A$90,0)),""))</f>
        <v/>
      </c>
      <c r="T1063" s="35" t="str">
        <f aca="false">IF($D1063="","",IFERROR(INDEX(Kontenplan!$C$5:$C$90,MATCH($D1063,Kontenplan!$A$5:$A$90,0)),"?"))</f>
        <v/>
      </c>
      <c r="U1063" s="35" t="str">
        <f aca="false">IF($E1063="","",IFERROR(INDEX(Kontenplan!$C$5:$C$90,MATCH($E1063,Kontenplan!$A$5:$A$90,0)),"?"))</f>
        <v/>
      </c>
      <c r="V1063" s="35" t="str">
        <f aca="false">IF($F1063="","",IF(OR($D1063="",$E1063="",$T1063="?",$U1063="?"),"Konto prüfen!",IF($A1063="","Datum fehlt",IF(YEAR($A1063)&lt;&gt;Einstellungen!$B$7,"anderes Jahr!",IF($G1063="","MWST-Code fehlt","OK")))))</f>
        <v/>
      </c>
      <c r="W1063" s="35" t="str">
        <f aca="false">IF($F1063="","",IF(OR($D1063=Kontoauszug!$C$4,$E1063=Kontoauszug!$C$4),MAX(W$4:W1062)+1,""))</f>
        <v/>
      </c>
    </row>
    <row r="1064" customFormat="false" ht="15" hidden="false" customHeight="false" outlineLevel="0" collapsed="false">
      <c r="A1064" s="33"/>
      <c r="B1064" s="32"/>
      <c r="C1064" s="32"/>
      <c r="D1064" s="32"/>
      <c r="E1064" s="32"/>
      <c r="F1064" s="30"/>
      <c r="G1064" s="32"/>
      <c r="H1064" s="34" t="n">
        <f aca="false">IF($G1064="",0,IFERROR(INDEX(Einstellungen!$G$5:$G$11,MATCH($G1064,Einstellungen!$E$5:$E$11,0)),0))</f>
        <v>0</v>
      </c>
      <c r="I1064" s="35" t="str">
        <f aca="false">IF($G1064="","-",IFERROR(INDEX(Einstellungen!$H$5:$H$11,MATCH($G1064,Einstellungen!$E$5:$E$11,0)),"-"))</f>
        <v>-</v>
      </c>
      <c r="J1064" s="35" t="str">
        <f aca="false">IF(AND(Einstellungen!$B$8="Ja",Einstellungen!$B$9="Effektiv"),$I1064,"-")</f>
        <v>-</v>
      </c>
      <c r="K1064" s="31" t="n">
        <f aca="false">IF(OR($F1064="",$J1064="-"),0,ROUND($F1064-$F1064/(1+$H1064),2))</f>
        <v>0</v>
      </c>
      <c r="L1064" s="31" t="n">
        <f aca="false">IF($F1064="",0,$F1064-$K1064)</f>
        <v>0</v>
      </c>
      <c r="M1064" s="31" t="n">
        <f aca="false">IF($F1064="",0,IF($J1064="V",$L1064,$F1064))</f>
        <v>0</v>
      </c>
      <c r="N1064" s="31" t="n">
        <f aca="false">IF($F1064="",0,IF($J1064="U",$L1064,$F1064))</f>
        <v>0</v>
      </c>
      <c r="O1064" s="35" t="str">
        <f aca="false">IF($A1064="","",MONTH($A1064))</f>
        <v/>
      </c>
      <c r="P1064" s="35" t="str">
        <f aca="false">IF($A1064="","",ROUNDUP(MONTH($A1064)/3,0))</f>
        <v/>
      </c>
      <c r="Q1064" s="35" t="str">
        <f aca="false">IF($A1064="","",IF(MONTH($A1064)&lt;=6,1,2))</f>
        <v/>
      </c>
      <c r="R1064" s="35" t="str">
        <f aca="false">IF($E1064="","",IFERROR(INDEX(Kontenplan!$F$5:$F$90,MATCH($E1064,Kontenplan!$A$5:$A$90,0)),""))</f>
        <v/>
      </c>
      <c r="S1064" s="35" t="str">
        <f aca="false">IF($D1064="","",IFERROR(INDEX(Kontenplan!$F$5:$F$90,MATCH($D1064,Kontenplan!$A$5:$A$90,0)),""))</f>
        <v/>
      </c>
      <c r="T1064" s="35" t="str">
        <f aca="false">IF($D1064="","",IFERROR(INDEX(Kontenplan!$C$5:$C$90,MATCH($D1064,Kontenplan!$A$5:$A$90,0)),"?"))</f>
        <v/>
      </c>
      <c r="U1064" s="35" t="str">
        <f aca="false">IF($E1064="","",IFERROR(INDEX(Kontenplan!$C$5:$C$90,MATCH($E1064,Kontenplan!$A$5:$A$90,0)),"?"))</f>
        <v/>
      </c>
      <c r="V1064" s="35" t="str">
        <f aca="false">IF($F1064="","",IF(OR($D1064="",$E1064="",$T1064="?",$U1064="?"),"Konto prüfen!",IF($A1064="","Datum fehlt",IF(YEAR($A1064)&lt;&gt;Einstellungen!$B$7,"anderes Jahr!",IF($G1064="","MWST-Code fehlt","OK")))))</f>
        <v/>
      </c>
      <c r="W1064" s="35" t="str">
        <f aca="false">IF($F1064="","",IF(OR($D1064=Kontoauszug!$C$4,$E1064=Kontoauszug!$C$4),MAX(W$4:W1063)+1,""))</f>
        <v/>
      </c>
    </row>
    <row r="1065" customFormat="false" ht="15" hidden="false" customHeight="false" outlineLevel="0" collapsed="false">
      <c r="A1065" s="33"/>
      <c r="B1065" s="32"/>
      <c r="C1065" s="32"/>
      <c r="D1065" s="32"/>
      <c r="E1065" s="32"/>
      <c r="F1065" s="30"/>
      <c r="G1065" s="32"/>
      <c r="H1065" s="34" t="n">
        <f aca="false">IF($G1065="",0,IFERROR(INDEX(Einstellungen!$G$5:$G$11,MATCH($G1065,Einstellungen!$E$5:$E$11,0)),0))</f>
        <v>0</v>
      </c>
      <c r="I1065" s="35" t="str">
        <f aca="false">IF($G1065="","-",IFERROR(INDEX(Einstellungen!$H$5:$H$11,MATCH($G1065,Einstellungen!$E$5:$E$11,0)),"-"))</f>
        <v>-</v>
      </c>
      <c r="J1065" s="35" t="str">
        <f aca="false">IF(AND(Einstellungen!$B$8="Ja",Einstellungen!$B$9="Effektiv"),$I1065,"-")</f>
        <v>-</v>
      </c>
      <c r="K1065" s="31" t="n">
        <f aca="false">IF(OR($F1065="",$J1065="-"),0,ROUND($F1065-$F1065/(1+$H1065),2))</f>
        <v>0</v>
      </c>
      <c r="L1065" s="31" t="n">
        <f aca="false">IF($F1065="",0,$F1065-$K1065)</f>
        <v>0</v>
      </c>
      <c r="M1065" s="31" t="n">
        <f aca="false">IF($F1065="",0,IF($J1065="V",$L1065,$F1065))</f>
        <v>0</v>
      </c>
      <c r="N1065" s="31" t="n">
        <f aca="false">IF($F1065="",0,IF($J1065="U",$L1065,$F1065))</f>
        <v>0</v>
      </c>
      <c r="O1065" s="35" t="str">
        <f aca="false">IF($A1065="","",MONTH($A1065))</f>
        <v/>
      </c>
      <c r="P1065" s="35" t="str">
        <f aca="false">IF($A1065="","",ROUNDUP(MONTH($A1065)/3,0))</f>
        <v/>
      </c>
      <c r="Q1065" s="35" t="str">
        <f aca="false">IF($A1065="","",IF(MONTH($A1065)&lt;=6,1,2))</f>
        <v/>
      </c>
      <c r="R1065" s="35" t="str">
        <f aca="false">IF($E1065="","",IFERROR(INDEX(Kontenplan!$F$5:$F$90,MATCH($E1065,Kontenplan!$A$5:$A$90,0)),""))</f>
        <v/>
      </c>
      <c r="S1065" s="35" t="str">
        <f aca="false">IF($D1065="","",IFERROR(INDEX(Kontenplan!$F$5:$F$90,MATCH($D1065,Kontenplan!$A$5:$A$90,0)),""))</f>
        <v/>
      </c>
      <c r="T1065" s="35" t="str">
        <f aca="false">IF($D1065="","",IFERROR(INDEX(Kontenplan!$C$5:$C$90,MATCH($D1065,Kontenplan!$A$5:$A$90,0)),"?"))</f>
        <v/>
      </c>
      <c r="U1065" s="35" t="str">
        <f aca="false">IF($E1065="","",IFERROR(INDEX(Kontenplan!$C$5:$C$90,MATCH($E1065,Kontenplan!$A$5:$A$90,0)),"?"))</f>
        <v/>
      </c>
      <c r="V1065" s="35" t="str">
        <f aca="false">IF($F1065="","",IF(OR($D1065="",$E1065="",$T1065="?",$U1065="?"),"Konto prüfen!",IF($A1065="","Datum fehlt",IF(YEAR($A1065)&lt;&gt;Einstellungen!$B$7,"anderes Jahr!",IF($G1065="","MWST-Code fehlt","OK")))))</f>
        <v/>
      </c>
      <c r="W1065" s="35" t="str">
        <f aca="false">IF($F1065="","",IF(OR($D1065=Kontoauszug!$C$4,$E1065=Kontoauszug!$C$4),MAX(W$4:W1064)+1,""))</f>
        <v/>
      </c>
    </row>
    <row r="1066" customFormat="false" ht="15" hidden="false" customHeight="false" outlineLevel="0" collapsed="false">
      <c r="A1066" s="33"/>
      <c r="B1066" s="32"/>
      <c r="C1066" s="32"/>
      <c r="D1066" s="32"/>
      <c r="E1066" s="32"/>
      <c r="F1066" s="30"/>
      <c r="G1066" s="32"/>
      <c r="H1066" s="34" t="n">
        <f aca="false">IF($G1066="",0,IFERROR(INDEX(Einstellungen!$G$5:$G$11,MATCH($G1066,Einstellungen!$E$5:$E$11,0)),0))</f>
        <v>0</v>
      </c>
      <c r="I1066" s="35" t="str">
        <f aca="false">IF($G1066="","-",IFERROR(INDEX(Einstellungen!$H$5:$H$11,MATCH($G1066,Einstellungen!$E$5:$E$11,0)),"-"))</f>
        <v>-</v>
      </c>
      <c r="J1066" s="35" t="str">
        <f aca="false">IF(AND(Einstellungen!$B$8="Ja",Einstellungen!$B$9="Effektiv"),$I1066,"-")</f>
        <v>-</v>
      </c>
      <c r="K1066" s="31" t="n">
        <f aca="false">IF(OR($F1066="",$J1066="-"),0,ROUND($F1066-$F1066/(1+$H1066),2))</f>
        <v>0</v>
      </c>
      <c r="L1066" s="31" t="n">
        <f aca="false">IF($F1066="",0,$F1066-$K1066)</f>
        <v>0</v>
      </c>
      <c r="M1066" s="31" t="n">
        <f aca="false">IF($F1066="",0,IF($J1066="V",$L1066,$F1066))</f>
        <v>0</v>
      </c>
      <c r="N1066" s="31" t="n">
        <f aca="false">IF($F1066="",0,IF($J1066="U",$L1066,$F1066))</f>
        <v>0</v>
      </c>
      <c r="O1066" s="35" t="str">
        <f aca="false">IF($A1066="","",MONTH($A1066))</f>
        <v/>
      </c>
      <c r="P1066" s="35" t="str">
        <f aca="false">IF($A1066="","",ROUNDUP(MONTH($A1066)/3,0))</f>
        <v/>
      </c>
      <c r="Q1066" s="35" t="str">
        <f aca="false">IF($A1066="","",IF(MONTH($A1066)&lt;=6,1,2))</f>
        <v/>
      </c>
      <c r="R1066" s="35" t="str">
        <f aca="false">IF($E1066="","",IFERROR(INDEX(Kontenplan!$F$5:$F$90,MATCH($E1066,Kontenplan!$A$5:$A$90,0)),""))</f>
        <v/>
      </c>
      <c r="S1066" s="35" t="str">
        <f aca="false">IF($D1066="","",IFERROR(INDEX(Kontenplan!$F$5:$F$90,MATCH($D1066,Kontenplan!$A$5:$A$90,0)),""))</f>
        <v/>
      </c>
      <c r="T1066" s="35" t="str">
        <f aca="false">IF($D1066="","",IFERROR(INDEX(Kontenplan!$C$5:$C$90,MATCH($D1066,Kontenplan!$A$5:$A$90,0)),"?"))</f>
        <v/>
      </c>
      <c r="U1066" s="35" t="str">
        <f aca="false">IF($E1066="","",IFERROR(INDEX(Kontenplan!$C$5:$C$90,MATCH($E1066,Kontenplan!$A$5:$A$90,0)),"?"))</f>
        <v/>
      </c>
      <c r="V1066" s="35" t="str">
        <f aca="false">IF($F1066="","",IF(OR($D1066="",$E1066="",$T1066="?",$U1066="?"),"Konto prüfen!",IF($A1066="","Datum fehlt",IF(YEAR($A1066)&lt;&gt;Einstellungen!$B$7,"anderes Jahr!",IF($G1066="","MWST-Code fehlt","OK")))))</f>
        <v/>
      </c>
      <c r="W1066" s="35" t="str">
        <f aca="false">IF($F1066="","",IF(OR($D1066=Kontoauszug!$C$4,$E1066=Kontoauszug!$C$4),MAX(W$4:W1065)+1,""))</f>
        <v/>
      </c>
    </row>
    <row r="1067" customFormat="false" ht="15" hidden="false" customHeight="false" outlineLevel="0" collapsed="false">
      <c r="A1067" s="33"/>
      <c r="B1067" s="32"/>
      <c r="C1067" s="32"/>
      <c r="D1067" s="32"/>
      <c r="E1067" s="32"/>
      <c r="F1067" s="30"/>
      <c r="G1067" s="32"/>
      <c r="H1067" s="34" t="n">
        <f aca="false">IF($G1067="",0,IFERROR(INDEX(Einstellungen!$G$5:$G$11,MATCH($G1067,Einstellungen!$E$5:$E$11,0)),0))</f>
        <v>0</v>
      </c>
      <c r="I1067" s="35" t="str">
        <f aca="false">IF($G1067="","-",IFERROR(INDEX(Einstellungen!$H$5:$H$11,MATCH($G1067,Einstellungen!$E$5:$E$11,0)),"-"))</f>
        <v>-</v>
      </c>
      <c r="J1067" s="35" t="str">
        <f aca="false">IF(AND(Einstellungen!$B$8="Ja",Einstellungen!$B$9="Effektiv"),$I1067,"-")</f>
        <v>-</v>
      </c>
      <c r="K1067" s="31" t="n">
        <f aca="false">IF(OR($F1067="",$J1067="-"),0,ROUND($F1067-$F1067/(1+$H1067),2))</f>
        <v>0</v>
      </c>
      <c r="L1067" s="31" t="n">
        <f aca="false">IF($F1067="",0,$F1067-$K1067)</f>
        <v>0</v>
      </c>
      <c r="M1067" s="31" t="n">
        <f aca="false">IF($F1067="",0,IF($J1067="V",$L1067,$F1067))</f>
        <v>0</v>
      </c>
      <c r="N1067" s="31" t="n">
        <f aca="false">IF($F1067="",0,IF($J1067="U",$L1067,$F1067))</f>
        <v>0</v>
      </c>
      <c r="O1067" s="35" t="str">
        <f aca="false">IF($A1067="","",MONTH($A1067))</f>
        <v/>
      </c>
      <c r="P1067" s="35" t="str">
        <f aca="false">IF($A1067="","",ROUNDUP(MONTH($A1067)/3,0))</f>
        <v/>
      </c>
      <c r="Q1067" s="35" t="str">
        <f aca="false">IF($A1067="","",IF(MONTH($A1067)&lt;=6,1,2))</f>
        <v/>
      </c>
      <c r="R1067" s="35" t="str">
        <f aca="false">IF($E1067="","",IFERROR(INDEX(Kontenplan!$F$5:$F$90,MATCH($E1067,Kontenplan!$A$5:$A$90,0)),""))</f>
        <v/>
      </c>
      <c r="S1067" s="35" t="str">
        <f aca="false">IF($D1067="","",IFERROR(INDEX(Kontenplan!$F$5:$F$90,MATCH($D1067,Kontenplan!$A$5:$A$90,0)),""))</f>
        <v/>
      </c>
      <c r="T1067" s="35" t="str">
        <f aca="false">IF($D1067="","",IFERROR(INDEX(Kontenplan!$C$5:$C$90,MATCH($D1067,Kontenplan!$A$5:$A$90,0)),"?"))</f>
        <v/>
      </c>
      <c r="U1067" s="35" t="str">
        <f aca="false">IF($E1067="","",IFERROR(INDEX(Kontenplan!$C$5:$C$90,MATCH($E1067,Kontenplan!$A$5:$A$90,0)),"?"))</f>
        <v/>
      </c>
      <c r="V1067" s="35" t="str">
        <f aca="false">IF($F1067="","",IF(OR($D1067="",$E1067="",$T1067="?",$U1067="?"),"Konto prüfen!",IF($A1067="","Datum fehlt",IF(YEAR($A1067)&lt;&gt;Einstellungen!$B$7,"anderes Jahr!",IF($G1067="","MWST-Code fehlt","OK")))))</f>
        <v/>
      </c>
      <c r="W1067" s="35" t="str">
        <f aca="false">IF($F1067="","",IF(OR($D1067=Kontoauszug!$C$4,$E1067=Kontoauszug!$C$4),MAX(W$4:W1066)+1,""))</f>
        <v/>
      </c>
    </row>
    <row r="1068" customFormat="false" ht="15" hidden="false" customHeight="false" outlineLevel="0" collapsed="false">
      <c r="A1068" s="33"/>
      <c r="B1068" s="32"/>
      <c r="C1068" s="32"/>
      <c r="D1068" s="32"/>
      <c r="E1068" s="32"/>
      <c r="F1068" s="30"/>
      <c r="G1068" s="32"/>
      <c r="H1068" s="34" t="n">
        <f aca="false">IF($G1068="",0,IFERROR(INDEX(Einstellungen!$G$5:$G$11,MATCH($G1068,Einstellungen!$E$5:$E$11,0)),0))</f>
        <v>0</v>
      </c>
      <c r="I1068" s="35" t="str">
        <f aca="false">IF($G1068="","-",IFERROR(INDEX(Einstellungen!$H$5:$H$11,MATCH($G1068,Einstellungen!$E$5:$E$11,0)),"-"))</f>
        <v>-</v>
      </c>
      <c r="J1068" s="35" t="str">
        <f aca="false">IF(AND(Einstellungen!$B$8="Ja",Einstellungen!$B$9="Effektiv"),$I1068,"-")</f>
        <v>-</v>
      </c>
      <c r="K1068" s="31" t="n">
        <f aca="false">IF(OR($F1068="",$J1068="-"),0,ROUND($F1068-$F1068/(1+$H1068),2))</f>
        <v>0</v>
      </c>
      <c r="L1068" s="31" t="n">
        <f aca="false">IF($F1068="",0,$F1068-$K1068)</f>
        <v>0</v>
      </c>
      <c r="M1068" s="31" t="n">
        <f aca="false">IF($F1068="",0,IF($J1068="V",$L1068,$F1068))</f>
        <v>0</v>
      </c>
      <c r="N1068" s="31" t="n">
        <f aca="false">IF($F1068="",0,IF($J1068="U",$L1068,$F1068))</f>
        <v>0</v>
      </c>
      <c r="O1068" s="35" t="str">
        <f aca="false">IF($A1068="","",MONTH($A1068))</f>
        <v/>
      </c>
      <c r="P1068" s="35" t="str">
        <f aca="false">IF($A1068="","",ROUNDUP(MONTH($A1068)/3,0))</f>
        <v/>
      </c>
      <c r="Q1068" s="35" t="str">
        <f aca="false">IF($A1068="","",IF(MONTH($A1068)&lt;=6,1,2))</f>
        <v/>
      </c>
      <c r="R1068" s="35" t="str">
        <f aca="false">IF($E1068="","",IFERROR(INDEX(Kontenplan!$F$5:$F$90,MATCH($E1068,Kontenplan!$A$5:$A$90,0)),""))</f>
        <v/>
      </c>
      <c r="S1068" s="35" t="str">
        <f aca="false">IF($D1068="","",IFERROR(INDEX(Kontenplan!$F$5:$F$90,MATCH($D1068,Kontenplan!$A$5:$A$90,0)),""))</f>
        <v/>
      </c>
      <c r="T1068" s="35" t="str">
        <f aca="false">IF($D1068="","",IFERROR(INDEX(Kontenplan!$C$5:$C$90,MATCH($D1068,Kontenplan!$A$5:$A$90,0)),"?"))</f>
        <v/>
      </c>
      <c r="U1068" s="35" t="str">
        <f aca="false">IF($E1068="","",IFERROR(INDEX(Kontenplan!$C$5:$C$90,MATCH($E1068,Kontenplan!$A$5:$A$90,0)),"?"))</f>
        <v/>
      </c>
      <c r="V1068" s="35" t="str">
        <f aca="false">IF($F1068="","",IF(OR($D1068="",$E1068="",$T1068="?",$U1068="?"),"Konto prüfen!",IF($A1068="","Datum fehlt",IF(YEAR($A1068)&lt;&gt;Einstellungen!$B$7,"anderes Jahr!",IF($G1068="","MWST-Code fehlt","OK")))))</f>
        <v/>
      </c>
      <c r="W1068" s="35" t="str">
        <f aca="false">IF($F1068="","",IF(OR($D1068=Kontoauszug!$C$4,$E1068=Kontoauszug!$C$4),MAX(W$4:W1067)+1,""))</f>
        <v/>
      </c>
    </row>
    <row r="1069" customFormat="false" ht="15" hidden="false" customHeight="false" outlineLevel="0" collapsed="false">
      <c r="A1069" s="33"/>
      <c r="B1069" s="32"/>
      <c r="C1069" s="32"/>
      <c r="D1069" s="32"/>
      <c r="E1069" s="32"/>
      <c r="F1069" s="30"/>
      <c r="G1069" s="32"/>
      <c r="H1069" s="34" t="n">
        <f aca="false">IF($G1069="",0,IFERROR(INDEX(Einstellungen!$G$5:$G$11,MATCH($G1069,Einstellungen!$E$5:$E$11,0)),0))</f>
        <v>0</v>
      </c>
      <c r="I1069" s="35" t="str">
        <f aca="false">IF($G1069="","-",IFERROR(INDEX(Einstellungen!$H$5:$H$11,MATCH($G1069,Einstellungen!$E$5:$E$11,0)),"-"))</f>
        <v>-</v>
      </c>
      <c r="J1069" s="35" t="str">
        <f aca="false">IF(AND(Einstellungen!$B$8="Ja",Einstellungen!$B$9="Effektiv"),$I1069,"-")</f>
        <v>-</v>
      </c>
      <c r="K1069" s="31" t="n">
        <f aca="false">IF(OR($F1069="",$J1069="-"),0,ROUND($F1069-$F1069/(1+$H1069),2))</f>
        <v>0</v>
      </c>
      <c r="L1069" s="31" t="n">
        <f aca="false">IF($F1069="",0,$F1069-$K1069)</f>
        <v>0</v>
      </c>
      <c r="M1069" s="31" t="n">
        <f aca="false">IF($F1069="",0,IF($J1069="V",$L1069,$F1069))</f>
        <v>0</v>
      </c>
      <c r="N1069" s="31" t="n">
        <f aca="false">IF($F1069="",0,IF($J1069="U",$L1069,$F1069))</f>
        <v>0</v>
      </c>
      <c r="O1069" s="35" t="str">
        <f aca="false">IF($A1069="","",MONTH($A1069))</f>
        <v/>
      </c>
      <c r="P1069" s="35" t="str">
        <f aca="false">IF($A1069="","",ROUNDUP(MONTH($A1069)/3,0))</f>
        <v/>
      </c>
      <c r="Q1069" s="35" t="str">
        <f aca="false">IF($A1069="","",IF(MONTH($A1069)&lt;=6,1,2))</f>
        <v/>
      </c>
      <c r="R1069" s="35" t="str">
        <f aca="false">IF($E1069="","",IFERROR(INDEX(Kontenplan!$F$5:$F$90,MATCH($E1069,Kontenplan!$A$5:$A$90,0)),""))</f>
        <v/>
      </c>
      <c r="S1069" s="35" t="str">
        <f aca="false">IF($D1069="","",IFERROR(INDEX(Kontenplan!$F$5:$F$90,MATCH($D1069,Kontenplan!$A$5:$A$90,0)),""))</f>
        <v/>
      </c>
      <c r="T1069" s="35" t="str">
        <f aca="false">IF($D1069="","",IFERROR(INDEX(Kontenplan!$C$5:$C$90,MATCH($D1069,Kontenplan!$A$5:$A$90,0)),"?"))</f>
        <v/>
      </c>
      <c r="U1069" s="35" t="str">
        <f aca="false">IF($E1069="","",IFERROR(INDEX(Kontenplan!$C$5:$C$90,MATCH($E1069,Kontenplan!$A$5:$A$90,0)),"?"))</f>
        <v/>
      </c>
      <c r="V1069" s="35" t="str">
        <f aca="false">IF($F1069="","",IF(OR($D1069="",$E1069="",$T1069="?",$U1069="?"),"Konto prüfen!",IF($A1069="","Datum fehlt",IF(YEAR($A1069)&lt;&gt;Einstellungen!$B$7,"anderes Jahr!",IF($G1069="","MWST-Code fehlt","OK")))))</f>
        <v/>
      </c>
      <c r="W1069" s="35" t="str">
        <f aca="false">IF($F1069="","",IF(OR($D1069=Kontoauszug!$C$4,$E1069=Kontoauszug!$C$4),MAX(W$4:W1068)+1,""))</f>
        <v/>
      </c>
    </row>
    <row r="1070" customFormat="false" ht="15" hidden="false" customHeight="false" outlineLevel="0" collapsed="false">
      <c r="A1070" s="33"/>
      <c r="B1070" s="32"/>
      <c r="C1070" s="32"/>
      <c r="D1070" s="32"/>
      <c r="E1070" s="32"/>
      <c r="F1070" s="30"/>
      <c r="G1070" s="32"/>
      <c r="H1070" s="34" t="n">
        <f aca="false">IF($G1070="",0,IFERROR(INDEX(Einstellungen!$G$5:$G$11,MATCH($G1070,Einstellungen!$E$5:$E$11,0)),0))</f>
        <v>0</v>
      </c>
      <c r="I1070" s="35" t="str">
        <f aca="false">IF($G1070="","-",IFERROR(INDEX(Einstellungen!$H$5:$H$11,MATCH($G1070,Einstellungen!$E$5:$E$11,0)),"-"))</f>
        <v>-</v>
      </c>
      <c r="J1070" s="35" t="str">
        <f aca="false">IF(AND(Einstellungen!$B$8="Ja",Einstellungen!$B$9="Effektiv"),$I1070,"-")</f>
        <v>-</v>
      </c>
      <c r="K1070" s="31" t="n">
        <f aca="false">IF(OR($F1070="",$J1070="-"),0,ROUND($F1070-$F1070/(1+$H1070),2))</f>
        <v>0</v>
      </c>
      <c r="L1070" s="31" t="n">
        <f aca="false">IF($F1070="",0,$F1070-$K1070)</f>
        <v>0</v>
      </c>
      <c r="M1070" s="31" t="n">
        <f aca="false">IF($F1070="",0,IF($J1070="V",$L1070,$F1070))</f>
        <v>0</v>
      </c>
      <c r="N1070" s="31" t="n">
        <f aca="false">IF($F1070="",0,IF($J1070="U",$L1070,$F1070))</f>
        <v>0</v>
      </c>
      <c r="O1070" s="35" t="str">
        <f aca="false">IF($A1070="","",MONTH($A1070))</f>
        <v/>
      </c>
      <c r="P1070" s="35" t="str">
        <f aca="false">IF($A1070="","",ROUNDUP(MONTH($A1070)/3,0))</f>
        <v/>
      </c>
      <c r="Q1070" s="35" t="str">
        <f aca="false">IF($A1070="","",IF(MONTH($A1070)&lt;=6,1,2))</f>
        <v/>
      </c>
      <c r="R1070" s="35" t="str">
        <f aca="false">IF($E1070="","",IFERROR(INDEX(Kontenplan!$F$5:$F$90,MATCH($E1070,Kontenplan!$A$5:$A$90,0)),""))</f>
        <v/>
      </c>
      <c r="S1070" s="35" t="str">
        <f aca="false">IF($D1070="","",IFERROR(INDEX(Kontenplan!$F$5:$F$90,MATCH($D1070,Kontenplan!$A$5:$A$90,0)),""))</f>
        <v/>
      </c>
      <c r="T1070" s="35" t="str">
        <f aca="false">IF($D1070="","",IFERROR(INDEX(Kontenplan!$C$5:$C$90,MATCH($D1070,Kontenplan!$A$5:$A$90,0)),"?"))</f>
        <v/>
      </c>
      <c r="U1070" s="35" t="str">
        <f aca="false">IF($E1070="","",IFERROR(INDEX(Kontenplan!$C$5:$C$90,MATCH($E1070,Kontenplan!$A$5:$A$90,0)),"?"))</f>
        <v/>
      </c>
      <c r="V1070" s="35" t="str">
        <f aca="false">IF($F1070="","",IF(OR($D1070="",$E1070="",$T1070="?",$U1070="?"),"Konto prüfen!",IF($A1070="","Datum fehlt",IF(YEAR($A1070)&lt;&gt;Einstellungen!$B$7,"anderes Jahr!",IF($G1070="","MWST-Code fehlt","OK")))))</f>
        <v/>
      </c>
      <c r="W1070" s="35" t="str">
        <f aca="false">IF($F1070="","",IF(OR($D1070=Kontoauszug!$C$4,$E1070=Kontoauszug!$C$4),MAX(W$4:W1069)+1,""))</f>
        <v/>
      </c>
    </row>
    <row r="1071" customFormat="false" ht="15" hidden="false" customHeight="false" outlineLevel="0" collapsed="false">
      <c r="A1071" s="33"/>
      <c r="B1071" s="32"/>
      <c r="C1071" s="32"/>
      <c r="D1071" s="32"/>
      <c r="E1071" s="32"/>
      <c r="F1071" s="30"/>
      <c r="G1071" s="32"/>
      <c r="H1071" s="34" t="n">
        <f aca="false">IF($G1071="",0,IFERROR(INDEX(Einstellungen!$G$5:$G$11,MATCH($G1071,Einstellungen!$E$5:$E$11,0)),0))</f>
        <v>0</v>
      </c>
      <c r="I1071" s="35" t="str">
        <f aca="false">IF($G1071="","-",IFERROR(INDEX(Einstellungen!$H$5:$H$11,MATCH($G1071,Einstellungen!$E$5:$E$11,0)),"-"))</f>
        <v>-</v>
      </c>
      <c r="J1071" s="35" t="str">
        <f aca="false">IF(AND(Einstellungen!$B$8="Ja",Einstellungen!$B$9="Effektiv"),$I1071,"-")</f>
        <v>-</v>
      </c>
      <c r="K1071" s="31" t="n">
        <f aca="false">IF(OR($F1071="",$J1071="-"),0,ROUND($F1071-$F1071/(1+$H1071),2))</f>
        <v>0</v>
      </c>
      <c r="L1071" s="31" t="n">
        <f aca="false">IF($F1071="",0,$F1071-$K1071)</f>
        <v>0</v>
      </c>
      <c r="M1071" s="31" t="n">
        <f aca="false">IF($F1071="",0,IF($J1071="V",$L1071,$F1071))</f>
        <v>0</v>
      </c>
      <c r="N1071" s="31" t="n">
        <f aca="false">IF($F1071="",0,IF($J1071="U",$L1071,$F1071))</f>
        <v>0</v>
      </c>
      <c r="O1071" s="35" t="str">
        <f aca="false">IF($A1071="","",MONTH($A1071))</f>
        <v/>
      </c>
      <c r="P1071" s="35" t="str">
        <f aca="false">IF($A1071="","",ROUNDUP(MONTH($A1071)/3,0))</f>
        <v/>
      </c>
      <c r="Q1071" s="35" t="str">
        <f aca="false">IF($A1071="","",IF(MONTH($A1071)&lt;=6,1,2))</f>
        <v/>
      </c>
      <c r="R1071" s="35" t="str">
        <f aca="false">IF($E1071="","",IFERROR(INDEX(Kontenplan!$F$5:$F$90,MATCH($E1071,Kontenplan!$A$5:$A$90,0)),""))</f>
        <v/>
      </c>
      <c r="S1071" s="35" t="str">
        <f aca="false">IF($D1071="","",IFERROR(INDEX(Kontenplan!$F$5:$F$90,MATCH($D1071,Kontenplan!$A$5:$A$90,0)),""))</f>
        <v/>
      </c>
      <c r="T1071" s="35" t="str">
        <f aca="false">IF($D1071="","",IFERROR(INDEX(Kontenplan!$C$5:$C$90,MATCH($D1071,Kontenplan!$A$5:$A$90,0)),"?"))</f>
        <v/>
      </c>
      <c r="U1071" s="35" t="str">
        <f aca="false">IF($E1071="","",IFERROR(INDEX(Kontenplan!$C$5:$C$90,MATCH($E1071,Kontenplan!$A$5:$A$90,0)),"?"))</f>
        <v/>
      </c>
      <c r="V1071" s="35" t="str">
        <f aca="false">IF($F1071="","",IF(OR($D1071="",$E1071="",$T1071="?",$U1071="?"),"Konto prüfen!",IF($A1071="","Datum fehlt",IF(YEAR($A1071)&lt;&gt;Einstellungen!$B$7,"anderes Jahr!",IF($G1071="","MWST-Code fehlt","OK")))))</f>
        <v/>
      </c>
      <c r="W1071" s="35" t="str">
        <f aca="false">IF($F1071="","",IF(OR($D1071=Kontoauszug!$C$4,$E1071=Kontoauszug!$C$4),MAX(W$4:W1070)+1,""))</f>
        <v/>
      </c>
    </row>
    <row r="1072" customFormat="false" ht="15" hidden="false" customHeight="false" outlineLevel="0" collapsed="false">
      <c r="A1072" s="33"/>
      <c r="B1072" s="32"/>
      <c r="C1072" s="32"/>
      <c r="D1072" s="32"/>
      <c r="E1072" s="32"/>
      <c r="F1072" s="30"/>
      <c r="G1072" s="32"/>
      <c r="H1072" s="34" t="n">
        <f aca="false">IF($G1072="",0,IFERROR(INDEX(Einstellungen!$G$5:$G$11,MATCH($G1072,Einstellungen!$E$5:$E$11,0)),0))</f>
        <v>0</v>
      </c>
      <c r="I1072" s="35" t="str">
        <f aca="false">IF($G1072="","-",IFERROR(INDEX(Einstellungen!$H$5:$H$11,MATCH($G1072,Einstellungen!$E$5:$E$11,0)),"-"))</f>
        <v>-</v>
      </c>
      <c r="J1072" s="35" t="str">
        <f aca="false">IF(AND(Einstellungen!$B$8="Ja",Einstellungen!$B$9="Effektiv"),$I1072,"-")</f>
        <v>-</v>
      </c>
      <c r="K1072" s="31" t="n">
        <f aca="false">IF(OR($F1072="",$J1072="-"),0,ROUND($F1072-$F1072/(1+$H1072),2))</f>
        <v>0</v>
      </c>
      <c r="L1072" s="31" t="n">
        <f aca="false">IF($F1072="",0,$F1072-$K1072)</f>
        <v>0</v>
      </c>
      <c r="M1072" s="31" t="n">
        <f aca="false">IF($F1072="",0,IF($J1072="V",$L1072,$F1072))</f>
        <v>0</v>
      </c>
      <c r="N1072" s="31" t="n">
        <f aca="false">IF($F1072="",0,IF($J1072="U",$L1072,$F1072))</f>
        <v>0</v>
      </c>
      <c r="O1072" s="35" t="str">
        <f aca="false">IF($A1072="","",MONTH($A1072))</f>
        <v/>
      </c>
      <c r="P1072" s="35" t="str">
        <f aca="false">IF($A1072="","",ROUNDUP(MONTH($A1072)/3,0))</f>
        <v/>
      </c>
      <c r="Q1072" s="35" t="str">
        <f aca="false">IF($A1072="","",IF(MONTH($A1072)&lt;=6,1,2))</f>
        <v/>
      </c>
      <c r="R1072" s="35" t="str">
        <f aca="false">IF($E1072="","",IFERROR(INDEX(Kontenplan!$F$5:$F$90,MATCH($E1072,Kontenplan!$A$5:$A$90,0)),""))</f>
        <v/>
      </c>
      <c r="S1072" s="35" t="str">
        <f aca="false">IF($D1072="","",IFERROR(INDEX(Kontenplan!$F$5:$F$90,MATCH($D1072,Kontenplan!$A$5:$A$90,0)),""))</f>
        <v/>
      </c>
      <c r="T1072" s="35" t="str">
        <f aca="false">IF($D1072="","",IFERROR(INDEX(Kontenplan!$C$5:$C$90,MATCH($D1072,Kontenplan!$A$5:$A$90,0)),"?"))</f>
        <v/>
      </c>
      <c r="U1072" s="35" t="str">
        <f aca="false">IF($E1072="","",IFERROR(INDEX(Kontenplan!$C$5:$C$90,MATCH($E1072,Kontenplan!$A$5:$A$90,0)),"?"))</f>
        <v/>
      </c>
      <c r="V1072" s="35" t="str">
        <f aca="false">IF($F1072="","",IF(OR($D1072="",$E1072="",$T1072="?",$U1072="?"),"Konto prüfen!",IF($A1072="","Datum fehlt",IF(YEAR($A1072)&lt;&gt;Einstellungen!$B$7,"anderes Jahr!",IF($G1072="","MWST-Code fehlt","OK")))))</f>
        <v/>
      </c>
      <c r="W1072" s="35" t="str">
        <f aca="false">IF($F1072="","",IF(OR($D1072=Kontoauszug!$C$4,$E1072=Kontoauszug!$C$4),MAX(W$4:W1071)+1,""))</f>
        <v/>
      </c>
    </row>
    <row r="1073" customFormat="false" ht="15" hidden="false" customHeight="false" outlineLevel="0" collapsed="false">
      <c r="A1073" s="33"/>
      <c r="B1073" s="32"/>
      <c r="C1073" s="32"/>
      <c r="D1073" s="32"/>
      <c r="E1073" s="32"/>
      <c r="F1073" s="30"/>
      <c r="G1073" s="32"/>
      <c r="H1073" s="34" t="n">
        <f aca="false">IF($G1073="",0,IFERROR(INDEX(Einstellungen!$G$5:$G$11,MATCH($G1073,Einstellungen!$E$5:$E$11,0)),0))</f>
        <v>0</v>
      </c>
      <c r="I1073" s="35" t="str">
        <f aca="false">IF($G1073="","-",IFERROR(INDEX(Einstellungen!$H$5:$H$11,MATCH($G1073,Einstellungen!$E$5:$E$11,0)),"-"))</f>
        <v>-</v>
      </c>
      <c r="J1073" s="35" t="str">
        <f aca="false">IF(AND(Einstellungen!$B$8="Ja",Einstellungen!$B$9="Effektiv"),$I1073,"-")</f>
        <v>-</v>
      </c>
      <c r="K1073" s="31" t="n">
        <f aca="false">IF(OR($F1073="",$J1073="-"),0,ROUND($F1073-$F1073/(1+$H1073),2))</f>
        <v>0</v>
      </c>
      <c r="L1073" s="31" t="n">
        <f aca="false">IF($F1073="",0,$F1073-$K1073)</f>
        <v>0</v>
      </c>
      <c r="M1073" s="31" t="n">
        <f aca="false">IF($F1073="",0,IF($J1073="V",$L1073,$F1073))</f>
        <v>0</v>
      </c>
      <c r="N1073" s="31" t="n">
        <f aca="false">IF($F1073="",0,IF($J1073="U",$L1073,$F1073))</f>
        <v>0</v>
      </c>
      <c r="O1073" s="35" t="str">
        <f aca="false">IF($A1073="","",MONTH($A1073))</f>
        <v/>
      </c>
      <c r="P1073" s="35" t="str">
        <f aca="false">IF($A1073="","",ROUNDUP(MONTH($A1073)/3,0))</f>
        <v/>
      </c>
      <c r="Q1073" s="35" t="str">
        <f aca="false">IF($A1073="","",IF(MONTH($A1073)&lt;=6,1,2))</f>
        <v/>
      </c>
      <c r="R1073" s="35" t="str">
        <f aca="false">IF($E1073="","",IFERROR(INDEX(Kontenplan!$F$5:$F$90,MATCH($E1073,Kontenplan!$A$5:$A$90,0)),""))</f>
        <v/>
      </c>
      <c r="S1073" s="35" t="str">
        <f aca="false">IF($D1073="","",IFERROR(INDEX(Kontenplan!$F$5:$F$90,MATCH($D1073,Kontenplan!$A$5:$A$90,0)),""))</f>
        <v/>
      </c>
      <c r="T1073" s="35" t="str">
        <f aca="false">IF($D1073="","",IFERROR(INDEX(Kontenplan!$C$5:$C$90,MATCH($D1073,Kontenplan!$A$5:$A$90,0)),"?"))</f>
        <v/>
      </c>
      <c r="U1073" s="35" t="str">
        <f aca="false">IF($E1073="","",IFERROR(INDEX(Kontenplan!$C$5:$C$90,MATCH($E1073,Kontenplan!$A$5:$A$90,0)),"?"))</f>
        <v/>
      </c>
      <c r="V1073" s="35" t="str">
        <f aca="false">IF($F1073="","",IF(OR($D1073="",$E1073="",$T1073="?",$U1073="?"),"Konto prüfen!",IF($A1073="","Datum fehlt",IF(YEAR($A1073)&lt;&gt;Einstellungen!$B$7,"anderes Jahr!",IF($G1073="","MWST-Code fehlt","OK")))))</f>
        <v/>
      </c>
      <c r="W1073" s="35" t="str">
        <f aca="false">IF($F1073="","",IF(OR($D1073=Kontoauszug!$C$4,$E1073=Kontoauszug!$C$4),MAX(W$4:W1072)+1,""))</f>
        <v/>
      </c>
    </row>
    <row r="1074" customFormat="false" ht="15" hidden="false" customHeight="false" outlineLevel="0" collapsed="false">
      <c r="A1074" s="33"/>
      <c r="B1074" s="32"/>
      <c r="C1074" s="32"/>
      <c r="D1074" s="32"/>
      <c r="E1074" s="32"/>
      <c r="F1074" s="30"/>
      <c r="G1074" s="32"/>
      <c r="H1074" s="34" t="n">
        <f aca="false">IF($G1074="",0,IFERROR(INDEX(Einstellungen!$G$5:$G$11,MATCH($G1074,Einstellungen!$E$5:$E$11,0)),0))</f>
        <v>0</v>
      </c>
      <c r="I1074" s="35" t="str">
        <f aca="false">IF($G1074="","-",IFERROR(INDEX(Einstellungen!$H$5:$H$11,MATCH($G1074,Einstellungen!$E$5:$E$11,0)),"-"))</f>
        <v>-</v>
      </c>
      <c r="J1074" s="35" t="str">
        <f aca="false">IF(AND(Einstellungen!$B$8="Ja",Einstellungen!$B$9="Effektiv"),$I1074,"-")</f>
        <v>-</v>
      </c>
      <c r="K1074" s="31" t="n">
        <f aca="false">IF(OR($F1074="",$J1074="-"),0,ROUND($F1074-$F1074/(1+$H1074),2))</f>
        <v>0</v>
      </c>
      <c r="L1074" s="31" t="n">
        <f aca="false">IF($F1074="",0,$F1074-$K1074)</f>
        <v>0</v>
      </c>
      <c r="M1074" s="31" t="n">
        <f aca="false">IF($F1074="",0,IF($J1074="V",$L1074,$F1074))</f>
        <v>0</v>
      </c>
      <c r="N1074" s="31" t="n">
        <f aca="false">IF($F1074="",0,IF($J1074="U",$L1074,$F1074))</f>
        <v>0</v>
      </c>
      <c r="O1074" s="35" t="str">
        <f aca="false">IF($A1074="","",MONTH($A1074))</f>
        <v/>
      </c>
      <c r="P1074" s="35" t="str">
        <f aca="false">IF($A1074="","",ROUNDUP(MONTH($A1074)/3,0))</f>
        <v/>
      </c>
      <c r="Q1074" s="35" t="str">
        <f aca="false">IF($A1074="","",IF(MONTH($A1074)&lt;=6,1,2))</f>
        <v/>
      </c>
      <c r="R1074" s="35" t="str">
        <f aca="false">IF($E1074="","",IFERROR(INDEX(Kontenplan!$F$5:$F$90,MATCH($E1074,Kontenplan!$A$5:$A$90,0)),""))</f>
        <v/>
      </c>
      <c r="S1074" s="35" t="str">
        <f aca="false">IF($D1074="","",IFERROR(INDEX(Kontenplan!$F$5:$F$90,MATCH($D1074,Kontenplan!$A$5:$A$90,0)),""))</f>
        <v/>
      </c>
      <c r="T1074" s="35" t="str">
        <f aca="false">IF($D1074="","",IFERROR(INDEX(Kontenplan!$C$5:$C$90,MATCH($D1074,Kontenplan!$A$5:$A$90,0)),"?"))</f>
        <v/>
      </c>
      <c r="U1074" s="35" t="str">
        <f aca="false">IF($E1074="","",IFERROR(INDEX(Kontenplan!$C$5:$C$90,MATCH($E1074,Kontenplan!$A$5:$A$90,0)),"?"))</f>
        <v/>
      </c>
      <c r="V1074" s="35" t="str">
        <f aca="false">IF($F1074="","",IF(OR($D1074="",$E1074="",$T1074="?",$U1074="?"),"Konto prüfen!",IF($A1074="","Datum fehlt",IF(YEAR($A1074)&lt;&gt;Einstellungen!$B$7,"anderes Jahr!",IF($G1074="","MWST-Code fehlt","OK")))))</f>
        <v/>
      </c>
      <c r="W1074" s="35" t="str">
        <f aca="false">IF($F1074="","",IF(OR($D1074=Kontoauszug!$C$4,$E1074=Kontoauszug!$C$4),MAX(W$4:W1073)+1,""))</f>
        <v/>
      </c>
    </row>
    <row r="1075" customFormat="false" ht="15" hidden="false" customHeight="false" outlineLevel="0" collapsed="false">
      <c r="A1075" s="33"/>
      <c r="B1075" s="32"/>
      <c r="C1075" s="32"/>
      <c r="D1075" s="32"/>
      <c r="E1075" s="32"/>
      <c r="F1075" s="30"/>
      <c r="G1075" s="32"/>
      <c r="H1075" s="34" t="n">
        <f aca="false">IF($G1075="",0,IFERROR(INDEX(Einstellungen!$G$5:$G$11,MATCH($G1075,Einstellungen!$E$5:$E$11,0)),0))</f>
        <v>0</v>
      </c>
      <c r="I1075" s="35" t="str">
        <f aca="false">IF($G1075="","-",IFERROR(INDEX(Einstellungen!$H$5:$H$11,MATCH($G1075,Einstellungen!$E$5:$E$11,0)),"-"))</f>
        <v>-</v>
      </c>
      <c r="J1075" s="35" t="str">
        <f aca="false">IF(AND(Einstellungen!$B$8="Ja",Einstellungen!$B$9="Effektiv"),$I1075,"-")</f>
        <v>-</v>
      </c>
      <c r="K1075" s="31" t="n">
        <f aca="false">IF(OR($F1075="",$J1075="-"),0,ROUND($F1075-$F1075/(1+$H1075),2))</f>
        <v>0</v>
      </c>
      <c r="L1075" s="31" t="n">
        <f aca="false">IF($F1075="",0,$F1075-$K1075)</f>
        <v>0</v>
      </c>
      <c r="M1075" s="31" t="n">
        <f aca="false">IF($F1075="",0,IF($J1075="V",$L1075,$F1075))</f>
        <v>0</v>
      </c>
      <c r="N1075" s="31" t="n">
        <f aca="false">IF($F1075="",0,IF($J1075="U",$L1075,$F1075))</f>
        <v>0</v>
      </c>
      <c r="O1075" s="35" t="str">
        <f aca="false">IF($A1075="","",MONTH($A1075))</f>
        <v/>
      </c>
      <c r="P1075" s="35" t="str">
        <f aca="false">IF($A1075="","",ROUNDUP(MONTH($A1075)/3,0))</f>
        <v/>
      </c>
      <c r="Q1075" s="35" t="str">
        <f aca="false">IF($A1075="","",IF(MONTH($A1075)&lt;=6,1,2))</f>
        <v/>
      </c>
      <c r="R1075" s="35" t="str">
        <f aca="false">IF($E1075="","",IFERROR(INDEX(Kontenplan!$F$5:$F$90,MATCH($E1075,Kontenplan!$A$5:$A$90,0)),""))</f>
        <v/>
      </c>
      <c r="S1075" s="35" t="str">
        <f aca="false">IF($D1075="","",IFERROR(INDEX(Kontenplan!$F$5:$F$90,MATCH($D1075,Kontenplan!$A$5:$A$90,0)),""))</f>
        <v/>
      </c>
      <c r="T1075" s="35" t="str">
        <f aca="false">IF($D1075="","",IFERROR(INDEX(Kontenplan!$C$5:$C$90,MATCH($D1075,Kontenplan!$A$5:$A$90,0)),"?"))</f>
        <v/>
      </c>
      <c r="U1075" s="35" t="str">
        <f aca="false">IF($E1075="","",IFERROR(INDEX(Kontenplan!$C$5:$C$90,MATCH($E1075,Kontenplan!$A$5:$A$90,0)),"?"))</f>
        <v/>
      </c>
      <c r="V1075" s="35" t="str">
        <f aca="false">IF($F1075="","",IF(OR($D1075="",$E1075="",$T1075="?",$U1075="?"),"Konto prüfen!",IF($A1075="","Datum fehlt",IF(YEAR($A1075)&lt;&gt;Einstellungen!$B$7,"anderes Jahr!",IF($G1075="","MWST-Code fehlt","OK")))))</f>
        <v/>
      </c>
      <c r="W1075" s="35" t="str">
        <f aca="false">IF($F1075="","",IF(OR($D1075=Kontoauszug!$C$4,$E1075=Kontoauszug!$C$4),MAX(W$4:W1074)+1,""))</f>
        <v/>
      </c>
    </row>
    <row r="1076" customFormat="false" ht="15" hidden="false" customHeight="false" outlineLevel="0" collapsed="false">
      <c r="A1076" s="33"/>
      <c r="B1076" s="32"/>
      <c r="C1076" s="32"/>
      <c r="D1076" s="32"/>
      <c r="E1076" s="32"/>
      <c r="F1076" s="30"/>
      <c r="G1076" s="32"/>
      <c r="H1076" s="34" t="n">
        <f aca="false">IF($G1076="",0,IFERROR(INDEX(Einstellungen!$G$5:$G$11,MATCH($G1076,Einstellungen!$E$5:$E$11,0)),0))</f>
        <v>0</v>
      </c>
      <c r="I1076" s="35" t="str">
        <f aca="false">IF($G1076="","-",IFERROR(INDEX(Einstellungen!$H$5:$H$11,MATCH($G1076,Einstellungen!$E$5:$E$11,0)),"-"))</f>
        <v>-</v>
      </c>
      <c r="J1076" s="35" t="str">
        <f aca="false">IF(AND(Einstellungen!$B$8="Ja",Einstellungen!$B$9="Effektiv"),$I1076,"-")</f>
        <v>-</v>
      </c>
      <c r="K1076" s="31" t="n">
        <f aca="false">IF(OR($F1076="",$J1076="-"),0,ROUND($F1076-$F1076/(1+$H1076),2))</f>
        <v>0</v>
      </c>
      <c r="L1076" s="31" t="n">
        <f aca="false">IF($F1076="",0,$F1076-$K1076)</f>
        <v>0</v>
      </c>
      <c r="M1076" s="31" t="n">
        <f aca="false">IF($F1076="",0,IF($J1076="V",$L1076,$F1076))</f>
        <v>0</v>
      </c>
      <c r="N1076" s="31" t="n">
        <f aca="false">IF($F1076="",0,IF($J1076="U",$L1076,$F1076))</f>
        <v>0</v>
      </c>
      <c r="O1076" s="35" t="str">
        <f aca="false">IF($A1076="","",MONTH($A1076))</f>
        <v/>
      </c>
      <c r="P1076" s="35" t="str">
        <f aca="false">IF($A1076="","",ROUNDUP(MONTH($A1076)/3,0))</f>
        <v/>
      </c>
      <c r="Q1076" s="35" t="str">
        <f aca="false">IF($A1076="","",IF(MONTH($A1076)&lt;=6,1,2))</f>
        <v/>
      </c>
      <c r="R1076" s="35" t="str">
        <f aca="false">IF($E1076="","",IFERROR(INDEX(Kontenplan!$F$5:$F$90,MATCH($E1076,Kontenplan!$A$5:$A$90,0)),""))</f>
        <v/>
      </c>
      <c r="S1076" s="35" t="str">
        <f aca="false">IF($D1076="","",IFERROR(INDEX(Kontenplan!$F$5:$F$90,MATCH($D1076,Kontenplan!$A$5:$A$90,0)),""))</f>
        <v/>
      </c>
      <c r="T1076" s="35" t="str">
        <f aca="false">IF($D1076="","",IFERROR(INDEX(Kontenplan!$C$5:$C$90,MATCH($D1076,Kontenplan!$A$5:$A$90,0)),"?"))</f>
        <v/>
      </c>
      <c r="U1076" s="35" t="str">
        <f aca="false">IF($E1076="","",IFERROR(INDEX(Kontenplan!$C$5:$C$90,MATCH($E1076,Kontenplan!$A$5:$A$90,0)),"?"))</f>
        <v/>
      </c>
      <c r="V1076" s="35" t="str">
        <f aca="false">IF($F1076="","",IF(OR($D1076="",$E1076="",$T1076="?",$U1076="?"),"Konto prüfen!",IF($A1076="","Datum fehlt",IF(YEAR($A1076)&lt;&gt;Einstellungen!$B$7,"anderes Jahr!",IF($G1076="","MWST-Code fehlt","OK")))))</f>
        <v/>
      </c>
      <c r="W1076" s="35" t="str">
        <f aca="false">IF($F1076="","",IF(OR($D1076=Kontoauszug!$C$4,$E1076=Kontoauszug!$C$4),MAX(W$4:W1075)+1,""))</f>
        <v/>
      </c>
    </row>
    <row r="1077" customFormat="false" ht="15" hidden="false" customHeight="false" outlineLevel="0" collapsed="false">
      <c r="A1077" s="33"/>
      <c r="B1077" s="32"/>
      <c r="C1077" s="32"/>
      <c r="D1077" s="32"/>
      <c r="E1077" s="32"/>
      <c r="F1077" s="30"/>
      <c r="G1077" s="32"/>
      <c r="H1077" s="34" t="n">
        <f aca="false">IF($G1077="",0,IFERROR(INDEX(Einstellungen!$G$5:$G$11,MATCH($G1077,Einstellungen!$E$5:$E$11,0)),0))</f>
        <v>0</v>
      </c>
      <c r="I1077" s="35" t="str">
        <f aca="false">IF($G1077="","-",IFERROR(INDEX(Einstellungen!$H$5:$H$11,MATCH($G1077,Einstellungen!$E$5:$E$11,0)),"-"))</f>
        <v>-</v>
      </c>
      <c r="J1077" s="35" t="str">
        <f aca="false">IF(AND(Einstellungen!$B$8="Ja",Einstellungen!$B$9="Effektiv"),$I1077,"-")</f>
        <v>-</v>
      </c>
      <c r="K1077" s="31" t="n">
        <f aca="false">IF(OR($F1077="",$J1077="-"),0,ROUND($F1077-$F1077/(1+$H1077),2))</f>
        <v>0</v>
      </c>
      <c r="L1077" s="31" t="n">
        <f aca="false">IF($F1077="",0,$F1077-$K1077)</f>
        <v>0</v>
      </c>
      <c r="M1077" s="31" t="n">
        <f aca="false">IF($F1077="",0,IF($J1077="V",$L1077,$F1077))</f>
        <v>0</v>
      </c>
      <c r="N1077" s="31" t="n">
        <f aca="false">IF($F1077="",0,IF($J1077="U",$L1077,$F1077))</f>
        <v>0</v>
      </c>
      <c r="O1077" s="35" t="str">
        <f aca="false">IF($A1077="","",MONTH($A1077))</f>
        <v/>
      </c>
      <c r="P1077" s="35" t="str">
        <f aca="false">IF($A1077="","",ROUNDUP(MONTH($A1077)/3,0))</f>
        <v/>
      </c>
      <c r="Q1077" s="35" t="str">
        <f aca="false">IF($A1077="","",IF(MONTH($A1077)&lt;=6,1,2))</f>
        <v/>
      </c>
      <c r="R1077" s="35" t="str">
        <f aca="false">IF($E1077="","",IFERROR(INDEX(Kontenplan!$F$5:$F$90,MATCH($E1077,Kontenplan!$A$5:$A$90,0)),""))</f>
        <v/>
      </c>
      <c r="S1077" s="35" t="str">
        <f aca="false">IF($D1077="","",IFERROR(INDEX(Kontenplan!$F$5:$F$90,MATCH($D1077,Kontenplan!$A$5:$A$90,0)),""))</f>
        <v/>
      </c>
      <c r="T1077" s="35" t="str">
        <f aca="false">IF($D1077="","",IFERROR(INDEX(Kontenplan!$C$5:$C$90,MATCH($D1077,Kontenplan!$A$5:$A$90,0)),"?"))</f>
        <v/>
      </c>
      <c r="U1077" s="35" t="str">
        <f aca="false">IF($E1077="","",IFERROR(INDEX(Kontenplan!$C$5:$C$90,MATCH($E1077,Kontenplan!$A$5:$A$90,0)),"?"))</f>
        <v/>
      </c>
      <c r="V1077" s="35" t="str">
        <f aca="false">IF($F1077="","",IF(OR($D1077="",$E1077="",$T1077="?",$U1077="?"),"Konto prüfen!",IF($A1077="","Datum fehlt",IF(YEAR($A1077)&lt;&gt;Einstellungen!$B$7,"anderes Jahr!",IF($G1077="","MWST-Code fehlt","OK")))))</f>
        <v/>
      </c>
      <c r="W1077" s="35" t="str">
        <f aca="false">IF($F1077="","",IF(OR($D1077=Kontoauszug!$C$4,$E1077=Kontoauszug!$C$4),MAX(W$4:W1076)+1,""))</f>
        <v/>
      </c>
    </row>
    <row r="1078" customFormat="false" ht="15" hidden="false" customHeight="false" outlineLevel="0" collapsed="false">
      <c r="A1078" s="33"/>
      <c r="B1078" s="32"/>
      <c r="C1078" s="32"/>
      <c r="D1078" s="32"/>
      <c r="E1078" s="32"/>
      <c r="F1078" s="30"/>
      <c r="G1078" s="32"/>
      <c r="H1078" s="34" t="n">
        <f aca="false">IF($G1078="",0,IFERROR(INDEX(Einstellungen!$G$5:$G$11,MATCH($G1078,Einstellungen!$E$5:$E$11,0)),0))</f>
        <v>0</v>
      </c>
      <c r="I1078" s="35" t="str">
        <f aca="false">IF($G1078="","-",IFERROR(INDEX(Einstellungen!$H$5:$H$11,MATCH($G1078,Einstellungen!$E$5:$E$11,0)),"-"))</f>
        <v>-</v>
      </c>
      <c r="J1078" s="35" t="str">
        <f aca="false">IF(AND(Einstellungen!$B$8="Ja",Einstellungen!$B$9="Effektiv"),$I1078,"-")</f>
        <v>-</v>
      </c>
      <c r="K1078" s="31" t="n">
        <f aca="false">IF(OR($F1078="",$J1078="-"),0,ROUND($F1078-$F1078/(1+$H1078),2))</f>
        <v>0</v>
      </c>
      <c r="L1078" s="31" t="n">
        <f aca="false">IF($F1078="",0,$F1078-$K1078)</f>
        <v>0</v>
      </c>
      <c r="M1078" s="31" t="n">
        <f aca="false">IF($F1078="",0,IF($J1078="V",$L1078,$F1078))</f>
        <v>0</v>
      </c>
      <c r="N1078" s="31" t="n">
        <f aca="false">IF($F1078="",0,IF($J1078="U",$L1078,$F1078))</f>
        <v>0</v>
      </c>
      <c r="O1078" s="35" t="str">
        <f aca="false">IF($A1078="","",MONTH($A1078))</f>
        <v/>
      </c>
      <c r="P1078" s="35" t="str">
        <f aca="false">IF($A1078="","",ROUNDUP(MONTH($A1078)/3,0))</f>
        <v/>
      </c>
      <c r="Q1078" s="35" t="str">
        <f aca="false">IF($A1078="","",IF(MONTH($A1078)&lt;=6,1,2))</f>
        <v/>
      </c>
      <c r="R1078" s="35" t="str">
        <f aca="false">IF($E1078="","",IFERROR(INDEX(Kontenplan!$F$5:$F$90,MATCH($E1078,Kontenplan!$A$5:$A$90,0)),""))</f>
        <v/>
      </c>
      <c r="S1078" s="35" t="str">
        <f aca="false">IF($D1078="","",IFERROR(INDEX(Kontenplan!$F$5:$F$90,MATCH($D1078,Kontenplan!$A$5:$A$90,0)),""))</f>
        <v/>
      </c>
      <c r="T1078" s="35" t="str">
        <f aca="false">IF($D1078="","",IFERROR(INDEX(Kontenplan!$C$5:$C$90,MATCH($D1078,Kontenplan!$A$5:$A$90,0)),"?"))</f>
        <v/>
      </c>
      <c r="U1078" s="35" t="str">
        <f aca="false">IF($E1078="","",IFERROR(INDEX(Kontenplan!$C$5:$C$90,MATCH($E1078,Kontenplan!$A$5:$A$90,0)),"?"))</f>
        <v/>
      </c>
      <c r="V1078" s="35" t="str">
        <f aca="false">IF($F1078="","",IF(OR($D1078="",$E1078="",$T1078="?",$U1078="?"),"Konto prüfen!",IF($A1078="","Datum fehlt",IF(YEAR($A1078)&lt;&gt;Einstellungen!$B$7,"anderes Jahr!",IF($G1078="","MWST-Code fehlt","OK")))))</f>
        <v/>
      </c>
      <c r="W1078" s="35" t="str">
        <f aca="false">IF($F1078="","",IF(OR($D1078=Kontoauszug!$C$4,$E1078=Kontoauszug!$C$4),MAX(W$4:W1077)+1,""))</f>
        <v/>
      </c>
    </row>
    <row r="1079" customFormat="false" ht="15" hidden="false" customHeight="false" outlineLevel="0" collapsed="false">
      <c r="A1079" s="33"/>
      <c r="B1079" s="32"/>
      <c r="C1079" s="32"/>
      <c r="D1079" s="32"/>
      <c r="E1079" s="32"/>
      <c r="F1079" s="30"/>
      <c r="G1079" s="32"/>
      <c r="H1079" s="34" t="n">
        <f aca="false">IF($G1079="",0,IFERROR(INDEX(Einstellungen!$G$5:$G$11,MATCH($G1079,Einstellungen!$E$5:$E$11,0)),0))</f>
        <v>0</v>
      </c>
      <c r="I1079" s="35" t="str">
        <f aca="false">IF($G1079="","-",IFERROR(INDEX(Einstellungen!$H$5:$H$11,MATCH($G1079,Einstellungen!$E$5:$E$11,0)),"-"))</f>
        <v>-</v>
      </c>
      <c r="J1079" s="35" t="str">
        <f aca="false">IF(AND(Einstellungen!$B$8="Ja",Einstellungen!$B$9="Effektiv"),$I1079,"-")</f>
        <v>-</v>
      </c>
      <c r="K1079" s="31" t="n">
        <f aca="false">IF(OR($F1079="",$J1079="-"),0,ROUND($F1079-$F1079/(1+$H1079),2))</f>
        <v>0</v>
      </c>
      <c r="L1079" s="31" t="n">
        <f aca="false">IF($F1079="",0,$F1079-$K1079)</f>
        <v>0</v>
      </c>
      <c r="M1079" s="31" t="n">
        <f aca="false">IF($F1079="",0,IF($J1079="V",$L1079,$F1079))</f>
        <v>0</v>
      </c>
      <c r="N1079" s="31" t="n">
        <f aca="false">IF($F1079="",0,IF($J1079="U",$L1079,$F1079))</f>
        <v>0</v>
      </c>
      <c r="O1079" s="35" t="str">
        <f aca="false">IF($A1079="","",MONTH($A1079))</f>
        <v/>
      </c>
      <c r="P1079" s="35" t="str">
        <f aca="false">IF($A1079="","",ROUNDUP(MONTH($A1079)/3,0))</f>
        <v/>
      </c>
      <c r="Q1079" s="35" t="str">
        <f aca="false">IF($A1079="","",IF(MONTH($A1079)&lt;=6,1,2))</f>
        <v/>
      </c>
      <c r="R1079" s="35" t="str">
        <f aca="false">IF($E1079="","",IFERROR(INDEX(Kontenplan!$F$5:$F$90,MATCH($E1079,Kontenplan!$A$5:$A$90,0)),""))</f>
        <v/>
      </c>
      <c r="S1079" s="35" t="str">
        <f aca="false">IF($D1079="","",IFERROR(INDEX(Kontenplan!$F$5:$F$90,MATCH($D1079,Kontenplan!$A$5:$A$90,0)),""))</f>
        <v/>
      </c>
      <c r="T1079" s="35" t="str">
        <f aca="false">IF($D1079="","",IFERROR(INDEX(Kontenplan!$C$5:$C$90,MATCH($D1079,Kontenplan!$A$5:$A$90,0)),"?"))</f>
        <v/>
      </c>
      <c r="U1079" s="35" t="str">
        <f aca="false">IF($E1079="","",IFERROR(INDEX(Kontenplan!$C$5:$C$90,MATCH($E1079,Kontenplan!$A$5:$A$90,0)),"?"))</f>
        <v/>
      </c>
      <c r="V1079" s="35" t="str">
        <f aca="false">IF($F1079="","",IF(OR($D1079="",$E1079="",$T1079="?",$U1079="?"),"Konto prüfen!",IF($A1079="","Datum fehlt",IF(YEAR($A1079)&lt;&gt;Einstellungen!$B$7,"anderes Jahr!",IF($G1079="","MWST-Code fehlt","OK")))))</f>
        <v/>
      </c>
      <c r="W1079" s="35" t="str">
        <f aca="false">IF($F1079="","",IF(OR($D1079=Kontoauszug!$C$4,$E1079=Kontoauszug!$C$4),MAX(W$4:W1078)+1,""))</f>
        <v/>
      </c>
    </row>
    <row r="1080" customFormat="false" ht="15" hidden="false" customHeight="false" outlineLevel="0" collapsed="false">
      <c r="A1080" s="33"/>
      <c r="B1080" s="32"/>
      <c r="C1080" s="32"/>
      <c r="D1080" s="32"/>
      <c r="E1080" s="32"/>
      <c r="F1080" s="30"/>
      <c r="G1080" s="32"/>
      <c r="H1080" s="34" t="n">
        <f aca="false">IF($G1080="",0,IFERROR(INDEX(Einstellungen!$G$5:$G$11,MATCH($G1080,Einstellungen!$E$5:$E$11,0)),0))</f>
        <v>0</v>
      </c>
      <c r="I1080" s="35" t="str">
        <f aca="false">IF($G1080="","-",IFERROR(INDEX(Einstellungen!$H$5:$H$11,MATCH($G1080,Einstellungen!$E$5:$E$11,0)),"-"))</f>
        <v>-</v>
      </c>
      <c r="J1080" s="35" t="str">
        <f aca="false">IF(AND(Einstellungen!$B$8="Ja",Einstellungen!$B$9="Effektiv"),$I1080,"-")</f>
        <v>-</v>
      </c>
      <c r="K1080" s="31" t="n">
        <f aca="false">IF(OR($F1080="",$J1080="-"),0,ROUND($F1080-$F1080/(1+$H1080),2))</f>
        <v>0</v>
      </c>
      <c r="L1080" s="31" t="n">
        <f aca="false">IF($F1080="",0,$F1080-$K1080)</f>
        <v>0</v>
      </c>
      <c r="M1080" s="31" t="n">
        <f aca="false">IF($F1080="",0,IF($J1080="V",$L1080,$F1080))</f>
        <v>0</v>
      </c>
      <c r="N1080" s="31" t="n">
        <f aca="false">IF($F1080="",0,IF($J1080="U",$L1080,$F1080))</f>
        <v>0</v>
      </c>
      <c r="O1080" s="35" t="str">
        <f aca="false">IF($A1080="","",MONTH($A1080))</f>
        <v/>
      </c>
      <c r="P1080" s="35" t="str">
        <f aca="false">IF($A1080="","",ROUNDUP(MONTH($A1080)/3,0))</f>
        <v/>
      </c>
      <c r="Q1080" s="35" t="str">
        <f aca="false">IF($A1080="","",IF(MONTH($A1080)&lt;=6,1,2))</f>
        <v/>
      </c>
      <c r="R1080" s="35" t="str">
        <f aca="false">IF($E1080="","",IFERROR(INDEX(Kontenplan!$F$5:$F$90,MATCH($E1080,Kontenplan!$A$5:$A$90,0)),""))</f>
        <v/>
      </c>
      <c r="S1080" s="35" t="str">
        <f aca="false">IF($D1080="","",IFERROR(INDEX(Kontenplan!$F$5:$F$90,MATCH($D1080,Kontenplan!$A$5:$A$90,0)),""))</f>
        <v/>
      </c>
      <c r="T1080" s="35" t="str">
        <f aca="false">IF($D1080="","",IFERROR(INDEX(Kontenplan!$C$5:$C$90,MATCH($D1080,Kontenplan!$A$5:$A$90,0)),"?"))</f>
        <v/>
      </c>
      <c r="U1080" s="35" t="str">
        <f aca="false">IF($E1080="","",IFERROR(INDEX(Kontenplan!$C$5:$C$90,MATCH($E1080,Kontenplan!$A$5:$A$90,0)),"?"))</f>
        <v/>
      </c>
      <c r="V1080" s="35" t="str">
        <f aca="false">IF($F1080="","",IF(OR($D1080="",$E1080="",$T1080="?",$U1080="?"),"Konto prüfen!",IF($A1080="","Datum fehlt",IF(YEAR($A1080)&lt;&gt;Einstellungen!$B$7,"anderes Jahr!",IF($G1080="","MWST-Code fehlt","OK")))))</f>
        <v/>
      </c>
      <c r="W1080" s="35" t="str">
        <f aca="false">IF($F1080="","",IF(OR($D1080=Kontoauszug!$C$4,$E1080=Kontoauszug!$C$4),MAX(W$4:W1079)+1,""))</f>
        <v/>
      </c>
    </row>
    <row r="1081" customFormat="false" ht="15" hidden="false" customHeight="false" outlineLevel="0" collapsed="false">
      <c r="A1081" s="33"/>
      <c r="B1081" s="32"/>
      <c r="C1081" s="32"/>
      <c r="D1081" s="32"/>
      <c r="E1081" s="32"/>
      <c r="F1081" s="30"/>
      <c r="G1081" s="32"/>
      <c r="H1081" s="34" t="n">
        <f aca="false">IF($G1081="",0,IFERROR(INDEX(Einstellungen!$G$5:$G$11,MATCH($G1081,Einstellungen!$E$5:$E$11,0)),0))</f>
        <v>0</v>
      </c>
      <c r="I1081" s="35" t="str">
        <f aca="false">IF($G1081="","-",IFERROR(INDEX(Einstellungen!$H$5:$H$11,MATCH($G1081,Einstellungen!$E$5:$E$11,0)),"-"))</f>
        <v>-</v>
      </c>
      <c r="J1081" s="35" t="str">
        <f aca="false">IF(AND(Einstellungen!$B$8="Ja",Einstellungen!$B$9="Effektiv"),$I1081,"-")</f>
        <v>-</v>
      </c>
      <c r="K1081" s="31" t="n">
        <f aca="false">IF(OR($F1081="",$J1081="-"),0,ROUND($F1081-$F1081/(1+$H1081),2))</f>
        <v>0</v>
      </c>
      <c r="L1081" s="31" t="n">
        <f aca="false">IF($F1081="",0,$F1081-$K1081)</f>
        <v>0</v>
      </c>
      <c r="M1081" s="31" t="n">
        <f aca="false">IF($F1081="",0,IF($J1081="V",$L1081,$F1081))</f>
        <v>0</v>
      </c>
      <c r="N1081" s="31" t="n">
        <f aca="false">IF($F1081="",0,IF($J1081="U",$L1081,$F1081))</f>
        <v>0</v>
      </c>
      <c r="O1081" s="35" t="str">
        <f aca="false">IF($A1081="","",MONTH($A1081))</f>
        <v/>
      </c>
      <c r="P1081" s="35" t="str">
        <f aca="false">IF($A1081="","",ROUNDUP(MONTH($A1081)/3,0))</f>
        <v/>
      </c>
      <c r="Q1081" s="35" t="str">
        <f aca="false">IF($A1081="","",IF(MONTH($A1081)&lt;=6,1,2))</f>
        <v/>
      </c>
      <c r="R1081" s="35" t="str">
        <f aca="false">IF($E1081="","",IFERROR(INDEX(Kontenplan!$F$5:$F$90,MATCH($E1081,Kontenplan!$A$5:$A$90,0)),""))</f>
        <v/>
      </c>
      <c r="S1081" s="35" t="str">
        <f aca="false">IF($D1081="","",IFERROR(INDEX(Kontenplan!$F$5:$F$90,MATCH($D1081,Kontenplan!$A$5:$A$90,0)),""))</f>
        <v/>
      </c>
      <c r="T1081" s="35" t="str">
        <f aca="false">IF($D1081="","",IFERROR(INDEX(Kontenplan!$C$5:$C$90,MATCH($D1081,Kontenplan!$A$5:$A$90,0)),"?"))</f>
        <v/>
      </c>
      <c r="U1081" s="35" t="str">
        <f aca="false">IF($E1081="","",IFERROR(INDEX(Kontenplan!$C$5:$C$90,MATCH($E1081,Kontenplan!$A$5:$A$90,0)),"?"))</f>
        <v/>
      </c>
      <c r="V1081" s="35" t="str">
        <f aca="false">IF($F1081="","",IF(OR($D1081="",$E1081="",$T1081="?",$U1081="?"),"Konto prüfen!",IF($A1081="","Datum fehlt",IF(YEAR($A1081)&lt;&gt;Einstellungen!$B$7,"anderes Jahr!",IF($G1081="","MWST-Code fehlt","OK")))))</f>
        <v/>
      </c>
      <c r="W1081" s="35" t="str">
        <f aca="false">IF($F1081="","",IF(OR($D1081=Kontoauszug!$C$4,$E1081=Kontoauszug!$C$4),MAX(W$4:W1080)+1,""))</f>
        <v/>
      </c>
    </row>
    <row r="1082" customFormat="false" ht="15" hidden="false" customHeight="false" outlineLevel="0" collapsed="false">
      <c r="A1082" s="33"/>
      <c r="B1082" s="32"/>
      <c r="C1082" s="32"/>
      <c r="D1082" s="32"/>
      <c r="E1082" s="32"/>
      <c r="F1082" s="30"/>
      <c r="G1082" s="32"/>
      <c r="H1082" s="34" t="n">
        <f aca="false">IF($G1082="",0,IFERROR(INDEX(Einstellungen!$G$5:$G$11,MATCH($G1082,Einstellungen!$E$5:$E$11,0)),0))</f>
        <v>0</v>
      </c>
      <c r="I1082" s="35" t="str">
        <f aca="false">IF($G1082="","-",IFERROR(INDEX(Einstellungen!$H$5:$H$11,MATCH($G1082,Einstellungen!$E$5:$E$11,0)),"-"))</f>
        <v>-</v>
      </c>
      <c r="J1082" s="35" t="str">
        <f aca="false">IF(AND(Einstellungen!$B$8="Ja",Einstellungen!$B$9="Effektiv"),$I1082,"-")</f>
        <v>-</v>
      </c>
      <c r="K1082" s="31" t="n">
        <f aca="false">IF(OR($F1082="",$J1082="-"),0,ROUND($F1082-$F1082/(1+$H1082),2))</f>
        <v>0</v>
      </c>
      <c r="L1082" s="31" t="n">
        <f aca="false">IF($F1082="",0,$F1082-$K1082)</f>
        <v>0</v>
      </c>
      <c r="M1082" s="31" t="n">
        <f aca="false">IF($F1082="",0,IF($J1082="V",$L1082,$F1082))</f>
        <v>0</v>
      </c>
      <c r="N1082" s="31" t="n">
        <f aca="false">IF($F1082="",0,IF($J1082="U",$L1082,$F1082))</f>
        <v>0</v>
      </c>
      <c r="O1082" s="35" t="str">
        <f aca="false">IF($A1082="","",MONTH($A1082))</f>
        <v/>
      </c>
      <c r="P1082" s="35" t="str">
        <f aca="false">IF($A1082="","",ROUNDUP(MONTH($A1082)/3,0))</f>
        <v/>
      </c>
      <c r="Q1082" s="35" t="str">
        <f aca="false">IF($A1082="","",IF(MONTH($A1082)&lt;=6,1,2))</f>
        <v/>
      </c>
      <c r="R1082" s="35" t="str">
        <f aca="false">IF($E1082="","",IFERROR(INDEX(Kontenplan!$F$5:$F$90,MATCH($E1082,Kontenplan!$A$5:$A$90,0)),""))</f>
        <v/>
      </c>
      <c r="S1082" s="35" t="str">
        <f aca="false">IF($D1082="","",IFERROR(INDEX(Kontenplan!$F$5:$F$90,MATCH($D1082,Kontenplan!$A$5:$A$90,0)),""))</f>
        <v/>
      </c>
      <c r="T1082" s="35" t="str">
        <f aca="false">IF($D1082="","",IFERROR(INDEX(Kontenplan!$C$5:$C$90,MATCH($D1082,Kontenplan!$A$5:$A$90,0)),"?"))</f>
        <v/>
      </c>
      <c r="U1082" s="35" t="str">
        <f aca="false">IF($E1082="","",IFERROR(INDEX(Kontenplan!$C$5:$C$90,MATCH($E1082,Kontenplan!$A$5:$A$90,0)),"?"))</f>
        <v/>
      </c>
      <c r="V1082" s="35" t="str">
        <f aca="false">IF($F1082="","",IF(OR($D1082="",$E1082="",$T1082="?",$U1082="?"),"Konto prüfen!",IF($A1082="","Datum fehlt",IF(YEAR($A1082)&lt;&gt;Einstellungen!$B$7,"anderes Jahr!",IF($G1082="","MWST-Code fehlt","OK")))))</f>
        <v/>
      </c>
      <c r="W1082" s="35" t="str">
        <f aca="false">IF($F1082="","",IF(OR($D1082=Kontoauszug!$C$4,$E1082=Kontoauszug!$C$4),MAX(W$4:W1081)+1,""))</f>
        <v/>
      </c>
    </row>
    <row r="1083" customFormat="false" ht="15" hidden="false" customHeight="false" outlineLevel="0" collapsed="false">
      <c r="A1083" s="33"/>
      <c r="B1083" s="32"/>
      <c r="C1083" s="32"/>
      <c r="D1083" s="32"/>
      <c r="E1083" s="32"/>
      <c r="F1083" s="30"/>
      <c r="G1083" s="32"/>
      <c r="H1083" s="34" t="n">
        <f aca="false">IF($G1083="",0,IFERROR(INDEX(Einstellungen!$G$5:$G$11,MATCH($G1083,Einstellungen!$E$5:$E$11,0)),0))</f>
        <v>0</v>
      </c>
      <c r="I1083" s="35" t="str">
        <f aca="false">IF($G1083="","-",IFERROR(INDEX(Einstellungen!$H$5:$H$11,MATCH($G1083,Einstellungen!$E$5:$E$11,0)),"-"))</f>
        <v>-</v>
      </c>
      <c r="J1083" s="35" t="str">
        <f aca="false">IF(AND(Einstellungen!$B$8="Ja",Einstellungen!$B$9="Effektiv"),$I1083,"-")</f>
        <v>-</v>
      </c>
      <c r="K1083" s="31" t="n">
        <f aca="false">IF(OR($F1083="",$J1083="-"),0,ROUND($F1083-$F1083/(1+$H1083),2))</f>
        <v>0</v>
      </c>
      <c r="L1083" s="31" t="n">
        <f aca="false">IF($F1083="",0,$F1083-$K1083)</f>
        <v>0</v>
      </c>
      <c r="M1083" s="31" t="n">
        <f aca="false">IF($F1083="",0,IF($J1083="V",$L1083,$F1083))</f>
        <v>0</v>
      </c>
      <c r="N1083" s="31" t="n">
        <f aca="false">IF($F1083="",0,IF($J1083="U",$L1083,$F1083))</f>
        <v>0</v>
      </c>
      <c r="O1083" s="35" t="str">
        <f aca="false">IF($A1083="","",MONTH($A1083))</f>
        <v/>
      </c>
      <c r="P1083" s="35" t="str">
        <f aca="false">IF($A1083="","",ROUNDUP(MONTH($A1083)/3,0))</f>
        <v/>
      </c>
      <c r="Q1083" s="35" t="str">
        <f aca="false">IF($A1083="","",IF(MONTH($A1083)&lt;=6,1,2))</f>
        <v/>
      </c>
      <c r="R1083" s="35" t="str">
        <f aca="false">IF($E1083="","",IFERROR(INDEX(Kontenplan!$F$5:$F$90,MATCH($E1083,Kontenplan!$A$5:$A$90,0)),""))</f>
        <v/>
      </c>
      <c r="S1083" s="35" t="str">
        <f aca="false">IF($D1083="","",IFERROR(INDEX(Kontenplan!$F$5:$F$90,MATCH($D1083,Kontenplan!$A$5:$A$90,0)),""))</f>
        <v/>
      </c>
      <c r="T1083" s="35" t="str">
        <f aca="false">IF($D1083="","",IFERROR(INDEX(Kontenplan!$C$5:$C$90,MATCH($D1083,Kontenplan!$A$5:$A$90,0)),"?"))</f>
        <v/>
      </c>
      <c r="U1083" s="35" t="str">
        <f aca="false">IF($E1083="","",IFERROR(INDEX(Kontenplan!$C$5:$C$90,MATCH($E1083,Kontenplan!$A$5:$A$90,0)),"?"))</f>
        <v/>
      </c>
      <c r="V1083" s="35" t="str">
        <f aca="false">IF($F1083="","",IF(OR($D1083="",$E1083="",$T1083="?",$U1083="?"),"Konto prüfen!",IF($A1083="","Datum fehlt",IF(YEAR($A1083)&lt;&gt;Einstellungen!$B$7,"anderes Jahr!",IF($G1083="","MWST-Code fehlt","OK")))))</f>
        <v/>
      </c>
      <c r="W1083" s="35" t="str">
        <f aca="false">IF($F1083="","",IF(OR($D1083=Kontoauszug!$C$4,$E1083=Kontoauszug!$C$4),MAX(W$4:W1082)+1,""))</f>
        <v/>
      </c>
    </row>
    <row r="1084" customFormat="false" ht="15" hidden="false" customHeight="false" outlineLevel="0" collapsed="false">
      <c r="A1084" s="33"/>
      <c r="B1084" s="32"/>
      <c r="C1084" s="32"/>
      <c r="D1084" s="32"/>
      <c r="E1084" s="32"/>
      <c r="F1084" s="30"/>
      <c r="G1084" s="32"/>
      <c r="H1084" s="34" t="n">
        <f aca="false">IF($G1084="",0,IFERROR(INDEX(Einstellungen!$G$5:$G$11,MATCH($G1084,Einstellungen!$E$5:$E$11,0)),0))</f>
        <v>0</v>
      </c>
      <c r="I1084" s="35" t="str">
        <f aca="false">IF($G1084="","-",IFERROR(INDEX(Einstellungen!$H$5:$H$11,MATCH($G1084,Einstellungen!$E$5:$E$11,0)),"-"))</f>
        <v>-</v>
      </c>
      <c r="J1084" s="35" t="str">
        <f aca="false">IF(AND(Einstellungen!$B$8="Ja",Einstellungen!$B$9="Effektiv"),$I1084,"-")</f>
        <v>-</v>
      </c>
      <c r="K1084" s="31" t="n">
        <f aca="false">IF(OR($F1084="",$J1084="-"),0,ROUND($F1084-$F1084/(1+$H1084),2))</f>
        <v>0</v>
      </c>
      <c r="L1084" s="31" t="n">
        <f aca="false">IF($F1084="",0,$F1084-$K1084)</f>
        <v>0</v>
      </c>
      <c r="M1084" s="31" t="n">
        <f aca="false">IF($F1084="",0,IF($J1084="V",$L1084,$F1084))</f>
        <v>0</v>
      </c>
      <c r="N1084" s="31" t="n">
        <f aca="false">IF($F1084="",0,IF($J1084="U",$L1084,$F1084))</f>
        <v>0</v>
      </c>
      <c r="O1084" s="35" t="str">
        <f aca="false">IF($A1084="","",MONTH($A1084))</f>
        <v/>
      </c>
      <c r="P1084" s="35" t="str">
        <f aca="false">IF($A1084="","",ROUNDUP(MONTH($A1084)/3,0))</f>
        <v/>
      </c>
      <c r="Q1084" s="35" t="str">
        <f aca="false">IF($A1084="","",IF(MONTH($A1084)&lt;=6,1,2))</f>
        <v/>
      </c>
      <c r="R1084" s="35" t="str">
        <f aca="false">IF($E1084="","",IFERROR(INDEX(Kontenplan!$F$5:$F$90,MATCH($E1084,Kontenplan!$A$5:$A$90,0)),""))</f>
        <v/>
      </c>
      <c r="S1084" s="35" t="str">
        <f aca="false">IF($D1084="","",IFERROR(INDEX(Kontenplan!$F$5:$F$90,MATCH($D1084,Kontenplan!$A$5:$A$90,0)),""))</f>
        <v/>
      </c>
      <c r="T1084" s="35" t="str">
        <f aca="false">IF($D1084="","",IFERROR(INDEX(Kontenplan!$C$5:$C$90,MATCH($D1084,Kontenplan!$A$5:$A$90,0)),"?"))</f>
        <v/>
      </c>
      <c r="U1084" s="35" t="str">
        <f aca="false">IF($E1084="","",IFERROR(INDEX(Kontenplan!$C$5:$C$90,MATCH($E1084,Kontenplan!$A$5:$A$90,0)),"?"))</f>
        <v/>
      </c>
      <c r="V1084" s="35" t="str">
        <f aca="false">IF($F1084="","",IF(OR($D1084="",$E1084="",$T1084="?",$U1084="?"),"Konto prüfen!",IF($A1084="","Datum fehlt",IF(YEAR($A1084)&lt;&gt;Einstellungen!$B$7,"anderes Jahr!",IF($G1084="","MWST-Code fehlt","OK")))))</f>
        <v/>
      </c>
      <c r="W1084" s="35" t="str">
        <f aca="false">IF($F1084="","",IF(OR($D1084=Kontoauszug!$C$4,$E1084=Kontoauszug!$C$4),MAX(W$4:W1083)+1,""))</f>
        <v/>
      </c>
    </row>
    <row r="1085" customFormat="false" ht="15" hidden="false" customHeight="false" outlineLevel="0" collapsed="false">
      <c r="A1085" s="33"/>
      <c r="B1085" s="32"/>
      <c r="C1085" s="32"/>
      <c r="D1085" s="32"/>
      <c r="E1085" s="32"/>
      <c r="F1085" s="30"/>
      <c r="G1085" s="32"/>
      <c r="H1085" s="34" t="n">
        <f aca="false">IF($G1085="",0,IFERROR(INDEX(Einstellungen!$G$5:$G$11,MATCH($G1085,Einstellungen!$E$5:$E$11,0)),0))</f>
        <v>0</v>
      </c>
      <c r="I1085" s="35" t="str">
        <f aca="false">IF($G1085="","-",IFERROR(INDEX(Einstellungen!$H$5:$H$11,MATCH($G1085,Einstellungen!$E$5:$E$11,0)),"-"))</f>
        <v>-</v>
      </c>
      <c r="J1085" s="35" t="str">
        <f aca="false">IF(AND(Einstellungen!$B$8="Ja",Einstellungen!$B$9="Effektiv"),$I1085,"-")</f>
        <v>-</v>
      </c>
      <c r="K1085" s="31" t="n">
        <f aca="false">IF(OR($F1085="",$J1085="-"),0,ROUND($F1085-$F1085/(1+$H1085),2))</f>
        <v>0</v>
      </c>
      <c r="L1085" s="31" t="n">
        <f aca="false">IF($F1085="",0,$F1085-$K1085)</f>
        <v>0</v>
      </c>
      <c r="M1085" s="31" t="n">
        <f aca="false">IF($F1085="",0,IF($J1085="V",$L1085,$F1085))</f>
        <v>0</v>
      </c>
      <c r="N1085" s="31" t="n">
        <f aca="false">IF($F1085="",0,IF($J1085="U",$L1085,$F1085))</f>
        <v>0</v>
      </c>
      <c r="O1085" s="35" t="str">
        <f aca="false">IF($A1085="","",MONTH($A1085))</f>
        <v/>
      </c>
      <c r="P1085" s="35" t="str">
        <f aca="false">IF($A1085="","",ROUNDUP(MONTH($A1085)/3,0))</f>
        <v/>
      </c>
      <c r="Q1085" s="35" t="str">
        <f aca="false">IF($A1085="","",IF(MONTH($A1085)&lt;=6,1,2))</f>
        <v/>
      </c>
      <c r="R1085" s="35" t="str">
        <f aca="false">IF($E1085="","",IFERROR(INDEX(Kontenplan!$F$5:$F$90,MATCH($E1085,Kontenplan!$A$5:$A$90,0)),""))</f>
        <v/>
      </c>
      <c r="S1085" s="35" t="str">
        <f aca="false">IF($D1085="","",IFERROR(INDEX(Kontenplan!$F$5:$F$90,MATCH($D1085,Kontenplan!$A$5:$A$90,0)),""))</f>
        <v/>
      </c>
      <c r="T1085" s="35" t="str">
        <f aca="false">IF($D1085="","",IFERROR(INDEX(Kontenplan!$C$5:$C$90,MATCH($D1085,Kontenplan!$A$5:$A$90,0)),"?"))</f>
        <v/>
      </c>
      <c r="U1085" s="35" t="str">
        <f aca="false">IF($E1085="","",IFERROR(INDEX(Kontenplan!$C$5:$C$90,MATCH($E1085,Kontenplan!$A$5:$A$90,0)),"?"))</f>
        <v/>
      </c>
      <c r="V1085" s="35" t="str">
        <f aca="false">IF($F1085="","",IF(OR($D1085="",$E1085="",$T1085="?",$U1085="?"),"Konto prüfen!",IF($A1085="","Datum fehlt",IF(YEAR($A1085)&lt;&gt;Einstellungen!$B$7,"anderes Jahr!",IF($G1085="","MWST-Code fehlt","OK")))))</f>
        <v/>
      </c>
      <c r="W1085" s="35" t="str">
        <f aca="false">IF($F1085="","",IF(OR($D1085=Kontoauszug!$C$4,$E1085=Kontoauszug!$C$4),MAX(W$4:W1084)+1,""))</f>
        <v/>
      </c>
    </row>
    <row r="1086" customFormat="false" ht="15" hidden="false" customHeight="false" outlineLevel="0" collapsed="false">
      <c r="A1086" s="33"/>
      <c r="B1086" s="32"/>
      <c r="C1086" s="32"/>
      <c r="D1086" s="32"/>
      <c r="E1086" s="32"/>
      <c r="F1086" s="30"/>
      <c r="G1086" s="32"/>
      <c r="H1086" s="34" t="n">
        <f aca="false">IF($G1086="",0,IFERROR(INDEX(Einstellungen!$G$5:$G$11,MATCH($G1086,Einstellungen!$E$5:$E$11,0)),0))</f>
        <v>0</v>
      </c>
      <c r="I1086" s="35" t="str">
        <f aca="false">IF($G1086="","-",IFERROR(INDEX(Einstellungen!$H$5:$H$11,MATCH($G1086,Einstellungen!$E$5:$E$11,0)),"-"))</f>
        <v>-</v>
      </c>
      <c r="J1086" s="35" t="str">
        <f aca="false">IF(AND(Einstellungen!$B$8="Ja",Einstellungen!$B$9="Effektiv"),$I1086,"-")</f>
        <v>-</v>
      </c>
      <c r="K1086" s="31" t="n">
        <f aca="false">IF(OR($F1086="",$J1086="-"),0,ROUND($F1086-$F1086/(1+$H1086),2))</f>
        <v>0</v>
      </c>
      <c r="L1086" s="31" t="n">
        <f aca="false">IF($F1086="",0,$F1086-$K1086)</f>
        <v>0</v>
      </c>
      <c r="M1086" s="31" t="n">
        <f aca="false">IF($F1086="",0,IF($J1086="V",$L1086,$F1086))</f>
        <v>0</v>
      </c>
      <c r="N1086" s="31" t="n">
        <f aca="false">IF($F1086="",0,IF($J1086="U",$L1086,$F1086))</f>
        <v>0</v>
      </c>
      <c r="O1086" s="35" t="str">
        <f aca="false">IF($A1086="","",MONTH($A1086))</f>
        <v/>
      </c>
      <c r="P1086" s="35" t="str">
        <f aca="false">IF($A1086="","",ROUNDUP(MONTH($A1086)/3,0))</f>
        <v/>
      </c>
      <c r="Q1086" s="35" t="str">
        <f aca="false">IF($A1086="","",IF(MONTH($A1086)&lt;=6,1,2))</f>
        <v/>
      </c>
      <c r="R1086" s="35" t="str">
        <f aca="false">IF($E1086="","",IFERROR(INDEX(Kontenplan!$F$5:$F$90,MATCH($E1086,Kontenplan!$A$5:$A$90,0)),""))</f>
        <v/>
      </c>
      <c r="S1086" s="35" t="str">
        <f aca="false">IF($D1086="","",IFERROR(INDEX(Kontenplan!$F$5:$F$90,MATCH($D1086,Kontenplan!$A$5:$A$90,0)),""))</f>
        <v/>
      </c>
      <c r="T1086" s="35" t="str">
        <f aca="false">IF($D1086="","",IFERROR(INDEX(Kontenplan!$C$5:$C$90,MATCH($D1086,Kontenplan!$A$5:$A$90,0)),"?"))</f>
        <v/>
      </c>
      <c r="U1086" s="35" t="str">
        <f aca="false">IF($E1086="","",IFERROR(INDEX(Kontenplan!$C$5:$C$90,MATCH($E1086,Kontenplan!$A$5:$A$90,0)),"?"))</f>
        <v/>
      </c>
      <c r="V1086" s="35" t="str">
        <f aca="false">IF($F1086="","",IF(OR($D1086="",$E1086="",$T1086="?",$U1086="?"),"Konto prüfen!",IF($A1086="","Datum fehlt",IF(YEAR($A1086)&lt;&gt;Einstellungen!$B$7,"anderes Jahr!",IF($G1086="","MWST-Code fehlt","OK")))))</f>
        <v/>
      </c>
      <c r="W1086" s="35" t="str">
        <f aca="false">IF($F1086="","",IF(OR($D1086=Kontoauszug!$C$4,$E1086=Kontoauszug!$C$4),MAX(W$4:W1085)+1,""))</f>
        <v/>
      </c>
    </row>
    <row r="1087" customFormat="false" ht="15" hidden="false" customHeight="false" outlineLevel="0" collapsed="false">
      <c r="A1087" s="33"/>
      <c r="B1087" s="32"/>
      <c r="C1087" s="32"/>
      <c r="D1087" s="32"/>
      <c r="E1087" s="32"/>
      <c r="F1087" s="30"/>
      <c r="G1087" s="32"/>
      <c r="H1087" s="34" t="n">
        <f aca="false">IF($G1087="",0,IFERROR(INDEX(Einstellungen!$G$5:$G$11,MATCH($G1087,Einstellungen!$E$5:$E$11,0)),0))</f>
        <v>0</v>
      </c>
      <c r="I1087" s="35" t="str">
        <f aca="false">IF($G1087="","-",IFERROR(INDEX(Einstellungen!$H$5:$H$11,MATCH($G1087,Einstellungen!$E$5:$E$11,0)),"-"))</f>
        <v>-</v>
      </c>
      <c r="J1087" s="35" t="str">
        <f aca="false">IF(AND(Einstellungen!$B$8="Ja",Einstellungen!$B$9="Effektiv"),$I1087,"-")</f>
        <v>-</v>
      </c>
      <c r="K1087" s="31" t="n">
        <f aca="false">IF(OR($F1087="",$J1087="-"),0,ROUND($F1087-$F1087/(1+$H1087),2))</f>
        <v>0</v>
      </c>
      <c r="L1087" s="31" t="n">
        <f aca="false">IF($F1087="",0,$F1087-$K1087)</f>
        <v>0</v>
      </c>
      <c r="M1087" s="31" t="n">
        <f aca="false">IF($F1087="",0,IF($J1087="V",$L1087,$F1087))</f>
        <v>0</v>
      </c>
      <c r="N1087" s="31" t="n">
        <f aca="false">IF($F1087="",0,IF($J1087="U",$L1087,$F1087))</f>
        <v>0</v>
      </c>
      <c r="O1087" s="35" t="str">
        <f aca="false">IF($A1087="","",MONTH($A1087))</f>
        <v/>
      </c>
      <c r="P1087" s="35" t="str">
        <f aca="false">IF($A1087="","",ROUNDUP(MONTH($A1087)/3,0))</f>
        <v/>
      </c>
      <c r="Q1087" s="35" t="str">
        <f aca="false">IF($A1087="","",IF(MONTH($A1087)&lt;=6,1,2))</f>
        <v/>
      </c>
      <c r="R1087" s="35" t="str">
        <f aca="false">IF($E1087="","",IFERROR(INDEX(Kontenplan!$F$5:$F$90,MATCH($E1087,Kontenplan!$A$5:$A$90,0)),""))</f>
        <v/>
      </c>
      <c r="S1087" s="35" t="str">
        <f aca="false">IF($D1087="","",IFERROR(INDEX(Kontenplan!$F$5:$F$90,MATCH($D1087,Kontenplan!$A$5:$A$90,0)),""))</f>
        <v/>
      </c>
      <c r="T1087" s="35" t="str">
        <f aca="false">IF($D1087="","",IFERROR(INDEX(Kontenplan!$C$5:$C$90,MATCH($D1087,Kontenplan!$A$5:$A$90,0)),"?"))</f>
        <v/>
      </c>
      <c r="U1087" s="35" t="str">
        <f aca="false">IF($E1087="","",IFERROR(INDEX(Kontenplan!$C$5:$C$90,MATCH($E1087,Kontenplan!$A$5:$A$90,0)),"?"))</f>
        <v/>
      </c>
      <c r="V1087" s="35" t="str">
        <f aca="false">IF($F1087="","",IF(OR($D1087="",$E1087="",$T1087="?",$U1087="?"),"Konto prüfen!",IF($A1087="","Datum fehlt",IF(YEAR($A1087)&lt;&gt;Einstellungen!$B$7,"anderes Jahr!",IF($G1087="","MWST-Code fehlt","OK")))))</f>
        <v/>
      </c>
      <c r="W1087" s="35" t="str">
        <f aca="false">IF($F1087="","",IF(OR($D1087=Kontoauszug!$C$4,$E1087=Kontoauszug!$C$4),MAX(W$4:W1086)+1,""))</f>
        <v/>
      </c>
    </row>
    <row r="1088" customFormat="false" ht="15" hidden="false" customHeight="false" outlineLevel="0" collapsed="false">
      <c r="A1088" s="33"/>
      <c r="B1088" s="32"/>
      <c r="C1088" s="32"/>
      <c r="D1088" s="32"/>
      <c r="E1088" s="32"/>
      <c r="F1088" s="30"/>
      <c r="G1088" s="32"/>
      <c r="H1088" s="34" t="n">
        <f aca="false">IF($G1088="",0,IFERROR(INDEX(Einstellungen!$G$5:$G$11,MATCH($G1088,Einstellungen!$E$5:$E$11,0)),0))</f>
        <v>0</v>
      </c>
      <c r="I1088" s="35" t="str">
        <f aca="false">IF($G1088="","-",IFERROR(INDEX(Einstellungen!$H$5:$H$11,MATCH($G1088,Einstellungen!$E$5:$E$11,0)),"-"))</f>
        <v>-</v>
      </c>
      <c r="J1088" s="35" t="str">
        <f aca="false">IF(AND(Einstellungen!$B$8="Ja",Einstellungen!$B$9="Effektiv"),$I1088,"-")</f>
        <v>-</v>
      </c>
      <c r="K1088" s="31" t="n">
        <f aca="false">IF(OR($F1088="",$J1088="-"),0,ROUND($F1088-$F1088/(1+$H1088),2))</f>
        <v>0</v>
      </c>
      <c r="L1088" s="31" t="n">
        <f aca="false">IF($F1088="",0,$F1088-$K1088)</f>
        <v>0</v>
      </c>
      <c r="M1088" s="31" t="n">
        <f aca="false">IF($F1088="",0,IF($J1088="V",$L1088,$F1088))</f>
        <v>0</v>
      </c>
      <c r="N1088" s="31" t="n">
        <f aca="false">IF($F1088="",0,IF($J1088="U",$L1088,$F1088))</f>
        <v>0</v>
      </c>
      <c r="O1088" s="35" t="str">
        <f aca="false">IF($A1088="","",MONTH($A1088))</f>
        <v/>
      </c>
      <c r="P1088" s="35" t="str">
        <f aca="false">IF($A1088="","",ROUNDUP(MONTH($A1088)/3,0))</f>
        <v/>
      </c>
      <c r="Q1088" s="35" t="str">
        <f aca="false">IF($A1088="","",IF(MONTH($A1088)&lt;=6,1,2))</f>
        <v/>
      </c>
      <c r="R1088" s="35" t="str">
        <f aca="false">IF($E1088="","",IFERROR(INDEX(Kontenplan!$F$5:$F$90,MATCH($E1088,Kontenplan!$A$5:$A$90,0)),""))</f>
        <v/>
      </c>
      <c r="S1088" s="35" t="str">
        <f aca="false">IF($D1088="","",IFERROR(INDEX(Kontenplan!$F$5:$F$90,MATCH($D1088,Kontenplan!$A$5:$A$90,0)),""))</f>
        <v/>
      </c>
      <c r="T1088" s="35" t="str">
        <f aca="false">IF($D1088="","",IFERROR(INDEX(Kontenplan!$C$5:$C$90,MATCH($D1088,Kontenplan!$A$5:$A$90,0)),"?"))</f>
        <v/>
      </c>
      <c r="U1088" s="35" t="str">
        <f aca="false">IF($E1088="","",IFERROR(INDEX(Kontenplan!$C$5:$C$90,MATCH($E1088,Kontenplan!$A$5:$A$90,0)),"?"))</f>
        <v/>
      </c>
      <c r="V1088" s="35" t="str">
        <f aca="false">IF($F1088="","",IF(OR($D1088="",$E1088="",$T1088="?",$U1088="?"),"Konto prüfen!",IF($A1088="","Datum fehlt",IF(YEAR($A1088)&lt;&gt;Einstellungen!$B$7,"anderes Jahr!",IF($G1088="","MWST-Code fehlt","OK")))))</f>
        <v/>
      </c>
      <c r="W1088" s="35" t="str">
        <f aca="false">IF($F1088="","",IF(OR($D1088=Kontoauszug!$C$4,$E1088=Kontoauszug!$C$4),MAX(W$4:W1087)+1,""))</f>
        <v/>
      </c>
    </row>
    <row r="1089" customFormat="false" ht="15" hidden="false" customHeight="false" outlineLevel="0" collapsed="false">
      <c r="A1089" s="33"/>
      <c r="B1089" s="32"/>
      <c r="C1089" s="32"/>
      <c r="D1089" s="32"/>
      <c r="E1089" s="32"/>
      <c r="F1089" s="30"/>
      <c r="G1089" s="32"/>
      <c r="H1089" s="34" t="n">
        <f aca="false">IF($G1089="",0,IFERROR(INDEX(Einstellungen!$G$5:$G$11,MATCH($G1089,Einstellungen!$E$5:$E$11,0)),0))</f>
        <v>0</v>
      </c>
      <c r="I1089" s="35" t="str">
        <f aca="false">IF($G1089="","-",IFERROR(INDEX(Einstellungen!$H$5:$H$11,MATCH($G1089,Einstellungen!$E$5:$E$11,0)),"-"))</f>
        <v>-</v>
      </c>
      <c r="J1089" s="35" t="str">
        <f aca="false">IF(AND(Einstellungen!$B$8="Ja",Einstellungen!$B$9="Effektiv"),$I1089,"-")</f>
        <v>-</v>
      </c>
      <c r="K1089" s="31" t="n">
        <f aca="false">IF(OR($F1089="",$J1089="-"),0,ROUND($F1089-$F1089/(1+$H1089),2))</f>
        <v>0</v>
      </c>
      <c r="L1089" s="31" t="n">
        <f aca="false">IF($F1089="",0,$F1089-$K1089)</f>
        <v>0</v>
      </c>
      <c r="M1089" s="31" t="n">
        <f aca="false">IF($F1089="",0,IF($J1089="V",$L1089,$F1089))</f>
        <v>0</v>
      </c>
      <c r="N1089" s="31" t="n">
        <f aca="false">IF($F1089="",0,IF($J1089="U",$L1089,$F1089))</f>
        <v>0</v>
      </c>
      <c r="O1089" s="35" t="str">
        <f aca="false">IF($A1089="","",MONTH($A1089))</f>
        <v/>
      </c>
      <c r="P1089" s="35" t="str">
        <f aca="false">IF($A1089="","",ROUNDUP(MONTH($A1089)/3,0))</f>
        <v/>
      </c>
      <c r="Q1089" s="35" t="str">
        <f aca="false">IF($A1089="","",IF(MONTH($A1089)&lt;=6,1,2))</f>
        <v/>
      </c>
      <c r="R1089" s="35" t="str">
        <f aca="false">IF($E1089="","",IFERROR(INDEX(Kontenplan!$F$5:$F$90,MATCH($E1089,Kontenplan!$A$5:$A$90,0)),""))</f>
        <v/>
      </c>
      <c r="S1089" s="35" t="str">
        <f aca="false">IF($D1089="","",IFERROR(INDEX(Kontenplan!$F$5:$F$90,MATCH($D1089,Kontenplan!$A$5:$A$90,0)),""))</f>
        <v/>
      </c>
      <c r="T1089" s="35" t="str">
        <f aca="false">IF($D1089="","",IFERROR(INDEX(Kontenplan!$C$5:$C$90,MATCH($D1089,Kontenplan!$A$5:$A$90,0)),"?"))</f>
        <v/>
      </c>
      <c r="U1089" s="35" t="str">
        <f aca="false">IF($E1089="","",IFERROR(INDEX(Kontenplan!$C$5:$C$90,MATCH($E1089,Kontenplan!$A$5:$A$90,0)),"?"))</f>
        <v/>
      </c>
      <c r="V1089" s="35" t="str">
        <f aca="false">IF($F1089="","",IF(OR($D1089="",$E1089="",$T1089="?",$U1089="?"),"Konto prüfen!",IF($A1089="","Datum fehlt",IF(YEAR($A1089)&lt;&gt;Einstellungen!$B$7,"anderes Jahr!",IF($G1089="","MWST-Code fehlt","OK")))))</f>
        <v/>
      </c>
      <c r="W1089" s="35" t="str">
        <f aca="false">IF($F1089="","",IF(OR($D1089=Kontoauszug!$C$4,$E1089=Kontoauszug!$C$4),MAX(W$4:W1088)+1,""))</f>
        <v/>
      </c>
    </row>
    <row r="1090" customFormat="false" ht="15" hidden="false" customHeight="false" outlineLevel="0" collapsed="false">
      <c r="A1090" s="33"/>
      <c r="B1090" s="32"/>
      <c r="C1090" s="32"/>
      <c r="D1090" s="32"/>
      <c r="E1090" s="32"/>
      <c r="F1090" s="30"/>
      <c r="G1090" s="32"/>
      <c r="H1090" s="34" t="n">
        <f aca="false">IF($G1090="",0,IFERROR(INDEX(Einstellungen!$G$5:$G$11,MATCH($G1090,Einstellungen!$E$5:$E$11,0)),0))</f>
        <v>0</v>
      </c>
      <c r="I1090" s="35" t="str">
        <f aca="false">IF($G1090="","-",IFERROR(INDEX(Einstellungen!$H$5:$H$11,MATCH($G1090,Einstellungen!$E$5:$E$11,0)),"-"))</f>
        <v>-</v>
      </c>
      <c r="J1090" s="35" t="str">
        <f aca="false">IF(AND(Einstellungen!$B$8="Ja",Einstellungen!$B$9="Effektiv"),$I1090,"-")</f>
        <v>-</v>
      </c>
      <c r="K1090" s="31" t="n">
        <f aca="false">IF(OR($F1090="",$J1090="-"),0,ROUND($F1090-$F1090/(1+$H1090),2))</f>
        <v>0</v>
      </c>
      <c r="L1090" s="31" t="n">
        <f aca="false">IF($F1090="",0,$F1090-$K1090)</f>
        <v>0</v>
      </c>
      <c r="M1090" s="31" t="n">
        <f aca="false">IF($F1090="",0,IF($J1090="V",$L1090,$F1090))</f>
        <v>0</v>
      </c>
      <c r="N1090" s="31" t="n">
        <f aca="false">IF($F1090="",0,IF($J1090="U",$L1090,$F1090))</f>
        <v>0</v>
      </c>
      <c r="O1090" s="35" t="str">
        <f aca="false">IF($A1090="","",MONTH($A1090))</f>
        <v/>
      </c>
      <c r="P1090" s="35" t="str">
        <f aca="false">IF($A1090="","",ROUNDUP(MONTH($A1090)/3,0))</f>
        <v/>
      </c>
      <c r="Q1090" s="35" t="str">
        <f aca="false">IF($A1090="","",IF(MONTH($A1090)&lt;=6,1,2))</f>
        <v/>
      </c>
      <c r="R1090" s="35" t="str">
        <f aca="false">IF($E1090="","",IFERROR(INDEX(Kontenplan!$F$5:$F$90,MATCH($E1090,Kontenplan!$A$5:$A$90,0)),""))</f>
        <v/>
      </c>
      <c r="S1090" s="35" t="str">
        <f aca="false">IF($D1090="","",IFERROR(INDEX(Kontenplan!$F$5:$F$90,MATCH($D1090,Kontenplan!$A$5:$A$90,0)),""))</f>
        <v/>
      </c>
      <c r="T1090" s="35" t="str">
        <f aca="false">IF($D1090="","",IFERROR(INDEX(Kontenplan!$C$5:$C$90,MATCH($D1090,Kontenplan!$A$5:$A$90,0)),"?"))</f>
        <v/>
      </c>
      <c r="U1090" s="35" t="str">
        <f aca="false">IF($E1090="","",IFERROR(INDEX(Kontenplan!$C$5:$C$90,MATCH($E1090,Kontenplan!$A$5:$A$90,0)),"?"))</f>
        <v/>
      </c>
      <c r="V1090" s="35" t="str">
        <f aca="false">IF($F1090="","",IF(OR($D1090="",$E1090="",$T1090="?",$U1090="?"),"Konto prüfen!",IF($A1090="","Datum fehlt",IF(YEAR($A1090)&lt;&gt;Einstellungen!$B$7,"anderes Jahr!",IF($G1090="","MWST-Code fehlt","OK")))))</f>
        <v/>
      </c>
      <c r="W1090" s="35" t="str">
        <f aca="false">IF($F1090="","",IF(OR($D1090=Kontoauszug!$C$4,$E1090=Kontoauszug!$C$4),MAX(W$4:W1089)+1,""))</f>
        <v/>
      </c>
    </row>
    <row r="1091" customFormat="false" ht="15" hidden="false" customHeight="false" outlineLevel="0" collapsed="false">
      <c r="A1091" s="33"/>
      <c r="B1091" s="32"/>
      <c r="C1091" s="32"/>
      <c r="D1091" s="32"/>
      <c r="E1091" s="32"/>
      <c r="F1091" s="30"/>
      <c r="G1091" s="32"/>
      <c r="H1091" s="34" t="n">
        <f aca="false">IF($G1091="",0,IFERROR(INDEX(Einstellungen!$G$5:$G$11,MATCH($G1091,Einstellungen!$E$5:$E$11,0)),0))</f>
        <v>0</v>
      </c>
      <c r="I1091" s="35" t="str">
        <f aca="false">IF($G1091="","-",IFERROR(INDEX(Einstellungen!$H$5:$H$11,MATCH($G1091,Einstellungen!$E$5:$E$11,0)),"-"))</f>
        <v>-</v>
      </c>
      <c r="J1091" s="35" t="str">
        <f aca="false">IF(AND(Einstellungen!$B$8="Ja",Einstellungen!$B$9="Effektiv"),$I1091,"-")</f>
        <v>-</v>
      </c>
      <c r="K1091" s="31" t="n">
        <f aca="false">IF(OR($F1091="",$J1091="-"),0,ROUND($F1091-$F1091/(1+$H1091),2))</f>
        <v>0</v>
      </c>
      <c r="L1091" s="31" t="n">
        <f aca="false">IF($F1091="",0,$F1091-$K1091)</f>
        <v>0</v>
      </c>
      <c r="M1091" s="31" t="n">
        <f aca="false">IF($F1091="",0,IF($J1091="V",$L1091,$F1091))</f>
        <v>0</v>
      </c>
      <c r="N1091" s="31" t="n">
        <f aca="false">IF($F1091="",0,IF($J1091="U",$L1091,$F1091))</f>
        <v>0</v>
      </c>
      <c r="O1091" s="35" t="str">
        <f aca="false">IF($A1091="","",MONTH($A1091))</f>
        <v/>
      </c>
      <c r="P1091" s="35" t="str">
        <f aca="false">IF($A1091="","",ROUNDUP(MONTH($A1091)/3,0))</f>
        <v/>
      </c>
      <c r="Q1091" s="35" t="str">
        <f aca="false">IF($A1091="","",IF(MONTH($A1091)&lt;=6,1,2))</f>
        <v/>
      </c>
      <c r="R1091" s="35" t="str">
        <f aca="false">IF($E1091="","",IFERROR(INDEX(Kontenplan!$F$5:$F$90,MATCH($E1091,Kontenplan!$A$5:$A$90,0)),""))</f>
        <v/>
      </c>
      <c r="S1091" s="35" t="str">
        <f aca="false">IF($D1091="","",IFERROR(INDEX(Kontenplan!$F$5:$F$90,MATCH($D1091,Kontenplan!$A$5:$A$90,0)),""))</f>
        <v/>
      </c>
      <c r="T1091" s="35" t="str">
        <f aca="false">IF($D1091="","",IFERROR(INDEX(Kontenplan!$C$5:$C$90,MATCH($D1091,Kontenplan!$A$5:$A$90,0)),"?"))</f>
        <v/>
      </c>
      <c r="U1091" s="35" t="str">
        <f aca="false">IF($E1091="","",IFERROR(INDEX(Kontenplan!$C$5:$C$90,MATCH($E1091,Kontenplan!$A$5:$A$90,0)),"?"))</f>
        <v/>
      </c>
      <c r="V1091" s="35" t="str">
        <f aca="false">IF($F1091="","",IF(OR($D1091="",$E1091="",$T1091="?",$U1091="?"),"Konto prüfen!",IF($A1091="","Datum fehlt",IF(YEAR($A1091)&lt;&gt;Einstellungen!$B$7,"anderes Jahr!",IF($G1091="","MWST-Code fehlt","OK")))))</f>
        <v/>
      </c>
      <c r="W1091" s="35" t="str">
        <f aca="false">IF($F1091="","",IF(OR($D1091=Kontoauszug!$C$4,$E1091=Kontoauszug!$C$4),MAX(W$4:W1090)+1,""))</f>
        <v/>
      </c>
    </row>
    <row r="1092" customFormat="false" ht="15" hidden="false" customHeight="false" outlineLevel="0" collapsed="false">
      <c r="A1092" s="33"/>
      <c r="B1092" s="32"/>
      <c r="C1092" s="32"/>
      <c r="D1092" s="32"/>
      <c r="E1092" s="32"/>
      <c r="F1092" s="30"/>
      <c r="G1092" s="32"/>
      <c r="H1092" s="34" t="n">
        <f aca="false">IF($G1092="",0,IFERROR(INDEX(Einstellungen!$G$5:$G$11,MATCH($G1092,Einstellungen!$E$5:$E$11,0)),0))</f>
        <v>0</v>
      </c>
      <c r="I1092" s="35" t="str">
        <f aca="false">IF($G1092="","-",IFERROR(INDEX(Einstellungen!$H$5:$H$11,MATCH($G1092,Einstellungen!$E$5:$E$11,0)),"-"))</f>
        <v>-</v>
      </c>
      <c r="J1092" s="35" t="str">
        <f aca="false">IF(AND(Einstellungen!$B$8="Ja",Einstellungen!$B$9="Effektiv"),$I1092,"-")</f>
        <v>-</v>
      </c>
      <c r="K1092" s="31" t="n">
        <f aca="false">IF(OR($F1092="",$J1092="-"),0,ROUND($F1092-$F1092/(1+$H1092),2))</f>
        <v>0</v>
      </c>
      <c r="L1092" s="31" t="n">
        <f aca="false">IF($F1092="",0,$F1092-$K1092)</f>
        <v>0</v>
      </c>
      <c r="M1092" s="31" t="n">
        <f aca="false">IF($F1092="",0,IF($J1092="V",$L1092,$F1092))</f>
        <v>0</v>
      </c>
      <c r="N1092" s="31" t="n">
        <f aca="false">IF($F1092="",0,IF($J1092="U",$L1092,$F1092))</f>
        <v>0</v>
      </c>
      <c r="O1092" s="35" t="str">
        <f aca="false">IF($A1092="","",MONTH($A1092))</f>
        <v/>
      </c>
      <c r="P1092" s="35" t="str">
        <f aca="false">IF($A1092="","",ROUNDUP(MONTH($A1092)/3,0))</f>
        <v/>
      </c>
      <c r="Q1092" s="35" t="str">
        <f aca="false">IF($A1092="","",IF(MONTH($A1092)&lt;=6,1,2))</f>
        <v/>
      </c>
      <c r="R1092" s="35" t="str">
        <f aca="false">IF($E1092="","",IFERROR(INDEX(Kontenplan!$F$5:$F$90,MATCH($E1092,Kontenplan!$A$5:$A$90,0)),""))</f>
        <v/>
      </c>
      <c r="S1092" s="35" t="str">
        <f aca="false">IF($D1092="","",IFERROR(INDEX(Kontenplan!$F$5:$F$90,MATCH($D1092,Kontenplan!$A$5:$A$90,0)),""))</f>
        <v/>
      </c>
      <c r="T1092" s="35" t="str">
        <f aca="false">IF($D1092="","",IFERROR(INDEX(Kontenplan!$C$5:$C$90,MATCH($D1092,Kontenplan!$A$5:$A$90,0)),"?"))</f>
        <v/>
      </c>
      <c r="U1092" s="35" t="str">
        <f aca="false">IF($E1092="","",IFERROR(INDEX(Kontenplan!$C$5:$C$90,MATCH($E1092,Kontenplan!$A$5:$A$90,0)),"?"))</f>
        <v/>
      </c>
      <c r="V1092" s="35" t="str">
        <f aca="false">IF($F1092="","",IF(OR($D1092="",$E1092="",$T1092="?",$U1092="?"),"Konto prüfen!",IF($A1092="","Datum fehlt",IF(YEAR($A1092)&lt;&gt;Einstellungen!$B$7,"anderes Jahr!",IF($G1092="","MWST-Code fehlt","OK")))))</f>
        <v/>
      </c>
      <c r="W1092" s="35" t="str">
        <f aca="false">IF($F1092="","",IF(OR($D1092=Kontoauszug!$C$4,$E1092=Kontoauszug!$C$4),MAX(W$4:W1091)+1,""))</f>
        <v/>
      </c>
    </row>
    <row r="1093" customFormat="false" ht="15" hidden="false" customHeight="false" outlineLevel="0" collapsed="false">
      <c r="A1093" s="33"/>
      <c r="B1093" s="32"/>
      <c r="C1093" s="32"/>
      <c r="D1093" s="32"/>
      <c r="E1093" s="32"/>
      <c r="F1093" s="30"/>
      <c r="G1093" s="32"/>
      <c r="H1093" s="34" t="n">
        <f aca="false">IF($G1093="",0,IFERROR(INDEX(Einstellungen!$G$5:$G$11,MATCH($G1093,Einstellungen!$E$5:$E$11,0)),0))</f>
        <v>0</v>
      </c>
      <c r="I1093" s="35" t="str">
        <f aca="false">IF($G1093="","-",IFERROR(INDEX(Einstellungen!$H$5:$H$11,MATCH($G1093,Einstellungen!$E$5:$E$11,0)),"-"))</f>
        <v>-</v>
      </c>
      <c r="J1093" s="35" t="str">
        <f aca="false">IF(AND(Einstellungen!$B$8="Ja",Einstellungen!$B$9="Effektiv"),$I1093,"-")</f>
        <v>-</v>
      </c>
      <c r="K1093" s="31" t="n">
        <f aca="false">IF(OR($F1093="",$J1093="-"),0,ROUND($F1093-$F1093/(1+$H1093),2))</f>
        <v>0</v>
      </c>
      <c r="L1093" s="31" t="n">
        <f aca="false">IF($F1093="",0,$F1093-$K1093)</f>
        <v>0</v>
      </c>
      <c r="M1093" s="31" t="n">
        <f aca="false">IF($F1093="",0,IF($J1093="V",$L1093,$F1093))</f>
        <v>0</v>
      </c>
      <c r="N1093" s="31" t="n">
        <f aca="false">IF($F1093="",0,IF($J1093="U",$L1093,$F1093))</f>
        <v>0</v>
      </c>
      <c r="O1093" s="35" t="str">
        <f aca="false">IF($A1093="","",MONTH($A1093))</f>
        <v/>
      </c>
      <c r="P1093" s="35" t="str">
        <f aca="false">IF($A1093="","",ROUNDUP(MONTH($A1093)/3,0))</f>
        <v/>
      </c>
      <c r="Q1093" s="35" t="str">
        <f aca="false">IF($A1093="","",IF(MONTH($A1093)&lt;=6,1,2))</f>
        <v/>
      </c>
      <c r="R1093" s="35" t="str">
        <f aca="false">IF($E1093="","",IFERROR(INDEX(Kontenplan!$F$5:$F$90,MATCH($E1093,Kontenplan!$A$5:$A$90,0)),""))</f>
        <v/>
      </c>
      <c r="S1093" s="35" t="str">
        <f aca="false">IF($D1093="","",IFERROR(INDEX(Kontenplan!$F$5:$F$90,MATCH($D1093,Kontenplan!$A$5:$A$90,0)),""))</f>
        <v/>
      </c>
      <c r="T1093" s="35" t="str">
        <f aca="false">IF($D1093="","",IFERROR(INDEX(Kontenplan!$C$5:$C$90,MATCH($D1093,Kontenplan!$A$5:$A$90,0)),"?"))</f>
        <v/>
      </c>
      <c r="U1093" s="35" t="str">
        <f aca="false">IF($E1093="","",IFERROR(INDEX(Kontenplan!$C$5:$C$90,MATCH($E1093,Kontenplan!$A$5:$A$90,0)),"?"))</f>
        <v/>
      </c>
      <c r="V1093" s="35" t="str">
        <f aca="false">IF($F1093="","",IF(OR($D1093="",$E1093="",$T1093="?",$U1093="?"),"Konto prüfen!",IF($A1093="","Datum fehlt",IF(YEAR($A1093)&lt;&gt;Einstellungen!$B$7,"anderes Jahr!",IF($G1093="","MWST-Code fehlt","OK")))))</f>
        <v/>
      </c>
      <c r="W1093" s="35" t="str">
        <f aca="false">IF($F1093="","",IF(OR($D1093=Kontoauszug!$C$4,$E1093=Kontoauszug!$C$4),MAX(W$4:W1092)+1,""))</f>
        <v/>
      </c>
    </row>
    <row r="1094" customFormat="false" ht="15" hidden="false" customHeight="false" outlineLevel="0" collapsed="false">
      <c r="A1094" s="33"/>
      <c r="B1094" s="32"/>
      <c r="C1094" s="32"/>
      <c r="D1094" s="32"/>
      <c r="E1094" s="32"/>
      <c r="F1094" s="30"/>
      <c r="G1094" s="32"/>
      <c r="H1094" s="34" t="n">
        <f aca="false">IF($G1094="",0,IFERROR(INDEX(Einstellungen!$G$5:$G$11,MATCH($G1094,Einstellungen!$E$5:$E$11,0)),0))</f>
        <v>0</v>
      </c>
      <c r="I1094" s="35" t="str">
        <f aca="false">IF($G1094="","-",IFERROR(INDEX(Einstellungen!$H$5:$H$11,MATCH($G1094,Einstellungen!$E$5:$E$11,0)),"-"))</f>
        <v>-</v>
      </c>
      <c r="J1094" s="35" t="str">
        <f aca="false">IF(AND(Einstellungen!$B$8="Ja",Einstellungen!$B$9="Effektiv"),$I1094,"-")</f>
        <v>-</v>
      </c>
      <c r="K1094" s="31" t="n">
        <f aca="false">IF(OR($F1094="",$J1094="-"),0,ROUND($F1094-$F1094/(1+$H1094),2))</f>
        <v>0</v>
      </c>
      <c r="L1094" s="31" t="n">
        <f aca="false">IF($F1094="",0,$F1094-$K1094)</f>
        <v>0</v>
      </c>
      <c r="M1094" s="31" t="n">
        <f aca="false">IF($F1094="",0,IF($J1094="V",$L1094,$F1094))</f>
        <v>0</v>
      </c>
      <c r="N1094" s="31" t="n">
        <f aca="false">IF($F1094="",0,IF($J1094="U",$L1094,$F1094))</f>
        <v>0</v>
      </c>
      <c r="O1094" s="35" t="str">
        <f aca="false">IF($A1094="","",MONTH($A1094))</f>
        <v/>
      </c>
      <c r="P1094" s="35" t="str">
        <f aca="false">IF($A1094="","",ROUNDUP(MONTH($A1094)/3,0))</f>
        <v/>
      </c>
      <c r="Q1094" s="35" t="str">
        <f aca="false">IF($A1094="","",IF(MONTH($A1094)&lt;=6,1,2))</f>
        <v/>
      </c>
      <c r="R1094" s="35" t="str">
        <f aca="false">IF($E1094="","",IFERROR(INDEX(Kontenplan!$F$5:$F$90,MATCH($E1094,Kontenplan!$A$5:$A$90,0)),""))</f>
        <v/>
      </c>
      <c r="S1094" s="35" t="str">
        <f aca="false">IF($D1094="","",IFERROR(INDEX(Kontenplan!$F$5:$F$90,MATCH($D1094,Kontenplan!$A$5:$A$90,0)),""))</f>
        <v/>
      </c>
      <c r="T1094" s="35" t="str">
        <f aca="false">IF($D1094="","",IFERROR(INDEX(Kontenplan!$C$5:$C$90,MATCH($D1094,Kontenplan!$A$5:$A$90,0)),"?"))</f>
        <v/>
      </c>
      <c r="U1094" s="35" t="str">
        <f aca="false">IF($E1094="","",IFERROR(INDEX(Kontenplan!$C$5:$C$90,MATCH($E1094,Kontenplan!$A$5:$A$90,0)),"?"))</f>
        <v/>
      </c>
      <c r="V1094" s="35" t="str">
        <f aca="false">IF($F1094="","",IF(OR($D1094="",$E1094="",$T1094="?",$U1094="?"),"Konto prüfen!",IF($A1094="","Datum fehlt",IF(YEAR($A1094)&lt;&gt;Einstellungen!$B$7,"anderes Jahr!",IF($G1094="","MWST-Code fehlt","OK")))))</f>
        <v/>
      </c>
      <c r="W1094" s="35" t="str">
        <f aca="false">IF($F1094="","",IF(OR($D1094=Kontoauszug!$C$4,$E1094=Kontoauszug!$C$4),MAX(W$4:W1093)+1,""))</f>
        <v/>
      </c>
    </row>
    <row r="1095" customFormat="false" ht="15" hidden="false" customHeight="false" outlineLevel="0" collapsed="false">
      <c r="A1095" s="33"/>
      <c r="B1095" s="32"/>
      <c r="C1095" s="32"/>
      <c r="D1095" s="32"/>
      <c r="E1095" s="32"/>
      <c r="F1095" s="30"/>
      <c r="G1095" s="32"/>
      <c r="H1095" s="34" t="n">
        <f aca="false">IF($G1095="",0,IFERROR(INDEX(Einstellungen!$G$5:$G$11,MATCH($G1095,Einstellungen!$E$5:$E$11,0)),0))</f>
        <v>0</v>
      </c>
      <c r="I1095" s="35" t="str">
        <f aca="false">IF($G1095="","-",IFERROR(INDEX(Einstellungen!$H$5:$H$11,MATCH($G1095,Einstellungen!$E$5:$E$11,0)),"-"))</f>
        <v>-</v>
      </c>
      <c r="J1095" s="35" t="str">
        <f aca="false">IF(AND(Einstellungen!$B$8="Ja",Einstellungen!$B$9="Effektiv"),$I1095,"-")</f>
        <v>-</v>
      </c>
      <c r="K1095" s="31" t="n">
        <f aca="false">IF(OR($F1095="",$J1095="-"),0,ROUND($F1095-$F1095/(1+$H1095),2))</f>
        <v>0</v>
      </c>
      <c r="L1095" s="31" t="n">
        <f aca="false">IF($F1095="",0,$F1095-$K1095)</f>
        <v>0</v>
      </c>
      <c r="M1095" s="31" t="n">
        <f aca="false">IF($F1095="",0,IF($J1095="V",$L1095,$F1095))</f>
        <v>0</v>
      </c>
      <c r="N1095" s="31" t="n">
        <f aca="false">IF($F1095="",0,IF($J1095="U",$L1095,$F1095))</f>
        <v>0</v>
      </c>
      <c r="O1095" s="35" t="str">
        <f aca="false">IF($A1095="","",MONTH($A1095))</f>
        <v/>
      </c>
      <c r="P1095" s="35" t="str">
        <f aca="false">IF($A1095="","",ROUNDUP(MONTH($A1095)/3,0))</f>
        <v/>
      </c>
      <c r="Q1095" s="35" t="str">
        <f aca="false">IF($A1095="","",IF(MONTH($A1095)&lt;=6,1,2))</f>
        <v/>
      </c>
      <c r="R1095" s="35" t="str">
        <f aca="false">IF($E1095="","",IFERROR(INDEX(Kontenplan!$F$5:$F$90,MATCH($E1095,Kontenplan!$A$5:$A$90,0)),""))</f>
        <v/>
      </c>
      <c r="S1095" s="35" t="str">
        <f aca="false">IF($D1095="","",IFERROR(INDEX(Kontenplan!$F$5:$F$90,MATCH($D1095,Kontenplan!$A$5:$A$90,0)),""))</f>
        <v/>
      </c>
      <c r="T1095" s="35" t="str">
        <f aca="false">IF($D1095="","",IFERROR(INDEX(Kontenplan!$C$5:$C$90,MATCH($D1095,Kontenplan!$A$5:$A$90,0)),"?"))</f>
        <v/>
      </c>
      <c r="U1095" s="35" t="str">
        <f aca="false">IF($E1095="","",IFERROR(INDEX(Kontenplan!$C$5:$C$90,MATCH($E1095,Kontenplan!$A$5:$A$90,0)),"?"))</f>
        <v/>
      </c>
      <c r="V1095" s="35" t="str">
        <f aca="false">IF($F1095="","",IF(OR($D1095="",$E1095="",$T1095="?",$U1095="?"),"Konto prüfen!",IF($A1095="","Datum fehlt",IF(YEAR($A1095)&lt;&gt;Einstellungen!$B$7,"anderes Jahr!",IF($G1095="","MWST-Code fehlt","OK")))))</f>
        <v/>
      </c>
      <c r="W1095" s="35" t="str">
        <f aca="false">IF($F1095="","",IF(OR($D1095=Kontoauszug!$C$4,$E1095=Kontoauszug!$C$4),MAX(W$4:W1094)+1,""))</f>
        <v/>
      </c>
    </row>
    <row r="1096" customFormat="false" ht="15" hidden="false" customHeight="false" outlineLevel="0" collapsed="false">
      <c r="A1096" s="33"/>
      <c r="B1096" s="32"/>
      <c r="C1096" s="32"/>
      <c r="D1096" s="32"/>
      <c r="E1096" s="32"/>
      <c r="F1096" s="30"/>
      <c r="G1096" s="32"/>
      <c r="H1096" s="34" t="n">
        <f aca="false">IF($G1096="",0,IFERROR(INDEX(Einstellungen!$G$5:$G$11,MATCH($G1096,Einstellungen!$E$5:$E$11,0)),0))</f>
        <v>0</v>
      </c>
      <c r="I1096" s="35" t="str">
        <f aca="false">IF($G1096="","-",IFERROR(INDEX(Einstellungen!$H$5:$H$11,MATCH($G1096,Einstellungen!$E$5:$E$11,0)),"-"))</f>
        <v>-</v>
      </c>
      <c r="J1096" s="35" t="str">
        <f aca="false">IF(AND(Einstellungen!$B$8="Ja",Einstellungen!$B$9="Effektiv"),$I1096,"-")</f>
        <v>-</v>
      </c>
      <c r="K1096" s="31" t="n">
        <f aca="false">IF(OR($F1096="",$J1096="-"),0,ROUND($F1096-$F1096/(1+$H1096),2))</f>
        <v>0</v>
      </c>
      <c r="L1096" s="31" t="n">
        <f aca="false">IF($F1096="",0,$F1096-$K1096)</f>
        <v>0</v>
      </c>
      <c r="M1096" s="31" t="n">
        <f aca="false">IF($F1096="",0,IF($J1096="V",$L1096,$F1096))</f>
        <v>0</v>
      </c>
      <c r="N1096" s="31" t="n">
        <f aca="false">IF($F1096="",0,IF($J1096="U",$L1096,$F1096))</f>
        <v>0</v>
      </c>
      <c r="O1096" s="35" t="str">
        <f aca="false">IF($A1096="","",MONTH($A1096))</f>
        <v/>
      </c>
      <c r="P1096" s="35" t="str">
        <f aca="false">IF($A1096="","",ROUNDUP(MONTH($A1096)/3,0))</f>
        <v/>
      </c>
      <c r="Q1096" s="35" t="str">
        <f aca="false">IF($A1096="","",IF(MONTH($A1096)&lt;=6,1,2))</f>
        <v/>
      </c>
      <c r="R1096" s="35" t="str">
        <f aca="false">IF($E1096="","",IFERROR(INDEX(Kontenplan!$F$5:$F$90,MATCH($E1096,Kontenplan!$A$5:$A$90,0)),""))</f>
        <v/>
      </c>
      <c r="S1096" s="35" t="str">
        <f aca="false">IF($D1096="","",IFERROR(INDEX(Kontenplan!$F$5:$F$90,MATCH($D1096,Kontenplan!$A$5:$A$90,0)),""))</f>
        <v/>
      </c>
      <c r="T1096" s="35" t="str">
        <f aca="false">IF($D1096="","",IFERROR(INDEX(Kontenplan!$C$5:$C$90,MATCH($D1096,Kontenplan!$A$5:$A$90,0)),"?"))</f>
        <v/>
      </c>
      <c r="U1096" s="35" t="str">
        <f aca="false">IF($E1096="","",IFERROR(INDEX(Kontenplan!$C$5:$C$90,MATCH($E1096,Kontenplan!$A$5:$A$90,0)),"?"))</f>
        <v/>
      </c>
      <c r="V1096" s="35" t="str">
        <f aca="false">IF($F1096="","",IF(OR($D1096="",$E1096="",$T1096="?",$U1096="?"),"Konto prüfen!",IF($A1096="","Datum fehlt",IF(YEAR($A1096)&lt;&gt;Einstellungen!$B$7,"anderes Jahr!",IF($G1096="","MWST-Code fehlt","OK")))))</f>
        <v/>
      </c>
      <c r="W1096" s="35" t="str">
        <f aca="false">IF($F1096="","",IF(OR($D1096=Kontoauszug!$C$4,$E1096=Kontoauszug!$C$4),MAX(W$4:W1095)+1,""))</f>
        <v/>
      </c>
    </row>
    <row r="1097" customFormat="false" ht="15" hidden="false" customHeight="false" outlineLevel="0" collapsed="false">
      <c r="A1097" s="33"/>
      <c r="B1097" s="32"/>
      <c r="C1097" s="32"/>
      <c r="D1097" s="32"/>
      <c r="E1097" s="32"/>
      <c r="F1097" s="30"/>
      <c r="G1097" s="32"/>
      <c r="H1097" s="34" t="n">
        <f aca="false">IF($G1097="",0,IFERROR(INDEX(Einstellungen!$G$5:$G$11,MATCH($G1097,Einstellungen!$E$5:$E$11,0)),0))</f>
        <v>0</v>
      </c>
      <c r="I1097" s="35" t="str">
        <f aca="false">IF($G1097="","-",IFERROR(INDEX(Einstellungen!$H$5:$H$11,MATCH($G1097,Einstellungen!$E$5:$E$11,0)),"-"))</f>
        <v>-</v>
      </c>
      <c r="J1097" s="35" t="str">
        <f aca="false">IF(AND(Einstellungen!$B$8="Ja",Einstellungen!$B$9="Effektiv"),$I1097,"-")</f>
        <v>-</v>
      </c>
      <c r="K1097" s="31" t="n">
        <f aca="false">IF(OR($F1097="",$J1097="-"),0,ROUND($F1097-$F1097/(1+$H1097),2))</f>
        <v>0</v>
      </c>
      <c r="L1097" s="31" t="n">
        <f aca="false">IF($F1097="",0,$F1097-$K1097)</f>
        <v>0</v>
      </c>
      <c r="M1097" s="31" t="n">
        <f aca="false">IF($F1097="",0,IF($J1097="V",$L1097,$F1097))</f>
        <v>0</v>
      </c>
      <c r="N1097" s="31" t="n">
        <f aca="false">IF($F1097="",0,IF($J1097="U",$L1097,$F1097))</f>
        <v>0</v>
      </c>
      <c r="O1097" s="35" t="str">
        <f aca="false">IF($A1097="","",MONTH($A1097))</f>
        <v/>
      </c>
      <c r="P1097" s="35" t="str">
        <f aca="false">IF($A1097="","",ROUNDUP(MONTH($A1097)/3,0))</f>
        <v/>
      </c>
      <c r="Q1097" s="35" t="str">
        <f aca="false">IF($A1097="","",IF(MONTH($A1097)&lt;=6,1,2))</f>
        <v/>
      </c>
      <c r="R1097" s="35" t="str">
        <f aca="false">IF($E1097="","",IFERROR(INDEX(Kontenplan!$F$5:$F$90,MATCH($E1097,Kontenplan!$A$5:$A$90,0)),""))</f>
        <v/>
      </c>
      <c r="S1097" s="35" t="str">
        <f aca="false">IF($D1097="","",IFERROR(INDEX(Kontenplan!$F$5:$F$90,MATCH($D1097,Kontenplan!$A$5:$A$90,0)),""))</f>
        <v/>
      </c>
      <c r="T1097" s="35" t="str">
        <f aca="false">IF($D1097="","",IFERROR(INDEX(Kontenplan!$C$5:$C$90,MATCH($D1097,Kontenplan!$A$5:$A$90,0)),"?"))</f>
        <v/>
      </c>
      <c r="U1097" s="35" t="str">
        <f aca="false">IF($E1097="","",IFERROR(INDEX(Kontenplan!$C$5:$C$90,MATCH($E1097,Kontenplan!$A$5:$A$90,0)),"?"))</f>
        <v/>
      </c>
      <c r="V1097" s="35" t="str">
        <f aca="false">IF($F1097="","",IF(OR($D1097="",$E1097="",$T1097="?",$U1097="?"),"Konto prüfen!",IF($A1097="","Datum fehlt",IF(YEAR($A1097)&lt;&gt;Einstellungen!$B$7,"anderes Jahr!",IF($G1097="","MWST-Code fehlt","OK")))))</f>
        <v/>
      </c>
      <c r="W1097" s="35" t="str">
        <f aca="false">IF($F1097="","",IF(OR($D1097=Kontoauszug!$C$4,$E1097=Kontoauszug!$C$4),MAX(W$4:W1096)+1,""))</f>
        <v/>
      </c>
    </row>
    <row r="1098" customFormat="false" ht="15" hidden="false" customHeight="false" outlineLevel="0" collapsed="false">
      <c r="A1098" s="33"/>
      <c r="B1098" s="32"/>
      <c r="C1098" s="32"/>
      <c r="D1098" s="32"/>
      <c r="E1098" s="32"/>
      <c r="F1098" s="30"/>
      <c r="G1098" s="32"/>
      <c r="H1098" s="34" t="n">
        <f aca="false">IF($G1098="",0,IFERROR(INDEX(Einstellungen!$G$5:$G$11,MATCH($G1098,Einstellungen!$E$5:$E$11,0)),0))</f>
        <v>0</v>
      </c>
      <c r="I1098" s="35" t="str">
        <f aca="false">IF($G1098="","-",IFERROR(INDEX(Einstellungen!$H$5:$H$11,MATCH($G1098,Einstellungen!$E$5:$E$11,0)),"-"))</f>
        <v>-</v>
      </c>
      <c r="J1098" s="35" t="str">
        <f aca="false">IF(AND(Einstellungen!$B$8="Ja",Einstellungen!$B$9="Effektiv"),$I1098,"-")</f>
        <v>-</v>
      </c>
      <c r="K1098" s="31" t="n">
        <f aca="false">IF(OR($F1098="",$J1098="-"),0,ROUND($F1098-$F1098/(1+$H1098),2))</f>
        <v>0</v>
      </c>
      <c r="L1098" s="31" t="n">
        <f aca="false">IF($F1098="",0,$F1098-$K1098)</f>
        <v>0</v>
      </c>
      <c r="M1098" s="31" t="n">
        <f aca="false">IF($F1098="",0,IF($J1098="V",$L1098,$F1098))</f>
        <v>0</v>
      </c>
      <c r="N1098" s="31" t="n">
        <f aca="false">IF($F1098="",0,IF($J1098="U",$L1098,$F1098))</f>
        <v>0</v>
      </c>
      <c r="O1098" s="35" t="str">
        <f aca="false">IF($A1098="","",MONTH($A1098))</f>
        <v/>
      </c>
      <c r="P1098" s="35" t="str">
        <f aca="false">IF($A1098="","",ROUNDUP(MONTH($A1098)/3,0))</f>
        <v/>
      </c>
      <c r="Q1098" s="35" t="str">
        <f aca="false">IF($A1098="","",IF(MONTH($A1098)&lt;=6,1,2))</f>
        <v/>
      </c>
      <c r="R1098" s="35" t="str">
        <f aca="false">IF($E1098="","",IFERROR(INDEX(Kontenplan!$F$5:$F$90,MATCH($E1098,Kontenplan!$A$5:$A$90,0)),""))</f>
        <v/>
      </c>
      <c r="S1098" s="35" t="str">
        <f aca="false">IF($D1098="","",IFERROR(INDEX(Kontenplan!$F$5:$F$90,MATCH($D1098,Kontenplan!$A$5:$A$90,0)),""))</f>
        <v/>
      </c>
      <c r="T1098" s="35" t="str">
        <f aca="false">IF($D1098="","",IFERROR(INDEX(Kontenplan!$C$5:$C$90,MATCH($D1098,Kontenplan!$A$5:$A$90,0)),"?"))</f>
        <v/>
      </c>
      <c r="U1098" s="35" t="str">
        <f aca="false">IF($E1098="","",IFERROR(INDEX(Kontenplan!$C$5:$C$90,MATCH($E1098,Kontenplan!$A$5:$A$90,0)),"?"))</f>
        <v/>
      </c>
      <c r="V1098" s="35" t="str">
        <f aca="false">IF($F1098="","",IF(OR($D1098="",$E1098="",$T1098="?",$U1098="?"),"Konto prüfen!",IF($A1098="","Datum fehlt",IF(YEAR($A1098)&lt;&gt;Einstellungen!$B$7,"anderes Jahr!",IF($G1098="","MWST-Code fehlt","OK")))))</f>
        <v/>
      </c>
      <c r="W1098" s="35" t="str">
        <f aca="false">IF($F1098="","",IF(OR($D1098=Kontoauszug!$C$4,$E1098=Kontoauszug!$C$4),MAX(W$4:W1097)+1,""))</f>
        <v/>
      </c>
    </row>
    <row r="1099" customFormat="false" ht="15" hidden="false" customHeight="false" outlineLevel="0" collapsed="false">
      <c r="A1099" s="33"/>
      <c r="B1099" s="32"/>
      <c r="C1099" s="32"/>
      <c r="D1099" s="32"/>
      <c r="E1099" s="32"/>
      <c r="F1099" s="30"/>
      <c r="G1099" s="32"/>
      <c r="H1099" s="34" t="n">
        <f aca="false">IF($G1099="",0,IFERROR(INDEX(Einstellungen!$G$5:$G$11,MATCH($G1099,Einstellungen!$E$5:$E$11,0)),0))</f>
        <v>0</v>
      </c>
      <c r="I1099" s="35" t="str">
        <f aca="false">IF($G1099="","-",IFERROR(INDEX(Einstellungen!$H$5:$H$11,MATCH($G1099,Einstellungen!$E$5:$E$11,0)),"-"))</f>
        <v>-</v>
      </c>
      <c r="J1099" s="35" t="str">
        <f aca="false">IF(AND(Einstellungen!$B$8="Ja",Einstellungen!$B$9="Effektiv"),$I1099,"-")</f>
        <v>-</v>
      </c>
      <c r="K1099" s="31" t="n">
        <f aca="false">IF(OR($F1099="",$J1099="-"),0,ROUND($F1099-$F1099/(1+$H1099),2))</f>
        <v>0</v>
      </c>
      <c r="L1099" s="31" t="n">
        <f aca="false">IF($F1099="",0,$F1099-$K1099)</f>
        <v>0</v>
      </c>
      <c r="M1099" s="31" t="n">
        <f aca="false">IF($F1099="",0,IF($J1099="V",$L1099,$F1099))</f>
        <v>0</v>
      </c>
      <c r="N1099" s="31" t="n">
        <f aca="false">IF($F1099="",0,IF($J1099="U",$L1099,$F1099))</f>
        <v>0</v>
      </c>
      <c r="O1099" s="35" t="str">
        <f aca="false">IF($A1099="","",MONTH($A1099))</f>
        <v/>
      </c>
      <c r="P1099" s="35" t="str">
        <f aca="false">IF($A1099="","",ROUNDUP(MONTH($A1099)/3,0))</f>
        <v/>
      </c>
      <c r="Q1099" s="35" t="str">
        <f aca="false">IF($A1099="","",IF(MONTH($A1099)&lt;=6,1,2))</f>
        <v/>
      </c>
      <c r="R1099" s="35" t="str">
        <f aca="false">IF($E1099="","",IFERROR(INDEX(Kontenplan!$F$5:$F$90,MATCH($E1099,Kontenplan!$A$5:$A$90,0)),""))</f>
        <v/>
      </c>
      <c r="S1099" s="35" t="str">
        <f aca="false">IF($D1099="","",IFERROR(INDEX(Kontenplan!$F$5:$F$90,MATCH($D1099,Kontenplan!$A$5:$A$90,0)),""))</f>
        <v/>
      </c>
      <c r="T1099" s="35" t="str">
        <f aca="false">IF($D1099="","",IFERROR(INDEX(Kontenplan!$C$5:$C$90,MATCH($D1099,Kontenplan!$A$5:$A$90,0)),"?"))</f>
        <v/>
      </c>
      <c r="U1099" s="35" t="str">
        <f aca="false">IF($E1099="","",IFERROR(INDEX(Kontenplan!$C$5:$C$90,MATCH($E1099,Kontenplan!$A$5:$A$90,0)),"?"))</f>
        <v/>
      </c>
      <c r="V1099" s="35" t="str">
        <f aca="false">IF($F1099="","",IF(OR($D1099="",$E1099="",$T1099="?",$U1099="?"),"Konto prüfen!",IF($A1099="","Datum fehlt",IF(YEAR($A1099)&lt;&gt;Einstellungen!$B$7,"anderes Jahr!",IF($G1099="","MWST-Code fehlt","OK")))))</f>
        <v/>
      </c>
      <c r="W1099" s="35" t="str">
        <f aca="false">IF($F1099="","",IF(OR($D1099=Kontoauszug!$C$4,$E1099=Kontoauszug!$C$4),MAX(W$4:W1098)+1,""))</f>
        <v/>
      </c>
    </row>
    <row r="1100" customFormat="false" ht="15" hidden="false" customHeight="false" outlineLevel="0" collapsed="false">
      <c r="A1100" s="33"/>
      <c r="B1100" s="32"/>
      <c r="C1100" s="32"/>
      <c r="D1100" s="32"/>
      <c r="E1100" s="32"/>
      <c r="F1100" s="30"/>
      <c r="G1100" s="32"/>
      <c r="H1100" s="34" t="n">
        <f aca="false">IF($G1100="",0,IFERROR(INDEX(Einstellungen!$G$5:$G$11,MATCH($G1100,Einstellungen!$E$5:$E$11,0)),0))</f>
        <v>0</v>
      </c>
      <c r="I1100" s="35" t="str">
        <f aca="false">IF($G1100="","-",IFERROR(INDEX(Einstellungen!$H$5:$H$11,MATCH($G1100,Einstellungen!$E$5:$E$11,0)),"-"))</f>
        <v>-</v>
      </c>
      <c r="J1100" s="35" t="str">
        <f aca="false">IF(AND(Einstellungen!$B$8="Ja",Einstellungen!$B$9="Effektiv"),$I1100,"-")</f>
        <v>-</v>
      </c>
      <c r="K1100" s="31" t="n">
        <f aca="false">IF(OR($F1100="",$J1100="-"),0,ROUND($F1100-$F1100/(1+$H1100),2))</f>
        <v>0</v>
      </c>
      <c r="L1100" s="31" t="n">
        <f aca="false">IF($F1100="",0,$F1100-$K1100)</f>
        <v>0</v>
      </c>
      <c r="M1100" s="31" t="n">
        <f aca="false">IF($F1100="",0,IF($J1100="V",$L1100,$F1100))</f>
        <v>0</v>
      </c>
      <c r="N1100" s="31" t="n">
        <f aca="false">IF($F1100="",0,IF($J1100="U",$L1100,$F1100))</f>
        <v>0</v>
      </c>
      <c r="O1100" s="35" t="str">
        <f aca="false">IF($A1100="","",MONTH($A1100))</f>
        <v/>
      </c>
      <c r="P1100" s="35" t="str">
        <f aca="false">IF($A1100="","",ROUNDUP(MONTH($A1100)/3,0))</f>
        <v/>
      </c>
      <c r="Q1100" s="35" t="str">
        <f aca="false">IF($A1100="","",IF(MONTH($A1100)&lt;=6,1,2))</f>
        <v/>
      </c>
      <c r="R1100" s="35" t="str">
        <f aca="false">IF($E1100="","",IFERROR(INDEX(Kontenplan!$F$5:$F$90,MATCH($E1100,Kontenplan!$A$5:$A$90,0)),""))</f>
        <v/>
      </c>
      <c r="S1100" s="35" t="str">
        <f aca="false">IF($D1100="","",IFERROR(INDEX(Kontenplan!$F$5:$F$90,MATCH($D1100,Kontenplan!$A$5:$A$90,0)),""))</f>
        <v/>
      </c>
      <c r="T1100" s="35" t="str">
        <f aca="false">IF($D1100="","",IFERROR(INDEX(Kontenplan!$C$5:$C$90,MATCH($D1100,Kontenplan!$A$5:$A$90,0)),"?"))</f>
        <v/>
      </c>
      <c r="U1100" s="35" t="str">
        <f aca="false">IF($E1100="","",IFERROR(INDEX(Kontenplan!$C$5:$C$90,MATCH($E1100,Kontenplan!$A$5:$A$90,0)),"?"))</f>
        <v/>
      </c>
      <c r="V1100" s="35" t="str">
        <f aca="false">IF($F1100="","",IF(OR($D1100="",$E1100="",$T1100="?",$U1100="?"),"Konto prüfen!",IF($A1100="","Datum fehlt",IF(YEAR($A1100)&lt;&gt;Einstellungen!$B$7,"anderes Jahr!",IF($G1100="","MWST-Code fehlt","OK")))))</f>
        <v/>
      </c>
      <c r="W1100" s="35" t="str">
        <f aca="false">IF($F1100="","",IF(OR($D1100=Kontoauszug!$C$4,$E1100=Kontoauszug!$C$4),MAX(W$4:W1099)+1,""))</f>
        <v/>
      </c>
    </row>
    <row r="1101" customFormat="false" ht="15" hidden="false" customHeight="false" outlineLevel="0" collapsed="false">
      <c r="A1101" s="33"/>
      <c r="B1101" s="32"/>
      <c r="C1101" s="32"/>
      <c r="D1101" s="32"/>
      <c r="E1101" s="32"/>
      <c r="F1101" s="30"/>
      <c r="G1101" s="32"/>
      <c r="H1101" s="34" t="n">
        <f aca="false">IF($G1101="",0,IFERROR(INDEX(Einstellungen!$G$5:$G$11,MATCH($G1101,Einstellungen!$E$5:$E$11,0)),0))</f>
        <v>0</v>
      </c>
      <c r="I1101" s="35" t="str">
        <f aca="false">IF($G1101="","-",IFERROR(INDEX(Einstellungen!$H$5:$H$11,MATCH($G1101,Einstellungen!$E$5:$E$11,0)),"-"))</f>
        <v>-</v>
      </c>
      <c r="J1101" s="35" t="str">
        <f aca="false">IF(AND(Einstellungen!$B$8="Ja",Einstellungen!$B$9="Effektiv"),$I1101,"-")</f>
        <v>-</v>
      </c>
      <c r="K1101" s="31" t="n">
        <f aca="false">IF(OR($F1101="",$J1101="-"),0,ROUND($F1101-$F1101/(1+$H1101),2))</f>
        <v>0</v>
      </c>
      <c r="L1101" s="31" t="n">
        <f aca="false">IF($F1101="",0,$F1101-$K1101)</f>
        <v>0</v>
      </c>
      <c r="M1101" s="31" t="n">
        <f aca="false">IF($F1101="",0,IF($J1101="V",$L1101,$F1101))</f>
        <v>0</v>
      </c>
      <c r="N1101" s="31" t="n">
        <f aca="false">IF($F1101="",0,IF($J1101="U",$L1101,$F1101))</f>
        <v>0</v>
      </c>
      <c r="O1101" s="35" t="str">
        <f aca="false">IF($A1101="","",MONTH($A1101))</f>
        <v/>
      </c>
      <c r="P1101" s="35" t="str">
        <f aca="false">IF($A1101="","",ROUNDUP(MONTH($A1101)/3,0))</f>
        <v/>
      </c>
      <c r="Q1101" s="35" t="str">
        <f aca="false">IF($A1101="","",IF(MONTH($A1101)&lt;=6,1,2))</f>
        <v/>
      </c>
      <c r="R1101" s="35" t="str">
        <f aca="false">IF($E1101="","",IFERROR(INDEX(Kontenplan!$F$5:$F$90,MATCH($E1101,Kontenplan!$A$5:$A$90,0)),""))</f>
        <v/>
      </c>
      <c r="S1101" s="35" t="str">
        <f aca="false">IF($D1101="","",IFERROR(INDEX(Kontenplan!$F$5:$F$90,MATCH($D1101,Kontenplan!$A$5:$A$90,0)),""))</f>
        <v/>
      </c>
      <c r="T1101" s="35" t="str">
        <f aca="false">IF($D1101="","",IFERROR(INDEX(Kontenplan!$C$5:$C$90,MATCH($D1101,Kontenplan!$A$5:$A$90,0)),"?"))</f>
        <v/>
      </c>
      <c r="U1101" s="35" t="str">
        <f aca="false">IF($E1101="","",IFERROR(INDEX(Kontenplan!$C$5:$C$90,MATCH($E1101,Kontenplan!$A$5:$A$90,0)),"?"))</f>
        <v/>
      </c>
      <c r="V1101" s="35" t="str">
        <f aca="false">IF($F1101="","",IF(OR($D1101="",$E1101="",$T1101="?",$U1101="?"),"Konto prüfen!",IF($A1101="","Datum fehlt",IF(YEAR($A1101)&lt;&gt;Einstellungen!$B$7,"anderes Jahr!",IF($G1101="","MWST-Code fehlt","OK")))))</f>
        <v/>
      </c>
      <c r="W1101" s="35" t="str">
        <f aca="false">IF($F1101="","",IF(OR($D1101=Kontoauszug!$C$4,$E1101=Kontoauszug!$C$4),MAX(W$4:W1100)+1,""))</f>
        <v/>
      </c>
    </row>
    <row r="1102" customFormat="false" ht="15" hidden="false" customHeight="false" outlineLevel="0" collapsed="false">
      <c r="A1102" s="33"/>
      <c r="B1102" s="32"/>
      <c r="C1102" s="32"/>
      <c r="D1102" s="32"/>
      <c r="E1102" s="32"/>
      <c r="F1102" s="30"/>
      <c r="G1102" s="32"/>
      <c r="H1102" s="34" t="n">
        <f aca="false">IF($G1102="",0,IFERROR(INDEX(Einstellungen!$G$5:$G$11,MATCH($G1102,Einstellungen!$E$5:$E$11,0)),0))</f>
        <v>0</v>
      </c>
      <c r="I1102" s="35" t="str">
        <f aca="false">IF($G1102="","-",IFERROR(INDEX(Einstellungen!$H$5:$H$11,MATCH($G1102,Einstellungen!$E$5:$E$11,0)),"-"))</f>
        <v>-</v>
      </c>
      <c r="J1102" s="35" t="str">
        <f aca="false">IF(AND(Einstellungen!$B$8="Ja",Einstellungen!$B$9="Effektiv"),$I1102,"-")</f>
        <v>-</v>
      </c>
      <c r="K1102" s="31" t="n">
        <f aca="false">IF(OR($F1102="",$J1102="-"),0,ROUND($F1102-$F1102/(1+$H1102),2))</f>
        <v>0</v>
      </c>
      <c r="L1102" s="31" t="n">
        <f aca="false">IF($F1102="",0,$F1102-$K1102)</f>
        <v>0</v>
      </c>
      <c r="M1102" s="31" t="n">
        <f aca="false">IF($F1102="",0,IF($J1102="V",$L1102,$F1102))</f>
        <v>0</v>
      </c>
      <c r="N1102" s="31" t="n">
        <f aca="false">IF($F1102="",0,IF($J1102="U",$L1102,$F1102))</f>
        <v>0</v>
      </c>
      <c r="O1102" s="35" t="str">
        <f aca="false">IF($A1102="","",MONTH($A1102))</f>
        <v/>
      </c>
      <c r="P1102" s="35" t="str">
        <f aca="false">IF($A1102="","",ROUNDUP(MONTH($A1102)/3,0))</f>
        <v/>
      </c>
      <c r="Q1102" s="35" t="str">
        <f aca="false">IF($A1102="","",IF(MONTH($A1102)&lt;=6,1,2))</f>
        <v/>
      </c>
      <c r="R1102" s="35" t="str">
        <f aca="false">IF($E1102="","",IFERROR(INDEX(Kontenplan!$F$5:$F$90,MATCH($E1102,Kontenplan!$A$5:$A$90,0)),""))</f>
        <v/>
      </c>
      <c r="S1102" s="35" t="str">
        <f aca="false">IF($D1102="","",IFERROR(INDEX(Kontenplan!$F$5:$F$90,MATCH($D1102,Kontenplan!$A$5:$A$90,0)),""))</f>
        <v/>
      </c>
      <c r="T1102" s="35" t="str">
        <f aca="false">IF($D1102="","",IFERROR(INDEX(Kontenplan!$C$5:$C$90,MATCH($D1102,Kontenplan!$A$5:$A$90,0)),"?"))</f>
        <v/>
      </c>
      <c r="U1102" s="35" t="str">
        <f aca="false">IF($E1102="","",IFERROR(INDEX(Kontenplan!$C$5:$C$90,MATCH($E1102,Kontenplan!$A$5:$A$90,0)),"?"))</f>
        <v/>
      </c>
      <c r="V1102" s="35" t="str">
        <f aca="false">IF($F1102="","",IF(OR($D1102="",$E1102="",$T1102="?",$U1102="?"),"Konto prüfen!",IF($A1102="","Datum fehlt",IF(YEAR($A1102)&lt;&gt;Einstellungen!$B$7,"anderes Jahr!",IF($G1102="","MWST-Code fehlt","OK")))))</f>
        <v/>
      </c>
      <c r="W1102" s="35" t="str">
        <f aca="false">IF($F1102="","",IF(OR($D1102=Kontoauszug!$C$4,$E1102=Kontoauszug!$C$4),MAX(W$4:W1101)+1,""))</f>
        <v/>
      </c>
    </row>
    <row r="1103" customFormat="false" ht="15" hidden="false" customHeight="false" outlineLevel="0" collapsed="false">
      <c r="A1103" s="33"/>
      <c r="B1103" s="32"/>
      <c r="C1103" s="32"/>
      <c r="D1103" s="32"/>
      <c r="E1103" s="32"/>
      <c r="F1103" s="30"/>
      <c r="G1103" s="32"/>
      <c r="H1103" s="34" t="n">
        <f aca="false">IF($G1103="",0,IFERROR(INDEX(Einstellungen!$G$5:$G$11,MATCH($G1103,Einstellungen!$E$5:$E$11,0)),0))</f>
        <v>0</v>
      </c>
      <c r="I1103" s="35" t="str">
        <f aca="false">IF($G1103="","-",IFERROR(INDEX(Einstellungen!$H$5:$H$11,MATCH($G1103,Einstellungen!$E$5:$E$11,0)),"-"))</f>
        <v>-</v>
      </c>
      <c r="J1103" s="35" t="str">
        <f aca="false">IF(AND(Einstellungen!$B$8="Ja",Einstellungen!$B$9="Effektiv"),$I1103,"-")</f>
        <v>-</v>
      </c>
      <c r="K1103" s="31" t="n">
        <f aca="false">IF(OR($F1103="",$J1103="-"),0,ROUND($F1103-$F1103/(1+$H1103),2))</f>
        <v>0</v>
      </c>
      <c r="L1103" s="31" t="n">
        <f aca="false">IF($F1103="",0,$F1103-$K1103)</f>
        <v>0</v>
      </c>
      <c r="M1103" s="31" t="n">
        <f aca="false">IF($F1103="",0,IF($J1103="V",$L1103,$F1103))</f>
        <v>0</v>
      </c>
      <c r="N1103" s="31" t="n">
        <f aca="false">IF($F1103="",0,IF($J1103="U",$L1103,$F1103))</f>
        <v>0</v>
      </c>
      <c r="O1103" s="35" t="str">
        <f aca="false">IF($A1103="","",MONTH($A1103))</f>
        <v/>
      </c>
      <c r="P1103" s="35" t="str">
        <f aca="false">IF($A1103="","",ROUNDUP(MONTH($A1103)/3,0))</f>
        <v/>
      </c>
      <c r="Q1103" s="35" t="str">
        <f aca="false">IF($A1103="","",IF(MONTH($A1103)&lt;=6,1,2))</f>
        <v/>
      </c>
      <c r="R1103" s="35" t="str">
        <f aca="false">IF($E1103="","",IFERROR(INDEX(Kontenplan!$F$5:$F$90,MATCH($E1103,Kontenplan!$A$5:$A$90,0)),""))</f>
        <v/>
      </c>
      <c r="S1103" s="35" t="str">
        <f aca="false">IF($D1103="","",IFERROR(INDEX(Kontenplan!$F$5:$F$90,MATCH($D1103,Kontenplan!$A$5:$A$90,0)),""))</f>
        <v/>
      </c>
      <c r="T1103" s="35" t="str">
        <f aca="false">IF($D1103="","",IFERROR(INDEX(Kontenplan!$C$5:$C$90,MATCH($D1103,Kontenplan!$A$5:$A$90,0)),"?"))</f>
        <v/>
      </c>
      <c r="U1103" s="35" t="str">
        <f aca="false">IF($E1103="","",IFERROR(INDEX(Kontenplan!$C$5:$C$90,MATCH($E1103,Kontenplan!$A$5:$A$90,0)),"?"))</f>
        <v/>
      </c>
      <c r="V1103" s="35" t="str">
        <f aca="false">IF($F1103="","",IF(OR($D1103="",$E1103="",$T1103="?",$U1103="?"),"Konto prüfen!",IF($A1103="","Datum fehlt",IF(YEAR($A1103)&lt;&gt;Einstellungen!$B$7,"anderes Jahr!",IF($G1103="","MWST-Code fehlt","OK")))))</f>
        <v/>
      </c>
      <c r="W1103" s="35" t="str">
        <f aca="false">IF($F1103="","",IF(OR($D1103=Kontoauszug!$C$4,$E1103=Kontoauszug!$C$4),MAX(W$4:W1102)+1,""))</f>
        <v/>
      </c>
    </row>
    <row r="1104" customFormat="false" ht="15" hidden="false" customHeight="false" outlineLevel="0" collapsed="false">
      <c r="A1104" s="33"/>
      <c r="B1104" s="32"/>
      <c r="C1104" s="32"/>
      <c r="D1104" s="32"/>
      <c r="E1104" s="32"/>
      <c r="F1104" s="30"/>
      <c r="G1104" s="32"/>
      <c r="H1104" s="34" t="n">
        <f aca="false">IF($G1104="",0,IFERROR(INDEX(Einstellungen!$G$5:$G$11,MATCH($G1104,Einstellungen!$E$5:$E$11,0)),0))</f>
        <v>0</v>
      </c>
      <c r="I1104" s="35" t="str">
        <f aca="false">IF($G1104="","-",IFERROR(INDEX(Einstellungen!$H$5:$H$11,MATCH($G1104,Einstellungen!$E$5:$E$11,0)),"-"))</f>
        <v>-</v>
      </c>
      <c r="J1104" s="35" t="str">
        <f aca="false">IF(AND(Einstellungen!$B$8="Ja",Einstellungen!$B$9="Effektiv"),$I1104,"-")</f>
        <v>-</v>
      </c>
      <c r="K1104" s="31" t="n">
        <f aca="false">IF(OR($F1104="",$J1104="-"),0,ROUND($F1104-$F1104/(1+$H1104),2))</f>
        <v>0</v>
      </c>
      <c r="L1104" s="31" t="n">
        <f aca="false">IF($F1104="",0,$F1104-$K1104)</f>
        <v>0</v>
      </c>
      <c r="M1104" s="31" t="n">
        <f aca="false">IF($F1104="",0,IF($J1104="V",$L1104,$F1104))</f>
        <v>0</v>
      </c>
      <c r="N1104" s="31" t="n">
        <f aca="false">IF($F1104="",0,IF($J1104="U",$L1104,$F1104))</f>
        <v>0</v>
      </c>
      <c r="O1104" s="35" t="str">
        <f aca="false">IF($A1104="","",MONTH($A1104))</f>
        <v/>
      </c>
      <c r="P1104" s="35" t="str">
        <f aca="false">IF($A1104="","",ROUNDUP(MONTH($A1104)/3,0))</f>
        <v/>
      </c>
      <c r="Q1104" s="35" t="str">
        <f aca="false">IF($A1104="","",IF(MONTH($A1104)&lt;=6,1,2))</f>
        <v/>
      </c>
      <c r="R1104" s="35" t="str">
        <f aca="false">IF($E1104="","",IFERROR(INDEX(Kontenplan!$F$5:$F$90,MATCH($E1104,Kontenplan!$A$5:$A$90,0)),""))</f>
        <v/>
      </c>
      <c r="S1104" s="35" t="str">
        <f aca="false">IF($D1104="","",IFERROR(INDEX(Kontenplan!$F$5:$F$90,MATCH($D1104,Kontenplan!$A$5:$A$90,0)),""))</f>
        <v/>
      </c>
      <c r="T1104" s="35" t="str">
        <f aca="false">IF($D1104="","",IFERROR(INDEX(Kontenplan!$C$5:$C$90,MATCH($D1104,Kontenplan!$A$5:$A$90,0)),"?"))</f>
        <v/>
      </c>
      <c r="U1104" s="35" t="str">
        <f aca="false">IF($E1104="","",IFERROR(INDEX(Kontenplan!$C$5:$C$90,MATCH($E1104,Kontenplan!$A$5:$A$90,0)),"?"))</f>
        <v/>
      </c>
      <c r="V1104" s="35" t="str">
        <f aca="false">IF($F1104="","",IF(OR($D1104="",$E1104="",$T1104="?",$U1104="?"),"Konto prüfen!",IF($A1104="","Datum fehlt",IF(YEAR($A1104)&lt;&gt;Einstellungen!$B$7,"anderes Jahr!",IF($G1104="","MWST-Code fehlt","OK")))))</f>
        <v/>
      </c>
      <c r="W1104" s="35" t="str">
        <f aca="false">IF($F1104="","",IF(OR($D1104=Kontoauszug!$C$4,$E1104=Kontoauszug!$C$4),MAX(W$4:W1103)+1,""))</f>
        <v/>
      </c>
    </row>
    <row r="1105" customFormat="false" ht="15" hidden="false" customHeight="false" outlineLevel="0" collapsed="false">
      <c r="A1105" s="33"/>
      <c r="B1105" s="32"/>
      <c r="C1105" s="32"/>
      <c r="D1105" s="32"/>
      <c r="E1105" s="32"/>
      <c r="F1105" s="30"/>
      <c r="G1105" s="32"/>
      <c r="H1105" s="34" t="n">
        <f aca="false">IF($G1105="",0,IFERROR(INDEX(Einstellungen!$G$5:$G$11,MATCH($G1105,Einstellungen!$E$5:$E$11,0)),0))</f>
        <v>0</v>
      </c>
      <c r="I1105" s="35" t="str">
        <f aca="false">IF($G1105="","-",IFERROR(INDEX(Einstellungen!$H$5:$H$11,MATCH($G1105,Einstellungen!$E$5:$E$11,0)),"-"))</f>
        <v>-</v>
      </c>
      <c r="J1105" s="35" t="str">
        <f aca="false">IF(AND(Einstellungen!$B$8="Ja",Einstellungen!$B$9="Effektiv"),$I1105,"-")</f>
        <v>-</v>
      </c>
      <c r="K1105" s="31" t="n">
        <f aca="false">IF(OR($F1105="",$J1105="-"),0,ROUND($F1105-$F1105/(1+$H1105),2))</f>
        <v>0</v>
      </c>
      <c r="L1105" s="31" t="n">
        <f aca="false">IF($F1105="",0,$F1105-$K1105)</f>
        <v>0</v>
      </c>
      <c r="M1105" s="31" t="n">
        <f aca="false">IF($F1105="",0,IF($J1105="V",$L1105,$F1105))</f>
        <v>0</v>
      </c>
      <c r="N1105" s="31" t="n">
        <f aca="false">IF($F1105="",0,IF($J1105="U",$L1105,$F1105))</f>
        <v>0</v>
      </c>
      <c r="O1105" s="35" t="str">
        <f aca="false">IF($A1105="","",MONTH($A1105))</f>
        <v/>
      </c>
      <c r="P1105" s="35" t="str">
        <f aca="false">IF($A1105="","",ROUNDUP(MONTH($A1105)/3,0))</f>
        <v/>
      </c>
      <c r="Q1105" s="35" t="str">
        <f aca="false">IF($A1105="","",IF(MONTH($A1105)&lt;=6,1,2))</f>
        <v/>
      </c>
      <c r="R1105" s="35" t="str">
        <f aca="false">IF($E1105="","",IFERROR(INDEX(Kontenplan!$F$5:$F$90,MATCH($E1105,Kontenplan!$A$5:$A$90,0)),""))</f>
        <v/>
      </c>
      <c r="S1105" s="35" t="str">
        <f aca="false">IF($D1105="","",IFERROR(INDEX(Kontenplan!$F$5:$F$90,MATCH($D1105,Kontenplan!$A$5:$A$90,0)),""))</f>
        <v/>
      </c>
      <c r="T1105" s="35" t="str">
        <f aca="false">IF($D1105="","",IFERROR(INDEX(Kontenplan!$C$5:$C$90,MATCH($D1105,Kontenplan!$A$5:$A$90,0)),"?"))</f>
        <v/>
      </c>
      <c r="U1105" s="35" t="str">
        <f aca="false">IF($E1105="","",IFERROR(INDEX(Kontenplan!$C$5:$C$90,MATCH($E1105,Kontenplan!$A$5:$A$90,0)),"?"))</f>
        <v/>
      </c>
      <c r="V1105" s="35" t="str">
        <f aca="false">IF($F1105="","",IF(OR($D1105="",$E1105="",$T1105="?",$U1105="?"),"Konto prüfen!",IF($A1105="","Datum fehlt",IF(YEAR($A1105)&lt;&gt;Einstellungen!$B$7,"anderes Jahr!",IF($G1105="","MWST-Code fehlt","OK")))))</f>
        <v/>
      </c>
      <c r="W1105" s="35" t="str">
        <f aca="false">IF($F1105="","",IF(OR($D1105=Kontoauszug!$C$4,$E1105=Kontoauszug!$C$4),MAX(W$4:W1104)+1,""))</f>
        <v/>
      </c>
    </row>
    <row r="1106" customFormat="false" ht="15" hidden="false" customHeight="false" outlineLevel="0" collapsed="false">
      <c r="A1106" s="33"/>
      <c r="B1106" s="32"/>
      <c r="C1106" s="32"/>
      <c r="D1106" s="32"/>
      <c r="E1106" s="32"/>
      <c r="F1106" s="30"/>
      <c r="G1106" s="32"/>
      <c r="H1106" s="34" t="n">
        <f aca="false">IF($G1106="",0,IFERROR(INDEX(Einstellungen!$G$5:$G$11,MATCH($G1106,Einstellungen!$E$5:$E$11,0)),0))</f>
        <v>0</v>
      </c>
      <c r="I1106" s="35" t="str">
        <f aca="false">IF($G1106="","-",IFERROR(INDEX(Einstellungen!$H$5:$H$11,MATCH($G1106,Einstellungen!$E$5:$E$11,0)),"-"))</f>
        <v>-</v>
      </c>
      <c r="J1106" s="35" t="str">
        <f aca="false">IF(AND(Einstellungen!$B$8="Ja",Einstellungen!$B$9="Effektiv"),$I1106,"-")</f>
        <v>-</v>
      </c>
      <c r="K1106" s="31" t="n">
        <f aca="false">IF(OR($F1106="",$J1106="-"),0,ROUND($F1106-$F1106/(1+$H1106),2))</f>
        <v>0</v>
      </c>
      <c r="L1106" s="31" t="n">
        <f aca="false">IF($F1106="",0,$F1106-$K1106)</f>
        <v>0</v>
      </c>
      <c r="M1106" s="31" t="n">
        <f aca="false">IF($F1106="",0,IF($J1106="V",$L1106,$F1106))</f>
        <v>0</v>
      </c>
      <c r="N1106" s="31" t="n">
        <f aca="false">IF($F1106="",0,IF($J1106="U",$L1106,$F1106))</f>
        <v>0</v>
      </c>
      <c r="O1106" s="35" t="str">
        <f aca="false">IF($A1106="","",MONTH($A1106))</f>
        <v/>
      </c>
      <c r="P1106" s="35" t="str">
        <f aca="false">IF($A1106="","",ROUNDUP(MONTH($A1106)/3,0))</f>
        <v/>
      </c>
      <c r="Q1106" s="35" t="str">
        <f aca="false">IF($A1106="","",IF(MONTH($A1106)&lt;=6,1,2))</f>
        <v/>
      </c>
      <c r="R1106" s="35" t="str">
        <f aca="false">IF($E1106="","",IFERROR(INDEX(Kontenplan!$F$5:$F$90,MATCH($E1106,Kontenplan!$A$5:$A$90,0)),""))</f>
        <v/>
      </c>
      <c r="S1106" s="35" t="str">
        <f aca="false">IF($D1106="","",IFERROR(INDEX(Kontenplan!$F$5:$F$90,MATCH($D1106,Kontenplan!$A$5:$A$90,0)),""))</f>
        <v/>
      </c>
      <c r="T1106" s="35" t="str">
        <f aca="false">IF($D1106="","",IFERROR(INDEX(Kontenplan!$C$5:$C$90,MATCH($D1106,Kontenplan!$A$5:$A$90,0)),"?"))</f>
        <v/>
      </c>
      <c r="U1106" s="35" t="str">
        <f aca="false">IF($E1106="","",IFERROR(INDEX(Kontenplan!$C$5:$C$90,MATCH($E1106,Kontenplan!$A$5:$A$90,0)),"?"))</f>
        <v/>
      </c>
      <c r="V1106" s="35" t="str">
        <f aca="false">IF($F1106="","",IF(OR($D1106="",$E1106="",$T1106="?",$U1106="?"),"Konto prüfen!",IF($A1106="","Datum fehlt",IF(YEAR($A1106)&lt;&gt;Einstellungen!$B$7,"anderes Jahr!",IF($G1106="","MWST-Code fehlt","OK")))))</f>
        <v/>
      </c>
      <c r="W1106" s="35" t="str">
        <f aca="false">IF($F1106="","",IF(OR($D1106=Kontoauszug!$C$4,$E1106=Kontoauszug!$C$4),MAX(W$4:W1105)+1,""))</f>
        <v/>
      </c>
    </row>
    <row r="1107" customFormat="false" ht="15" hidden="false" customHeight="false" outlineLevel="0" collapsed="false">
      <c r="A1107" s="33"/>
      <c r="B1107" s="32"/>
      <c r="C1107" s="32"/>
      <c r="D1107" s="32"/>
      <c r="E1107" s="32"/>
      <c r="F1107" s="30"/>
      <c r="G1107" s="32"/>
      <c r="H1107" s="34" t="n">
        <f aca="false">IF($G1107="",0,IFERROR(INDEX(Einstellungen!$G$5:$G$11,MATCH($G1107,Einstellungen!$E$5:$E$11,0)),0))</f>
        <v>0</v>
      </c>
      <c r="I1107" s="35" t="str">
        <f aca="false">IF($G1107="","-",IFERROR(INDEX(Einstellungen!$H$5:$H$11,MATCH($G1107,Einstellungen!$E$5:$E$11,0)),"-"))</f>
        <v>-</v>
      </c>
      <c r="J1107" s="35" t="str">
        <f aca="false">IF(AND(Einstellungen!$B$8="Ja",Einstellungen!$B$9="Effektiv"),$I1107,"-")</f>
        <v>-</v>
      </c>
      <c r="K1107" s="31" t="n">
        <f aca="false">IF(OR($F1107="",$J1107="-"),0,ROUND($F1107-$F1107/(1+$H1107),2))</f>
        <v>0</v>
      </c>
      <c r="L1107" s="31" t="n">
        <f aca="false">IF($F1107="",0,$F1107-$K1107)</f>
        <v>0</v>
      </c>
      <c r="M1107" s="31" t="n">
        <f aca="false">IF($F1107="",0,IF($J1107="V",$L1107,$F1107))</f>
        <v>0</v>
      </c>
      <c r="N1107" s="31" t="n">
        <f aca="false">IF($F1107="",0,IF($J1107="U",$L1107,$F1107))</f>
        <v>0</v>
      </c>
      <c r="O1107" s="35" t="str">
        <f aca="false">IF($A1107="","",MONTH($A1107))</f>
        <v/>
      </c>
      <c r="P1107" s="35" t="str">
        <f aca="false">IF($A1107="","",ROUNDUP(MONTH($A1107)/3,0))</f>
        <v/>
      </c>
      <c r="Q1107" s="35" t="str">
        <f aca="false">IF($A1107="","",IF(MONTH($A1107)&lt;=6,1,2))</f>
        <v/>
      </c>
      <c r="R1107" s="35" t="str">
        <f aca="false">IF($E1107="","",IFERROR(INDEX(Kontenplan!$F$5:$F$90,MATCH($E1107,Kontenplan!$A$5:$A$90,0)),""))</f>
        <v/>
      </c>
      <c r="S1107" s="35" t="str">
        <f aca="false">IF($D1107="","",IFERROR(INDEX(Kontenplan!$F$5:$F$90,MATCH($D1107,Kontenplan!$A$5:$A$90,0)),""))</f>
        <v/>
      </c>
      <c r="T1107" s="35" t="str">
        <f aca="false">IF($D1107="","",IFERROR(INDEX(Kontenplan!$C$5:$C$90,MATCH($D1107,Kontenplan!$A$5:$A$90,0)),"?"))</f>
        <v/>
      </c>
      <c r="U1107" s="35" t="str">
        <f aca="false">IF($E1107="","",IFERROR(INDEX(Kontenplan!$C$5:$C$90,MATCH($E1107,Kontenplan!$A$5:$A$90,0)),"?"))</f>
        <v/>
      </c>
      <c r="V1107" s="35" t="str">
        <f aca="false">IF($F1107="","",IF(OR($D1107="",$E1107="",$T1107="?",$U1107="?"),"Konto prüfen!",IF($A1107="","Datum fehlt",IF(YEAR($A1107)&lt;&gt;Einstellungen!$B$7,"anderes Jahr!",IF($G1107="","MWST-Code fehlt","OK")))))</f>
        <v/>
      </c>
      <c r="W1107" s="35" t="str">
        <f aca="false">IF($F1107="","",IF(OR($D1107=Kontoauszug!$C$4,$E1107=Kontoauszug!$C$4),MAX(W$4:W1106)+1,""))</f>
        <v/>
      </c>
    </row>
    <row r="1108" customFormat="false" ht="15" hidden="false" customHeight="false" outlineLevel="0" collapsed="false">
      <c r="A1108" s="33"/>
      <c r="B1108" s="32"/>
      <c r="C1108" s="32"/>
      <c r="D1108" s="32"/>
      <c r="E1108" s="32"/>
      <c r="F1108" s="30"/>
      <c r="G1108" s="32"/>
      <c r="H1108" s="34" t="n">
        <f aca="false">IF($G1108="",0,IFERROR(INDEX(Einstellungen!$G$5:$G$11,MATCH($G1108,Einstellungen!$E$5:$E$11,0)),0))</f>
        <v>0</v>
      </c>
      <c r="I1108" s="35" t="str">
        <f aca="false">IF($G1108="","-",IFERROR(INDEX(Einstellungen!$H$5:$H$11,MATCH($G1108,Einstellungen!$E$5:$E$11,0)),"-"))</f>
        <v>-</v>
      </c>
      <c r="J1108" s="35" t="str">
        <f aca="false">IF(AND(Einstellungen!$B$8="Ja",Einstellungen!$B$9="Effektiv"),$I1108,"-")</f>
        <v>-</v>
      </c>
      <c r="K1108" s="31" t="n">
        <f aca="false">IF(OR($F1108="",$J1108="-"),0,ROUND($F1108-$F1108/(1+$H1108),2))</f>
        <v>0</v>
      </c>
      <c r="L1108" s="31" t="n">
        <f aca="false">IF($F1108="",0,$F1108-$K1108)</f>
        <v>0</v>
      </c>
      <c r="M1108" s="31" t="n">
        <f aca="false">IF($F1108="",0,IF($J1108="V",$L1108,$F1108))</f>
        <v>0</v>
      </c>
      <c r="N1108" s="31" t="n">
        <f aca="false">IF($F1108="",0,IF($J1108="U",$L1108,$F1108))</f>
        <v>0</v>
      </c>
      <c r="O1108" s="35" t="str">
        <f aca="false">IF($A1108="","",MONTH($A1108))</f>
        <v/>
      </c>
      <c r="P1108" s="35" t="str">
        <f aca="false">IF($A1108="","",ROUNDUP(MONTH($A1108)/3,0))</f>
        <v/>
      </c>
      <c r="Q1108" s="35" t="str">
        <f aca="false">IF($A1108="","",IF(MONTH($A1108)&lt;=6,1,2))</f>
        <v/>
      </c>
      <c r="R1108" s="35" t="str">
        <f aca="false">IF($E1108="","",IFERROR(INDEX(Kontenplan!$F$5:$F$90,MATCH($E1108,Kontenplan!$A$5:$A$90,0)),""))</f>
        <v/>
      </c>
      <c r="S1108" s="35" t="str">
        <f aca="false">IF($D1108="","",IFERROR(INDEX(Kontenplan!$F$5:$F$90,MATCH($D1108,Kontenplan!$A$5:$A$90,0)),""))</f>
        <v/>
      </c>
      <c r="T1108" s="35" t="str">
        <f aca="false">IF($D1108="","",IFERROR(INDEX(Kontenplan!$C$5:$C$90,MATCH($D1108,Kontenplan!$A$5:$A$90,0)),"?"))</f>
        <v/>
      </c>
      <c r="U1108" s="35" t="str">
        <f aca="false">IF($E1108="","",IFERROR(INDEX(Kontenplan!$C$5:$C$90,MATCH($E1108,Kontenplan!$A$5:$A$90,0)),"?"))</f>
        <v/>
      </c>
      <c r="V1108" s="35" t="str">
        <f aca="false">IF($F1108="","",IF(OR($D1108="",$E1108="",$T1108="?",$U1108="?"),"Konto prüfen!",IF($A1108="","Datum fehlt",IF(YEAR($A1108)&lt;&gt;Einstellungen!$B$7,"anderes Jahr!",IF($G1108="","MWST-Code fehlt","OK")))))</f>
        <v/>
      </c>
      <c r="W1108" s="35" t="str">
        <f aca="false">IF($F1108="","",IF(OR($D1108=Kontoauszug!$C$4,$E1108=Kontoauszug!$C$4),MAX(W$4:W1107)+1,""))</f>
        <v/>
      </c>
    </row>
    <row r="1109" customFormat="false" ht="15" hidden="false" customHeight="false" outlineLevel="0" collapsed="false">
      <c r="A1109" s="33"/>
      <c r="B1109" s="32"/>
      <c r="C1109" s="32"/>
      <c r="D1109" s="32"/>
      <c r="E1109" s="32"/>
      <c r="F1109" s="30"/>
      <c r="G1109" s="32"/>
      <c r="H1109" s="34" t="n">
        <f aca="false">IF($G1109="",0,IFERROR(INDEX(Einstellungen!$G$5:$G$11,MATCH($G1109,Einstellungen!$E$5:$E$11,0)),0))</f>
        <v>0</v>
      </c>
      <c r="I1109" s="35" t="str">
        <f aca="false">IF($G1109="","-",IFERROR(INDEX(Einstellungen!$H$5:$H$11,MATCH($G1109,Einstellungen!$E$5:$E$11,0)),"-"))</f>
        <v>-</v>
      </c>
      <c r="J1109" s="35" t="str">
        <f aca="false">IF(AND(Einstellungen!$B$8="Ja",Einstellungen!$B$9="Effektiv"),$I1109,"-")</f>
        <v>-</v>
      </c>
      <c r="K1109" s="31" t="n">
        <f aca="false">IF(OR($F1109="",$J1109="-"),0,ROUND($F1109-$F1109/(1+$H1109),2))</f>
        <v>0</v>
      </c>
      <c r="L1109" s="31" t="n">
        <f aca="false">IF($F1109="",0,$F1109-$K1109)</f>
        <v>0</v>
      </c>
      <c r="M1109" s="31" t="n">
        <f aca="false">IF($F1109="",0,IF($J1109="V",$L1109,$F1109))</f>
        <v>0</v>
      </c>
      <c r="N1109" s="31" t="n">
        <f aca="false">IF($F1109="",0,IF($J1109="U",$L1109,$F1109))</f>
        <v>0</v>
      </c>
      <c r="O1109" s="35" t="str">
        <f aca="false">IF($A1109="","",MONTH($A1109))</f>
        <v/>
      </c>
      <c r="P1109" s="35" t="str">
        <f aca="false">IF($A1109="","",ROUNDUP(MONTH($A1109)/3,0))</f>
        <v/>
      </c>
      <c r="Q1109" s="35" t="str">
        <f aca="false">IF($A1109="","",IF(MONTH($A1109)&lt;=6,1,2))</f>
        <v/>
      </c>
      <c r="R1109" s="35" t="str">
        <f aca="false">IF($E1109="","",IFERROR(INDEX(Kontenplan!$F$5:$F$90,MATCH($E1109,Kontenplan!$A$5:$A$90,0)),""))</f>
        <v/>
      </c>
      <c r="S1109" s="35" t="str">
        <f aca="false">IF($D1109="","",IFERROR(INDEX(Kontenplan!$F$5:$F$90,MATCH($D1109,Kontenplan!$A$5:$A$90,0)),""))</f>
        <v/>
      </c>
      <c r="T1109" s="35" t="str">
        <f aca="false">IF($D1109="","",IFERROR(INDEX(Kontenplan!$C$5:$C$90,MATCH($D1109,Kontenplan!$A$5:$A$90,0)),"?"))</f>
        <v/>
      </c>
      <c r="U1109" s="35" t="str">
        <f aca="false">IF($E1109="","",IFERROR(INDEX(Kontenplan!$C$5:$C$90,MATCH($E1109,Kontenplan!$A$5:$A$90,0)),"?"))</f>
        <v/>
      </c>
      <c r="V1109" s="35" t="str">
        <f aca="false">IF($F1109="","",IF(OR($D1109="",$E1109="",$T1109="?",$U1109="?"),"Konto prüfen!",IF($A1109="","Datum fehlt",IF(YEAR($A1109)&lt;&gt;Einstellungen!$B$7,"anderes Jahr!",IF($G1109="","MWST-Code fehlt","OK")))))</f>
        <v/>
      </c>
      <c r="W1109" s="35" t="str">
        <f aca="false">IF($F1109="","",IF(OR($D1109=Kontoauszug!$C$4,$E1109=Kontoauszug!$C$4),MAX(W$4:W1108)+1,""))</f>
        <v/>
      </c>
    </row>
    <row r="1110" customFormat="false" ht="15" hidden="false" customHeight="false" outlineLevel="0" collapsed="false">
      <c r="A1110" s="33"/>
      <c r="B1110" s="32"/>
      <c r="C1110" s="32"/>
      <c r="D1110" s="32"/>
      <c r="E1110" s="32"/>
      <c r="F1110" s="30"/>
      <c r="G1110" s="32"/>
      <c r="H1110" s="34" t="n">
        <f aca="false">IF($G1110="",0,IFERROR(INDEX(Einstellungen!$G$5:$G$11,MATCH($G1110,Einstellungen!$E$5:$E$11,0)),0))</f>
        <v>0</v>
      </c>
      <c r="I1110" s="35" t="str">
        <f aca="false">IF($G1110="","-",IFERROR(INDEX(Einstellungen!$H$5:$H$11,MATCH($G1110,Einstellungen!$E$5:$E$11,0)),"-"))</f>
        <v>-</v>
      </c>
      <c r="J1110" s="35" t="str">
        <f aca="false">IF(AND(Einstellungen!$B$8="Ja",Einstellungen!$B$9="Effektiv"),$I1110,"-")</f>
        <v>-</v>
      </c>
      <c r="K1110" s="31" t="n">
        <f aca="false">IF(OR($F1110="",$J1110="-"),0,ROUND($F1110-$F1110/(1+$H1110),2))</f>
        <v>0</v>
      </c>
      <c r="L1110" s="31" t="n">
        <f aca="false">IF($F1110="",0,$F1110-$K1110)</f>
        <v>0</v>
      </c>
      <c r="M1110" s="31" t="n">
        <f aca="false">IF($F1110="",0,IF($J1110="V",$L1110,$F1110))</f>
        <v>0</v>
      </c>
      <c r="N1110" s="31" t="n">
        <f aca="false">IF($F1110="",0,IF($J1110="U",$L1110,$F1110))</f>
        <v>0</v>
      </c>
      <c r="O1110" s="35" t="str">
        <f aca="false">IF($A1110="","",MONTH($A1110))</f>
        <v/>
      </c>
      <c r="P1110" s="35" t="str">
        <f aca="false">IF($A1110="","",ROUNDUP(MONTH($A1110)/3,0))</f>
        <v/>
      </c>
      <c r="Q1110" s="35" t="str">
        <f aca="false">IF($A1110="","",IF(MONTH($A1110)&lt;=6,1,2))</f>
        <v/>
      </c>
      <c r="R1110" s="35" t="str">
        <f aca="false">IF($E1110="","",IFERROR(INDEX(Kontenplan!$F$5:$F$90,MATCH($E1110,Kontenplan!$A$5:$A$90,0)),""))</f>
        <v/>
      </c>
      <c r="S1110" s="35" t="str">
        <f aca="false">IF($D1110="","",IFERROR(INDEX(Kontenplan!$F$5:$F$90,MATCH($D1110,Kontenplan!$A$5:$A$90,0)),""))</f>
        <v/>
      </c>
      <c r="T1110" s="35" t="str">
        <f aca="false">IF($D1110="","",IFERROR(INDEX(Kontenplan!$C$5:$C$90,MATCH($D1110,Kontenplan!$A$5:$A$90,0)),"?"))</f>
        <v/>
      </c>
      <c r="U1110" s="35" t="str">
        <f aca="false">IF($E1110="","",IFERROR(INDEX(Kontenplan!$C$5:$C$90,MATCH($E1110,Kontenplan!$A$5:$A$90,0)),"?"))</f>
        <v/>
      </c>
      <c r="V1110" s="35" t="str">
        <f aca="false">IF($F1110="","",IF(OR($D1110="",$E1110="",$T1110="?",$U1110="?"),"Konto prüfen!",IF($A1110="","Datum fehlt",IF(YEAR($A1110)&lt;&gt;Einstellungen!$B$7,"anderes Jahr!",IF($G1110="","MWST-Code fehlt","OK")))))</f>
        <v/>
      </c>
      <c r="W1110" s="35" t="str">
        <f aca="false">IF($F1110="","",IF(OR($D1110=Kontoauszug!$C$4,$E1110=Kontoauszug!$C$4),MAX(W$4:W1109)+1,""))</f>
        <v/>
      </c>
    </row>
    <row r="1111" customFormat="false" ht="15" hidden="false" customHeight="false" outlineLevel="0" collapsed="false">
      <c r="A1111" s="33"/>
      <c r="B1111" s="32"/>
      <c r="C1111" s="32"/>
      <c r="D1111" s="32"/>
      <c r="E1111" s="32"/>
      <c r="F1111" s="30"/>
      <c r="G1111" s="32"/>
      <c r="H1111" s="34" t="n">
        <f aca="false">IF($G1111="",0,IFERROR(INDEX(Einstellungen!$G$5:$G$11,MATCH($G1111,Einstellungen!$E$5:$E$11,0)),0))</f>
        <v>0</v>
      </c>
      <c r="I1111" s="35" t="str">
        <f aca="false">IF($G1111="","-",IFERROR(INDEX(Einstellungen!$H$5:$H$11,MATCH($G1111,Einstellungen!$E$5:$E$11,0)),"-"))</f>
        <v>-</v>
      </c>
      <c r="J1111" s="35" t="str">
        <f aca="false">IF(AND(Einstellungen!$B$8="Ja",Einstellungen!$B$9="Effektiv"),$I1111,"-")</f>
        <v>-</v>
      </c>
      <c r="K1111" s="31" t="n">
        <f aca="false">IF(OR($F1111="",$J1111="-"),0,ROUND($F1111-$F1111/(1+$H1111),2))</f>
        <v>0</v>
      </c>
      <c r="L1111" s="31" t="n">
        <f aca="false">IF($F1111="",0,$F1111-$K1111)</f>
        <v>0</v>
      </c>
      <c r="M1111" s="31" t="n">
        <f aca="false">IF($F1111="",0,IF($J1111="V",$L1111,$F1111))</f>
        <v>0</v>
      </c>
      <c r="N1111" s="31" t="n">
        <f aca="false">IF($F1111="",0,IF($J1111="U",$L1111,$F1111))</f>
        <v>0</v>
      </c>
      <c r="O1111" s="35" t="str">
        <f aca="false">IF($A1111="","",MONTH($A1111))</f>
        <v/>
      </c>
      <c r="P1111" s="35" t="str">
        <f aca="false">IF($A1111="","",ROUNDUP(MONTH($A1111)/3,0))</f>
        <v/>
      </c>
      <c r="Q1111" s="35" t="str">
        <f aca="false">IF($A1111="","",IF(MONTH($A1111)&lt;=6,1,2))</f>
        <v/>
      </c>
      <c r="R1111" s="35" t="str">
        <f aca="false">IF($E1111="","",IFERROR(INDEX(Kontenplan!$F$5:$F$90,MATCH($E1111,Kontenplan!$A$5:$A$90,0)),""))</f>
        <v/>
      </c>
      <c r="S1111" s="35" t="str">
        <f aca="false">IF($D1111="","",IFERROR(INDEX(Kontenplan!$F$5:$F$90,MATCH($D1111,Kontenplan!$A$5:$A$90,0)),""))</f>
        <v/>
      </c>
      <c r="T1111" s="35" t="str">
        <f aca="false">IF($D1111="","",IFERROR(INDEX(Kontenplan!$C$5:$C$90,MATCH($D1111,Kontenplan!$A$5:$A$90,0)),"?"))</f>
        <v/>
      </c>
      <c r="U1111" s="35" t="str">
        <f aca="false">IF($E1111="","",IFERROR(INDEX(Kontenplan!$C$5:$C$90,MATCH($E1111,Kontenplan!$A$5:$A$90,0)),"?"))</f>
        <v/>
      </c>
      <c r="V1111" s="35" t="str">
        <f aca="false">IF($F1111="","",IF(OR($D1111="",$E1111="",$T1111="?",$U1111="?"),"Konto prüfen!",IF($A1111="","Datum fehlt",IF(YEAR($A1111)&lt;&gt;Einstellungen!$B$7,"anderes Jahr!",IF($G1111="","MWST-Code fehlt","OK")))))</f>
        <v/>
      </c>
      <c r="W1111" s="35" t="str">
        <f aca="false">IF($F1111="","",IF(OR($D1111=Kontoauszug!$C$4,$E1111=Kontoauszug!$C$4),MAX(W$4:W1110)+1,""))</f>
        <v/>
      </c>
    </row>
    <row r="1112" customFormat="false" ht="15" hidden="false" customHeight="false" outlineLevel="0" collapsed="false">
      <c r="A1112" s="33"/>
      <c r="B1112" s="32"/>
      <c r="C1112" s="32"/>
      <c r="D1112" s="32"/>
      <c r="E1112" s="32"/>
      <c r="F1112" s="30"/>
      <c r="G1112" s="32"/>
      <c r="H1112" s="34" t="n">
        <f aca="false">IF($G1112="",0,IFERROR(INDEX(Einstellungen!$G$5:$G$11,MATCH($G1112,Einstellungen!$E$5:$E$11,0)),0))</f>
        <v>0</v>
      </c>
      <c r="I1112" s="35" t="str">
        <f aca="false">IF($G1112="","-",IFERROR(INDEX(Einstellungen!$H$5:$H$11,MATCH($G1112,Einstellungen!$E$5:$E$11,0)),"-"))</f>
        <v>-</v>
      </c>
      <c r="J1112" s="35" t="str">
        <f aca="false">IF(AND(Einstellungen!$B$8="Ja",Einstellungen!$B$9="Effektiv"),$I1112,"-")</f>
        <v>-</v>
      </c>
      <c r="K1112" s="31" t="n">
        <f aca="false">IF(OR($F1112="",$J1112="-"),0,ROUND($F1112-$F1112/(1+$H1112),2))</f>
        <v>0</v>
      </c>
      <c r="L1112" s="31" t="n">
        <f aca="false">IF($F1112="",0,$F1112-$K1112)</f>
        <v>0</v>
      </c>
      <c r="M1112" s="31" t="n">
        <f aca="false">IF($F1112="",0,IF($J1112="V",$L1112,$F1112))</f>
        <v>0</v>
      </c>
      <c r="N1112" s="31" t="n">
        <f aca="false">IF($F1112="",0,IF($J1112="U",$L1112,$F1112))</f>
        <v>0</v>
      </c>
      <c r="O1112" s="35" t="str">
        <f aca="false">IF($A1112="","",MONTH($A1112))</f>
        <v/>
      </c>
      <c r="P1112" s="35" t="str">
        <f aca="false">IF($A1112="","",ROUNDUP(MONTH($A1112)/3,0))</f>
        <v/>
      </c>
      <c r="Q1112" s="35" t="str">
        <f aca="false">IF($A1112="","",IF(MONTH($A1112)&lt;=6,1,2))</f>
        <v/>
      </c>
      <c r="R1112" s="35" t="str">
        <f aca="false">IF($E1112="","",IFERROR(INDEX(Kontenplan!$F$5:$F$90,MATCH($E1112,Kontenplan!$A$5:$A$90,0)),""))</f>
        <v/>
      </c>
      <c r="S1112" s="35" t="str">
        <f aca="false">IF($D1112="","",IFERROR(INDEX(Kontenplan!$F$5:$F$90,MATCH($D1112,Kontenplan!$A$5:$A$90,0)),""))</f>
        <v/>
      </c>
      <c r="T1112" s="35" t="str">
        <f aca="false">IF($D1112="","",IFERROR(INDEX(Kontenplan!$C$5:$C$90,MATCH($D1112,Kontenplan!$A$5:$A$90,0)),"?"))</f>
        <v/>
      </c>
      <c r="U1112" s="35" t="str">
        <f aca="false">IF($E1112="","",IFERROR(INDEX(Kontenplan!$C$5:$C$90,MATCH($E1112,Kontenplan!$A$5:$A$90,0)),"?"))</f>
        <v/>
      </c>
      <c r="V1112" s="35" t="str">
        <f aca="false">IF($F1112="","",IF(OR($D1112="",$E1112="",$T1112="?",$U1112="?"),"Konto prüfen!",IF($A1112="","Datum fehlt",IF(YEAR($A1112)&lt;&gt;Einstellungen!$B$7,"anderes Jahr!",IF($G1112="","MWST-Code fehlt","OK")))))</f>
        <v/>
      </c>
      <c r="W1112" s="35" t="str">
        <f aca="false">IF($F1112="","",IF(OR($D1112=Kontoauszug!$C$4,$E1112=Kontoauszug!$C$4),MAX(W$4:W1111)+1,""))</f>
        <v/>
      </c>
    </row>
    <row r="1113" customFormat="false" ht="15" hidden="false" customHeight="false" outlineLevel="0" collapsed="false">
      <c r="A1113" s="33"/>
      <c r="B1113" s="32"/>
      <c r="C1113" s="32"/>
      <c r="D1113" s="32"/>
      <c r="E1113" s="32"/>
      <c r="F1113" s="30"/>
      <c r="G1113" s="32"/>
      <c r="H1113" s="34" t="n">
        <f aca="false">IF($G1113="",0,IFERROR(INDEX(Einstellungen!$G$5:$G$11,MATCH($G1113,Einstellungen!$E$5:$E$11,0)),0))</f>
        <v>0</v>
      </c>
      <c r="I1113" s="35" t="str">
        <f aca="false">IF($G1113="","-",IFERROR(INDEX(Einstellungen!$H$5:$H$11,MATCH($G1113,Einstellungen!$E$5:$E$11,0)),"-"))</f>
        <v>-</v>
      </c>
      <c r="J1113" s="35" t="str">
        <f aca="false">IF(AND(Einstellungen!$B$8="Ja",Einstellungen!$B$9="Effektiv"),$I1113,"-")</f>
        <v>-</v>
      </c>
      <c r="K1113" s="31" t="n">
        <f aca="false">IF(OR($F1113="",$J1113="-"),0,ROUND($F1113-$F1113/(1+$H1113),2))</f>
        <v>0</v>
      </c>
      <c r="L1113" s="31" t="n">
        <f aca="false">IF($F1113="",0,$F1113-$K1113)</f>
        <v>0</v>
      </c>
      <c r="M1113" s="31" t="n">
        <f aca="false">IF($F1113="",0,IF($J1113="V",$L1113,$F1113))</f>
        <v>0</v>
      </c>
      <c r="N1113" s="31" t="n">
        <f aca="false">IF($F1113="",0,IF($J1113="U",$L1113,$F1113))</f>
        <v>0</v>
      </c>
      <c r="O1113" s="35" t="str">
        <f aca="false">IF($A1113="","",MONTH($A1113))</f>
        <v/>
      </c>
      <c r="P1113" s="35" t="str">
        <f aca="false">IF($A1113="","",ROUNDUP(MONTH($A1113)/3,0))</f>
        <v/>
      </c>
      <c r="Q1113" s="35" t="str">
        <f aca="false">IF($A1113="","",IF(MONTH($A1113)&lt;=6,1,2))</f>
        <v/>
      </c>
      <c r="R1113" s="35" t="str">
        <f aca="false">IF($E1113="","",IFERROR(INDEX(Kontenplan!$F$5:$F$90,MATCH($E1113,Kontenplan!$A$5:$A$90,0)),""))</f>
        <v/>
      </c>
      <c r="S1113" s="35" t="str">
        <f aca="false">IF($D1113="","",IFERROR(INDEX(Kontenplan!$F$5:$F$90,MATCH($D1113,Kontenplan!$A$5:$A$90,0)),""))</f>
        <v/>
      </c>
      <c r="T1113" s="35" t="str">
        <f aca="false">IF($D1113="","",IFERROR(INDEX(Kontenplan!$C$5:$C$90,MATCH($D1113,Kontenplan!$A$5:$A$90,0)),"?"))</f>
        <v/>
      </c>
      <c r="U1113" s="35" t="str">
        <f aca="false">IF($E1113="","",IFERROR(INDEX(Kontenplan!$C$5:$C$90,MATCH($E1113,Kontenplan!$A$5:$A$90,0)),"?"))</f>
        <v/>
      </c>
      <c r="V1113" s="35" t="str">
        <f aca="false">IF($F1113="","",IF(OR($D1113="",$E1113="",$T1113="?",$U1113="?"),"Konto prüfen!",IF($A1113="","Datum fehlt",IF(YEAR($A1113)&lt;&gt;Einstellungen!$B$7,"anderes Jahr!",IF($G1113="","MWST-Code fehlt","OK")))))</f>
        <v/>
      </c>
      <c r="W1113" s="35" t="str">
        <f aca="false">IF($F1113="","",IF(OR($D1113=Kontoauszug!$C$4,$E1113=Kontoauszug!$C$4),MAX(W$4:W1112)+1,""))</f>
        <v/>
      </c>
    </row>
    <row r="1114" customFormat="false" ht="15" hidden="false" customHeight="false" outlineLevel="0" collapsed="false">
      <c r="A1114" s="33"/>
      <c r="B1114" s="32"/>
      <c r="C1114" s="32"/>
      <c r="D1114" s="32"/>
      <c r="E1114" s="32"/>
      <c r="F1114" s="30"/>
      <c r="G1114" s="32"/>
      <c r="H1114" s="34" t="n">
        <f aca="false">IF($G1114="",0,IFERROR(INDEX(Einstellungen!$G$5:$G$11,MATCH($G1114,Einstellungen!$E$5:$E$11,0)),0))</f>
        <v>0</v>
      </c>
      <c r="I1114" s="35" t="str">
        <f aca="false">IF($G1114="","-",IFERROR(INDEX(Einstellungen!$H$5:$H$11,MATCH($G1114,Einstellungen!$E$5:$E$11,0)),"-"))</f>
        <v>-</v>
      </c>
      <c r="J1114" s="35" t="str">
        <f aca="false">IF(AND(Einstellungen!$B$8="Ja",Einstellungen!$B$9="Effektiv"),$I1114,"-")</f>
        <v>-</v>
      </c>
      <c r="K1114" s="31" t="n">
        <f aca="false">IF(OR($F1114="",$J1114="-"),0,ROUND($F1114-$F1114/(1+$H1114),2))</f>
        <v>0</v>
      </c>
      <c r="L1114" s="31" t="n">
        <f aca="false">IF($F1114="",0,$F1114-$K1114)</f>
        <v>0</v>
      </c>
      <c r="M1114" s="31" t="n">
        <f aca="false">IF($F1114="",0,IF($J1114="V",$L1114,$F1114))</f>
        <v>0</v>
      </c>
      <c r="N1114" s="31" t="n">
        <f aca="false">IF($F1114="",0,IF($J1114="U",$L1114,$F1114))</f>
        <v>0</v>
      </c>
      <c r="O1114" s="35" t="str">
        <f aca="false">IF($A1114="","",MONTH($A1114))</f>
        <v/>
      </c>
      <c r="P1114" s="35" t="str">
        <f aca="false">IF($A1114="","",ROUNDUP(MONTH($A1114)/3,0))</f>
        <v/>
      </c>
      <c r="Q1114" s="35" t="str">
        <f aca="false">IF($A1114="","",IF(MONTH($A1114)&lt;=6,1,2))</f>
        <v/>
      </c>
      <c r="R1114" s="35" t="str">
        <f aca="false">IF($E1114="","",IFERROR(INDEX(Kontenplan!$F$5:$F$90,MATCH($E1114,Kontenplan!$A$5:$A$90,0)),""))</f>
        <v/>
      </c>
      <c r="S1114" s="35" t="str">
        <f aca="false">IF($D1114="","",IFERROR(INDEX(Kontenplan!$F$5:$F$90,MATCH($D1114,Kontenplan!$A$5:$A$90,0)),""))</f>
        <v/>
      </c>
      <c r="T1114" s="35" t="str">
        <f aca="false">IF($D1114="","",IFERROR(INDEX(Kontenplan!$C$5:$C$90,MATCH($D1114,Kontenplan!$A$5:$A$90,0)),"?"))</f>
        <v/>
      </c>
      <c r="U1114" s="35" t="str">
        <f aca="false">IF($E1114="","",IFERROR(INDEX(Kontenplan!$C$5:$C$90,MATCH($E1114,Kontenplan!$A$5:$A$90,0)),"?"))</f>
        <v/>
      </c>
      <c r="V1114" s="35" t="str">
        <f aca="false">IF($F1114="","",IF(OR($D1114="",$E1114="",$T1114="?",$U1114="?"),"Konto prüfen!",IF($A1114="","Datum fehlt",IF(YEAR($A1114)&lt;&gt;Einstellungen!$B$7,"anderes Jahr!",IF($G1114="","MWST-Code fehlt","OK")))))</f>
        <v/>
      </c>
      <c r="W1114" s="35" t="str">
        <f aca="false">IF($F1114="","",IF(OR($D1114=Kontoauszug!$C$4,$E1114=Kontoauszug!$C$4),MAX(W$4:W1113)+1,""))</f>
        <v/>
      </c>
    </row>
    <row r="1115" customFormat="false" ht="15" hidden="false" customHeight="false" outlineLevel="0" collapsed="false">
      <c r="A1115" s="33"/>
      <c r="B1115" s="32"/>
      <c r="C1115" s="32"/>
      <c r="D1115" s="32"/>
      <c r="E1115" s="32"/>
      <c r="F1115" s="30"/>
      <c r="G1115" s="32"/>
      <c r="H1115" s="34" t="n">
        <f aca="false">IF($G1115="",0,IFERROR(INDEX(Einstellungen!$G$5:$G$11,MATCH($G1115,Einstellungen!$E$5:$E$11,0)),0))</f>
        <v>0</v>
      </c>
      <c r="I1115" s="35" t="str">
        <f aca="false">IF($G1115="","-",IFERROR(INDEX(Einstellungen!$H$5:$H$11,MATCH($G1115,Einstellungen!$E$5:$E$11,0)),"-"))</f>
        <v>-</v>
      </c>
      <c r="J1115" s="35" t="str">
        <f aca="false">IF(AND(Einstellungen!$B$8="Ja",Einstellungen!$B$9="Effektiv"),$I1115,"-")</f>
        <v>-</v>
      </c>
      <c r="K1115" s="31" t="n">
        <f aca="false">IF(OR($F1115="",$J1115="-"),0,ROUND($F1115-$F1115/(1+$H1115),2))</f>
        <v>0</v>
      </c>
      <c r="L1115" s="31" t="n">
        <f aca="false">IF($F1115="",0,$F1115-$K1115)</f>
        <v>0</v>
      </c>
      <c r="M1115" s="31" t="n">
        <f aca="false">IF($F1115="",0,IF($J1115="V",$L1115,$F1115))</f>
        <v>0</v>
      </c>
      <c r="N1115" s="31" t="n">
        <f aca="false">IF($F1115="",0,IF($J1115="U",$L1115,$F1115))</f>
        <v>0</v>
      </c>
      <c r="O1115" s="35" t="str">
        <f aca="false">IF($A1115="","",MONTH($A1115))</f>
        <v/>
      </c>
      <c r="P1115" s="35" t="str">
        <f aca="false">IF($A1115="","",ROUNDUP(MONTH($A1115)/3,0))</f>
        <v/>
      </c>
      <c r="Q1115" s="35" t="str">
        <f aca="false">IF($A1115="","",IF(MONTH($A1115)&lt;=6,1,2))</f>
        <v/>
      </c>
      <c r="R1115" s="35" t="str">
        <f aca="false">IF($E1115="","",IFERROR(INDEX(Kontenplan!$F$5:$F$90,MATCH($E1115,Kontenplan!$A$5:$A$90,0)),""))</f>
        <v/>
      </c>
      <c r="S1115" s="35" t="str">
        <f aca="false">IF($D1115="","",IFERROR(INDEX(Kontenplan!$F$5:$F$90,MATCH($D1115,Kontenplan!$A$5:$A$90,0)),""))</f>
        <v/>
      </c>
      <c r="T1115" s="35" t="str">
        <f aca="false">IF($D1115="","",IFERROR(INDEX(Kontenplan!$C$5:$C$90,MATCH($D1115,Kontenplan!$A$5:$A$90,0)),"?"))</f>
        <v/>
      </c>
      <c r="U1115" s="35" t="str">
        <f aca="false">IF($E1115="","",IFERROR(INDEX(Kontenplan!$C$5:$C$90,MATCH($E1115,Kontenplan!$A$5:$A$90,0)),"?"))</f>
        <v/>
      </c>
      <c r="V1115" s="35" t="str">
        <f aca="false">IF($F1115="","",IF(OR($D1115="",$E1115="",$T1115="?",$U1115="?"),"Konto prüfen!",IF($A1115="","Datum fehlt",IF(YEAR($A1115)&lt;&gt;Einstellungen!$B$7,"anderes Jahr!",IF($G1115="","MWST-Code fehlt","OK")))))</f>
        <v/>
      </c>
      <c r="W1115" s="35" t="str">
        <f aca="false">IF($F1115="","",IF(OR($D1115=Kontoauszug!$C$4,$E1115=Kontoauszug!$C$4),MAX(W$4:W1114)+1,""))</f>
        <v/>
      </c>
    </row>
    <row r="1116" customFormat="false" ht="15" hidden="false" customHeight="false" outlineLevel="0" collapsed="false">
      <c r="A1116" s="33"/>
      <c r="B1116" s="32"/>
      <c r="C1116" s="32"/>
      <c r="D1116" s="32"/>
      <c r="E1116" s="32"/>
      <c r="F1116" s="30"/>
      <c r="G1116" s="32"/>
      <c r="H1116" s="34" t="n">
        <f aca="false">IF($G1116="",0,IFERROR(INDEX(Einstellungen!$G$5:$G$11,MATCH($G1116,Einstellungen!$E$5:$E$11,0)),0))</f>
        <v>0</v>
      </c>
      <c r="I1116" s="35" t="str">
        <f aca="false">IF($G1116="","-",IFERROR(INDEX(Einstellungen!$H$5:$H$11,MATCH($G1116,Einstellungen!$E$5:$E$11,0)),"-"))</f>
        <v>-</v>
      </c>
      <c r="J1116" s="35" t="str">
        <f aca="false">IF(AND(Einstellungen!$B$8="Ja",Einstellungen!$B$9="Effektiv"),$I1116,"-")</f>
        <v>-</v>
      </c>
      <c r="K1116" s="31" t="n">
        <f aca="false">IF(OR($F1116="",$J1116="-"),0,ROUND($F1116-$F1116/(1+$H1116),2))</f>
        <v>0</v>
      </c>
      <c r="L1116" s="31" t="n">
        <f aca="false">IF($F1116="",0,$F1116-$K1116)</f>
        <v>0</v>
      </c>
      <c r="M1116" s="31" t="n">
        <f aca="false">IF($F1116="",0,IF($J1116="V",$L1116,$F1116))</f>
        <v>0</v>
      </c>
      <c r="N1116" s="31" t="n">
        <f aca="false">IF($F1116="",0,IF($J1116="U",$L1116,$F1116))</f>
        <v>0</v>
      </c>
      <c r="O1116" s="35" t="str">
        <f aca="false">IF($A1116="","",MONTH($A1116))</f>
        <v/>
      </c>
      <c r="P1116" s="35" t="str">
        <f aca="false">IF($A1116="","",ROUNDUP(MONTH($A1116)/3,0))</f>
        <v/>
      </c>
      <c r="Q1116" s="35" t="str">
        <f aca="false">IF($A1116="","",IF(MONTH($A1116)&lt;=6,1,2))</f>
        <v/>
      </c>
      <c r="R1116" s="35" t="str">
        <f aca="false">IF($E1116="","",IFERROR(INDEX(Kontenplan!$F$5:$F$90,MATCH($E1116,Kontenplan!$A$5:$A$90,0)),""))</f>
        <v/>
      </c>
      <c r="S1116" s="35" t="str">
        <f aca="false">IF($D1116="","",IFERROR(INDEX(Kontenplan!$F$5:$F$90,MATCH($D1116,Kontenplan!$A$5:$A$90,0)),""))</f>
        <v/>
      </c>
      <c r="T1116" s="35" t="str">
        <f aca="false">IF($D1116="","",IFERROR(INDEX(Kontenplan!$C$5:$C$90,MATCH($D1116,Kontenplan!$A$5:$A$90,0)),"?"))</f>
        <v/>
      </c>
      <c r="U1116" s="35" t="str">
        <f aca="false">IF($E1116="","",IFERROR(INDEX(Kontenplan!$C$5:$C$90,MATCH($E1116,Kontenplan!$A$5:$A$90,0)),"?"))</f>
        <v/>
      </c>
      <c r="V1116" s="35" t="str">
        <f aca="false">IF($F1116="","",IF(OR($D1116="",$E1116="",$T1116="?",$U1116="?"),"Konto prüfen!",IF($A1116="","Datum fehlt",IF(YEAR($A1116)&lt;&gt;Einstellungen!$B$7,"anderes Jahr!",IF($G1116="","MWST-Code fehlt","OK")))))</f>
        <v/>
      </c>
      <c r="W1116" s="35" t="str">
        <f aca="false">IF($F1116="","",IF(OR($D1116=Kontoauszug!$C$4,$E1116=Kontoauszug!$C$4),MAX(W$4:W1115)+1,""))</f>
        <v/>
      </c>
    </row>
    <row r="1117" customFormat="false" ht="15" hidden="false" customHeight="false" outlineLevel="0" collapsed="false">
      <c r="A1117" s="33"/>
      <c r="B1117" s="32"/>
      <c r="C1117" s="32"/>
      <c r="D1117" s="32"/>
      <c r="E1117" s="32"/>
      <c r="F1117" s="30"/>
      <c r="G1117" s="32"/>
      <c r="H1117" s="34" t="n">
        <f aca="false">IF($G1117="",0,IFERROR(INDEX(Einstellungen!$G$5:$G$11,MATCH($G1117,Einstellungen!$E$5:$E$11,0)),0))</f>
        <v>0</v>
      </c>
      <c r="I1117" s="35" t="str">
        <f aca="false">IF($G1117="","-",IFERROR(INDEX(Einstellungen!$H$5:$H$11,MATCH($G1117,Einstellungen!$E$5:$E$11,0)),"-"))</f>
        <v>-</v>
      </c>
      <c r="J1117" s="35" t="str">
        <f aca="false">IF(AND(Einstellungen!$B$8="Ja",Einstellungen!$B$9="Effektiv"),$I1117,"-")</f>
        <v>-</v>
      </c>
      <c r="K1117" s="31" t="n">
        <f aca="false">IF(OR($F1117="",$J1117="-"),0,ROUND($F1117-$F1117/(1+$H1117),2))</f>
        <v>0</v>
      </c>
      <c r="L1117" s="31" t="n">
        <f aca="false">IF($F1117="",0,$F1117-$K1117)</f>
        <v>0</v>
      </c>
      <c r="M1117" s="31" t="n">
        <f aca="false">IF($F1117="",0,IF($J1117="V",$L1117,$F1117))</f>
        <v>0</v>
      </c>
      <c r="N1117" s="31" t="n">
        <f aca="false">IF($F1117="",0,IF($J1117="U",$L1117,$F1117))</f>
        <v>0</v>
      </c>
      <c r="O1117" s="35" t="str">
        <f aca="false">IF($A1117="","",MONTH($A1117))</f>
        <v/>
      </c>
      <c r="P1117" s="35" t="str">
        <f aca="false">IF($A1117="","",ROUNDUP(MONTH($A1117)/3,0))</f>
        <v/>
      </c>
      <c r="Q1117" s="35" t="str">
        <f aca="false">IF($A1117="","",IF(MONTH($A1117)&lt;=6,1,2))</f>
        <v/>
      </c>
      <c r="R1117" s="35" t="str">
        <f aca="false">IF($E1117="","",IFERROR(INDEX(Kontenplan!$F$5:$F$90,MATCH($E1117,Kontenplan!$A$5:$A$90,0)),""))</f>
        <v/>
      </c>
      <c r="S1117" s="35" t="str">
        <f aca="false">IF($D1117="","",IFERROR(INDEX(Kontenplan!$F$5:$F$90,MATCH($D1117,Kontenplan!$A$5:$A$90,0)),""))</f>
        <v/>
      </c>
      <c r="T1117" s="35" t="str">
        <f aca="false">IF($D1117="","",IFERROR(INDEX(Kontenplan!$C$5:$C$90,MATCH($D1117,Kontenplan!$A$5:$A$90,0)),"?"))</f>
        <v/>
      </c>
      <c r="U1117" s="35" t="str">
        <f aca="false">IF($E1117="","",IFERROR(INDEX(Kontenplan!$C$5:$C$90,MATCH($E1117,Kontenplan!$A$5:$A$90,0)),"?"))</f>
        <v/>
      </c>
      <c r="V1117" s="35" t="str">
        <f aca="false">IF($F1117="","",IF(OR($D1117="",$E1117="",$T1117="?",$U1117="?"),"Konto prüfen!",IF($A1117="","Datum fehlt",IF(YEAR($A1117)&lt;&gt;Einstellungen!$B$7,"anderes Jahr!",IF($G1117="","MWST-Code fehlt","OK")))))</f>
        <v/>
      </c>
      <c r="W1117" s="35" t="str">
        <f aca="false">IF($F1117="","",IF(OR($D1117=Kontoauszug!$C$4,$E1117=Kontoauszug!$C$4),MAX(W$4:W1116)+1,""))</f>
        <v/>
      </c>
    </row>
    <row r="1118" customFormat="false" ht="15" hidden="false" customHeight="false" outlineLevel="0" collapsed="false">
      <c r="A1118" s="33"/>
      <c r="B1118" s="32"/>
      <c r="C1118" s="32"/>
      <c r="D1118" s="32"/>
      <c r="E1118" s="32"/>
      <c r="F1118" s="30"/>
      <c r="G1118" s="32"/>
      <c r="H1118" s="34" t="n">
        <f aca="false">IF($G1118="",0,IFERROR(INDEX(Einstellungen!$G$5:$G$11,MATCH($G1118,Einstellungen!$E$5:$E$11,0)),0))</f>
        <v>0</v>
      </c>
      <c r="I1118" s="35" t="str">
        <f aca="false">IF($G1118="","-",IFERROR(INDEX(Einstellungen!$H$5:$H$11,MATCH($G1118,Einstellungen!$E$5:$E$11,0)),"-"))</f>
        <v>-</v>
      </c>
      <c r="J1118" s="35" t="str">
        <f aca="false">IF(AND(Einstellungen!$B$8="Ja",Einstellungen!$B$9="Effektiv"),$I1118,"-")</f>
        <v>-</v>
      </c>
      <c r="K1118" s="31" t="n">
        <f aca="false">IF(OR($F1118="",$J1118="-"),0,ROUND($F1118-$F1118/(1+$H1118),2))</f>
        <v>0</v>
      </c>
      <c r="L1118" s="31" t="n">
        <f aca="false">IF($F1118="",0,$F1118-$K1118)</f>
        <v>0</v>
      </c>
      <c r="M1118" s="31" t="n">
        <f aca="false">IF($F1118="",0,IF($J1118="V",$L1118,$F1118))</f>
        <v>0</v>
      </c>
      <c r="N1118" s="31" t="n">
        <f aca="false">IF($F1118="",0,IF($J1118="U",$L1118,$F1118))</f>
        <v>0</v>
      </c>
      <c r="O1118" s="35" t="str">
        <f aca="false">IF($A1118="","",MONTH($A1118))</f>
        <v/>
      </c>
      <c r="P1118" s="35" t="str">
        <f aca="false">IF($A1118="","",ROUNDUP(MONTH($A1118)/3,0))</f>
        <v/>
      </c>
      <c r="Q1118" s="35" t="str">
        <f aca="false">IF($A1118="","",IF(MONTH($A1118)&lt;=6,1,2))</f>
        <v/>
      </c>
      <c r="R1118" s="35" t="str">
        <f aca="false">IF($E1118="","",IFERROR(INDEX(Kontenplan!$F$5:$F$90,MATCH($E1118,Kontenplan!$A$5:$A$90,0)),""))</f>
        <v/>
      </c>
      <c r="S1118" s="35" t="str">
        <f aca="false">IF($D1118="","",IFERROR(INDEX(Kontenplan!$F$5:$F$90,MATCH($D1118,Kontenplan!$A$5:$A$90,0)),""))</f>
        <v/>
      </c>
      <c r="T1118" s="35" t="str">
        <f aca="false">IF($D1118="","",IFERROR(INDEX(Kontenplan!$C$5:$C$90,MATCH($D1118,Kontenplan!$A$5:$A$90,0)),"?"))</f>
        <v/>
      </c>
      <c r="U1118" s="35" t="str">
        <f aca="false">IF($E1118="","",IFERROR(INDEX(Kontenplan!$C$5:$C$90,MATCH($E1118,Kontenplan!$A$5:$A$90,0)),"?"))</f>
        <v/>
      </c>
      <c r="V1118" s="35" t="str">
        <f aca="false">IF($F1118="","",IF(OR($D1118="",$E1118="",$T1118="?",$U1118="?"),"Konto prüfen!",IF($A1118="","Datum fehlt",IF(YEAR($A1118)&lt;&gt;Einstellungen!$B$7,"anderes Jahr!",IF($G1118="","MWST-Code fehlt","OK")))))</f>
        <v/>
      </c>
      <c r="W1118" s="35" t="str">
        <f aca="false">IF($F1118="","",IF(OR($D1118=Kontoauszug!$C$4,$E1118=Kontoauszug!$C$4),MAX(W$4:W1117)+1,""))</f>
        <v/>
      </c>
    </row>
    <row r="1119" customFormat="false" ht="15" hidden="false" customHeight="false" outlineLevel="0" collapsed="false">
      <c r="A1119" s="33"/>
      <c r="B1119" s="32"/>
      <c r="C1119" s="32"/>
      <c r="D1119" s="32"/>
      <c r="E1119" s="32"/>
      <c r="F1119" s="30"/>
      <c r="G1119" s="32"/>
      <c r="H1119" s="34" t="n">
        <f aca="false">IF($G1119="",0,IFERROR(INDEX(Einstellungen!$G$5:$G$11,MATCH($G1119,Einstellungen!$E$5:$E$11,0)),0))</f>
        <v>0</v>
      </c>
      <c r="I1119" s="35" t="str">
        <f aca="false">IF($G1119="","-",IFERROR(INDEX(Einstellungen!$H$5:$H$11,MATCH($G1119,Einstellungen!$E$5:$E$11,0)),"-"))</f>
        <v>-</v>
      </c>
      <c r="J1119" s="35" t="str">
        <f aca="false">IF(AND(Einstellungen!$B$8="Ja",Einstellungen!$B$9="Effektiv"),$I1119,"-")</f>
        <v>-</v>
      </c>
      <c r="K1119" s="31" t="n">
        <f aca="false">IF(OR($F1119="",$J1119="-"),0,ROUND($F1119-$F1119/(1+$H1119),2))</f>
        <v>0</v>
      </c>
      <c r="L1119" s="31" t="n">
        <f aca="false">IF($F1119="",0,$F1119-$K1119)</f>
        <v>0</v>
      </c>
      <c r="M1119" s="31" t="n">
        <f aca="false">IF($F1119="",0,IF($J1119="V",$L1119,$F1119))</f>
        <v>0</v>
      </c>
      <c r="N1119" s="31" t="n">
        <f aca="false">IF($F1119="",0,IF($J1119="U",$L1119,$F1119))</f>
        <v>0</v>
      </c>
      <c r="O1119" s="35" t="str">
        <f aca="false">IF($A1119="","",MONTH($A1119))</f>
        <v/>
      </c>
      <c r="P1119" s="35" t="str">
        <f aca="false">IF($A1119="","",ROUNDUP(MONTH($A1119)/3,0))</f>
        <v/>
      </c>
      <c r="Q1119" s="35" t="str">
        <f aca="false">IF($A1119="","",IF(MONTH($A1119)&lt;=6,1,2))</f>
        <v/>
      </c>
      <c r="R1119" s="35" t="str">
        <f aca="false">IF($E1119="","",IFERROR(INDEX(Kontenplan!$F$5:$F$90,MATCH($E1119,Kontenplan!$A$5:$A$90,0)),""))</f>
        <v/>
      </c>
      <c r="S1119" s="35" t="str">
        <f aca="false">IF($D1119="","",IFERROR(INDEX(Kontenplan!$F$5:$F$90,MATCH($D1119,Kontenplan!$A$5:$A$90,0)),""))</f>
        <v/>
      </c>
      <c r="T1119" s="35" t="str">
        <f aca="false">IF($D1119="","",IFERROR(INDEX(Kontenplan!$C$5:$C$90,MATCH($D1119,Kontenplan!$A$5:$A$90,0)),"?"))</f>
        <v/>
      </c>
      <c r="U1119" s="35" t="str">
        <f aca="false">IF($E1119="","",IFERROR(INDEX(Kontenplan!$C$5:$C$90,MATCH($E1119,Kontenplan!$A$5:$A$90,0)),"?"))</f>
        <v/>
      </c>
      <c r="V1119" s="35" t="str">
        <f aca="false">IF($F1119="","",IF(OR($D1119="",$E1119="",$T1119="?",$U1119="?"),"Konto prüfen!",IF($A1119="","Datum fehlt",IF(YEAR($A1119)&lt;&gt;Einstellungen!$B$7,"anderes Jahr!",IF($G1119="","MWST-Code fehlt","OK")))))</f>
        <v/>
      </c>
      <c r="W1119" s="35" t="str">
        <f aca="false">IF($F1119="","",IF(OR($D1119=Kontoauszug!$C$4,$E1119=Kontoauszug!$C$4),MAX(W$4:W1118)+1,""))</f>
        <v/>
      </c>
    </row>
    <row r="1120" customFormat="false" ht="15" hidden="false" customHeight="false" outlineLevel="0" collapsed="false">
      <c r="A1120" s="33"/>
      <c r="B1120" s="32"/>
      <c r="C1120" s="32"/>
      <c r="D1120" s="32"/>
      <c r="E1120" s="32"/>
      <c r="F1120" s="30"/>
      <c r="G1120" s="32"/>
      <c r="H1120" s="34" t="n">
        <f aca="false">IF($G1120="",0,IFERROR(INDEX(Einstellungen!$G$5:$G$11,MATCH($G1120,Einstellungen!$E$5:$E$11,0)),0))</f>
        <v>0</v>
      </c>
      <c r="I1120" s="35" t="str">
        <f aca="false">IF($G1120="","-",IFERROR(INDEX(Einstellungen!$H$5:$H$11,MATCH($G1120,Einstellungen!$E$5:$E$11,0)),"-"))</f>
        <v>-</v>
      </c>
      <c r="J1120" s="35" t="str">
        <f aca="false">IF(AND(Einstellungen!$B$8="Ja",Einstellungen!$B$9="Effektiv"),$I1120,"-")</f>
        <v>-</v>
      </c>
      <c r="K1120" s="31" t="n">
        <f aca="false">IF(OR($F1120="",$J1120="-"),0,ROUND($F1120-$F1120/(1+$H1120),2))</f>
        <v>0</v>
      </c>
      <c r="L1120" s="31" t="n">
        <f aca="false">IF($F1120="",0,$F1120-$K1120)</f>
        <v>0</v>
      </c>
      <c r="M1120" s="31" t="n">
        <f aca="false">IF($F1120="",0,IF($J1120="V",$L1120,$F1120))</f>
        <v>0</v>
      </c>
      <c r="N1120" s="31" t="n">
        <f aca="false">IF($F1120="",0,IF($J1120="U",$L1120,$F1120))</f>
        <v>0</v>
      </c>
      <c r="O1120" s="35" t="str">
        <f aca="false">IF($A1120="","",MONTH($A1120))</f>
        <v/>
      </c>
      <c r="P1120" s="35" t="str">
        <f aca="false">IF($A1120="","",ROUNDUP(MONTH($A1120)/3,0))</f>
        <v/>
      </c>
      <c r="Q1120" s="35" t="str">
        <f aca="false">IF($A1120="","",IF(MONTH($A1120)&lt;=6,1,2))</f>
        <v/>
      </c>
      <c r="R1120" s="35" t="str">
        <f aca="false">IF($E1120="","",IFERROR(INDEX(Kontenplan!$F$5:$F$90,MATCH($E1120,Kontenplan!$A$5:$A$90,0)),""))</f>
        <v/>
      </c>
      <c r="S1120" s="35" t="str">
        <f aca="false">IF($D1120="","",IFERROR(INDEX(Kontenplan!$F$5:$F$90,MATCH($D1120,Kontenplan!$A$5:$A$90,0)),""))</f>
        <v/>
      </c>
      <c r="T1120" s="35" t="str">
        <f aca="false">IF($D1120="","",IFERROR(INDEX(Kontenplan!$C$5:$C$90,MATCH($D1120,Kontenplan!$A$5:$A$90,0)),"?"))</f>
        <v/>
      </c>
      <c r="U1120" s="35" t="str">
        <f aca="false">IF($E1120="","",IFERROR(INDEX(Kontenplan!$C$5:$C$90,MATCH($E1120,Kontenplan!$A$5:$A$90,0)),"?"))</f>
        <v/>
      </c>
      <c r="V1120" s="35" t="str">
        <f aca="false">IF($F1120="","",IF(OR($D1120="",$E1120="",$T1120="?",$U1120="?"),"Konto prüfen!",IF($A1120="","Datum fehlt",IF(YEAR($A1120)&lt;&gt;Einstellungen!$B$7,"anderes Jahr!",IF($G1120="","MWST-Code fehlt","OK")))))</f>
        <v/>
      </c>
      <c r="W1120" s="35" t="str">
        <f aca="false">IF($F1120="","",IF(OR($D1120=Kontoauszug!$C$4,$E1120=Kontoauszug!$C$4),MAX(W$4:W1119)+1,""))</f>
        <v/>
      </c>
    </row>
    <row r="1121" customFormat="false" ht="15" hidden="false" customHeight="false" outlineLevel="0" collapsed="false">
      <c r="A1121" s="33"/>
      <c r="B1121" s="32"/>
      <c r="C1121" s="32"/>
      <c r="D1121" s="32"/>
      <c r="E1121" s="32"/>
      <c r="F1121" s="30"/>
      <c r="G1121" s="32"/>
      <c r="H1121" s="34" t="n">
        <f aca="false">IF($G1121="",0,IFERROR(INDEX(Einstellungen!$G$5:$G$11,MATCH($G1121,Einstellungen!$E$5:$E$11,0)),0))</f>
        <v>0</v>
      </c>
      <c r="I1121" s="35" t="str">
        <f aca="false">IF($G1121="","-",IFERROR(INDEX(Einstellungen!$H$5:$H$11,MATCH($G1121,Einstellungen!$E$5:$E$11,0)),"-"))</f>
        <v>-</v>
      </c>
      <c r="J1121" s="35" t="str">
        <f aca="false">IF(AND(Einstellungen!$B$8="Ja",Einstellungen!$B$9="Effektiv"),$I1121,"-")</f>
        <v>-</v>
      </c>
      <c r="K1121" s="31" t="n">
        <f aca="false">IF(OR($F1121="",$J1121="-"),0,ROUND($F1121-$F1121/(1+$H1121),2))</f>
        <v>0</v>
      </c>
      <c r="L1121" s="31" t="n">
        <f aca="false">IF($F1121="",0,$F1121-$K1121)</f>
        <v>0</v>
      </c>
      <c r="M1121" s="31" t="n">
        <f aca="false">IF($F1121="",0,IF($J1121="V",$L1121,$F1121))</f>
        <v>0</v>
      </c>
      <c r="N1121" s="31" t="n">
        <f aca="false">IF($F1121="",0,IF($J1121="U",$L1121,$F1121))</f>
        <v>0</v>
      </c>
      <c r="O1121" s="35" t="str">
        <f aca="false">IF($A1121="","",MONTH($A1121))</f>
        <v/>
      </c>
      <c r="P1121" s="35" t="str">
        <f aca="false">IF($A1121="","",ROUNDUP(MONTH($A1121)/3,0))</f>
        <v/>
      </c>
      <c r="Q1121" s="35" t="str">
        <f aca="false">IF($A1121="","",IF(MONTH($A1121)&lt;=6,1,2))</f>
        <v/>
      </c>
      <c r="R1121" s="35" t="str">
        <f aca="false">IF($E1121="","",IFERROR(INDEX(Kontenplan!$F$5:$F$90,MATCH($E1121,Kontenplan!$A$5:$A$90,0)),""))</f>
        <v/>
      </c>
      <c r="S1121" s="35" t="str">
        <f aca="false">IF($D1121="","",IFERROR(INDEX(Kontenplan!$F$5:$F$90,MATCH($D1121,Kontenplan!$A$5:$A$90,0)),""))</f>
        <v/>
      </c>
      <c r="T1121" s="35" t="str">
        <f aca="false">IF($D1121="","",IFERROR(INDEX(Kontenplan!$C$5:$C$90,MATCH($D1121,Kontenplan!$A$5:$A$90,0)),"?"))</f>
        <v/>
      </c>
      <c r="U1121" s="35" t="str">
        <f aca="false">IF($E1121="","",IFERROR(INDEX(Kontenplan!$C$5:$C$90,MATCH($E1121,Kontenplan!$A$5:$A$90,0)),"?"))</f>
        <v/>
      </c>
      <c r="V1121" s="35" t="str">
        <f aca="false">IF($F1121="","",IF(OR($D1121="",$E1121="",$T1121="?",$U1121="?"),"Konto prüfen!",IF($A1121="","Datum fehlt",IF(YEAR($A1121)&lt;&gt;Einstellungen!$B$7,"anderes Jahr!",IF($G1121="","MWST-Code fehlt","OK")))))</f>
        <v/>
      </c>
      <c r="W1121" s="35" t="str">
        <f aca="false">IF($F1121="","",IF(OR($D1121=Kontoauszug!$C$4,$E1121=Kontoauszug!$C$4),MAX(W$4:W1120)+1,""))</f>
        <v/>
      </c>
    </row>
    <row r="1122" customFormat="false" ht="15" hidden="false" customHeight="false" outlineLevel="0" collapsed="false">
      <c r="A1122" s="33"/>
      <c r="B1122" s="32"/>
      <c r="C1122" s="32"/>
      <c r="D1122" s="32"/>
      <c r="E1122" s="32"/>
      <c r="F1122" s="30"/>
      <c r="G1122" s="32"/>
      <c r="H1122" s="34" t="n">
        <f aca="false">IF($G1122="",0,IFERROR(INDEX(Einstellungen!$G$5:$G$11,MATCH($G1122,Einstellungen!$E$5:$E$11,0)),0))</f>
        <v>0</v>
      </c>
      <c r="I1122" s="35" t="str">
        <f aca="false">IF($G1122="","-",IFERROR(INDEX(Einstellungen!$H$5:$H$11,MATCH($G1122,Einstellungen!$E$5:$E$11,0)),"-"))</f>
        <v>-</v>
      </c>
      <c r="J1122" s="35" t="str">
        <f aca="false">IF(AND(Einstellungen!$B$8="Ja",Einstellungen!$B$9="Effektiv"),$I1122,"-")</f>
        <v>-</v>
      </c>
      <c r="K1122" s="31" t="n">
        <f aca="false">IF(OR($F1122="",$J1122="-"),0,ROUND($F1122-$F1122/(1+$H1122),2))</f>
        <v>0</v>
      </c>
      <c r="L1122" s="31" t="n">
        <f aca="false">IF($F1122="",0,$F1122-$K1122)</f>
        <v>0</v>
      </c>
      <c r="M1122" s="31" t="n">
        <f aca="false">IF($F1122="",0,IF($J1122="V",$L1122,$F1122))</f>
        <v>0</v>
      </c>
      <c r="N1122" s="31" t="n">
        <f aca="false">IF($F1122="",0,IF($J1122="U",$L1122,$F1122))</f>
        <v>0</v>
      </c>
      <c r="O1122" s="35" t="str">
        <f aca="false">IF($A1122="","",MONTH($A1122))</f>
        <v/>
      </c>
      <c r="P1122" s="35" t="str">
        <f aca="false">IF($A1122="","",ROUNDUP(MONTH($A1122)/3,0))</f>
        <v/>
      </c>
      <c r="Q1122" s="35" t="str">
        <f aca="false">IF($A1122="","",IF(MONTH($A1122)&lt;=6,1,2))</f>
        <v/>
      </c>
      <c r="R1122" s="35" t="str">
        <f aca="false">IF($E1122="","",IFERROR(INDEX(Kontenplan!$F$5:$F$90,MATCH($E1122,Kontenplan!$A$5:$A$90,0)),""))</f>
        <v/>
      </c>
      <c r="S1122" s="35" t="str">
        <f aca="false">IF($D1122="","",IFERROR(INDEX(Kontenplan!$F$5:$F$90,MATCH($D1122,Kontenplan!$A$5:$A$90,0)),""))</f>
        <v/>
      </c>
      <c r="T1122" s="35" t="str">
        <f aca="false">IF($D1122="","",IFERROR(INDEX(Kontenplan!$C$5:$C$90,MATCH($D1122,Kontenplan!$A$5:$A$90,0)),"?"))</f>
        <v/>
      </c>
      <c r="U1122" s="35" t="str">
        <f aca="false">IF($E1122="","",IFERROR(INDEX(Kontenplan!$C$5:$C$90,MATCH($E1122,Kontenplan!$A$5:$A$90,0)),"?"))</f>
        <v/>
      </c>
      <c r="V1122" s="35" t="str">
        <f aca="false">IF($F1122="","",IF(OR($D1122="",$E1122="",$T1122="?",$U1122="?"),"Konto prüfen!",IF($A1122="","Datum fehlt",IF(YEAR($A1122)&lt;&gt;Einstellungen!$B$7,"anderes Jahr!",IF($G1122="","MWST-Code fehlt","OK")))))</f>
        <v/>
      </c>
      <c r="W1122" s="35" t="str">
        <f aca="false">IF($F1122="","",IF(OR($D1122=Kontoauszug!$C$4,$E1122=Kontoauszug!$C$4),MAX(W$4:W1121)+1,""))</f>
        <v/>
      </c>
    </row>
    <row r="1123" customFormat="false" ht="15" hidden="false" customHeight="false" outlineLevel="0" collapsed="false">
      <c r="A1123" s="33"/>
      <c r="B1123" s="32"/>
      <c r="C1123" s="32"/>
      <c r="D1123" s="32"/>
      <c r="E1123" s="32"/>
      <c r="F1123" s="30"/>
      <c r="G1123" s="32"/>
      <c r="H1123" s="34" t="n">
        <f aca="false">IF($G1123="",0,IFERROR(INDEX(Einstellungen!$G$5:$G$11,MATCH($G1123,Einstellungen!$E$5:$E$11,0)),0))</f>
        <v>0</v>
      </c>
      <c r="I1123" s="35" t="str">
        <f aca="false">IF($G1123="","-",IFERROR(INDEX(Einstellungen!$H$5:$H$11,MATCH($G1123,Einstellungen!$E$5:$E$11,0)),"-"))</f>
        <v>-</v>
      </c>
      <c r="J1123" s="35" t="str">
        <f aca="false">IF(AND(Einstellungen!$B$8="Ja",Einstellungen!$B$9="Effektiv"),$I1123,"-")</f>
        <v>-</v>
      </c>
      <c r="K1123" s="31" t="n">
        <f aca="false">IF(OR($F1123="",$J1123="-"),0,ROUND($F1123-$F1123/(1+$H1123),2))</f>
        <v>0</v>
      </c>
      <c r="L1123" s="31" t="n">
        <f aca="false">IF($F1123="",0,$F1123-$K1123)</f>
        <v>0</v>
      </c>
      <c r="M1123" s="31" t="n">
        <f aca="false">IF($F1123="",0,IF($J1123="V",$L1123,$F1123))</f>
        <v>0</v>
      </c>
      <c r="N1123" s="31" t="n">
        <f aca="false">IF($F1123="",0,IF($J1123="U",$L1123,$F1123))</f>
        <v>0</v>
      </c>
      <c r="O1123" s="35" t="str">
        <f aca="false">IF($A1123="","",MONTH($A1123))</f>
        <v/>
      </c>
      <c r="P1123" s="35" t="str">
        <f aca="false">IF($A1123="","",ROUNDUP(MONTH($A1123)/3,0))</f>
        <v/>
      </c>
      <c r="Q1123" s="35" t="str">
        <f aca="false">IF($A1123="","",IF(MONTH($A1123)&lt;=6,1,2))</f>
        <v/>
      </c>
      <c r="R1123" s="35" t="str">
        <f aca="false">IF($E1123="","",IFERROR(INDEX(Kontenplan!$F$5:$F$90,MATCH($E1123,Kontenplan!$A$5:$A$90,0)),""))</f>
        <v/>
      </c>
      <c r="S1123" s="35" t="str">
        <f aca="false">IF($D1123="","",IFERROR(INDEX(Kontenplan!$F$5:$F$90,MATCH($D1123,Kontenplan!$A$5:$A$90,0)),""))</f>
        <v/>
      </c>
      <c r="T1123" s="35" t="str">
        <f aca="false">IF($D1123="","",IFERROR(INDEX(Kontenplan!$C$5:$C$90,MATCH($D1123,Kontenplan!$A$5:$A$90,0)),"?"))</f>
        <v/>
      </c>
      <c r="U1123" s="35" t="str">
        <f aca="false">IF($E1123="","",IFERROR(INDEX(Kontenplan!$C$5:$C$90,MATCH($E1123,Kontenplan!$A$5:$A$90,0)),"?"))</f>
        <v/>
      </c>
      <c r="V1123" s="35" t="str">
        <f aca="false">IF($F1123="","",IF(OR($D1123="",$E1123="",$T1123="?",$U1123="?"),"Konto prüfen!",IF($A1123="","Datum fehlt",IF(YEAR($A1123)&lt;&gt;Einstellungen!$B$7,"anderes Jahr!",IF($G1123="","MWST-Code fehlt","OK")))))</f>
        <v/>
      </c>
      <c r="W1123" s="35" t="str">
        <f aca="false">IF($F1123="","",IF(OR($D1123=Kontoauszug!$C$4,$E1123=Kontoauszug!$C$4),MAX(W$4:W1122)+1,""))</f>
        <v/>
      </c>
    </row>
    <row r="1124" customFormat="false" ht="15" hidden="false" customHeight="false" outlineLevel="0" collapsed="false">
      <c r="A1124" s="33"/>
      <c r="B1124" s="32"/>
      <c r="C1124" s="32"/>
      <c r="D1124" s="32"/>
      <c r="E1124" s="32"/>
      <c r="F1124" s="30"/>
      <c r="G1124" s="32"/>
      <c r="H1124" s="34" t="n">
        <f aca="false">IF($G1124="",0,IFERROR(INDEX(Einstellungen!$G$5:$G$11,MATCH($G1124,Einstellungen!$E$5:$E$11,0)),0))</f>
        <v>0</v>
      </c>
      <c r="I1124" s="35" t="str">
        <f aca="false">IF($G1124="","-",IFERROR(INDEX(Einstellungen!$H$5:$H$11,MATCH($G1124,Einstellungen!$E$5:$E$11,0)),"-"))</f>
        <v>-</v>
      </c>
      <c r="J1124" s="35" t="str">
        <f aca="false">IF(AND(Einstellungen!$B$8="Ja",Einstellungen!$B$9="Effektiv"),$I1124,"-")</f>
        <v>-</v>
      </c>
      <c r="K1124" s="31" t="n">
        <f aca="false">IF(OR($F1124="",$J1124="-"),0,ROUND($F1124-$F1124/(1+$H1124),2))</f>
        <v>0</v>
      </c>
      <c r="L1124" s="31" t="n">
        <f aca="false">IF($F1124="",0,$F1124-$K1124)</f>
        <v>0</v>
      </c>
      <c r="M1124" s="31" t="n">
        <f aca="false">IF($F1124="",0,IF($J1124="V",$L1124,$F1124))</f>
        <v>0</v>
      </c>
      <c r="N1124" s="31" t="n">
        <f aca="false">IF($F1124="",0,IF($J1124="U",$L1124,$F1124))</f>
        <v>0</v>
      </c>
      <c r="O1124" s="35" t="str">
        <f aca="false">IF($A1124="","",MONTH($A1124))</f>
        <v/>
      </c>
      <c r="P1124" s="35" t="str">
        <f aca="false">IF($A1124="","",ROUNDUP(MONTH($A1124)/3,0))</f>
        <v/>
      </c>
      <c r="Q1124" s="35" t="str">
        <f aca="false">IF($A1124="","",IF(MONTH($A1124)&lt;=6,1,2))</f>
        <v/>
      </c>
      <c r="R1124" s="35" t="str">
        <f aca="false">IF($E1124="","",IFERROR(INDEX(Kontenplan!$F$5:$F$90,MATCH($E1124,Kontenplan!$A$5:$A$90,0)),""))</f>
        <v/>
      </c>
      <c r="S1124" s="35" t="str">
        <f aca="false">IF($D1124="","",IFERROR(INDEX(Kontenplan!$F$5:$F$90,MATCH($D1124,Kontenplan!$A$5:$A$90,0)),""))</f>
        <v/>
      </c>
      <c r="T1124" s="35" t="str">
        <f aca="false">IF($D1124="","",IFERROR(INDEX(Kontenplan!$C$5:$C$90,MATCH($D1124,Kontenplan!$A$5:$A$90,0)),"?"))</f>
        <v/>
      </c>
      <c r="U1124" s="35" t="str">
        <f aca="false">IF($E1124="","",IFERROR(INDEX(Kontenplan!$C$5:$C$90,MATCH($E1124,Kontenplan!$A$5:$A$90,0)),"?"))</f>
        <v/>
      </c>
      <c r="V1124" s="35" t="str">
        <f aca="false">IF($F1124="","",IF(OR($D1124="",$E1124="",$T1124="?",$U1124="?"),"Konto prüfen!",IF($A1124="","Datum fehlt",IF(YEAR($A1124)&lt;&gt;Einstellungen!$B$7,"anderes Jahr!",IF($G1124="","MWST-Code fehlt","OK")))))</f>
        <v/>
      </c>
      <c r="W1124" s="35" t="str">
        <f aca="false">IF($F1124="","",IF(OR($D1124=Kontoauszug!$C$4,$E1124=Kontoauszug!$C$4),MAX(W$4:W1123)+1,""))</f>
        <v/>
      </c>
    </row>
    <row r="1125" customFormat="false" ht="15" hidden="false" customHeight="false" outlineLevel="0" collapsed="false">
      <c r="A1125" s="33"/>
      <c r="B1125" s="32"/>
      <c r="C1125" s="32"/>
      <c r="D1125" s="32"/>
      <c r="E1125" s="32"/>
      <c r="F1125" s="30"/>
      <c r="G1125" s="32"/>
      <c r="H1125" s="34" t="n">
        <f aca="false">IF($G1125="",0,IFERROR(INDEX(Einstellungen!$G$5:$G$11,MATCH($G1125,Einstellungen!$E$5:$E$11,0)),0))</f>
        <v>0</v>
      </c>
      <c r="I1125" s="35" t="str">
        <f aca="false">IF($G1125="","-",IFERROR(INDEX(Einstellungen!$H$5:$H$11,MATCH($G1125,Einstellungen!$E$5:$E$11,0)),"-"))</f>
        <v>-</v>
      </c>
      <c r="J1125" s="35" t="str">
        <f aca="false">IF(AND(Einstellungen!$B$8="Ja",Einstellungen!$B$9="Effektiv"),$I1125,"-")</f>
        <v>-</v>
      </c>
      <c r="K1125" s="31" t="n">
        <f aca="false">IF(OR($F1125="",$J1125="-"),0,ROUND($F1125-$F1125/(1+$H1125),2))</f>
        <v>0</v>
      </c>
      <c r="L1125" s="31" t="n">
        <f aca="false">IF($F1125="",0,$F1125-$K1125)</f>
        <v>0</v>
      </c>
      <c r="M1125" s="31" t="n">
        <f aca="false">IF($F1125="",0,IF($J1125="V",$L1125,$F1125))</f>
        <v>0</v>
      </c>
      <c r="N1125" s="31" t="n">
        <f aca="false">IF($F1125="",0,IF($J1125="U",$L1125,$F1125))</f>
        <v>0</v>
      </c>
      <c r="O1125" s="35" t="str">
        <f aca="false">IF($A1125="","",MONTH($A1125))</f>
        <v/>
      </c>
      <c r="P1125" s="35" t="str">
        <f aca="false">IF($A1125="","",ROUNDUP(MONTH($A1125)/3,0))</f>
        <v/>
      </c>
      <c r="Q1125" s="35" t="str">
        <f aca="false">IF($A1125="","",IF(MONTH($A1125)&lt;=6,1,2))</f>
        <v/>
      </c>
      <c r="R1125" s="35" t="str">
        <f aca="false">IF($E1125="","",IFERROR(INDEX(Kontenplan!$F$5:$F$90,MATCH($E1125,Kontenplan!$A$5:$A$90,0)),""))</f>
        <v/>
      </c>
      <c r="S1125" s="35" t="str">
        <f aca="false">IF($D1125="","",IFERROR(INDEX(Kontenplan!$F$5:$F$90,MATCH($D1125,Kontenplan!$A$5:$A$90,0)),""))</f>
        <v/>
      </c>
      <c r="T1125" s="35" t="str">
        <f aca="false">IF($D1125="","",IFERROR(INDEX(Kontenplan!$C$5:$C$90,MATCH($D1125,Kontenplan!$A$5:$A$90,0)),"?"))</f>
        <v/>
      </c>
      <c r="U1125" s="35" t="str">
        <f aca="false">IF($E1125="","",IFERROR(INDEX(Kontenplan!$C$5:$C$90,MATCH($E1125,Kontenplan!$A$5:$A$90,0)),"?"))</f>
        <v/>
      </c>
      <c r="V1125" s="35" t="str">
        <f aca="false">IF($F1125="","",IF(OR($D1125="",$E1125="",$T1125="?",$U1125="?"),"Konto prüfen!",IF($A1125="","Datum fehlt",IF(YEAR($A1125)&lt;&gt;Einstellungen!$B$7,"anderes Jahr!",IF($G1125="","MWST-Code fehlt","OK")))))</f>
        <v/>
      </c>
      <c r="W1125" s="35" t="str">
        <f aca="false">IF($F1125="","",IF(OR($D1125=Kontoauszug!$C$4,$E1125=Kontoauszug!$C$4),MAX(W$4:W1124)+1,""))</f>
        <v/>
      </c>
    </row>
    <row r="1126" customFormat="false" ht="15" hidden="false" customHeight="false" outlineLevel="0" collapsed="false">
      <c r="A1126" s="33"/>
      <c r="B1126" s="32"/>
      <c r="C1126" s="32"/>
      <c r="D1126" s="32"/>
      <c r="E1126" s="32"/>
      <c r="F1126" s="30"/>
      <c r="G1126" s="32"/>
      <c r="H1126" s="34" t="n">
        <f aca="false">IF($G1126="",0,IFERROR(INDEX(Einstellungen!$G$5:$G$11,MATCH($G1126,Einstellungen!$E$5:$E$11,0)),0))</f>
        <v>0</v>
      </c>
      <c r="I1126" s="35" t="str">
        <f aca="false">IF($G1126="","-",IFERROR(INDEX(Einstellungen!$H$5:$H$11,MATCH($G1126,Einstellungen!$E$5:$E$11,0)),"-"))</f>
        <v>-</v>
      </c>
      <c r="J1126" s="35" t="str">
        <f aca="false">IF(AND(Einstellungen!$B$8="Ja",Einstellungen!$B$9="Effektiv"),$I1126,"-")</f>
        <v>-</v>
      </c>
      <c r="K1126" s="31" t="n">
        <f aca="false">IF(OR($F1126="",$J1126="-"),0,ROUND($F1126-$F1126/(1+$H1126),2))</f>
        <v>0</v>
      </c>
      <c r="L1126" s="31" t="n">
        <f aca="false">IF($F1126="",0,$F1126-$K1126)</f>
        <v>0</v>
      </c>
      <c r="M1126" s="31" t="n">
        <f aca="false">IF($F1126="",0,IF($J1126="V",$L1126,$F1126))</f>
        <v>0</v>
      </c>
      <c r="N1126" s="31" t="n">
        <f aca="false">IF($F1126="",0,IF($J1126="U",$L1126,$F1126))</f>
        <v>0</v>
      </c>
      <c r="O1126" s="35" t="str">
        <f aca="false">IF($A1126="","",MONTH($A1126))</f>
        <v/>
      </c>
      <c r="P1126" s="35" t="str">
        <f aca="false">IF($A1126="","",ROUNDUP(MONTH($A1126)/3,0))</f>
        <v/>
      </c>
      <c r="Q1126" s="35" t="str">
        <f aca="false">IF($A1126="","",IF(MONTH($A1126)&lt;=6,1,2))</f>
        <v/>
      </c>
      <c r="R1126" s="35" t="str">
        <f aca="false">IF($E1126="","",IFERROR(INDEX(Kontenplan!$F$5:$F$90,MATCH($E1126,Kontenplan!$A$5:$A$90,0)),""))</f>
        <v/>
      </c>
      <c r="S1126" s="35" t="str">
        <f aca="false">IF($D1126="","",IFERROR(INDEX(Kontenplan!$F$5:$F$90,MATCH($D1126,Kontenplan!$A$5:$A$90,0)),""))</f>
        <v/>
      </c>
      <c r="T1126" s="35" t="str">
        <f aca="false">IF($D1126="","",IFERROR(INDEX(Kontenplan!$C$5:$C$90,MATCH($D1126,Kontenplan!$A$5:$A$90,0)),"?"))</f>
        <v/>
      </c>
      <c r="U1126" s="35" t="str">
        <f aca="false">IF($E1126="","",IFERROR(INDEX(Kontenplan!$C$5:$C$90,MATCH($E1126,Kontenplan!$A$5:$A$90,0)),"?"))</f>
        <v/>
      </c>
      <c r="V1126" s="35" t="str">
        <f aca="false">IF($F1126="","",IF(OR($D1126="",$E1126="",$T1126="?",$U1126="?"),"Konto prüfen!",IF($A1126="","Datum fehlt",IF(YEAR($A1126)&lt;&gt;Einstellungen!$B$7,"anderes Jahr!",IF($G1126="","MWST-Code fehlt","OK")))))</f>
        <v/>
      </c>
      <c r="W1126" s="35" t="str">
        <f aca="false">IF($F1126="","",IF(OR($D1126=Kontoauszug!$C$4,$E1126=Kontoauszug!$C$4),MAX(W$4:W1125)+1,""))</f>
        <v/>
      </c>
    </row>
    <row r="1127" customFormat="false" ht="15" hidden="false" customHeight="false" outlineLevel="0" collapsed="false">
      <c r="A1127" s="33"/>
      <c r="B1127" s="32"/>
      <c r="C1127" s="32"/>
      <c r="D1127" s="32"/>
      <c r="E1127" s="32"/>
      <c r="F1127" s="30"/>
      <c r="G1127" s="32"/>
      <c r="H1127" s="34" t="n">
        <f aca="false">IF($G1127="",0,IFERROR(INDEX(Einstellungen!$G$5:$G$11,MATCH($G1127,Einstellungen!$E$5:$E$11,0)),0))</f>
        <v>0</v>
      </c>
      <c r="I1127" s="35" t="str">
        <f aca="false">IF($G1127="","-",IFERROR(INDEX(Einstellungen!$H$5:$H$11,MATCH($G1127,Einstellungen!$E$5:$E$11,0)),"-"))</f>
        <v>-</v>
      </c>
      <c r="J1127" s="35" t="str">
        <f aca="false">IF(AND(Einstellungen!$B$8="Ja",Einstellungen!$B$9="Effektiv"),$I1127,"-")</f>
        <v>-</v>
      </c>
      <c r="K1127" s="31" t="n">
        <f aca="false">IF(OR($F1127="",$J1127="-"),0,ROUND($F1127-$F1127/(1+$H1127),2))</f>
        <v>0</v>
      </c>
      <c r="L1127" s="31" t="n">
        <f aca="false">IF($F1127="",0,$F1127-$K1127)</f>
        <v>0</v>
      </c>
      <c r="M1127" s="31" t="n">
        <f aca="false">IF($F1127="",0,IF($J1127="V",$L1127,$F1127))</f>
        <v>0</v>
      </c>
      <c r="N1127" s="31" t="n">
        <f aca="false">IF($F1127="",0,IF($J1127="U",$L1127,$F1127))</f>
        <v>0</v>
      </c>
      <c r="O1127" s="35" t="str">
        <f aca="false">IF($A1127="","",MONTH($A1127))</f>
        <v/>
      </c>
      <c r="P1127" s="35" t="str">
        <f aca="false">IF($A1127="","",ROUNDUP(MONTH($A1127)/3,0))</f>
        <v/>
      </c>
      <c r="Q1127" s="35" t="str">
        <f aca="false">IF($A1127="","",IF(MONTH($A1127)&lt;=6,1,2))</f>
        <v/>
      </c>
      <c r="R1127" s="35" t="str">
        <f aca="false">IF($E1127="","",IFERROR(INDEX(Kontenplan!$F$5:$F$90,MATCH($E1127,Kontenplan!$A$5:$A$90,0)),""))</f>
        <v/>
      </c>
      <c r="S1127" s="35" t="str">
        <f aca="false">IF($D1127="","",IFERROR(INDEX(Kontenplan!$F$5:$F$90,MATCH($D1127,Kontenplan!$A$5:$A$90,0)),""))</f>
        <v/>
      </c>
      <c r="T1127" s="35" t="str">
        <f aca="false">IF($D1127="","",IFERROR(INDEX(Kontenplan!$C$5:$C$90,MATCH($D1127,Kontenplan!$A$5:$A$90,0)),"?"))</f>
        <v/>
      </c>
      <c r="U1127" s="35" t="str">
        <f aca="false">IF($E1127="","",IFERROR(INDEX(Kontenplan!$C$5:$C$90,MATCH($E1127,Kontenplan!$A$5:$A$90,0)),"?"))</f>
        <v/>
      </c>
      <c r="V1127" s="35" t="str">
        <f aca="false">IF($F1127="","",IF(OR($D1127="",$E1127="",$T1127="?",$U1127="?"),"Konto prüfen!",IF($A1127="","Datum fehlt",IF(YEAR($A1127)&lt;&gt;Einstellungen!$B$7,"anderes Jahr!",IF($G1127="","MWST-Code fehlt","OK")))))</f>
        <v/>
      </c>
      <c r="W1127" s="35" t="str">
        <f aca="false">IF($F1127="","",IF(OR($D1127=Kontoauszug!$C$4,$E1127=Kontoauszug!$C$4),MAX(W$4:W1126)+1,""))</f>
        <v/>
      </c>
    </row>
    <row r="1128" customFormat="false" ht="15" hidden="false" customHeight="false" outlineLevel="0" collapsed="false">
      <c r="A1128" s="33"/>
      <c r="B1128" s="32"/>
      <c r="C1128" s="32"/>
      <c r="D1128" s="32"/>
      <c r="E1128" s="32"/>
      <c r="F1128" s="30"/>
      <c r="G1128" s="32"/>
      <c r="H1128" s="34" t="n">
        <f aca="false">IF($G1128="",0,IFERROR(INDEX(Einstellungen!$G$5:$G$11,MATCH($G1128,Einstellungen!$E$5:$E$11,0)),0))</f>
        <v>0</v>
      </c>
      <c r="I1128" s="35" t="str">
        <f aca="false">IF($G1128="","-",IFERROR(INDEX(Einstellungen!$H$5:$H$11,MATCH($G1128,Einstellungen!$E$5:$E$11,0)),"-"))</f>
        <v>-</v>
      </c>
      <c r="J1128" s="35" t="str">
        <f aca="false">IF(AND(Einstellungen!$B$8="Ja",Einstellungen!$B$9="Effektiv"),$I1128,"-")</f>
        <v>-</v>
      </c>
      <c r="K1128" s="31" t="n">
        <f aca="false">IF(OR($F1128="",$J1128="-"),0,ROUND($F1128-$F1128/(1+$H1128),2))</f>
        <v>0</v>
      </c>
      <c r="L1128" s="31" t="n">
        <f aca="false">IF($F1128="",0,$F1128-$K1128)</f>
        <v>0</v>
      </c>
      <c r="M1128" s="31" t="n">
        <f aca="false">IF($F1128="",0,IF($J1128="V",$L1128,$F1128))</f>
        <v>0</v>
      </c>
      <c r="N1128" s="31" t="n">
        <f aca="false">IF($F1128="",0,IF($J1128="U",$L1128,$F1128))</f>
        <v>0</v>
      </c>
      <c r="O1128" s="35" t="str">
        <f aca="false">IF($A1128="","",MONTH($A1128))</f>
        <v/>
      </c>
      <c r="P1128" s="35" t="str">
        <f aca="false">IF($A1128="","",ROUNDUP(MONTH($A1128)/3,0))</f>
        <v/>
      </c>
      <c r="Q1128" s="35" t="str">
        <f aca="false">IF($A1128="","",IF(MONTH($A1128)&lt;=6,1,2))</f>
        <v/>
      </c>
      <c r="R1128" s="35" t="str">
        <f aca="false">IF($E1128="","",IFERROR(INDEX(Kontenplan!$F$5:$F$90,MATCH($E1128,Kontenplan!$A$5:$A$90,0)),""))</f>
        <v/>
      </c>
      <c r="S1128" s="35" t="str">
        <f aca="false">IF($D1128="","",IFERROR(INDEX(Kontenplan!$F$5:$F$90,MATCH($D1128,Kontenplan!$A$5:$A$90,0)),""))</f>
        <v/>
      </c>
      <c r="T1128" s="35" t="str">
        <f aca="false">IF($D1128="","",IFERROR(INDEX(Kontenplan!$C$5:$C$90,MATCH($D1128,Kontenplan!$A$5:$A$90,0)),"?"))</f>
        <v/>
      </c>
      <c r="U1128" s="35" t="str">
        <f aca="false">IF($E1128="","",IFERROR(INDEX(Kontenplan!$C$5:$C$90,MATCH($E1128,Kontenplan!$A$5:$A$90,0)),"?"))</f>
        <v/>
      </c>
      <c r="V1128" s="35" t="str">
        <f aca="false">IF($F1128="","",IF(OR($D1128="",$E1128="",$T1128="?",$U1128="?"),"Konto prüfen!",IF($A1128="","Datum fehlt",IF(YEAR($A1128)&lt;&gt;Einstellungen!$B$7,"anderes Jahr!",IF($G1128="","MWST-Code fehlt","OK")))))</f>
        <v/>
      </c>
      <c r="W1128" s="35" t="str">
        <f aca="false">IF($F1128="","",IF(OR($D1128=Kontoauszug!$C$4,$E1128=Kontoauszug!$C$4),MAX(W$4:W1127)+1,""))</f>
        <v/>
      </c>
    </row>
    <row r="1129" customFormat="false" ht="15" hidden="false" customHeight="false" outlineLevel="0" collapsed="false">
      <c r="A1129" s="33"/>
      <c r="B1129" s="32"/>
      <c r="C1129" s="32"/>
      <c r="D1129" s="32"/>
      <c r="E1129" s="32"/>
      <c r="F1129" s="30"/>
      <c r="G1129" s="32"/>
      <c r="H1129" s="34" t="n">
        <f aca="false">IF($G1129="",0,IFERROR(INDEX(Einstellungen!$G$5:$G$11,MATCH($G1129,Einstellungen!$E$5:$E$11,0)),0))</f>
        <v>0</v>
      </c>
      <c r="I1129" s="35" t="str">
        <f aca="false">IF($G1129="","-",IFERROR(INDEX(Einstellungen!$H$5:$H$11,MATCH($G1129,Einstellungen!$E$5:$E$11,0)),"-"))</f>
        <v>-</v>
      </c>
      <c r="J1129" s="35" t="str">
        <f aca="false">IF(AND(Einstellungen!$B$8="Ja",Einstellungen!$B$9="Effektiv"),$I1129,"-")</f>
        <v>-</v>
      </c>
      <c r="K1129" s="31" t="n">
        <f aca="false">IF(OR($F1129="",$J1129="-"),0,ROUND($F1129-$F1129/(1+$H1129),2))</f>
        <v>0</v>
      </c>
      <c r="L1129" s="31" t="n">
        <f aca="false">IF($F1129="",0,$F1129-$K1129)</f>
        <v>0</v>
      </c>
      <c r="M1129" s="31" t="n">
        <f aca="false">IF($F1129="",0,IF($J1129="V",$L1129,$F1129))</f>
        <v>0</v>
      </c>
      <c r="N1129" s="31" t="n">
        <f aca="false">IF($F1129="",0,IF($J1129="U",$L1129,$F1129))</f>
        <v>0</v>
      </c>
      <c r="O1129" s="35" t="str">
        <f aca="false">IF($A1129="","",MONTH($A1129))</f>
        <v/>
      </c>
      <c r="P1129" s="35" t="str">
        <f aca="false">IF($A1129="","",ROUNDUP(MONTH($A1129)/3,0))</f>
        <v/>
      </c>
      <c r="Q1129" s="35" t="str">
        <f aca="false">IF($A1129="","",IF(MONTH($A1129)&lt;=6,1,2))</f>
        <v/>
      </c>
      <c r="R1129" s="35" t="str">
        <f aca="false">IF($E1129="","",IFERROR(INDEX(Kontenplan!$F$5:$F$90,MATCH($E1129,Kontenplan!$A$5:$A$90,0)),""))</f>
        <v/>
      </c>
      <c r="S1129" s="35" t="str">
        <f aca="false">IF($D1129="","",IFERROR(INDEX(Kontenplan!$F$5:$F$90,MATCH($D1129,Kontenplan!$A$5:$A$90,0)),""))</f>
        <v/>
      </c>
      <c r="T1129" s="35" t="str">
        <f aca="false">IF($D1129="","",IFERROR(INDEX(Kontenplan!$C$5:$C$90,MATCH($D1129,Kontenplan!$A$5:$A$90,0)),"?"))</f>
        <v/>
      </c>
      <c r="U1129" s="35" t="str">
        <f aca="false">IF($E1129="","",IFERROR(INDEX(Kontenplan!$C$5:$C$90,MATCH($E1129,Kontenplan!$A$5:$A$90,0)),"?"))</f>
        <v/>
      </c>
      <c r="V1129" s="35" t="str">
        <f aca="false">IF($F1129="","",IF(OR($D1129="",$E1129="",$T1129="?",$U1129="?"),"Konto prüfen!",IF($A1129="","Datum fehlt",IF(YEAR($A1129)&lt;&gt;Einstellungen!$B$7,"anderes Jahr!",IF($G1129="","MWST-Code fehlt","OK")))))</f>
        <v/>
      </c>
      <c r="W1129" s="35" t="str">
        <f aca="false">IF($F1129="","",IF(OR($D1129=Kontoauszug!$C$4,$E1129=Kontoauszug!$C$4),MAX(W$4:W1128)+1,""))</f>
        <v/>
      </c>
    </row>
    <row r="1130" customFormat="false" ht="15" hidden="false" customHeight="false" outlineLevel="0" collapsed="false">
      <c r="A1130" s="33"/>
      <c r="B1130" s="32"/>
      <c r="C1130" s="32"/>
      <c r="D1130" s="32"/>
      <c r="E1130" s="32"/>
      <c r="F1130" s="30"/>
      <c r="G1130" s="32"/>
      <c r="H1130" s="34" t="n">
        <f aca="false">IF($G1130="",0,IFERROR(INDEX(Einstellungen!$G$5:$G$11,MATCH($G1130,Einstellungen!$E$5:$E$11,0)),0))</f>
        <v>0</v>
      </c>
      <c r="I1130" s="35" t="str">
        <f aca="false">IF($G1130="","-",IFERROR(INDEX(Einstellungen!$H$5:$H$11,MATCH($G1130,Einstellungen!$E$5:$E$11,0)),"-"))</f>
        <v>-</v>
      </c>
      <c r="J1130" s="35" t="str">
        <f aca="false">IF(AND(Einstellungen!$B$8="Ja",Einstellungen!$B$9="Effektiv"),$I1130,"-")</f>
        <v>-</v>
      </c>
      <c r="K1130" s="31" t="n">
        <f aca="false">IF(OR($F1130="",$J1130="-"),0,ROUND($F1130-$F1130/(1+$H1130),2))</f>
        <v>0</v>
      </c>
      <c r="L1130" s="31" t="n">
        <f aca="false">IF($F1130="",0,$F1130-$K1130)</f>
        <v>0</v>
      </c>
      <c r="M1130" s="31" t="n">
        <f aca="false">IF($F1130="",0,IF($J1130="V",$L1130,$F1130))</f>
        <v>0</v>
      </c>
      <c r="N1130" s="31" t="n">
        <f aca="false">IF($F1130="",0,IF($J1130="U",$L1130,$F1130))</f>
        <v>0</v>
      </c>
      <c r="O1130" s="35" t="str">
        <f aca="false">IF($A1130="","",MONTH($A1130))</f>
        <v/>
      </c>
      <c r="P1130" s="35" t="str">
        <f aca="false">IF($A1130="","",ROUNDUP(MONTH($A1130)/3,0))</f>
        <v/>
      </c>
      <c r="Q1130" s="35" t="str">
        <f aca="false">IF($A1130="","",IF(MONTH($A1130)&lt;=6,1,2))</f>
        <v/>
      </c>
      <c r="R1130" s="35" t="str">
        <f aca="false">IF($E1130="","",IFERROR(INDEX(Kontenplan!$F$5:$F$90,MATCH($E1130,Kontenplan!$A$5:$A$90,0)),""))</f>
        <v/>
      </c>
      <c r="S1130" s="35" t="str">
        <f aca="false">IF($D1130="","",IFERROR(INDEX(Kontenplan!$F$5:$F$90,MATCH($D1130,Kontenplan!$A$5:$A$90,0)),""))</f>
        <v/>
      </c>
      <c r="T1130" s="35" t="str">
        <f aca="false">IF($D1130="","",IFERROR(INDEX(Kontenplan!$C$5:$C$90,MATCH($D1130,Kontenplan!$A$5:$A$90,0)),"?"))</f>
        <v/>
      </c>
      <c r="U1130" s="35" t="str">
        <f aca="false">IF($E1130="","",IFERROR(INDEX(Kontenplan!$C$5:$C$90,MATCH($E1130,Kontenplan!$A$5:$A$90,0)),"?"))</f>
        <v/>
      </c>
      <c r="V1130" s="35" t="str">
        <f aca="false">IF($F1130="","",IF(OR($D1130="",$E1130="",$T1130="?",$U1130="?"),"Konto prüfen!",IF($A1130="","Datum fehlt",IF(YEAR($A1130)&lt;&gt;Einstellungen!$B$7,"anderes Jahr!",IF($G1130="","MWST-Code fehlt","OK")))))</f>
        <v/>
      </c>
      <c r="W1130" s="35" t="str">
        <f aca="false">IF($F1130="","",IF(OR($D1130=Kontoauszug!$C$4,$E1130=Kontoauszug!$C$4),MAX(W$4:W1129)+1,""))</f>
        <v/>
      </c>
    </row>
    <row r="1131" customFormat="false" ht="15" hidden="false" customHeight="false" outlineLevel="0" collapsed="false">
      <c r="A1131" s="33"/>
      <c r="B1131" s="32"/>
      <c r="C1131" s="32"/>
      <c r="D1131" s="32"/>
      <c r="E1131" s="32"/>
      <c r="F1131" s="30"/>
      <c r="G1131" s="32"/>
      <c r="H1131" s="34" t="n">
        <f aca="false">IF($G1131="",0,IFERROR(INDEX(Einstellungen!$G$5:$G$11,MATCH($G1131,Einstellungen!$E$5:$E$11,0)),0))</f>
        <v>0</v>
      </c>
      <c r="I1131" s="35" t="str">
        <f aca="false">IF($G1131="","-",IFERROR(INDEX(Einstellungen!$H$5:$H$11,MATCH($G1131,Einstellungen!$E$5:$E$11,0)),"-"))</f>
        <v>-</v>
      </c>
      <c r="J1131" s="35" t="str">
        <f aca="false">IF(AND(Einstellungen!$B$8="Ja",Einstellungen!$B$9="Effektiv"),$I1131,"-")</f>
        <v>-</v>
      </c>
      <c r="K1131" s="31" t="n">
        <f aca="false">IF(OR($F1131="",$J1131="-"),0,ROUND($F1131-$F1131/(1+$H1131),2))</f>
        <v>0</v>
      </c>
      <c r="L1131" s="31" t="n">
        <f aca="false">IF($F1131="",0,$F1131-$K1131)</f>
        <v>0</v>
      </c>
      <c r="M1131" s="31" t="n">
        <f aca="false">IF($F1131="",0,IF($J1131="V",$L1131,$F1131))</f>
        <v>0</v>
      </c>
      <c r="N1131" s="31" t="n">
        <f aca="false">IF($F1131="",0,IF($J1131="U",$L1131,$F1131))</f>
        <v>0</v>
      </c>
      <c r="O1131" s="35" t="str">
        <f aca="false">IF($A1131="","",MONTH($A1131))</f>
        <v/>
      </c>
      <c r="P1131" s="35" t="str">
        <f aca="false">IF($A1131="","",ROUNDUP(MONTH($A1131)/3,0))</f>
        <v/>
      </c>
      <c r="Q1131" s="35" t="str">
        <f aca="false">IF($A1131="","",IF(MONTH($A1131)&lt;=6,1,2))</f>
        <v/>
      </c>
      <c r="R1131" s="35" t="str">
        <f aca="false">IF($E1131="","",IFERROR(INDEX(Kontenplan!$F$5:$F$90,MATCH($E1131,Kontenplan!$A$5:$A$90,0)),""))</f>
        <v/>
      </c>
      <c r="S1131" s="35" t="str">
        <f aca="false">IF($D1131="","",IFERROR(INDEX(Kontenplan!$F$5:$F$90,MATCH($D1131,Kontenplan!$A$5:$A$90,0)),""))</f>
        <v/>
      </c>
      <c r="T1131" s="35" t="str">
        <f aca="false">IF($D1131="","",IFERROR(INDEX(Kontenplan!$C$5:$C$90,MATCH($D1131,Kontenplan!$A$5:$A$90,0)),"?"))</f>
        <v/>
      </c>
      <c r="U1131" s="35" t="str">
        <f aca="false">IF($E1131="","",IFERROR(INDEX(Kontenplan!$C$5:$C$90,MATCH($E1131,Kontenplan!$A$5:$A$90,0)),"?"))</f>
        <v/>
      </c>
      <c r="V1131" s="35" t="str">
        <f aca="false">IF($F1131="","",IF(OR($D1131="",$E1131="",$T1131="?",$U1131="?"),"Konto prüfen!",IF($A1131="","Datum fehlt",IF(YEAR($A1131)&lt;&gt;Einstellungen!$B$7,"anderes Jahr!",IF($G1131="","MWST-Code fehlt","OK")))))</f>
        <v/>
      </c>
      <c r="W1131" s="35" t="str">
        <f aca="false">IF($F1131="","",IF(OR($D1131=Kontoauszug!$C$4,$E1131=Kontoauszug!$C$4),MAX(W$4:W1130)+1,""))</f>
        <v/>
      </c>
    </row>
    <row r="1132" customFormat="false" ht="15" hidden="false" customHeight="false" outlineLevel="0" collapsed="false">
      <c r="A1132" s="33"/>
      <c r="B1132" s="32"/>
      <c r="C1132" s="32"/>
      <c r="D1132" s="32"/>
      <c r="E1132" s="32"/>
      <c r="F1132" s="30"/>
      <c r="G1132" s="32"/>
      <c r="H1132" s="34" t="n">
        <f aca="false">IF($G1132="",0,IFERROR(INDEX(Einstellungen!$G$5:$G$11,MATCH($G1132,Einstellungen!$E$5:$E$11,0)),0))</f>
        <v>0</v>
      </c>
      <c r="I1132" s="35" t="str">
        <f aca="false">IF($G1132="","-",IFERROR(INDEX(Einstellungen!$H$5:$H$11,MATCH($G1132,Einstellungen!$E$5:$E$11,0)),"-"))</f>
        <v>-</v>
      </c>
      <c r="J1132" s="35" t="str">
        <f aca="false">IF(AND(Einstellungen!$B$8="Ja",Einstellungen!$B$9="Effektiv"),$I1132,"-")</f>
        <v>-</v>
      </c>
      <c r="K1132" s="31" t="n">
        <f aca="false">IF(OR($F1132="",$J1132="-"),0,ROUND($F1132-$F1132/(1+$H1132),2))</f>
        <v>0</v>
      </c>
      <c r="L1132" s="31" t="n">
        <f aca="false">IF($F1132="",0,$F1132-$K1132)</f>
        <v>0</v>
      </c>
      <c r="M1132" s="31" t="n">
        <f aca="false">IF($F1132="",0,IF($J1132="V",$L1132,$F1132))</f>
        <v>0</v>
      </c>
      <c r="N1132" s="31" t="n">
        <f aca="false">IF($F1132="",0,IF($J1132="U",$L1132,$F1132))</f>
        <v>0</v>
      </c>
      <c r="O1132" s="35" t="str">
        <f aca="false">IF($A1132="","",MONTH($A1132))</f>
        <v/>
      </c>
      <c r="P1132" s="35" t="str">
        <f aca="false">IF($A1132="","",ROUNDUP(MONTH($A1132)/3,0))</f>
        <v/>
      </c>
      <c r="Q1132" s="35" t="str">
        <f aca="false">IF($A1132="","",IF(MONTH($A1132)&lt;=6,1,2))</f>
        <v/>
      </c>
      <c r="R1132" s="35" t="str">
        <f aca="false">IF($E1132="","",IFERROR(INDEX(Kontenplan!$F$5:$F$90,MATCH($E1132,Kontenplan!$A$5:$A$90,0)),""))</f>
        <v/>
      </c>
      <c r="S1132" s="35" t="str">
        <f aca="false">IF($D1132="","",IFERROR(INDEX(Kontenplan!$F$5:$F$90,MATCH($D1132,Kontenplan!$A$5:$A$90,0)),""))</f>
        <v/>
      </c>
      <c r="T1132" s="35" t="str">
        <f aca="false">IF($D1132="","",IFERROR(INDEX(Kontenplan!$C$5:$C$90,MATCH($D1132,Kontenplan!$A$5:$A$90,0)),"?"))</f>
        <v/>
      </c>
      <c r="U1132" s="35" t="str">
        <f aca="false">IF($E1132="","",IFERROR(INDEX(Kontenplan!$C$5:$C$90,MATCH($E1132,Kontenplan!$A$5:$A$90,0)),"?"))</f>
        <v/>
      </c>
      <c r="V1132" s="35" t="str">
        <f aca="false">IF($F1132="","",IF(OR($D1132="",$E1132="",$T1132="?",$U1132="?"),"Konto prüfen!",IF($A1132="","Datum fehlt",IF(YEAR($A1132)&lt;&gt;Einstellungen!$B$7,"anderes Jahr!",IF($G1132="","MWST-Code fehlt","OK")))))</f>
        <v/>
      </c>
      <c r="W1132" s="35" t="str">
        <f aca="false">IF($F1132="","",IF(OR($D1132=Kontoauszug!$C$4,$E1132=Kontoauszug!$C$4),MAX(W$4:W1131)+1,""))</f>
        <v/>
      </c>
    </row>
    <row r="1133" customFormat="false" ht="15" hidden="false" customHeight="false" outlineLevel="0" collapsed="false">
      <c r="A1133" s="33"/>
      <c r="B1133" s="32"/>
      <c r="C1133" s="32"/>
      <c r="D1133" s="32"/>
      <c r="E1133" s="32"/>
      <c r="F1133" s="30"/>
      <c r="G1133" s="32"/>
      <c r="H1133" s="34" t="n">
        <f aca="false">IF($G1133="",0,IFERROR(INDEX(Einstellungen!$G$5:$G$11,MATCH($G1133,Einstellungen!$E$5:$E$11,0)),0))</f>
        <v>0</v>
      </c>
      <c r="I1133" s="35" t="str">
        <f aca="false">IF($G1133="","-",IFERROR(INDEX(Einstellungen!$H$5:$H$11,MATCH($G1133,Einstellungen!$E$5:$E$11,0)),"-"))</f>
        <v>-</v>
      </c>
      <c r="J1133" s="35" t="str">
        <f aca="false">IF(AND(Einstellungen!$B$8="Ja",Einstellungen!$B$9="Effektiv"),$I1133,"-")</f>
        <v>-</v>
      </c>
      <c r="K1133" s="31" t="n">
        <f aca="false">IF(OR($F1133="",$J1133="-"),0,ROUND($F1133-$F1133/(1+$H1133),2))</f>
        <v>0</v>
      </c>
      <c r="L1133" s="31" t="n">
        <f aca="false">IF($F1133="",0,$F1133-$K1133)</f>
        <v>0</v>
      </c>
      <c r="M1133" s="31" t="n">
        <f aca="false">IF($F1133="",0,IF($J1133="V",$L1133,$F1133))</f>
        <v>0</v>
      </c>
      <c r="N1133" s="31" t="n">
        <f aca="false">IF($F1133="",0,IF($J1133="U",$L1133,$F1133))</f>
        <v>0</v>
      </c>
      <c r="O1133" s="35" t="str">
        <f aca="false">IF($A1133="","",MONTH($A1133))</f>
        <v/>
      </c>
      <c r="P1133" s="35" t="str">
        <f aca="false">IF($A1133="","",ROUNDUP(MONTH($A1133)/3,0))</f>
        <v/>
      </c>
      <c r="Q1133" s="35" t="str">
        <f aca="false">IF($A1133="","",IF(MONTH($A1133)&lt;=6,1,2))</f>
        <v/>
      </c>
      <c r="R1133" s="35" t="str">
        <f aca="false">IF($E1133="","",IFERROR(INDEX(Kontenplan!$F$5:$F$90,MATCH($E1133,Kontenplan!$A$5:$A$90,0)),""))</f>
        <v/>
      </c>
      <c r="S1133" s="35" t="str">
        <f aca="false">IF($D1133="","",IFERROR(INDEX(Kontenplan!$F$5:$F$90,MATCH($D1133,Kontenplan!$A$5:$A$90,0)),""))</f>
        <v/>
      </c>
      <c r="T1133" s="35" t="str">
        <f aca="false">IF($D1133="","",IFERROR(INDEX(Kontenplan!$C$5:$C$90,MATCH($D1133,Kontenplan!$A$5:$A$90,0)),"?"))</f>
        <v/>
      </c>
      <c r="U1133" s="35" t="str">
        <f aca="false">IF($E1133="","",IFERROR(INDEX(Kontenplan!$C$5:$C$90,MATCH($E1133,Kontenplan!$A$5:$A$90,0)),"?"))</f>
        <v/>
      </c>
      <c r="V1133" s="35" t="str">
        <f aca="false">IF($F1133="","",IF(OR($D1133="",$E1133="",$T1133="?",$U1133="?"),"Konto prüfen!",IF($A1133="","Datum fehlt",IF(YEAR($A1133)&lt;&gt;Einstellungen!$B$7,"anderes Jahr!",IF($G1133="","MWST-Code fehlt","OK")))))</f>
        <v/>
      </c>
      <c r="W1133" s="35" t="str">
        <f aca="false">IF($F1133="","",IF(OR($D1133=Kontoauszug!$C$4,$E1133=Kontoauszug!$C$4),MAX(W$4:W1132)+1,""))</f>
        <v/>
      </c>
    </row>
    <row r="1134" customFormat="false" ht="15" hidden="false" customHeight="false" outlineLevel="0" collapsed="false">
      <c r="A1134" s="33"/>
      <c r="B1134" s="32"/>
      <c r="C1134" s="32"/>
      <c r="D1134" s="32"/>
      <c r="E1134" s="32"/>
      <c r="F1134" s="30"/>
      <c r="G1134" s="32"/>
      <c r="H1134" s="34" t="n">
        <f aca="false">IF($G1134="",0,IFERROR(INDEX(Einstellungen!$G$5:$G$11,MATCH($G1134,Einstellungen!$E$5:$E$11,0)),0))</f>
        <v>0</v>
      </c>
      <c r="I1134" s="35" t="str">
        <f aca="false">IF($G1134="","-",IFERROR(INDEX(Einstellungen!$H$5:$H$11,MATCH($G1134,Einstellungen!$E$5:$E$11,0)),"-"))</f>
        <v>-</v>
      </c>
      <c r="J1134" s="35" t="str">
        <f aca="false">IF(AND(Einstellungen!$B$8="Ja",Einstellungen!$B$9="Effektiv"),$I1134,"-")</f>
        <v>-</v>
      </c>
      <c r="K1134" s="31" t="n">
        <f aca="false">IF(OR($F1134="",$J1134="-"),0,ROUND($F1134-$F1134/(1+$H1134),2))</f>
        <v>0</v>
      </c>
      <c r="L1134" s="31" t="n">
        <f aca="false">IF($F1134="",0,$F1134-$K1134)</f>
        <v>0</v>
      </c>
      <c r="M1134" s="31" t="n">
        <f aca="false">IF($F1134="",0,IF($J1134="V",$L1134,$F1134))</f>
        <v>0</v>
      </c>
      <c r="N1134" s="31" t="n">
        <f aca="false">IF($F1134="",0,IF($J1134="U",$L1134,$F1134))</f>
        <v>0</v>
      </c>
      <c r="O1134" s="35" t="str">
        <f aca="false">IF($A1134="","",MONTH($A1134))</f>
        <v/>
      </c>
      <c r="P1134" s="35" t="str">
        <f aca="false">IF($A1134="","",ROUNDUP(MONTH($A1134)/3,0))</f>
        <v/>
      </c>
      <c r="Q1134" s="35" t="str">
        <f aca="false">IF($A1134="","",IF(MONTH($A1134)&lt;=6,1,2))</f>
        <v/>
      </c>
      <c r="R1134" s="35" t="str">
        <f aca="false">IF($E1134="","",IFERROR(INDEX(Kontenplan!$F$5:$F$90,MATCH($E1134,Kontenplan!$A$5:$A$90,0)),""))</f>
        <v/>
      </c>
      <c r="S1134" s="35" t="str">
        <f aca="false">IF($D1134="","",IFERROR(INDEX(Kontenplan!$F$5:$F$90,MATCH($D1134,Kontenplan!$A$5:$A$90,0)),""))</f>
        <v/>
      </c>
      <c r="T1134" s="35" t="str">
        <f aca="false">IF($D1134="","",IFERROR(INDEX(Kontenplan!$C$5:$C$90,MATCH($D1134,Kontenplan!$A$5:$A$90,0)),"?"))</f>
        <v/>
      </c>
      <c r="U1134" s="35" t="str">
        <f aca="false">IF($E1134="","",IFERROR(INDEX(Kontenplan!$C$5:$C$90,MATCH($E1134,Kontenplan!$A$5:$A$90,0)),"?"))</f>
        <v/>
      </c>
      <c r="V1134" s="35" t="str">
        <f aca="false">IF($F1134="","",IF(OR($D1134="",$E1134="",$T1134="?",$U1134="?"),"Konto prüfen!",IF($A1134="","Datum fehlt",IF(YEAR($A1134)&lt;&gt;Einstellungen!$B$7,"anderes Jahr!",IF($G1134="","MWST-Code fehlt","OK")))))</f>
        <v/>
      </c>
      <c r="W1134" s="35" t="str">
        <f aca="false">IF($F1134="","",IF(OR($D1134=Kontoauszug!$C$4,$E1134=Kontoauszug!$C$4),MAX(W$4:W1133)+1,""))</f>
        <v/>
      </c>
    </row>
    <row r="1135" customFormat="false" ht="15" hidden="false" customHeight="false" outlineLevel="0" collapsed="false">
      <c r="A1135" s="33"/>
      <c r="B1135" s="32"/>
      <c r="C1135" s="32"/>
      <c r="D1135" s="32"/>
      <c r="E1135" s="32"/>
      <c r="F1135" s="30"/>
      <c r="G1135" s="32"/>
      <c r="H1135" s="34" t="n">
        <f aca="false">IF($G1135="",0,IFERROR(INDEX(Einstellungen!$G$5:$G$11,MATCH($G1135,Einstellungen!$E$5:$E$11,0)),0))</f>
        <v>0</v>
      </c>
      <c r="I1135" s="35" t="str">
        <f aca="false">IF($G1135="","-",IFERROR(INDEX(Einstellungen!$H$5:$H$11,MATCH($G1135,Einstellungen!$E$5:$E$11,0)),"-"))</f>
        <v>-</v>
      </c>
      <c r="J1135" s="35" t="str">
        <f aca="false">IF(AND(Einstellungen!$B$8="Ja",Einstellungen!$B$9="Effektiv"),$I1135,"-")</f>
        <v>-</v>
      </c>
      <c r="K1135" s="31" t="n">
        <f aca="false">IF(OR($F1135="",$J1135="-"),0,ROUND($F1135-$F1135/(1+$H1135),2))</f>
        <v>0</v>
      </c>
      <c r="L1135" s="31" t="n">
        <f aca="false">IF($F1135="",0,$F1135-$K1135)</f>
        <v>0</v>
      </c>
      <c r="M1135" s="31" t="n">
        <f aca="false">IF($F1135="",0,IF($J1135="V",$L1135,$F1135))</f>
        <v>0</v>
      </c>
      <c r="N1135" s="31" t="n">
        <f aca="false">IF($F1135="",0,IF($J1135="U",$L1135,$F1135))</f>
        <v>0</v>
      </c>
      <c r="O1135" s="35" t="str">
        <f aca="false">IF($A1135="","",MONTH($A1135))</f>
        <v/>
      </c>
      <c r="P1135" s="35" t="str">
        <f aca="false">IF($A1135="","",ROUNDUP(MONTH($A1135)/3,0))</f>
        <v/>
      </c>
      <c r="Q1135" s="35" t="str">
        <f aca="false">IF($A1135="","",IF(MONTH($A1135)&lt;=6,1,2))</f>
        <v/>
      </c>
      <c r="R1135" s="35" t="str">
        <f aca="false">IF($E1135="","",IFERROR(INDEX(Kontenplan!$F$5:$F$90,MATCH($E1135,Kontenplan!$A$5:$A$90,0)),""))</f>
        <v/>
      </c>
      <c r="S1135" s="35" t="str">
        <f aca="false">IF($D1135="","",IFERROR(INDEX(Kontenplan!$F$5:$F$90,MATCH($D1135,Kontenplan!$A$5:$A$90,0)),""))</f>
        <v/>
      </c>
      <c r="T1135" s="35" t="str">
        <f aca="false">IF($D1135="","",IFERROR(INDEX(Kontenplan!$C$5:$C$90,MATCH($D1135,Kontenplan!$A$5:$A$90,0)),"?"))</f>
        <v/>
      </c>
      <c r="U1135" s="35" t="str">
        <f aca="false">IF($E1135="","",IFERROR(INDEX(Kontenplan!$C$5:$C$90,MATCH($E1135,Kontenplan!$A$5:$A$90,0)),"?"))</f>
        <v/>
      </c>
      <c r="V1135" s="35" t="str">
        <f aca="false">IF($F1135="","",IF(OR($D1135="",$E1135="",$T1135="?",$U1135="?"),"Konto prüfen!",IF($A1135="","Datum fehlt",IF(YEAR($A1135)&lt;&gt;Einstellungen!$B$7,"anderes Jahr!",IF($G1135="","MWST-Code fehlt","OK")))))</f>
        <v/>
      </c>
      <c r="W1135" s="35" t="str">
        <f aca="false">IF($F1135="","",IF(OR($D1135=Kontoauszug!$C$4,$E1135=Kontoauszug!$C$4),MAX(W$4:W1134)+1,""))</f>
        <v/>
      </c>
    </row>
    <row r="1136" customFormat="false" ht="15" hidden="false" customHeight="false" outlineLevel="0" collapsed="false">
      <c r="A1136" s="33"/>
      <c r="B1136" s="32"/>
      <c r="C1136" s="32"/>
      <c r="D1136" s="32"/>
      <c r="E1136" s="32"/>
      <c r="F1136" s="30"/>
      <c r="G1136" s="32"/>
      <c r="H1136" s="34" t="n">
        <f aca="false">IF($G1136="",0,IFERROR(INDEX(Einstellungen!$G$5:$G$11,MATCH($G1136,Einstellungen!$E$5:$E$11,0)),0))</f>
        <v>0</v>
      </c>
      <c r="I1136" s="35" t="str">
        <f aca="false">IF($G1136="","-",IFERROR(INDEX(Einstellungen!$H$5:$H$11,MATCH($G1136,Einstellungen!$E$5:$E$11,0)),"-"))</f>
        <v>-</v>
      </c>
      <c r="J1136" s="35" t="str">
        <f aca="false">IF(AND(Einstellungen!$B$8="Ja",Einstellungen!$B$9="Effektiv"),$I1136,"-")</f>
        <v>-</v>
      </c>
      <c r="K1136" s="31" t="n">
        <f aca="false">IF(OR($F1136="",$J1136="-"),0,ROUND($F1136-$F1136/(1+$H1136),2))</f>
        <v>0</v>
      </c>
      <c r="L1136" s="31" t="n">
        <f aca="false">IF($F1136="",0,$F1136-$K1136)</f>
        <v>0</v>
      </c>
      <c r="M1136" s="31" t="n">
        <f aca="false">IF($F1136="",0,IF($J1136="V",$L1136,$F1136))</f>
        <v>0</v>
      </c>
      <c r="N1136" s="31" t="n">
        <f aca="false">IF($F1136="",0,IF($J1136="U",$L1136,$F1136))</f>
        <v>0</v>
      </c>
      <c r="O1136" s="35" t="str">
        <f aca="false">IF($A1136="","",MONTH($A1136))</f>
        <v/>
      </c>
      <c r="P1136" s="35" t="str">
        <f aca="false">IF($A1136="","",ROUNDUP(MONTH($A1136)/3,0))</f>
        <v/>
      </c>
      <c r="Q1136" s="35" t="str">
        <f aca="false">IF($A1136="","",IF(MONTH($A1136)&lt;=6,1,2))</f>
        <v/>
      </c>
      <c r="R1136" s="35" t="str">
        <f aca="false">IF($E1136="","",IFERROR(INDEX(Kontenplan!$F$5:$F$90,MATCH($E1136,Kontenplan!$A$5:$A$90,0)),""))</f>
        <v/>
      </c>
      <c r="S1136" s="35" t="str">
        <f aca="false">IF($D1136="","",IFERROR(INDEX(Kontenplan!$F$5:$F$90,MATCH($D1136,Kontenplan!$A$5:$A$90,0)),""))</f>
        <v/>
      </c>
      <c r="T1136" s="35" t="str">
        <f aca="false">IF($D1136="","",IFERROR(INDEX(Kontenplan!$C$5:$C$90,MATCH($D1136,Kontenplan!$A$5:$A$90,0)),"?"))</f>
        <v/>
      </c>
      <c r="U1136" s="35" t="str">
        <f aca="false">IF($E1136="","",IFERROR(INDEX(Kontenplan!$C$5:$C$90,MATCH($E1136,Kontenplan!$A$5:$A$90,0)),"?"))</f>
        <v/>
      </c>
      <c r="V1136" s="35" t="str">
        <f aca="false">IF($F1136="","",IF(OR($D1136="",$E1136="",$T1136="?",$U1136="?"),"Konto prüfen!",IF($A1136="","Datum fehlt",IF(YEAR($A1136)&lt;&gt;Einstellungen!$B$7,"anderes Jahr!",IF($G1136="","MWST-Code fehlt","OK")))))</f>
        <v/>
      </c>
      <c r="W1136" s="35" t="str">
        <f aca="false">IF($F1136="","",IF(OR($D1136=Kontoauszug!$C$4,$E1136=Kontoauszug!$C$4),MAX(W$4:W1135)+1,""))</f>
        <v/>
      </c>
    </row>
    <row r="1137" customFormat="false" ht="15" hidden="false" customHeight="false" outlineLevel="0" collapsed="false">
      <c r="A1137" s="33"/>
      <c r="B1137" s="32"/>
      <c r="C1137" s="32"/>
      <c r="D1137" s="32"/>
      <c r="E1137" s="32"/>
      <c r="F1137" s="30"/>
      <c r="G1137" s="32"/>
      <c r="H1137" s="34" t="n">
        <f aca="false">IF($G1137="",0,IFERROR(INDEX(Einstellungen!$G$5:$G$11,MATCH($G1137,Einstellungen!$E$5:$E$11,0)),0))</f>
        <v>0</v>
      </c>
      <c r="I1137" s="35" t="str">
        <f aca="false">IF($G1137="","-",IFERROR(INDEX(Einstellungen!$H$5:$H$11,MATCH($G1137,Einstellungen!$E$5:$E$11,0)),"-"))</f>
        <v>-</v>
      </c>
      <c r="J1137" s="35" t="str">
        <f aca="false">IF(AND(Einstellungen!$B$8="Ja",Einstellungen!$B$9="Effektiv"),$I1137,"-")</f>
        <v>-</v>
      </c>
      <c r="K1137" s="31" t="n">
        <f aca="false">IF(OR($F1137="",$J1137="-"),0,ROUND($F1137-$F1137/(1+$H1137),2))</f>
        <v>0</v>
      </c>
      <c r="L1137" s="31" t="n">
        <f aca="false">IF($F1137="",0,$F1137-$K1137)</f>
        <v>0</v>
      </c>
      <c r="M1137" s="31" t="n">
        <f aca="false">IF($F1137="",0,IF($J1137="V",$L1137,$F1137))</f>
        <v>0</v>
      </c>
      <c r="N1137" s="31" t="n">
        <f aca="false">IF($F1137="",0,IF($J1137="U",$L1137,$F1137))</f>
        <v>0</v>
      </c>
      <c r="O1137" s="35" t="str">
        <f aca="false">IF($A1137="","",MONTH($A1137))</f>
        <v/>
      </c>
      <c r="P1137" s="35" t="str">
        <f aca="false">IF($A1137="","",ROUNDUP(MONTH($A1137)/3,0))</f>
        <v/>
      </c>
      <c r="Q1137" s="35" t="str">
        <f aca="false">IF($A1137="","",IF(MONTH($A1137)&lt;=6,1,2))</f>
        <v/>
      </c>
      <c r="R1137" s="35" t="str">
        <f aca="false">IF($E1137="","",IFERROR(INDEX(Kontenplan!$F$5:$F$90,MATCH($E1137,Kontenplan!$A$5:$A$90,0)),""))</f>
        <v/>
      </c>
      <c r="S1137" s="35" t="str">
        <f aca="false">IF($D1137="","",IFERROR(INDEX(Kontenplan!$F$5:$F$90,MATCH($D1137,Kontenplan!$A$5:$A$90,0)),""))</f>
        <v/>
      </c>
      <c r="T1137" s="35" t="str">
        <f aca="false">IF($D1137="","",IFERROR(INDEX(Kontenplan!$C$5:$C$90,MATCH($D1137,Kontenplan!$A$5:$A$90,0)),"?"))</f>
        <v/>
      </c>
      <c r="U1137" s="35" t="str">
        <f aca="false">IF($E1137="","",IFERROR(INDEX(Kontenplan!$C$5:$C$90,MATCH($E1137,Kontenplan!$A$5:$A$90,0)),"?"))</f>
        <v/>
      </c>
      <c r="V1137" s="35" t="str">
        <f aca="false">IF($F1137="","",IF(OR($D1137="",$E1137="",$T1137="?",$U1137="?"),"Konto prüfen!",IF($A1137="","Datum fehlt",IF(YEAR($A1137)&lt;&gt;Einstellungen!$B$7,"anderes Jahr!",IF($G1137="","MWST-Code fehlt","OK")))))</f>
        <v/>
      </c>
      <c r="W1137" s="35" t="str">
        <f aca="false">IF($F1137="","",IF(OR($D1137=Kontoauszug!$C$4,$E1137=Kontoauszug!$C$4),MAX(W$4:W1136)+1,""))</f>
        <v/>
      </c>
    </row>
    <row r="1138" customFormat="false" ht="15" hidden="false" customHeight="false" outlineLevel="0" collapsed="false">
      <c r="A1138" s="33"/>
      <c r="B1138" s="32"/>
      <c r="C1138" s="32"/>
      <c r="D1138" s="32"/>
      <c r="E1138" s="32"/>
      <c r="F1138" s="30"/>
      <c r="G1138" s="32"/>
      <c r="H1138" s="34" t="n">
        <f aca="false">IF($G1138="",0,IFERROR(INDEX(Einstellungen!$G$5:$G$11,MATCH($G1138,Einstellungen!$E$5:$E$11,0)),0))</f>
        <v>0</v>
      </c>
      <c r="I1138" s="35" t="str">
        <f aca="false">IF($G1138="","-",IFERROR(INDEX(Einstellungen!$H$5:$H$11,MATCH($G1138,Einstellungen!$E$5:$E$11,0)),"-"))</f>
        <v>-</v>
      </c>
      <c r="J1138" s="35" t="str">
        <f aca="false">IF(AND(Einstellungen!$B$8="Ja",Einstellungen!$B$9="Effektiv"),$I1138,"-")</f>
        <v>-</v>
      </c>
      <c r="K1138" s="31" t="n">
        <f aca="false">IF(OR($F1138="",$J1138="-"),0,ROUND($F1138-$F1138/(1+$H1138),2))</f>
        <v>0</v>
      </c>
      <c r="L1138" s="31" t="n">
        <f aca="false">IF($F1138="",0,$F1138-$K1138)</f>
        <v>0</v>
      </c>
      <c r="M1138" s="31" t="n">
        <f aca="false">IF($F1138="",0,IF($J1138="V",$L1138,$F1138))</f>
        <v>0</v>
      </c>
      <c r="N1138" s="31" t="n">
        <f aca="false">IF($F1138="",0,IF($J1138="U",$L1138,$F1138))</f>
        <v>0</v>
      </c>
      <c r="O1138" s="35" t="str">
        <f aca="false">IF($A1138="","",MONTH($A1138))</f>
        <v/>
      </c>
      <c r="P1138" s="35" t="str">
        <f aca="false">IF($A1138="","",ROUNDUP(MONTH($A1138)/3,0))</f>
        <v/>
      </c>
      <c r="Q1138" s="35" t="str">
        <f aca="false">IF($A1138="","",IF(MONTH($A1138)&lt;=6,1,2))</f>
        <v/>
      </c>
      <c r="R1138" s="35" t="str">
        <f aca="false">IF($E1138="","",IFERROR(INDEX(Kontenplan!$F$5:$F$90,MATCH($E1138,Kontenplan!$A$5:$A$90,0)),""))</f>
        <v/>
      </c>
      <c r="S1138" s="35" t="str">
        <f aca="false">IF($D1138="","",IFERROR(INDEX(Kontenplan!$F$5:$F$90,MATCH($D1138,Kontenplan!$A$5:$A$90,0)),""))</f>
        <v/>
      </c>
      <c r="T1138" s="35" t="str">
        <f aca="false">IF($D1138="","",IFERROR(INDEX(Kontenplan!$C$5:$C$90,MATCH($D1138,Kontenplan!$A$5:$A$90,0)),"?"))</f>
        <v/>
      </c>
      <c r="U1138" s="35" t="str">
        <f aca="false">IF($E1138="","",IFERROR(INDEX(Kontenplan!$C$5:$C$90,MATCH($E1138,Kontenplan!$A$5:$A$90,0)),"?"))</f>
        <v/>
      </c>
      <c r="V1138" s="35" t="str">
        <f aca="false">IF($F1138="","",IF(OR($D1138="",$E1138="",$T1138="?",$U1138="?"),"Konto prüfen!",IF($A1138="","Datum fehlt",IF(YEAR($A1138)&lt;&gt;Einstellungen!$B$7,"anderes Jahr!",IF($G1138="","MWST-Code fehlt","OK")))))</f>
        <v/>
      </c>
      <c r="W1138" s="35" t="str">
        <f aca="false">IF($F1138="","",IF(OR($D1138=Kontoauszug!$C$4,$E1138=Kontoauszug!$C$4),MAX(W$4:W1137)+1,""))</f>
        <v/>
      </c>
    </row>
    <row r="1139" customFormat="false" ht="15" hidden="false" customHeight="false" outlineLevel="0" collapsed="false">
      <c r="A1139" s="33"/>
      <c r="B1139" s="32"/>
      <c r="C1139" s="32"/>
      <c r="D1139" s="32"/>
      <c r="E1139" s="32"/>
      <c r="F1139" s="30"/>
      <c r="G1139" s="32"/>
      <c r="H1139" s="34" t="n">
        <f aca="false">IF($G1139="",0,IFERROR(INDEX(Einstellungen!$G$5:$G$11,MATCH($G1139,Einstellungen!$E$5:$E$11,0)),0))</f>
        <v>0</v>
      </c>
      <c r="I1139" s="35" t="str">
        <f aca="false">IF($G1139="","-",IFERROR(INDEX(Einstellungen!$H$5:$H$11,MATCH($G1139,Einstellungen!$E$5:$E$11,0)),"-"))</f>
        <v>-</v>
      </c>
      <c r="J1139" s="35" t="str">
        <f aca="false">IF(AND(Einstellungen!$B$8="Ja",Einstellungen!$B$9="Effektiv"),$I1139,"-")</f>
        <v>-</v>
      </c>
      <c r="K1139" s="31" t="n">
        <f aca="false">IF(OR($F1139="",$J1139="-"),0,ROUND($F1139-$F1139/(1+$H1139),2))</f>
        <v>0</v>
      </c>
      <c r="L1139" s="31" t="n">
        <f aca="false">IF($F1139="",0,$F1139-$K1139)</f>
        <v>0</v>
      </c>
      <c r="M1139" s="31" t="n">
        <f aca="false">IF($F1139="",0,IF($J1139="V",$L1139,$F1139))</f>
        <v>0</v>
      </c>
      <c r="N1139" s="31" t="n">
        <f aca="false">IF($F1139="",0,IF($J1139="U",$L1139,$F1139))</f>
        <v>0</v>
      </c>
      <c r="O1139" s="35" t="str">
        <f aca="false">IF($A1139="","",MONTH($A1139))</f>
        <v/>
      </c>
      <c r="P1139" s="35" t="str">
        <f aca="false">IF($A1139="","",ROUNDUP(MONTH($A1139)/3,0))</f>
        <v/>
      </c>
      <c r="Q1139" s="35" t="str">
        <f aca="false">IF($A1139="","",IF(MONTH($A1139)&lt;=6,1,2))</f>
        <v/>
      </c>
      <c r="R1139" s="35" t="str">
        <f aca="false">IF($E1139="","",IFERROR(INDEX(Kontenplan!$F$5:$F$90,MATCH($E1139,Kontenplan!$A$5:$A$90,0)),""))</f>
        <v/>
      </c>
      <c r="S1139" s="35" t="str">
        <f aca="false">IF($D1139="","",IFERROR(INDEX(Kontenplan!$F$5:$F$90,MATCH($D1139,Kontenplan!$A$5:$A$90,0)),""))</f>
        <v/>
      </c>
      <c r="T1139" s="35" t="str">
        <f aca="false">IF($D1139="","",IFERROR(INDEX(Kontenplan!$C$5:$C$90,MATCH($D1139,Kontenplan!$A$5:$A$90,0)),"?"))</f>
        <v/>
      </c>
      <c r="U1139" s="35" t="str">
        <f aca="false">IF($E1139="","",IFERROR(INDEX(Kontenplan!$C$5:$C$90,MATCH($E1139,Kontenplan!$A$5:$A$90,0)),"?"))</f>
        <v/>
      </c>
      <c r="V1139" s="35" t="str">
        <f aca="false">IF($F1139="","",IF(OR($D1139="",$E1139="",$T1139="?",$U1139="?"),"Konto prüfen!",IF($A1139="","Datum fehlt",IF(YEAR($A1139)&lt;&gt;Einstellungen!$B$7,"anderes Jahr!",IF($G1139="","MWST-Code fehlt","OK")))))</f>
        <v/>
      </c>
      <c r="W1139" s="35" t="str">
        <f aca="false">IF($F1139="","",IF(OR($D1139=Kontoauszug!$C$4,$E1139=Kontoauszug!$C$4),MAX(W$4:W1138)+1,""))</f>
        <v/>
      </c>
    </row>
    <row r="1140" customFormat="false" ht="15" hidden="false" customHeight="false" outlineLevel="0" collapsed="false">
      <c r="A1140" s="33"/>
      <c r="B1140" s="32"/>
      <c r="C1140" s="32"/>
      <c r="D1140" s="32"/>
      <c r="E1140" s="32"/>
      <c r="F1140" s="30"/>
      <c r="G1140" s="32"/>
      <c r="H1140" s="34" t="n">
        <f aca="false">IF($G1140="",0,IFERROR(INDEX(Einstellungen!$G$5:$G$11,MATCH($G1140,Einstellungen!$E$5:$E$11,0)),0))</f>
        <v>0</v>
      </c>
      <c r="I1140" s="35" t="str">
        <f aca="false">IF($G1140="","-",IFERROR(INDEX(Einstellungen!$H$5:$H$11,MATCH($G1140,Einstellungen!$E$5:$E$11,0)),"-"))</f>
        <v>-</v>
      </c>
      <c r="J1140" s="35" t="str">
        <f aca="false">IF(AND(Einstellungen!$B$8="Ja",Einstellungen!$B$9="Effektiv"),$I1140,"-")</f>
        <v>-</v>
      </c>
      <c r="K1140" s="31" t="n">
        <f aca="false">IF(OR($F1140="",$J1140="-"),0,ROUND($F1140-$F1140/(1+$H1140),2))</f>
        <v>0</v>
      </c>
      <c r="L1140" s="31" t="n">
        <f aca="false">IF($F1140="",0,$F1140-$K1140)</f>
        <v>0</v>
      </c>
      <c r="M1140" s="31" t="n">
        <f aca="false">IF($F1140="",0,IF($J1140="V",$L1140,$F1140))</f>
        <v>0</v>
      </c>
      <c r="N1140" s="31" t="n">
        <f aca="false">IF($F1140="",0,IF($J1140="U",$L1140,$F1140))</f>
        <v>0</v>
      </c>
      <c r="O1140" s="35" t="str">
        <f aca="false">IF($A1140="","",MONTH($A1140))</f>
        <v/>
      </c>
      <c r="P1140" s="35" t="str">
        <f aca="false">IF($A1140="","",ROUNDUP(MONTH($A1140)/3,0))</f>
        <v/>
      </c>
      <c r="Q1140" s="35" t="str">
        <f aca="false">IF($A1140="","",IF(MONTH($A1140)&lt;=6,1,2))</f>
        <v/>
      </c>
      <c r="R1140" s="35" t="str">
        <f aca="false">IF($E1140="","",IFERROR(INDEX(Kontenplan!$F$5:$F$90,MATCH($E1140,Kontenplan!$A$5:$A$90,0)),""))</f>
        <v/>
      </c>
      <c r="S1140" s="35" t="str">
        <f aca="false">IF($D1140="","",IFERROR(INDEX(Kontenplan!$F$5:$F$90,MATCH($D1140,Kontenplan!$A$5:$A$90,0)),""))</f>
        <v/>
      </c>
      <c r="T1140" s="35" t="str">
        <f aca="false">IF($D1140="","",IFERROR(INDEX(Kontenplan!$C$5:$C$90,MATCH($D1140,Kontenplan!$A$5:$A$90,0)),"?"))</f>
        <v/>
      </c>
      <c r="U1140" s="35" t="str">
        <f aca="false">IF($E1140="","",IFERROR(INDEX(Kontenplan!$C$5:$C$90,MATCH($E1140,Kontenplan!$A$5:$A$90,0)),"?"))</f>
        <v/>
      </c>
      <c r="V1140" s="35" t="str">
        <f aca="false">IF($F1140="","",IF(OR($D1140="",$E1140="",$T1140="?",$U1140="?"),"Konto prüfen!",IF($A1140="","Datum fehlt",IF(YEAR($A1140)&lt;&gt;Einstellungen!$B$7,"anderes Jahr!",IF($G1140="","MWST-Code fehlt","OK")))))</f>
        <v/>
      </c>
      <c r="W1140" s="35" t="str">
        <f aca="false">IF($F1140="","",IF(OR($D1140=Kontoauszug!$C$4,$E1140=Kontoauszug!$C$4),MAX(W$4:W1139)+1,""))</f>
        <v/>
      </c>
    </row>
    <row r="1141" customFormat="false" ht="15" hidden="false" customHeight="false" outlineLevel="0" collapsed="false">
      <c r="A1141" s="33"/>
      <c r="B1141" s="32"/>
      <c r="C1141" s="32"/>
      <c r="D1141" s="32"/>
      <c r="E1141" s="32"/>
      <c r="F1141" s="30"/>
      <c r="G1141" s="32"/>
      <c r="H1141" s="34" t="n">
        <f aca="false">IF($G1141="",0,IFERROR(INDEX(Einstellungen!$G$5:$G$11,MATCH($G1141,Einstellungen!$E$5:$E$11,0)),0))</f>
        <v>0</v>
      </c>
      <c r="I1141" s="35" t="str">
        <f aca="false">IF($G1141="","-",IFERROR(INDEX(Einstellungen!$H$5:$H$11,MATCH($G1141,Einstellungen!$E$5:$E$11,0)),"-"))</f>
        <v>-</v>
      </c>
      <c r="J1141" s="35" t="str">
        <f aca="false">IF(AND(Einstellungen!$B$8="Ja",Einstellungen!$B$9="Effektiv"),$I1141,"-")</f>
        <v>-</v>
      </c>
      <c r="K1141" s="31" t="n">
        <f aca="false">IF(OR($F1141="",$J1141="-"),0,ROUND($F1141-$F1141/(1+$H1141),2))</f>
        <v>0</v>
      </c>
      <c r="L1141" s="31" t="n">
        <f aca="false">IF($F1141="",0,$F1141-$K1141)</f>
        <v>0</v>
      </c>
      <c r="M1141" s="31" t="n">
        <f aca="false">IF($F1141="",0,IF($J1141="V",$L1141,$F1141))</f>
        <v>0</v>
      </c>
      <c r="N1141" s="31" t="n">
        <f aca="false">IF($F1141="",0,IF($J1141="U",$L1141,$F1141))</f>
        <v>0</v>
      </c>
      <c r="O1141" s="35" t="str">
        <f aca="false">IF($A1141="","",MONTH($A1141))</f>
        <v/>
      </c>
      <c r="P1141" s="35" t="str">
        <f aca="false">IF($A1141="","",ROUNDUP(MONTH($A1141)/3,0))</f>
        <v/>
      </c>
      <c r="Q1141" s="35" t="str">
        <f aca="false">IF($A1141="","",IF(MONTH($A1141)&lt;=6,1,2))</f>
        <v/>
      </c>
      <c r="R1141" s="35" t="str">
        <f aca="false">IF($E1141="","",IFERROR(INDEX(Kontenplan!$F$5:$F$90,MATCH($E1141,Kontenplan!$A$5:$A$90,0)),""))</f>
        <v/>
      </c>
      <c r="S1141" s="35" t="str">
        <f aca="false">IF($D1141="","",IFERROR(INDEX(Kontenplan!$F$5:$F$90,MATCH($D1141,Kontenplan!$A$5:$A$90,0)),""))</f>
        <v/>
      </c>
      <c r="T1141" s="35" t="str">
        <f aca="false">IF($D1141="","",IFERROR(INDEX(Kontenplan!$C$5:$C$90,MATCH($D1141,Kontenplan!$A$5:$A$90,0)),"?"))</f>
        <v/>
      </c>
      <c r="U1141" s="35" t="str">
        <f aca="false">IF($E1141="","",IFERROR(INDEX(Kontenplan!$C$5:$C$90,MATCH($E1141,Kontenplan!$A$5:$A$90,0)),"?"))</f>
        <v/>
      </c>
      <c r="V1141" s="35" t="str">
        <f aca="false">IF($F1141="","",IF(OR($D1141="",$E1141="",$T1141="?",$U1141="?"),"Konto prüfen!",IF($A1141="","Datum fehlt",IF(YEAR($A1141)&lt;&gt;Einstellungen!$B$7,"anderes Jahr!",IF($G1141="","MWST-Code fehlt","OK")))))</f>
        <v/>
      </c>
      <c r="W1141" s="35" t="str">
        <f aca="false">IF($F1141="","",IF(OR($D1141=Kontoauszug!$C$4,$E1141=Kontoauszug!$C$4),MAX(W$4:W1140)+1,""))</f>
        <v/>
      </c>
    </row>
    <row r="1142" customFormat="false" ht="15" hidden="false" customHeight="false" outlineLevel="0" collapsed="false">
      <c r="A1142" s="33"/>
      <c r="B1142" s="32"/>
      <c r="C1142" s="32"/>
      <c r="D1142" s="32"/>
      <c r="E1142" s="32"/>
      <c r="F1142" s="30"/>
      <c r="G1142" s="32"/>
      <c r="H1142" s="34" t="n">
        <f aca="false">IF($G1142="",0,IFERROR(INDEX(Einstellungen!$G$5:$G$11,MATCH($G1142,Einstellungen!$E$5:$E$11,0)),0))</f>
        <v>0</v>
      </c>
      <c r="I1142" s="35" t="str">
        <f aca="false">IF($G1142="","-",IFERROR(INDEX(Einstellungen!$H$5:$H$11,MATCH($G1142,Einstellungen!$E$5:$E$11,0)),"-"))</f>
        <v>-</v>
      </c>
      <c r="J1142" s="35" t="str">
        <f aca="false">IF(AND(Einstellungen!$B$8="Ja",Einstellungen!$B$9="Effektiv"),$I1142,"-")</f>
        <v>-</v>
      </c>
      <c r="K1142" s="31" t="n">
        <f aca="false">IF(OR($F1142="",$J1142="-"),0,ROUND($F1142-$F1142/(1+$H1142),2))</f>
        <v>0</v>
      </c>
      <c r="L1142" s="31" t="n">
        <f aca="false">IF($F1142="",0,$F1142-$K1142)</f>
        <v>0</v>
      </c>
      <c r="M1142" s="31" t="n">
        <f aca="false">IF($F1142="",0,IF($J1142="V",$L1142,$F1142))</f>
        <v>0</v>
      </c>
      <c r="N1142" s="31" t="n">
        <f aca="false">IF($F1142="",0,IF($J1142="U",$L1142,$F1142))</f>
        <v>0</v>
      </c>
      <c r="O1142" s="35" t="str">
        <f aca="false">IF($A1142="","",MONTH($A1142))</f>
        <v/>
      </c>
      <c r="P1142" s="35" t="str">
        <f aca="false">IF($A1142="","",ROUNDUP(MONTH($A1142)/3,0))</f>
        <v/>
      </c>
      <c r="Q1142" s="35" t="str">
        <f aca="false">IF($A1142="","",IF(MONTH($A1142)&lt;=6,1,2))</f>
        <v/>
      </c>
      <c r="R1142" s="35" t="str">
        <f aca="false">IF($E1142="","",IFERROR(INDEX(Kontenplan!$F$5:$F$90,MATCH($E1142,Kontenplan!$A$5:$A$90,0)),""))</f>
        <v/>
      </c>
      <c r="S1142" s="35" t="str">
        <f aca="false">IF($D1142="","",IFERROR(INDEX(Kontenplan!$F$5:$F$90,MATCH($D1142,Kontenplan!$A$5:$A$90,0)),""))</f>
        <v/>
      </c>
      <c r="T1142" s="35" t="str">
        <f aca="false">IF($D1142="","",IFERROR(INDEX(Kontenplan!$C$5:$C$90,MATCH($D1142,Kontenplan!$A$5:$A$90,0)),"?"))</f>
        <v/>
      </c>
      <c r="U1142" s="35" t="str">
        <f aca="false">IF($E1142="","",IFERROR(INDEX(Kontenplan!$C$5:$C$90,MATCH($E1142,Kontenplan!$A$5:$A$90,0)),"?"))</f>
        <v/>
      </c>
      <c r="V1142" s="35" t="str">
        <f aca="false">IF($F1142="","",IF(OR($D1142="",$E1142="",$T1142="?",$U1142="?"),"Konto prüfen!",IF($A1142="","Datum fehlt",IF(YEAR($A1142)&lt;&gt;Einstellungen!$B$7,"anderes Jahr!",IF($G1142="","MWST-Code fehlt","OK")))))</f>
        <v/>
      </c>
      <c r="W1142" s="35" t="str">
        <f aca="false">IF($F1142="","",IF(OR($D1142=Kontoauszug!$C$4,$E1142=Kontoauszug!$C$4),MAX(W$4:W1141)+1,""))</f>
        <v/>
      </c>
    </row>
    <row r="1143" customFormat="false" ht="15" hidden="false" customHeight="false" outlineLevel="0" collapsed="false">
      <c r="A1143" s="33"/>
      <c r="B1143" s="32"/>
      <c r="C1143" s="32"/>
      <c r="D1143" s="32"/>
      <c r="E1143" s="32"/>
      <c r="F1143" s="30"/>
      <c r="G1143" s="32"/>
      <c r="H1143" s="34" t="n">
        <f aca="false">IF($G1143="",0,IFERROR(INDEX(Einstellungen!$G$5:$G$11,MATCH($G1143,Einstellungen!$E$5:$E$11,0)),0))</f>
        <v>0</v>
      </c>
      <c r="I1143" s="35" t="str">
        <f aca="false">IF($G1143="","-",IFERROR(INDEX(Einstellungen!$H$5:$H$11,MATCH($G1143,Einstellungen!$E$5:$E$11,0)),"-"))</f>
        <v>-</v>
      </c>
      <c r="J1143" s="35" t="str">
        <f aca="false">IF(AND(Einstellungen!$B$8="Ja",Einstellungen!$B$9="Effektiv"),$I1143,"-")</f>
        <v>-</v>
      </c>
      <c r="K1143" s="31" t="n">
        <f aca="false">IF(OR($F1143="",$J1143="-"),0,ROUND($F1143-$F1143/(1+$H1143),2))</f>
        <v>0</v>
      </c>
      <c r="L1143" s="31" t="n">
        <f aca="false">IF($F1143="",0,$F1143-$K1143)</f>
        <v>0</v>
      </c>
      <c r="M1143" s="31" t="n">
        <f aca="false">IF($F1143="",0,IF($J1143="V",$L1143,$F1143))</f>
        <v>0</v>
      </c>
      <c r="N1143" s="31" t="n">
        <f aca="false">IF($F1143="",0,IF($J1143="U",$L1143,$F1143))</f>
        <v>0</v>
      </c>
      <c r="O1143" s="35" t="str">
        <f aca="false">IF($A1143="","",MONTH($A1143))</f>
        <v/>
      </c>
      <c r="P1143" s="35" t="str">
        <f aca="false">IF($A1143="","",ROUNDUP(MONTH($A1143)/3,0))</f>
        <v/>
      </c>
      <c r="Q1143" s="35" t="str">
        <f aca="false">IF($A1143="","",IF(MONTH($A1143)&lt;=6,1,2))</f>
        <v/>
      </c>
      <c r="R1143" s="35" t="str">
        <f aca="false">IF($E1143="","",IFERROR(INDEX(Kontenplan!$F$5:$F$90,MATCH($E1143,Kontenplan!$A$5:$A$90,0)),""))</f>
        <v/>
      </c>
      <c r="S1143" s="35" t="str">
        <f aca="false">IF($D1143="","",IFERROR(INDEX(Kontenplan!$F$5:$F$90,MATCH($D1143,Kontenplan!$A$5:$A$90,0)),""))</f>
        <v/>
      </c>
      <c r="T1143" s="35" t="str">
        <f aca="false">IF($D1143="","",IFERROR(INDEX(Kontenplan!$C$5:$C$90,MATCH($D1143,Kontenplan!$A$5:$A$90,0)),"?"))</f>
        <v/>
      </c>
      <c r="U1143" s="35" t="str">
        <f aca="false">IF($E1143="","",IFERROR(INDEX(Kontenplan!$C$5:$C$90,MATCH($E1143,Kontenplan!$A$5:$A$90,0)),"?"))</f>
        <v/>
      </c>
      <c r="V1143" s="35" t="str">
        <f aca="false">IF($F1143="","",IF(OR($D1143="",$E1143="",$T1143="?",$U1143="?"),"Konto prüfen!",IF($A1143="","Datum fehlt",IF(YEAR($A1143)&lt;&gt;Einstellungen!$B$7,"anderes Jahr!",IF($G1143="","MWST-Code fehlt","OK")))))</f>
        <v/>
      </c>
      <c r="W1143" s="35" t="str">
        <f aca="false">IF($F1143="","",IF(OR($D1143=Kontoauszug!$C$4,$E1143=Kontoauszug!$C$4),MAX(W$4:W1142)+1,""))</f>
        <v/>
      </c>
    </row>
    <row r="1144" customFormat="false" ht="15" hidden="false" customHeight="false" outlineLevel="0" collapsed="false">
      <c r="A1144" s="33"/>
      <c r="B1144" s="32"/>
      <c r="C1144" s="32"/>
      <c r="D1144" s="32"/>
      <c r="E1144" s="32"/>
      <c r="F1144" s="30"/>
      <c r="G1144" s="32"/>
      <c r="H1144" s="34" t="n">
        <f aca="false">IF($G1144="",0,IFERROR(INDEX(Einstellungen!$G$5:$G$11,MATCH($G1144,Einstellungen!$E$5:$E$11,0)),0))</f>
        <v>0</v>
      </c>
      <c r="I1144" s="35" t="str">
        <f aca="false">IF($G1144="","-",IFERROR(INDEX(Einstellungen!$H$5:$H$11,MATCH($G1144,Einstellungen!$E$5:$E$11,0)),"-"))</f>
        <v>-</v>
      </c>
      <c r="J1144" s="35" t="str">
        <f aca="false">IF(AND(Einstellungen!$B$8="Ja",Einstellungen!$B$9="Effektiv"),$I1144,"-")</f>
        <v>-</v>
      </c>
      <c r="K1144" s="31" t="n">
        <f aca="false">IF(OR($F1144="",$J1144="-"),0,ROUND($F1144-$F1144/(1+$H1144),2))</f>
        <v>0</v>
      </c>
      <c r="L1144" s="31" t="n">
        <f aca="false">IF($F1144="",0,$F1144-$K1144)</f>
        <v>0</v>
      </c>
      <c r="M1144" s="31" t="n">
        <f aca="false">IF($F1144="",0,IF($J1144="V",$L1144,$F1144))</f>
        <v>0</v>
      </c>
      <c r="N1144" s="31" t="n">
        <f aca="false">IF($F1144="",0,IF($J1144="U",$L1144,$F1144))</f>
        <v>0</v>
      </c>
      <c r="O1144" s="35" t="str">
        <f aca="false">IF($A1144="","",MONTH($A1144))</f>
        <v/>
      </c>
      <c r="P1144" s="35" t="str">
        <f aca="false">IF($A1144="","",ROUNDUP(MONTH($A1144)/3,0))</f>
        <v/>
      </c>
      <c r="Q1144" s="35" t="str">
        <f aca="false">IF($A1144="","",IF(MONTH($A1144)&lt;=6,1,2))</f>
        <v/>
      </c>
      <c r="R1144" s="35" t="str">
        <f aca="false">IF($E1144="","",IFERROR(INDEX(Kontenplan!$F$5:$F$90,MATCH($E1144,Kontenplan!$A$5:$A$90,0)),""))</f>
        <v/>
      </c>
      <c r="S1144" s="35" t="str">
        <f aca="false">IF($D1144="","",IFERROR(INDEX(Kontenplan!$F$5:$F$90,MATCH($D1144,Kontenplan!$A$5:$A$90,0)),""))</f>
        <v/>
      </c>
      <c r="T1144" s="35" t="str">
        <f aca="false">IF($D1144="","",IFERROR(INDEX(Kontenplan!$C$5:$C$90,MATCH($D1144,Kontenplan!$A$5:$A$90,0)),"?"))</f>
        <v/>
      </c>
      <c r="U1144" s="35" t="str">
        <f aca="false">IF($E1144="","",IFERROR(INDEX(Kontenplan!$C$5:$C$90,MATCH($E1144,Kontenplan!$A$5:$A$90,0)),"?"))</f>
        <v/>
      </c>
      <c r="V1144" s="35" t="str">
        <f aca="false">IF($F1144="","",IF(OR($D1144="",$E1144="",$T1144="?",$U1144="?"),"Konto prüfen!",IF($A1144="","Datum fehlt",IF(YEAR($A1144)&lt;&gt;Einstellungen!$B$7,"anderes Jahr!",IF($G1144="","MWST-Code fehlt","OK")))))</f>
        <v/>
      </c>
      <c r="W1144" s="35" t="str">
        <f aca="false">IF($F1144="","",IF(OR($D1144=Kontoauszug!$C$4,$E1144=Kontoauszug!$C$4),MAX(W$4:W1143)+1,""))</f>
        <v/>
      </c>
    </row>
    <row r="1145" customFormat="false" ht="15" hidden="false" customHeight="false" outlineLevel="0" collapsed="false">
      <c r="A1145" s="33"/>
      <c r="B1145" s="32"/>
      <c r="C1145" s="32"/>
      <c r="D1145" s="32"/>
      <c r="E1145" s="32"/>
      <c r="F1145" s="30"/>
      <c r="G1145" s="32"/>
      <c r="H1145" s="34" t="n">
        <f aca="false">IF($G1145="",0,IFERROR(INDEX(Einstellungen!$G$5:$G$11,MATCH($G1145,Einstellungen!$E$5:$E$11,0)),0))</f>
        <v>0</v>
      </c>
      <c r="I1145" s="35" t="str">
        <f aca="false">IF($G1145="","-",IFERROR(INDEX(Einstellungen!$H$5:$H$11,MATCH($G1145,Einstellungen!$E$5:$E$11,0)),"-"))</f>
        <v>-</v>
      </c>
      <c r="J1145" s="35" t="str">
        <f aca="false">IF(AND(Einstellungen!$B$8="Ja",Einstellungen!$B$9="Effektiv"),$I1145,"-")</f>
        <v>-</v>
      </c>
      <c r="K1145" s="31" t="n">
        <f aca="false">IF(OR($F1145="",$J1145="-"),0,ROUND($F1145-$F1145/(1+$H1145),2))</f>
        <v>0</v>
      </c>
      <c r="L1145" s="31" t="n">
        <f aca="false">IF($F1145="",0,$F1145-$K1145)</f>
        <v>0</v>
      </c>
      <c r="M1145" s="31" t="n">
        <f aca="false">IF($F1145="",0,IF($J1145="V",$L1145,$F1145))</f>
        <v>0</v>
      </c>
      <c r="N1145" s="31" t="n">
        <f aca="false">IF($F1145="",0,IF($J1145="U",$L1145,$F1145))</f>
        <v>0</v>
      </c>
      <c r="O1145" s="35" t="str">
        <f aca="false">IF($A1145="","",MONTH($A1145))</f>
        <v/>
      </c>
      <c r="P1145" s="35" t="str">
        <f aca="false">IF($A1145="","",ROUNDUP(MONTH($A1145)/3,0))</f>
        <v/>
      </c>
      <c r="Q1145" s="35" t="str">
        <f aca="false">IF($A1145="","",IF(MONTH($A1145)&lt;=6,1,2))</f>
        <v/>
      </c>
      <c r="R1145" s="35" t="str">
        <f aca="false">IF($E1145="","",IFERROR(INDEX(Kontenplan!$F$5:$F$90,MATCH($E1145,Kontenplan!$A$5:$A$90,0)),""))</f>
        <v/>
      </c>
      <c r="S1145" s="35" t="str">
        <f aca="false">IF($D1145="","",IFERROR(INDEX(Kontenplan!$F$5:$F$90,MATCH($D1145,Kontenplan!$A$5:$A$90,0)),""))</f>
        <v/>
      </c>
      <c r="T1145" s="35" t="str">
        <f aca="false">IF($D1145="","",IFERROR(INDEX(Kontenplan!$C$5:$C$90,MATCH($D1145,Kontenplan!$A$5:$A$90,0)),"?"))</f>
        <v/>
      </c>
      <c r="U1145" s="35" t="str">
        <f aca="false">IF($E1145="","",IFERROR(INDEX(Kontenplan!$C$5:$C$90,MATCH($E1145,Kontenplan!$A$5:$A$90,0)),"?"))</f>
        <v/>
      </c>
      <c r="V1145" s="35" t="str">
        <f aca="false">IF($F1145="","",IF(OR($D1145="",$E1145="",$T1145="?",$U1145="?"),"Konto prüfen!",IF($A1145="","Datum fehlt",IF(YEAR($A1145)&lt;&gt;Einstellungen!$B$7,"anderes Jahr!",IF($G1145="","MWST-Code fehlt","OK")))))</f>
        <v/>
      </c>
      <c r="W1145" s="35" t="str">
        <f aca="false">IF($F1145="","",IF(OR($D1145=Kontoauszug!$C$4,$E1145=Kontoauszug!$C$4),MAX(W$4:W1144)+1,""))</f>
        <v/>
      </c>
    </row>
    <row r="1146" customFormat="false" ht="15" hidden="false" customHeight="false" outlineLevel="0" collapsed="false">
      <c r="A1146" s="33"/>
      <c r="B1146" s="32"/>
      <c r="C1146" s="32"/>
      <c r="D1146" s="32"/>
      <c r="E1146" s="32"/>
      <c r="F1146" s="30"/>
      <c r="G1146" s="32"/>
      <c r="H1146" s="34" t="n">
        <f aca="false">IF($G1146="",0,IFERROR(INDEX(Einstellungen!$G$5:$G$11,MATCH($G1146,Einstellungen!$E$5:$E$11,0)),0))</f>
        <v>0</v>
      </c>
      <c r="I1146" s="35" t="str">
        <f aca="false">IF($G1146="","-",IFERROR(INDEX(Einstellungen!$H$5:$H$11,MATCH($G1146,Einstellungen!$E$5:$E$11,0)),"-"))</f>
        <v>-</v>
      </c>
      <c r="J1146" s="35" t="str">
        <f aca="false">IF(AND(Einstellungen!$B$8="Ja",Einstellungen!$B$9="Effektiv"),$I1146,"-")</f>
        <v>-</v>
      </c>
      <c r="K1146" s="31" t="n">
        <f aca="false">IF(OR($F1146="",$J1146="-"),0,ROUND($F1146-$F1146/(1+$H1146),2))</f>
        <v>0</v>
      </c>
      <c r="L1146" s="31" t="n">
        <f aca="false">IF($F1146="",0,$F1146-$K1146)</f>
        <v>0</v>
      </c>
      <c r="M1146" s="31" t="n">
        <f aca="false">IF($F1146="",0,IF($J1146="V",$L1146,$F1146))</f>
        <v>0</v>
      </c>
      <c r="N1146" s="31" t="n">
        <f aca="false">IF($F1146="",0,IF($J1146="U",$L1146,$F1146))</f>
        <v>0</v>
      </c>
      <c r="O1146" s="35" t="str">
        <f aca="false">IF($A1146="","",MONTH($A1146))</f>
        <v/>
      </c>
      <c r="P1146" s="35" t="str">
        <f aca="false">IF($A1146="","",ROUNDUP(MONTH($A1146)/3,0))</f>
        <v/>
      </c>
      <c r="Q1146" s="35" t="str">
        <f aca="false">IF($A1146="","",IF(MONTH($A1146)&lt;=6,1,2))</f>
        <v/>
      </c>
      <c r="R1146" s="35" t="str">
        <f aca="false">IF($E1146="","",IFERROR(INDEX(Kontenplan!$F$5:$F$90,MATCH($E1146,Kontenplan!$A$5:$A$90,0)),""))</f>
        <v/>
      </c>
      <c r="S1146" s="35" t="str">
        <f aca="false">IF($D1146="","",IFERROR(INDEX(Kontenplan!$F$5:$F$90,MATCH($D1146,Kontenplan!$A$5:$A$90,0)),""))</f>
        <v/>
      </c>
      <c r="T1146" s="35" t="str">
        <f aca="false">IF($D1146="","",IFERROR(INDEX(Kontenplan!$C$5:$C$90,MATCH($D1146,Kontenplan!$A$5:$A$90,0)),"?"))</f>
        <v/>
      </c>
      <c r="U1146" s="35" t="str">
        <f aca="false">IF($E1146="","",IFERROR(INDEX(Kontenplan!$C$5:$C$90,MATCH($E1146,Kontenplan!$A$5:$A$90,0)),"?"))</f>
        <v/>
      </c>
      <c r="V1146" s="35" t="str">
        <f aca="false">IF($F1146="","",IF(OR($D1146="",$E1146="",$T1146="?",$U1146="?"),"Konto prüfen!",IF($A1146="","Datum fehlt",IF(YEAR($A1146)&lt;&gt;Einstellungen!$B$7,"anderes Jahr!",IF($G1146="","MWST-Code fehlt","OK")))))</f>
        <v/>
      </c>
      <c r="W1146" s="35" t="str">
        <f aca="false">IF($F1146="","",IF(OR($D1146=Kontoauszug!$C$4,$E1146=Kontoauszug!$C$4),MAX(W$4:W1145)+1,""))</f>
        <v/>
      </c>
    </row>
    <row r="1147" customFormat="false" ht="15" hidden="false" customHeight="false" outlineLevel="0" collapsed="false">
      <c r="A1147" s="33"/>
      <c r="B1147" s="32"/>
      <c r="C1147" s="32"/>
      <c r="D1147" s="32"/>
      <c r="E1147" s="32"/>
      <c r="F1147" s="30"/>
      <c r="G1147" s="32"/>
      <c r="H1147" s="34" t="n">
        <f aca="false">IF($G1147="",0,IFERROR(INDEX(Einstellungen!$G$5:$G$11,MATCH($G1147,Einstellungen!$E$5:$E$11,0)),0))</f>
        <v>0</v>
      </c>
      <c r="I1147" s="35" t="str">
        <f aca="false">IF($G1147="","-",IFERROR(INDEX(Einstellungen!$H$5:$H$11,MATCH($G1147,Einstellungen!$E$5:$E$11,0)),"-"))</f>
        <v>-</v>
      </c>
      <c r="J1147" s="35" t="str">
        <f aca="false">IF(AND(Einstellungen!$B$8="Ja",Einstellungen!$B$9="Effektiv"),$I1147,"-")</f>
        <v>-</v>
      </c>
      <c r="K1147" s="31" t="n">
        <f aca="false">IF(OR($F1147="",$J1147="-"),0,ROUND($F1147-$F1147/(1+$H1147),2))</f>
        <v>0</v>
      </c>
      <c r="L1147" s="31" t="n">
        <f aca="false">IF($F1147="",0,$F1147-$K1147)</f>
        <v>0</v>
      </c>
      <c r="M1147" s="31" t="n">
        <f aca="false">IF($F1147="",0,IF($J1147="V",$L1147,$F1147))</f>
        <v>0</v>
      </c>
      <c r="N1147" s="31" t="n">
        <f aca="false">IF($F1147="",0,IF($J1147="U",$L1147,$F1147))</f>
        <v>0</v>
      </c>
      <c r="O1147" s="35" t="str">
        <f aca="false">IF($A1147="","",MONTH($A1147))</f>
        <v/>
      </c>
      <c r="P1147" s="35" t="str">
        <f aca="false">IF($A1147="","",ROUNDUP(MONTH($A1147)/3,0))</f>
        <v/>
      </c>
      <c r="Q1147" s="35" t="str">
        <f aca="false">IF($A1147="","",IF(MONTH($A1147)&lt;=6,1,2))</f>
        <v/>
      </c>
      <c r="R1147" s="35" t="str">
        <f aca="false">IF($E1147="","",IFERROR(INDEX(Kontenplan!$F$5:$F$90,MATCH($E1147,Kontenplan!$A$5:$A$90,0)),""))</f>
        <v/>
      </c>
      <c r="S1147" s="35" t="str">
        <f aca="false">IF($D1147="","",IFERROR(INDEX(Kontenplan!$F$5:$F$90,MATCH($D1147,Kontenplan!$A$5:$A$90,0)),""))</f>
        <v/>
      </c>
      <c r="T1147" s="35" t="str">
        <f aca="false">IF($D1147="","",IFERROR(INDEX(Kontenplan!$C$5:$C$90,MATCH($D1147,Kontenplan!$A$5:$A$90,0)),"?"))</f>
        <v/>
      </c>
      <c r="U1147" s="35" t="str">
        <f aca="false">IF($E1147="","",IFERROR(INDEX(Kontenplan!$C$5:$C$90,MATCH($E1147,Kontenplan!$A$5:$A$90,0)),"?"))</f>
        <v/>
      </c>
      <c r="V1147" s="35" t="str">
        <f aca="false">IF($F1147="","",IF(OR($D1147="",$E1147="",$T1147="?",$U1147="?"),"Konto prüfen!",IF($A1147="","Datum fehlt",IF(YEAR($A1147)&lt;&gt;Einstellungen!$B$7,"anderes Jahr!",IF($G1147="","MWST-Code fehlt","OK")))))</f>
        <v/>
      </c>
      <c r="W1147" s="35" t="str">
        <f aca="false">IF($F1147="","",IF(OR($D1147=Kontoauszug!$C$4,$E1147=Kontoauszug!$C$4),MAX(W$4:W1146)+1,""))</f>
        <v/>
      </c>
    </row>
    <row r="1148" customFormat="false" ht="15" hidden="false" customHeight="false" outlineLevel="0" collapsed="false">
      <c r="A1148" s="33"/>
      <c r="B1148" s="32"/>
      <c r="C1148" s="32"/>
      <c r="D1148" s="32"/>
      <c r="E1148" s="32"/>
      <c r="F1148" s="30"/>
      <c r="G1148" s="32"/>
      <c r="H1148" s="34" t="n">
        <f aca="false">IF($G1148="",0,IFERROR(INDEX(Einstellungen!$G$5:$G$11,MATCH($G1148,Einstellungen!$E$5:$E$11,0)),0))</f>
        <v>0</v>
      </c>
      <c r="I1148" s="35" t="str">
        <f aca="false">IF($G1148="","-",IFERROR(INDEX(Einstellungen!$H$5:$H$11,MATCH($G1148,Einstellungen!$E$5:$E$11,0)),"-"))</f>
        <v>-</v>
      </c>
      <c r="J1148" s="35" t="str">
        <f aca="false">IF(AND(Einstellungen!$B$8="Ja",Einstellungen!$B$9="Effektiv"),$I1148,"-")</f>
        <v>-</v>
      </c>
      <c r="K1148" s="31" t="n">
        <f aca="false">IF(OR($F1148="",$J1148="-"),0,ROUND($F1148-$F1148/(1+$H1148),2))</f>
        <v>0</v>
      </c>
      <c r="L1148" s="31" t="n">
        <f aca="false">IF($F1148="",0,$F1148-$K1148)</f>
        <v>0</v>
      </c>
      <c r="M1148" s="31" t="n">
        <f aca="false">IF($F1148="",0,IF($J1148="V",$L1148,$F1148))</f>
        <v>0</v>
      </c>
      <c r="N1148" s="31" t="n">
        <f aca="false">IF($F1148="",0,IF($J1148="U",$L1148,$F1148))</f>
        <v>0</v>
      </c>
      <c r="O1148" s="35" t="str">
        <f aca="false">IF($A1148="","",MONTH($A1148))</f>
        <v/>
      </c>
      <c r="P1148" s="35" t="str">
        <f aca="false">IF($A1148="","",ROUNDUP(MONTH($A1148)/3,0))</f>
        <v/>
      </c>
      <c r="Q1148" s="35" t="str">
        <f aca="false">IF($A1148="","",IF(MONTH($A1148)&lt;=6,1,2))</f>
        <v/>
      </c>
      <c r="R1148" s="35" t="str">
        <f aca="false">IF($E1148="","",IFERROR(INDEX(Kontenplan!$F$5:$F$90,MATCH($E1148,Kontenplan!$A$5:$A$90,0)),""))</f>
        <v/>
      </c>
      <c r="S1148" s="35" t="str">
        <f aca="false">IF($D1148="","",IFERROR(INDEX(Kontenplan!$F$5:$F$90,MATCH($D1148,Kontenplan!$A$5:$A$90,0)),""))</f>
        <v/>
      </c>
      <c r="T1148" s="35" t="str">
        <f aca="false">IF($D1148="","",IFERROR(INDEX(Kontenplan!$C$5:$C$90,MATCH($D1148,Kontenplan!$A$5:$A$90,0)),"?"))</f>
        <v/>
      </c>
      <c r="U1148" s="35" t="str">
        <f aca="false">IF($E1148="","",IFERROR(INDEX(Kontenplan!$C$5:$C$90,MATCH($E1148,Kontenplan!$A$5:$A$90,0)),"?"))</f>
        <v/>
      </c>
      <c r="V1148" s="35" t="str">
        <f aca="false">IF($F1148="","",IF(OR($D1148="",$E1148="",$T1148="?",$U1148="?"),"Konto prüfen!",IF($A1148="","Datum fehlt",IF(YEAR($A1148)&lt;&gt;Einstellungen!$B$7,"anderes Jahr!",IF($G1148="","MWST-Code fehlt","OK")))))</f>
        <v/>
      </c>
      <c r="W1148" s="35" t="str">
        <f aca="false">IF($F1148="","",IF(OR($D1148=Kontoauszug!$C$4,$E1148=Kontoauszug!$C$4),MAX(W$4:W1147)+1,""))</f>
        <v/>
      </c>
    </row>
    <row r="1149" customFormat="false" ht="15" hidden="false" customHeight="false" outlineLevel="0" collapsed="false">
      <c r="A1149" s="33"/>
      <c r="B1149" s="32"/>
      <c r="C1149" s="32"/>
      <c r="D1149" s="32"/>
      <c r="E1149" s="32"/>
      <c r="F1149" s="30"/>
      <c r="G1149" s="32"/>
      <c r="H1149" s="34" t="n">
        <f aca="false">IF($G1149="",0,IFERROR(INDEX(Einstellungen!$G$5:$G$11,MATCH($G1149,Einstellungen!$E$5:$E$11,0)),0))</f>
        <v>0</v>
      </c>
      <c r="I1149" s="35" t="str">
        <f aca="false">IF($G1149="","-",IFERROR(INDEX(Einstellungen!$H$5:$H$11,MATCH($G1149,Einstellungen!$E$5:$E$11,0)),"-"))</f>
        <v>-</v>
      </c>
      <c r="J1149" s="35" t="str">
        <f aca="false">IF(AND(Einstellungen!$B$8="Ja",Einstellungen!$B$9="Effektiv"),$I1149,"-")</f>
        <v>-</v>
      </c>
      <c r="K1149" s="31" t="n">
        <f aca="false">IF(OR($F1149="",$J1149="-"),0,ROUND($F1149-$F1149/(1+$H1149),2))</f>
        <v>0</v>
      </c>
      <c r="L1149" s="31" t="n">
        <f aca="false">IF($F1149="",0,$F1149-$K1149)</f>
        <v>0</v>
      </c>
      <c r="M1149" s="31" t="n">
        <f aca="false">IF($F1149="",0,IF($J1149="V",$L1149,$F1149))</f>
        <v>0</v>
      </c>
      <c r="N1149" s="31" t="n">
        <f aca="false">IF($F1149="",0,IF($J1149="U",$L1149,$F1149))</f>
        <v>0</v>
      </c>
      <c r="O1149" s="35" t="str">
        <f aca="false">IF($A1149="","",MONTH($A1149))</f>
        <v/>
      </c>
      <c r="P1149" s="35" t="str">
        <f aca="false">IF($A1149="","",ROUNDUP(MONTH($A1149)/3,0))</f>
        <v/>
      </c>
      <c r="Q1149" s="35" t="str">
        <f aca="false">IF($A1149="","",IF(MONTH($A1149)&lt;=6,1,2))</f>
        <v/>
      </c>
      <c r="R1149" s="35" t="str">
        <f aca="false">IF($E1149="","",IFERROR(INDEX(Kontenplan!$F$5:$F$90,MATCH($E1149,Kontenplan!$A$5:$A$90,0)),""))</f>
        <v/>
      </c>
      <c r="S1149" s="35" t="str">
        <f aca="false">IF($D1149="","",IFERROR(INDEX(Kontenplan!$F$5:$F$90,MATCH($D1149,Kontenplan!$A$5:$A$90,0)),""))</f>
        <v/>
      </c>
      <c r="T1149" s="35" t="str">
        <f aca="false">IF($D1149="","",IFERROR(INDEX(Kontenplan!$C$5:$C$90,MATCH($D1149,Kontenplan!$A$5:$A$90,0)),"?"))</f>
        <v/>
      </c>
      <c r="U1149" s="35" t="str">
        <f aca="false">IF($E1149="","",IFERROR(INDEX(Kontenplan!$C$5:$C$90,MATCH($E1149,Kontenplan!$A$5:$A$90,0)),"?"))</f>
        <v/>
      </c>
      <c r="V1149" s="35" t="str">
        <f aca="false">IF($F1149="","",IF(OR($D1149="",$E1149="",$T1149="?",$U1149="?"),"Konto prüfen!",IF($A1149="","Datum fehlt",IF(YEAR($A1149)&lt;&gt;Einstellungen!$B$7,"anderes Jahr!",IF($G1149="","MWST-Code fehlt","OK")))))</f>
        <v/>
      </c>
      <c r="W1149" s="35" t="str">
        <f aca="false">IF($F1149="","",IF(OR($D1149=Kontoauszug!$C$4,$E1149=Kontoauszug!$C$4),MAX(W$4:W1148)+1,""))</f>
        <v/>
      </c>
    </row>
    <row r="1150" customFormat="false" ht="15" hidden="false" customHeight="false" outlineLevel="0" collapsed="false">
      <c r="A1150" s="33"/>
      <c r="B1150" s="32"/>
      <c r="C1150" s="32"/>
      <c r="D1150" s="32"/>
      <c r="E1150" s="32"/>
      <c r="F1150" s="30"/>
      <c r="G1150" s="32"/>
      <c r="H1150" s="34" t="n">
        <f aca="false">IF($G1150="",0,IFERROR(INDEX(Einstellungen!$G$5:$G$11,MATCH($G1150,Einstellungen!$E$5:$E$11,0)),0))</f>
        <v>0</v>
      </c>
      <c r="I1150" s="35" t="str">
        <f aca="false">IF($G1150="","-",IFERROR(INDEX(Einstellungen!$H$5:$H$11,MATCH($G1150,Einstellungen!$E$5:$E$11,0)),"-"))</f>
        <v>-</v>
      </c>
      <c r="J1150" s="35" t="str">
        <f aca="false">IF(AND(Einstellungen!$B$8="Ja",Einstellungen!$B$9="Effektiv"),$I1150,"-")</f>
        <v>-</v>
      </c>
      <c r="K1150" s="31" t="n">
        <f aca="false">IF(OR($F1150="",$J1150="-"),0,ROUND($F1150-$F1150/(1+$H1150),2))</f>
        <v>0</v>
      </c>
      <c r="L1150" s="31" t="n">
        <f aca="false">IF($F1150="",0,$F1150-$K1150)</f>
        <v>0</v>
      </c>
      <c r="M1150" s="31" t="n">
        <f aca="false">IF($F1150="",0,IF($J1150="V",$L1150,$F1150))</f>
        <v>0</v>
      </c>
      <c r="N1150" s="31" t="n">
        <f aca="false">IF($F1150="",0,IF($J1150="U",$L1150,$F1150))</f>
        <v>0</v>
      </c>
      <c r="O1150" s="35" t="str">
        <f aca="false">IF($A1150="","",MONTH($A1150))</f>
        <v/>
      </c>
      <c r="P1150" s="35" t="str">
        <f aca="false">IF($A1150="","",ROUNDUP(MONTH($A1150)/3,0))</f>
        <v/>
      </c>
      <c r="Q1150" s="35" t="str">
        <f aca="false">IF($A1150="","",IF(MONTH($A1150)&lt;=6,1,2))</f>
        <v/>
      </c>
      <c r="R1150" s="35" t="str">
        <f aca="false">IF($E1150="","",IFERROR(INDEX(Kontenplan!$F$5:$F$90,MATCH($E1150,Kontenplan!$A$5:$A$90,0)),""))</f>
        <v/>
      </c>
      <c r="S1150" s="35" t="str">
        <f aca="false">IF($D1150="","",IFERROR(INDEX(Kontenplan!$F$5:$F$90,MATCH($D1150,Kontenplan!$A$5:$A$90,0)),""))</f>
        <v/>
      </c>
      <c r="T1150" s="35" t="str">
        <f aca="false">IF($D1150="","",IFERROR(INDEX(Kontenplan!$C$5:$C$90,MATCH($D1150,Kontenplan!$A$5:$A$90,0)),"?"))</f>
        <v/>
      </c>
      <c r="U1150" s="35" t="str">
        <f aca="false">IF($E1150="","",IFERROR(INDEX(Kontenplan!$C$5:$C$90,MATCH($E1150,Kontenplan!$A$5:$A$90,0)),"?"))</f>
        <v/>
      </c>
      <c r="V1150" s="35" t="str">
        <f aca="false">IF($F1150="","",IF(OR($D1150="",$E1150="",$T1150="?",$U1150="?"),"Konto prüfen!",IF($A1150="","Datum fehlt",IF(YEAR($A1150)&lt;&gt;Einstellungen!$B$7,"anderes Jahr!",IF($G1150="","MWST-Code fehlt","OK")))))</f>
        <v/>
      </c>
      <c r="W1150" s="35" t="str">
        <f aca="false">IF($F1150="","",IF(OR($D1150=Kontoauszug!$C$4,$E1150=Kontoauszug!$C$4),MAX(W$4:W1149)+1,""))</f>
        <v/>
      </c>
    </row>
    <row r="1151" customFormat="false" ht="15" hidden="false" customHeight="false" outlineLevel="0" collapsed="false">
      <c r="A1151" s="33"/>
      <c r="B1151" s="32"/>
      <c r="C1151" s="32"/>
      <c r="D1151" s="32"/>
      <c r="E1151" s="32"/>
      <c r="F1151" s="30"/>
      <c r="G1151" s="32"/>
      <c r="H1151" s="34" t="n">
        <f aca="false">IF($G1151="",0,IFERROR(INDEX(Einstellungen!$G$5:$G$11,MATCH($G1151,Einstellungen!$E$5:$E$11,0)),0))</f>
        <v>0</v>
      </c>
      <c r="I1151" s="35" t="str">
        <f aca="false">IF($G1151="","-",IFERROR(INDEX(Einstellungen!$H$5:$H$11,MATCH($G1151,Einstellungen!$E$5:$E$11,0)),"-"))</f>
        <v>-</v>
      </c>
      <c r="J1151" s="35" t="str">
        <f aca="false">IF(AND(Einstellungen!$B$8="Ja",Einstellungen!$B$9="Effektiv"),$I1151,"-")</f>
        <v>-</v>
      </c>
      <c r="K1151" s="31" t="n">
        <f aca="false">IF(OR($F1151="",$J1151="-"),0,ROUND($F1151-$F1151/(1+$H1151),2))</f>
        <v>0</v>
      </c>
      <c r="L1151" s="31" t="n">
        <f aca="false">IF($F1151="",0,$F1151-$K1151)</f>
        <v>0</v>
      </c>
      <c r="M1151" s="31" t="n">
        <f aca="false">IF($F1151="",0,IF($J1151="V",$L1151,$F1151))</f>
        <v>0</v>
      </c>
      <c r="N1151" s="31" t="n">
        <f aca="false">IF($F1151="",0,IF($J1151="U",$L1151,$F1151))</f>
        <v>0</v>
      </c>
      <c r="O1151" s="35" t="str">
        <f aca="false">IF($A1151="","",MONTH($A1151))</f>
        <v/>
      </c>
      <c r="P1151" s="35" t="str">
        <f aca="false">IF($A1151="","",ROUNDUP(MONTH($A1151)/3,0))</f>
        <v/>
      </c>
      <c r="Q1151" s="35" t="str">
        <f aca="false">IF($A1151="","",IF(MONTH($A1151)&lt;=6,1,2))</f>
        <v/>
      </c>
      <c r="R1151" s="35" t="str">
        <f aca="false">IF($E1151="","",IFERROR(INDEX(Kontenplan!$F$5:$F$90,MATCH($E1151,Kontenplan!$A$5:$A$90,0)),""))</f>
        <v/>
      </c>
      <c r="S1151" s="35" t="str">
        <f aca="false">IF($D1151="","",IFERROR(INDEX(Kontenplan!$F$5:$F$90,MATCH($D1151,Kontenplan!$A$5:$A$90,0)),""))</f>
        <v/>
      </c>
      <c r="T1151" s="35" t="str">
        <f aca="false">IF($D1151="","",IFERROR(INDEX(Kontenplan!$C$5:$C$90,MATCH($D1151,Kontenplan!$A$5:$A$90,0)),"?"))</f>
        <v/>
      </c>
      <c r="U1151" s="35" t="str">
        <f aca="false">IF($E1151="","",IFERROR(INDEX(Kontenplan!$C$5:$C$90,MATCH($E1151,Kontenplan!$A$5:$A$90,0)),"?"))</f>
        <v/>
      </c>
      <c r="V1151" s="35" t="str">
        <f aca="false">IF($F1151="","",IF(OR($D1151="",$E1151="",$T1151="?",$U1151="?"),"Konto prüfen!",IF($A1151="","Datum fehlt",IF(YEAR($A1151)&lt;&gt;Einstellungen!$B$7,"anderes Jahr!",IF($G1151="","MWST-Code fehlt","OK")))))</f>
        <v/>
      </c>
      <c r="W1151" s="35" t="str">
        <f aca="false">IF($F1151="","",IF(OR($D1151=Kontoauszug!$C$4,$E1151=Kontoauszug!$C$4),MAX(W$4:W1150)+1,""))</f>
        <v/>
      </c>
    </row>
    <row r="1152" customFormat="false" ht="15" hidden="false" customHeight="false" outlineLevel="0" collapsed="false">
      <c r="A1152" s="33"/>
      <c r="B1152" s="32"/>
      <c r="C1152" s="32"/>
      <c r="D1152" s="32"/>
      <c r="E1152" s="32"/>
      <c r="F1152" s="30"/>
      <c r="G1152" s="32"/>
      <c r="H1152" s="34" t="n">
        <f aca="false">IF($G1152="",0,IFERROR(INDEX(Einstellungen!$G$5:$G$11,MATCH($G1152,Einstellungen!$E$5:$E$11,0)),0))</f>
        <v>0</v>
      </c>
      <c r="I1152" s="35" t="str">
        <f aca="false">IF($G1152="","-",IFERROR(INDEX(Einstellungen!$H$5:$H$11,MATCH($G1152,Einstellungen!$E$5:$E$11,0)),"-"))</f>
        <v>-</v>
      </c>
      <c r="J1152" s="35" t="str">
        <f aca="false">IF(AND(Einstellungen!$B$8="Ja",Einstellungen!$B$9="Effektiv"),$I1152,"-")</f>
        <v>-</v>
      </c>
      <c r="K1152" s="31" t="n">
        <f aca="false">IF(OR($F1152="",$J1152="-"),0,ROUND($F1152-$F1152/(1+$H1152),2))</f>
        <v>0</v>
      </c>
      <c r="L1152" s="31" t="n">
        <f aca="false">IF($F1152="",0,$F1152-$K1152)</f>
        <v>0</v>
      </c>
      <c r="M1152" s="31" t="n">
        <f aca="false">IF($F1152="",0,IF($J1152="V",$L1152,$F1152))</f>
        <v>0</v>
      </c>
      <c r="N1152" s="31" t="n">
        <f aca="false">IF($F1152="",0,IF($J1152="U",$L1152,$F1152))</f>
        <v>0</v>
      </c>
      <c r="O1152" s="35" t="str">
        <f aca="false">IF($A1152="","",MONTH($A1152))</f>
        <v/>
      </c>
      <c r="P1152" s="35" t="str">
        <f aca="false">IF($A1152="","",ROUNDUP(MONTH($A1152)/3,0))</f>
        <v/>
      </c>
      <c r="Q1152" s="35" t="str">
        <f aca="false">IF($A1152="","",IF(MONTH($A1152)&lt;=6,1,2))</f>
        <v/>
      </c>
      <c r="R1152" s="35" t="str">
        <f aca="false">IF($E1152="","",IFERROR(INDEX(Kontenplan!$F$5:$F$90,MATCH($E1152,Kontenplan!$A$5:$A$90,0)),""))</f>
        <v/>
      </c>
      <c r="S1152" s="35" t="str">
        <f aca="false">IF($D1152="","",IFERROR(INDEX(Kontenplan!$F$5:$F$90,MATCH($D1152,Kontenplan!$A$5:$A$90,0)),""))</f>
        <v/>
      </c>
      <c r="T1152" s="35" t="str">
        <f aca="false">IF($D1152="","",IFERROR(INDEX(Kontenplan!$C$5:$C$90,MATCH($D1152,Kontenplan!$A$5:$A$90,0)),"?"))</f>
        <v/>
      </c>
      <c r="U1152" s="35" t="str">
        <f aca="false">IF($E1152="","",IFERROR(INDEX(Kontenplan!$C$5:$C$90,MATCH($E1152,Kontenplan!$A$5:$A$90,0)),"?"))</f>
        <v/>
      </c>
      <c r="V1152" s="35" t="str">
        <f aca="false">IF($F1152="","",IF(OR($D1152="",$E1152="",$T1152="?",$U1152="?"),"Konto prüfen!",IF($A1152="","Datum fehlt",IF(YEAR($A1152)&lt;&gt;Einstellungen!$B$7,"anderes Jahr!",IF($G1152="","MWST-Code fehlt","OK")))))</f>
        <v/>
      </c>
      <c r="W1152" s="35" t="str">
        <f aca="false">IF($F1152="","",IF(OR($D1152=Kontoauszug!$C$4,$E1152=Kontoauszug!$C$4),MAX(W$4:W1151)+1,""))</f>
        <v/>
      </c>
    </row>
    <row r="1153" customFormat="false" ht="15" hidden="false" customHeight="false" outlineLevel="0" collapsed="false">
      <c r="A1153" s="33"/>
      <c r="B1153" s="32"/>
      <c r="C1153" s="32"/>
      <c r="D1153" s="32"/>
      <c r="E1153" s="32"/>
      <c r="F1153" s="30"/>
      <c r="G1153" s="32"/>
      <c r="H1153" s="34" t="n">
        <f aca="false">IF($G1153="",0,IFERROR(INDEX(Einstellungen!$G$5:$G$11,MATCH($G1153,Einstellungen!$E$5:$E$11,0)),0))</f>
        <v>0</v>
      </c>
      <c r="I1153" s="35" t="str">
        <f aca="false">IF($G1153="","-",IFERROR(INDEX(Einstellungen!$H$5:$H$11,MATCH($G1153,Einstellungen!$E$5:$E$11,0)),"-"))</f>
        <v>-</v>
      </c>
      <c r="J1153" s="35" t="str">
        <f aca="false">IF(AND(Einstellungen!$B$8="Ja",Einstellungen!$B$9="Effektiv"),$I1153,"-")</f>
        <v>-</v>
      </c>
      <c r="K1153" s="31" t="n">
        <f aca="false">IF(OR($F1153="",$J1153="-"),0,ROUND($F1153-$F1153/(1+$H1153),2))</f>
        <v>0</v>
      </c>
      <c r="L1153" s="31" t="n">
        <f aca="false">IF($F1153="",0,$F1153-$K1153)</f>
        <v>0</v>
      </c>
      <c r="M1153" s="31" t="n">
        <f aca="false">IF($F1153="",0,IF($J1153="V",$L1153,$F1153))</f>
        <v>0</v>
      </c>
      <c r="N1153" s="31" t="n">
        <f aca="false">IF($F1153="",0,IF($J1153="U",$L1153,$F1153))</f>
        <v>0</v>
      </c>
      <c r="O1153" s="35" t="str">
        <f aca="false">IF($A1153="","",MONTH($A1153))</f>
        <v/>
      </c>
      <c r="P1153" s="35" t="str">
        <f aca="false">IF($A1153="","",ROUNDUP(MONTH($A1153)/3,0))</f>
        <v/>
      </c>
      <c r="Q1153" s="35" t="str">
        <f aca="false">IF($A1153="","",IF(MONTH($A1153)&lt;=6,1,2))</f>
        <v/>
      </c>
      <c r="R1153" s="35" t="str">
        <f aca="false">IF($E1153="","",IFERROR(INDEX(Kontenplan!$F$5:$F$90,MATCH($E1153,Kontenplan!$A$5:$A$90,0)),""))</f>
        <v/>
      </c>
      <c r="S1153" s="35" t="str">
        <f aca="false">IF($D1153="","",IFERROR(INDEX(Kontenplan!$F$5:$F$90,MATCH($D1153,Kontenplan!$A$5:$A$90,0)),""))</f>
        <v/>
      </c>
      <c r="T1153" s="35" t="str">
        <f aca="false">IF($D1153="","",IFERROR(INDEX(Kontenplan!$C$5:$C$90,MATCH($D1153,Kontenplan!$A$5:$A$90,0)),"?"))</f>
        <v/>
      </c>
      <c r="U1153" s="35" t="str">
        <f aca="false">IF($E1153="","",IFERROR(INDEX(Kontenplan!$C$5:$C$90,MATCH($E1153,Kontenplan!$A$5:$A$90,0)),"?"))</f>
        <v/>
      </c>
      <c r="V1153" s="35" t="str">
        <f aca="false">IF($F1153="","",IF(OR($D1153="",$E1153="",$T1153="?",$U1153="?"),"Konto prüfen!",IF($A1153="","Datum fehlt",IF(YEAR($A1153)&lt;&gt;Einstellungen!$B$7,"anderes Jahr!",IF($G1153="","MWST-Code fehlt","OK")))))</f>
        <v/>
      </c>
      <c r="W1153" s="35" t="str">
        <f aca="false">IF($F1153="","",IF(OR($D1153=Kontoauszug!$C$4,$E1153=Kontoauszug!$C$4),MAX(W$4:W1152)+1,""))</f>
        <v/>
      </c>
    </row>
    <row r="1154" customFormat="false" ht="15" hidden="false" customHeight="false" outlineLevel="0" collapsed="false">
      <c r="A1154" s="33"/>
      <c r="B1154" s="32"/>
      <c r="C1154" s="32"/>
      <c r="D1154" s="32"/>
      <c r="E1154" s="32"/>
      <c r="F1154" s="30"/>
      <c r="G1154" s="32"/>
      <c r="H1154" s="34" t="n">
        <f aca="false">IF($G1154="",0,IFERROR(INDEX(Einstellungen!$G$5:$G$11,MATCH($G1154,Einstellungen!$E$5:$E$11,0)),0))</f>
        <v>0</v>
      </c>
      <c r="I1154" s="35" t="str">
        <f aca="false">IF($G1154="","-",IFERROR(INDEX(Einstellungen!$H$5:$H$11,MATCH($G1154,Einstellungen!$E$5:$E$11,0)),"-"))</f>
        <v>-</v>
      </c>
      <c r="J1154" s="35" t="str">
        <f aca="false">IF(AND(Einstellungen!$B$8="Ja",Einstellungen!$B$9="Effektiv"),$I1154,"-")</f>
        <v>-</v>
      </c>
      <c r="K1154" s="31" t="n">
        <f aca="false">IF(OR($F1154="",$J1154="-"),0,ROUND($F1154-$F1154/(1+$H1154),2))</f>
        <v>0</v>
      </c>
      <c r="L1154" s="31" t="n">
        <f aca="false">IF($F1154="",0,$F1154-$K1154)</f>
        <v>0</v>
      </c>
      <c r="M1154" s="31" t="n">
        <f aca="false">IF($F1154="",0,IF($J1154="V",$L1154,$F1154))</f>
        <v>0</v>
      </c>
      <c r="N1154" s="31" t="n">
        <f aca="false">IF($F1154="",0,IF($J1154="U",$L1154,$F1154))</f>
        <v>0</v>
      </c>
      <c r="O1154" s="35" t="str">
        <f aca="false">IF($A1154="","",MONTH($A1154))</f>
        <v/>
      </c>
      <c r="P1154" s="35" t="str">
        <f aca="false">IF($A1154="","",ROUNDUP(MONTH($A1154)/3,0))</f>
        <v/>
      </c>
      <c r="Q1154" s="35" t="str">
        <f aca="false">IF($A1154="","",IF(MONTH($A1154)&lt;=6,1,2))</f>
        <v/>
      </c>
      <c r="R1154" s="35" t="str">
        <f aca="false">IF($E1154="","",IFERROR(INDEX(Kontenplan!$F$5:$F$90,MATCH($E1154,Kontenplan!$A$5:$A$90,0)),""))</f>
        <v/>
      </c>
      <c r="S1154" s="35" t="str">
        <f aca="false">IF($D1154="","",IFERROR(INDEX(Kontenplan!$F$5:$F$90,MATCH($D1154,Kontenplan!$A$5:$A$90,0)),""))</f>
        <v/>
      </c>
      <c r="T1154" s="35" t="str">
        <f aca="false">IF($D1154="","",IFERROR(INDEX(Kontenplan!$C$5:$C$90,MATCH($D1154,Kontenplan!$A$5:$A$90,0)),"?"))</f>
        <v/>
      </c>
      <c r="U1154" s="35" t="str">
        <f aca="false">IF($E1154="","",IFERROR(INDEX(Kontenplan!$C$5:$C$90,MATCH($E1154,Kontenplan!$A$5:$A$90,0)),"?"))</f>
        <v/>
      </c>
      <c r="V1154" s="35" t="str">
        <f aca="false">IF($F1154="","",IF(OR($D1154="",$E1154="",$T1154="?",$U1154="?"),"Konto prüfen!",IF($A1154="","Datum fehlt",IF(YEAR($A1154)&lt;&gt;Einstellungen!$B$7,"anderes Jahr!",IF($G1154="","MWST-Code fehlt","OK")))))</f>
        <v/>
      </c>
      <c r="W1154" s="35" t="str">
        <f aca="false">IF($F1154="","",IF(OR($D1154=Kontoauszug!$C$4,$E1154=Kontoauszug!$C$4),MAX(W$4:W1153)+1,""))</f>
        <v/>
      </c>
    </row>
    <row r="1155" customFormat="false" ht="15" hidden="false" customHeight="false" outlineLevel="0" collapsed="false">
      <c r="A1155" s="33"/>
      <c r="B1155" s="32"/>
      <c r="C1155" s="32"/>
      <c r="D1155" s="32"/>
      <c r="E1155" s="32"/>
      <c r="F1155" s="30"/>
      <c r="G1155" s="32"/>
      <c r="H1155" s="34" t="n">
        <f aca="false">IF($G1155="",0,IFERROR(INDEX(Einstellungen!$G$5:$G$11,MATCH($G1155,Einstellungen!$E$5:$E$11,0)),0))</f>
        <v>0</v>
      </c>
      <c r="I1155" s="35" t="str">
        <f aca="false">IF($G1155="","-",IFERROR(INDEX(Einstellungen!$H$5:$H$11,MATCH($G1155,Einstellungen!$E$5:$E$11,0)),"-"))</f>
        <v>-</v>
      </c>
      <c r="J1155" s="35" t="str">
        <f aca="false">IF(AND(Einstellungen!$B$8="Ja",Einstellungen!$B$9="Effektiv"),$I1155,"-")</f>
        <v>-</v>
      </c>
      <c r="K1155" s="31" t="n">
        <f aca="false">IF(OR($F1155="",$J1155="-"),0,ROUND($F1155-$F1155/(1+$H1155),2))</f>
        <v>0</v>
      </c>
      <c r="L1155" s="31" t="n">
        <f aca="false">IF($F1155="",0,$F1155-$K1155)</f>
        <v>0</v>
      </c>
      <c r="M1155" s="31" t="n">
        <f aca="false">IF($F1155="",0,IF($J1155="V",$L1155,$F1155))</f>
        <v>0</v>
      </c>
      <c r="N1155" s="31" t="n">
        <f aca="false">IF($F1155="",0,IF($J1155="U",$L1155,$F1155))</f>
        <v>0</v>
      </c>
      <c r="O1155" s="35" t="str">
        <f aca="false">IF($A1155="","",MONTH($A1155))</f>
        <v/>
      </c>
      <c r="P1155" s="35" t="str">
        <f aca="false">IF($A1155="","",ROUNDUP(MONTH($A1155)/3,0))</f>
        <v/>
      </c>
      <c r="Q1155" s="35" t="str">
        <f aca="false">IF($A1155="","",IF(MONTH($A1155)&lt;=6,1,2))</f>
        <v/>
      </c>
      <c r="R1155" s="35" t="str">
        <f aca="false">IF($E1155="","",IFERROR(INDEX(Kontenplan!$F$5:$F$90,MATCH($E1155,Kontenplan!$A$5:$A$90,0)),""))</f>
        <v/>
      </c>
      <c r="S1155" s="35" t="str">
        <f aca="false">IF($D1155="","",IFERROR(INDEX(Kontenplan!$F$5:$F$90,MATCH($D1155,Kontenplan!$A$5:$A$90,0)),""))</f>
        <v/>
      </c>
      <c r="T1155" s="35" t="str">
        <f aca="false">IF($D1155="","",IFERROR(INDEX(Kontenplan!$C$5:$C$90,MATCH($D1155,Kontenplan!$A$5:$A$90,0)),"?"))</f>
        <v/>
      </c>
      <c r="U1155" s="35" t="str">
        <f aca="false">IF($E1155="","",IFERROR(INDEX(Kontenplan!$C$5:$C$90,MATCH($E1155,Kontenplan!$A$5:$A$90,0)),"?"))</f>
        <v/>
      </c>
      <c r="V1155" s="35" t="str">
        <f aca="false">IF($F1155="","",IF(OR($D1155="",$E1155="",$T1155="?",$U1155="?"),"Konto prüfen!",IF($A1155="","Datum fehlt",IF(YEAR($A1155)&lt;&gt;Einstellungen!$B$7,"anderes Jahr!",IF($G1155="","MWST-Code fehlt","OK")))))</f>
        <v/>
      </c>
      <c r="W1155" s="35" t="str">
        <f aca="false">IF($F1155="","",IF(OR($D1155=Kontoauszug!$C$4,$E1155=Kontoauszug!$C$4),MAX(W$4:W1154)+1,""))</f>
        <v/>
      </c>
    </row>
    <row r="1156" customFormat="false" ht="15" hidden="false" customHeight="false" outlineLevel="0" collapsed="false">
      <c r="A1156" s="33"/>
      <c r="B1156" s="32"/>
      <c r="C1156" s="32"/>
      <c r="D1156" s="32"/>
      <c r="E1156" s="32"/>
      <c r="F1156" s="30"/>
      <c r="G1156" s="32"/>
      <c r="H1156" s="34" t="n">
        <f aca="false">IF($G1156="",0,IFERROR(INDEX(Einstellungen!$G$5:$G$11,MATCH($G1156,Einstellungen!$E$5:$E$11,0)),0))</f>
        <v>0</v>
      </c>
      <c r="I1156" s="35" t="str">
        <f aca="false">IF($G1156="","-",IFERROR(INDEX(Einstellungen!$H$5:$H$11,MATCH($G1156,Einstellungen!$E$5:$E$11,0)),"-"))</f>
        <v>-</v>
      </c>
      <c r="J1156" s="35" t="str">
        <f aca="false">IF(AND(Einstellungen!$B$8="Ja",Einstellungen!$B$9="Effektiv"),$I1156,"-")</f>
        <v>-</v>
      </c>
      <c r="K1156" s="31" t="n">
        <f aca="false">IF(OR($F1156="",$J1156="-"),0,ROUND($F1156-$F1156/(1+$H1156),2))</f>
        <v>0</v>
      </c>
      <c r="L1156" s="31" t="n">
        <f aca="false">IF($F1156="",0,$F1156-$K1156)</f>
        <v>0</v>
      </c>
      <c r="M1156" s="31" t="n">
        <f aca="false">IF($F1156="",0,IF($J1156="V",$L1156,$F1156))</f>
        <v>0</v>
      </c>
      <c r="N1156" s="31" t="n">
        <f aca="false">IF($F1156="",0,IF($J1156="U",$L1156,$F1156))</f>
        <v>0</v>
      </c>
      <c r="O1156" s="35" t="str">
        <f aca="false">IF($A1156="","",MONTH($A1156))</f>
        <v/>
      </c>
      <c r="P1156" s="35" t="str">
        <f aca="false">IF($A1156="","",ROUNDUP(MONTH($A1156)/3,0))</f>
        <v/>
      </c>
      <c r="Q1156" s="35" t="str">
        <f aca="false">IF($A1156="","",IF(MONTH($A1156)&lt;=6,1,2))</f>
        <v/>
      </c>
      <c r="R1156" s="35" t="str">
        <f aca="false">IF($E1156="","",IFERROR(INDEX(Kontenplan!$F$5:$F$90,MATCH($E1156,Kontenplan!$A$5:$A$90,0)),""))</f>
        <v/>
      </c>
      <c r="S1156" s="35" t="str">
        <f aca="false">IF($D1156="","",IFERROR(INDEX(Kontenplan!$F$5:$F$90,MATCH($D1156,Kontenplan!$A$5:$A$90,0)),""))</f>
        <v/>
      </c>
      <c r="T1156" s="35" t="str">
        <f aca="false">IF($D1156="","",IFERROR(INDEX(Kontenplan!$C$5:$C$90,MATCH($D1156,Kontenplan!$A$5:$A$90,0)),"?"))</f>
        <v/>
      </c>
      <c r="U1156" s="35" t="str">
        <f aca="false">IF($E1156="","",IFERROR(INDEX(Kontenplan!$C$5:$C$90,MATCH($E1156,Kontenplan!$A$5:$A$90,0)),"?"))</f>
        <v/>
      </c>
      <c r="V1156" s="35" t="str">
        <f aca="false">IF($F1156="","",IF(OR($D1156="",$E1156="",$T1156="?",$U1156="?"),"Konto prüfen!",IF($A1156="","Datum fehlt",IF(YEAR($A1156)&lt;&gt;Einstellungen!$B$7,"anderes Jahr!",IF($G1156="","MWST-Code fehlt","OK")))))</f>
        <v/>
      </c>
      <c r="W1156" s="35" t="str">
        <f aca="false">IF($F1156="","",IF(OR($D1156=Kontoauszug!$C$4,$E1156=Kontoauszug!$C$4),MAX(W$4:W1155)+1,""))</f>
        <v/>
      </c>
    </row>
    <row r="1157" customFormat="false" ht="15" hidden="false" customHeight="false" outlineLevel="0" collapsed="false">
      <c r="A1157" s="33"/>
      <c r="B1157" s="32"/>
      <c r="C1157" s="32"/>
      <c r="D1157" s="32"/>
      <c r="E1157" s="32"/>
      <c r="F1157" s="30"/>
      <c r="G1157" s="32"/>
      <c r="H1157" s="34" t="n">
        <f aca="false">IF($G1157="",0,IFERROR(INDEX(Einstellungen!$G$5:$G$11,MATCH($G1157,Einstellungen!$E$5:$E$11,0)),0))</f>
        <v>0</v>
      </c>
      <c r="I1157" s="35" t="str">
        <f aca="false">IF($G1157="","-",IFERROR(INDEX(Einstellungen!$H$5:$H$11,MATCH($G1157,Einstellungen!$E$5:$E$11,0)),"-"))</f>
        <v>-</v>
      </c>
      <c r="J1157" s="35" t="str">
        <f aca="false">IF(AND(Einstellungen!$B$8="Ja",Einstellungen!$B$9="Effektiv"),$I1157,"-")</f>
        <v>-</v>
      </c>
      <c r="K1157" s="31" t="n">
        <f aca="false">IF(OR($F1157="",$J1157="-"),0,ROUND($F1157-$F1157/(1+$H1157),2))</f>
        <v>0</v>
      </c>
      <c r="L1157" s="31" t="n">
        <f aca="false">IF($F1157="",0,$F1157-$K1157)</f>
        <v>0</v>
      </c>
      <c r="M1157" s="31" t="n">
        <f aca="false">IF($F1157="",0,IF($J1157="V",$L1157,$F1157))</f>
        <v>0</v>
      </c>
      <c r="N1157" s="31" t="n">
        <f aca="false">IF($F1157="",0,IF($J1157="U",$L1157,$F1157))</f>
        <v>0</v>
      </c>
      <c r="O1157" s="35" t="str">
        <f aca="false">IF($A1157="","",MONTH($A1157))</f>
        <v/>
      </c>
      <c r="P1157" s="35" t="str">
        <f aca="false">IF($A1157="","",ROUNDUP(MONTH($A1157)/3,0))</f>
        <v/>
      </c>
      <c r="Q1157" s="35" t="str">
        <f aca="false">IF($A1157="","",IF(MONTH($A1157)&lt;=6,1,2))</f>
        <v/>
      </c>
      <c r="R1157" s="35" t="str">
        <f aca="false">IF($E1157="","",IFERROR(INDEX(Kontenplan!$F$5:$F$90,MATCH($E1157,Kontenplan!$A$5:$A$90,0)),""))</f>
        <v/>
      </c>
      <c r="S1157" s="35" t="str">
        <f aca="false">IF($D1157="","",IFERROR(INDEX(Kontenplan!$F$5:$F$90,MATCH($D1157,Kontenplan!$A$5:$A$90,0)),""))</f>
        <v/>
      </c>
      <c r="T1157" s="35" t="str">
        <f aca="false">IF($D1157="","",IFERROR(INDEX(Kontenplan!$C$5:$C$90,MATCH($D1157,Kontenplan!$A$5:$A$90,0)),"?"))</f>
        <v/>
      </c>
      <c r="U1157" s="35" t="str">
        <f aca="false">IF($E1157="","",IFERROR(INDEX(Kontenplan!$C$5:$C$90,MATCH($E1157,Kontenplan!$A$5:$A$90,0)),"?"))</f>
        <v/>
      </c>
      <c r="V1157" s="35" t="str">
        <f aca="false">IF($F1157="","",IF(OR($D1157="",$E1157="",$T1157="?",$U1157="?"),"Konto prüfen!",IF($A1157="","Datum fehlt",IF(YEAR($A1157)&lt;&gt;Einstellungen!$B$7,"anderes Jahr!",IF($G1157="","MWST-Code fehlt","OK")))))</f>
        <v/>
      </c>
      <c r="W1157" s="35" t="str">
        <f aca="false">IF($F1157="","",IF(OR($D1157=Kontoauszug!$C$4,$E1157=Kontoauszug!$C$4),MAX(W$4:W1156)+1,""))</f>
        <v/>
      </c>
    </row>
    <row r="1158" customFormat="false" ht="15" hidden="false" customHeight="false" outlineLevel="0" collapsed="false">
      <c r="A1158" s="33"/>
      <c r="B1158" s="32"/>
      <c r="C1158" s="32"/>
      <c r="D1158" s="32"/>
      <c r="E1158" s="32"/>
      <c r="F1158" s="30"/>
      <c r="G1158" s="32"/>
      <c r="H1158" s="34" t="n">
        <f aca="false">IF($G1158="",0,IFERROR(INDEX(Einstellungen!$G$5:$G$11,MATCH($G1158,Einstellungen!$E$5:$E$11,0)),0))</f>
        <v>0</v>
      </c>
      <c r="I1158" s="35" t="str">
        <f aca="false">IF($G1158="","-",IFERROR(INDEX(Einstellungen!$H$5:$H$11,MATCH($G1158,Einstellungen!$E$5:$E$11,0)),"-"))</f>
        <v>-</v>
      </c>
      <c r="J1158" s="35" t="str">
        <f aca="false">IF(AND(Einstellungen!$B$8="Ja",Einstellungen!$B$9="Effektiv"),$I1158,"-")</f>
        <v>-</v>
      </c>
      <c r="K1158" s="31" t="n">
        <f aca="false">IF(OR($F1158="",$J1158="-"),0,ROUND($F1158-$F1158/(1+$H1158),2))</f>
        <v>0</v>
      </c>
      <c r="L1158" s="31" t="n">
        <f aca="false">IF($F1158="",0,$F1158-$K1158)</f>
        <v>0</v>
      </c>
      <c r="M1158" s="31" t="n">
        <f aca="false">IF($F1158="",0,IF($J1158="V",$L1158,$F1158))</f>
        <v>0</v>
      </c>
      <c r="N1158" s="31" t="n">
        <f aca="false">IF($F1158="",0,IF($J1158="U",$L1158,$F1158))</f>
        <v>0</v>
      </c>
      <c r="O1158" s="35" t="str">
        <f aca="false">IF($A1158="","",MONTH($A1158))</f>
        <v/>
      </c>
      <c r="P1158" s="35" t="str">
        <f aca="false">IF($A1158="","",ROUNDUP(MONTH($A1158)/3,0))</f>
        <v/>
      </c>
      <c r="Q1158" s="35" t="str">
        <f aca="false">IF($A1158="","",IF(MONTH($A1158)&lt;=6,1,2))</f>
        <v/>
      </c>
      <c r="R1158" s="35" t="str">
        <f aca="false">IF($E1158="","",IFERROR(INDEX(Kontenplan!$F$5:$F$90,MATCH($E1158,Kontenplan!$A$5:$A$90,0)),""))</f>
        <v/>
      </c>
      <c r="S1158" s="35" t="str">
        <f aca="false">IF($D1158="","",IFERROR(INDEX(Kontenplan!$F$5:$F$90,MATCH($D1158,Kontenplan!$A$5:$A$90,0)),""))</f>
        <v/>
      </c>
      <c r="T1158" s="35" t="str">
        <f aca="false">IF($D1158="","",IFERROR(INDEX(Kontenplan!$C$5:$C$90,MATCH($D1158,Kontenplan!$A$5:$A$90,0)),"?"))</f>
        <v/>
      </c>
      <c r="U1158" s="35" t="str">
        <f aca="false">IF($E1158="","",IFERROR(INDEX(Kontenplan!$C$5:$C$90,MATCH($E1158,Kontenplan!$A$5:$A$90,0)),"?"))</f>
        <v/>
      </c>
      <c r="V1158" s="35" t="str">
        <f aca="false">IF($F1158="","",IF(OR($D1158="",$E1158="",$T1158="?",$U1158="?"),"Konto prüfen!",IF($A1158="","Datum fehlt",IF(YEAR($A1158)&lt;&gt;Einstellungen!$B$7,"anderes Jahr!",IF($G1158="","MWST-Code fehlt","OK")))))</f>
        <v/>
      </c>
      <c r="W1158" s="35" t="str">
        <f aca="false">IF($F1158="","",IF(OR($D1158=Kontoauszug!$C$4,$E1158=Kontoauszug!$C$4),MAX(W$4:W1157)+1,""))</f>
        <v/>
      </c>
    </row>
    <row r="1159" customFormat="false" ht="15" hidden="false" customHeight="false" outlineLevel="0" collapsed="false">
      <c r="A1159" s="33"/>
      <c r="B1159" s="32"/>
      <c r="C1159" s="32"/>
      <c r="D1159" s="32"/>
      <c r="E1159" s="32"/>
      <c r="F1159" s="30"/>
      <c r="G1159" s="32"/>
      <c r="H1159" s="34" t="n">
        <f aca="false">IF($G1159="",0,IFERROR(INDEX(Einstellungen!$G$5:$G$11,MATCH($G1159,Einstellungen!$E$5:$E$11,0)),0))</f>
        <v>0</v>
      </c>
      <c r="I1159" s="35" t="str">
        <f aca="false">IF($G1159="","-",IFERROR(INDEX(Einstellungen!$H$5:$H$11,MATCH($G1159,Einstellungen!$E$5:$E$11,0)),"-"))</f>
        <v>-</v>
      </c>
      <c r="J1159" s="35" t="str">
        <f aca="false">IF(AND(Einstellungen!$B$8="Ja",Einstellungen!$B$9="Effektiv"),$I1159,"-")</f>
        <v>-</v>
      </c>
      <c r="K1159" s="31" t="n">
        <f aca="false">IF(OR($F1159="",$J1159="-"),0,ROUND($F1159-$F1159/(1+$H1159),2))</f>
        <v>0</v>
      </c>
      <c r="L1159" s="31" t="n">
        <f aca="false">IF($F1159="",0,$F1159-$K1159)</f>
        <v>0</v>
      </c>
      <c r="M1159" s="31" t="n">
        <f aca="false">IF($F1159="",0,IF($J1159="V",$L1159,$F1159))</f>
        <v>0</v>
      </c>
      <c r="N1159" s="31" t="n">
        <f aca="false">IF($F1159="",0,IF($J1159="U",$L1159,$F1159))</f>
        <v>0</v>
      </c>
      <c r="O1159" s="35" t="str">
        <f aca="false">IF($A1159="","",MONTH($A1159))</f>
        <v/>
      </c>
      <c r="P1159" s="35" t="str">
        <f aca="false">IF($A1159="","",ROUNDUP(MONTH($A1159)/3,0))</f>
        <v/>
      </c>
      <c r="Q1159" s="35" t="str">
        <f aca="false">IF($A1159="","",IF(MONTH($A1159)&lt;=6,1,2))</f>
        <v/>
      </c>
      <c r="R1159" s="35" t="str">
        <f aca="false">IF($E1159="","",IFERROR(INDEX(Kontenplan!$F$5:$F$90,MATCH($E1159,Kontenplan!$A$5:$A$90,0)),""))</f>
        <v/>
      </c>
      <c r="S1159" s="35" t="str">
        <f aca="false">IF($D1159="","",IFERROR(INDEX(Kontenplan!$F$5:$F$90,MATCH($D1159,Kontenplan!$A$5:$A$90,0)),""))</f>
        <v/>
      </c>
      <c r="T1159" s="35" t="str">
        <f aca="false">IF($D1159="","",IFERROR(INDEX(Kontenplan!$C$5:$C$90,MATCH($D1159,Kontenplan!$A$5:$A$90,0)),"?"))</f>
        <v/>
      </c>
      <c r="U1159" s="35" t="str">
        <f aca="false">IF($E1159="","",IFERROR(INDEX(Kontenplan!$C$5:$C$90,MATCH($E1159,Kontenplan!$A$5:$A$90,0)),"?"))</f>
        <v/>
      </c>
      <c r="V1159" s="35" t="str">
        <f aca="false">IF($F1159="","",IF(OR($D1159="",$E1159="",$T1159="?",$U1159="?"),"Konto prüfen!",IF($A1159="","Datum fehlt",IF(YEAR($A1159)&lt;&gt;Einstellungen!$B$7,"anderes Jahr!",IF($G1159="","MWST-Code fehlt","OK")))))</f>
        <v/>
      </c>
      <c r="W1159" s="35" t="str">
        <f aca="false">IF($F1159="","",IF(OR($D1159=Kontoauszug!$C$4,$E1159=Kontoauszug!$C$4),MAX(W$4:W1158)+1,""))</f>
        <v/>
      </c>
    </row>
    <row r="1160" customFormat="false" ht="15" hidden="false" customHeight="false" outlineLevel="0" collapsed="false">
      <c r="A1160" s="33"/>
      <c r="B1160" s="32"/>
      <c r="C1160" s="32"/>
      <c r="D1160" s="32"/>
      <c r="E1160" s="32"/>
      <c r="F1160" s="30"/>
      <c r="G1160" s="32"/>
      <c r="H1160" s="34" t="n">
        <f aca="false">IF($G1160="",0,IFERROR(INDEX(Einstellungen!$G$5:$G$11,MATCH($G1160,Einstellungen!$E$5:$E$11,0)),0))</f>
        <v>0</v>
      </c>
      <c r="I1160" s="35" t="str">
        <f aca="false">IF($G1160="","-",IFERROR(INDEX(Einstellungen!$H$5:$H$11,MATCH($G1160,Einstellungen!$E$5:$E$11,0)),"-"))</f>
        <v>-</v>
      </c>
      <c r="J1160" s="35" t="str">
        <f aca="false">IF(AND(Einstellungen!$B$8="Ja",Einstellungen!$B$9="Effektiv"),$I1160,"-")</f>
        <v>-</v>
      </c>
      <c r="K1160" s="31" t="n">
        <f aca="false">IF(OR($F1160="",$J1160="-"),0,ROUND($F1160-$F1160/(1+$H1160),2))</f>
        <v>0</v>
      </c>
      <c r="L1160" s="31" t="n">
        <f aca="false">IF($F1160="",0,$F1160-$K1160)</f>
        <v>0</v>
      </c>
      <c r="M1160" s="31" t="n">
        <f aca="false">IF($F1160="",0,IF($J1160="V",$L1160,$F1160))</f>
        <v>0</v>
      </c>
      <c r="N1160" s="31" t="n">
        <f aca="false">IF($F1160="",0,IF($J1160="U",$L1160,$F1160))</f>
        <v>0</v>
      </c>
      <c r="O1160" s="35" t="str">
        <f aca="false">IF($A1160="","",MONTH($A1160))</f>
        <v/>
      </c>
      <c r="P1160" s="35" t="str">
        <f aca="false">IF($A1160="","",ROUNDUP(MONTH($A1160)/3,0))</f>
        <v/>
      </c>
      <c r="Q1160" s="35" t="str">
        <f aca="false">IF($A1160="","",IF(MONTH($A1160)&lt;=6,1,2))</f>
        <v/>
      </c>
      <c r="R1160" s="35" t="str">
        <f aca="false">IF($E1160="","",IFERROR(INDEX(Kontenplan!$F$5:$F$90,MATCH($E1160,Kontenplan!$A$5:$A$90,0)),""))</f>
        <v/>
      </c>
      <c r="S1160" s="35" t="str">
        <f aca="false">IF($D1160="","",IFERROR(INDEX(Kontenplan!$F$5:$F$90,MATCH($D1160,Kontenplan!$A$5:$A$90,0)),""))</f>
        <v/>
      </c>
      <c r="T1160" s="35" t="str">
        <f aca="false">IF($D1160="","",IFERROR(INDEX(Kontenplan!$C$5:$C$90,MATCH($D1160,Kontenplan!$A$5:$A$90,0)),"?"))</f>
        <v/>
      </c>
      <c r="U1160" s="35" t="str">
        <f aca="false">IF($E1160="","",IFERROR(INDEX(Kontenplan!$C$5:$C$90,MATCH($E1160,Kontenplan!$A$5:$A$90,0)),"?"))</f>
        <v/>
      </c>
      <c r="V1160" s="35" t="str">
        <f aca="false">IF($F1160="","",IF(OR($D1160="",$E1160="",$T1160="?",$U1160="?"),"Konto prüfen!",IF($A1160="","Datum fehlt",IF(YEAR($A1160)&lt;&gt;Einstellungen!$B$7,"anderes Jahr!",IF($G1160="","MWST-Code fehlt","OK")))))</f>
        <v/>
      </c>
      <c r="W1160" s="35" t="str">
        <f aca="false">IF($F1160="","",IF(OR($D1160=Kontoauszug!$C$4,$E1160=Kontoauszug!$C$4),MAX(W$4:W1159)+1,""))</f>
        <v/>
      </c>
    </row>
    <row r="1161" customFormat="false" ht="15" hidden="false" customHeight="false" outlineLevel="0" collapsed="false">
      <c r="A1161" s="33"/>
      <c r="B1161" s="32"/>
      <c r="C1161" s="32"/>
      <c r="D1161" s="32"/>
      <c r="E1161" s="32"/>
      <c r="F1161" s="30"/>
      <c r="G1161" s="32"/>
      <c r="H1161" s="34" t="n">
        <f aca="false">IF($G1161="",0,IFERROR(INDEX(Einstellungen!$G$5:$G$11,MATCH($G1161,Einstellungen!$E$5:$E$11,0)),0))</f>
        <v>0</v>
      </c>
      <c r="I1161" s="35" t="str">
        <f aca="false">IF($G1161="","-",IFERROR(INDEX(Einstellungen!$H$5:$H$11,MATCH($G1161,Einstellungen!$E$5:$E$11,0)),"-"))</f>
        <v>-</v>
      </c>
      <c r="J1161" s="35" t="str">
        <f aca="false">IF(AND(Einstellungen!$B$8="Ja",Einstellungen!$B$9="Effektiv"),$I1161,"-")</f>
        <v>-</v>
      </c>
      <c r="K1161" s="31" t="n">
        <f aca="false">IF(OR($F1161="",$J1161="-"),0,ROUND($F1161-$F1161/(1+$H1161),2))</f>
        <v>0</v>
      </c>
      <c r="L1161" s="31" t="n">
        <f aca="false">IF($F1161="",0,$F1161-$K1161)</f>
        <v>0</v>
      </c>
      <c r="M1161" s="31" t="n">
        <f aca="false">IF($F1161="",0,IF($J1161="V",$L1161,$F1161))</f>
        <v>0</v>
      </c>
      <c r="N1161" s="31" t="n">
        <f aca="false">IF($F1161="",0,IF($J1161="U",$L1161,$F1161))</f>
        <v>0</v>
      </c>
      <c r="O1161" s="35" t="str">
        <f aca="false">IF($A1161="","",MONTH($A1161))</f>
        <v/>
      </c>
      <c r="P1161" s="35" t="str">
        <f aca="false">IF($A1161="","",ROUNDUP(MONTH($A1161)/3,0))</f>
        <v/>
      </c>
      <c r="Q1161" s="35" t="str">
        <f aca="false">IF($A1161="","",IF(MONTH($A1161)&lt;=6,1,2))</f>
        <v/>
      </c>
      <c r="R1161" s="35" t="str">
        <f aca="false">IF($E1161="","",IFERROR(INDEX(Kontenplan!$F$5:$F$90,MATCH($E1161,Kontenplan!$A$5:$A$90,0)),""))</f>
        <v/>
      </c>
      <c r="S1161" s="35" t="str">
        <f aca="false">IF($D1161="","",IFERROR(INDEX(Kontenplan!$F$5:$F$90,MATCH($D1161,Kontenplan!$A$5:$A$90,0)),""))</f>
        <v/>
      </c>
      <c r="T1161" s="35" t="str">
        <f aca="false">IF($D1161="","",IFERROR(INDEX(Kontenplan!$C$5:$C$90,MATCH($D1161,Kontenplan!$A$5:$A$90,0)),"?"))</f>
        <v/>
      </c>
      <c r="U1161" s="35" t="str">
        <f aca="false">IF($E1161="","",IFERROR(INDEX(Kontenplan!$C$5:$C$90,MATCH($E1161,Kontenplan!$A$5:$A$90,0)),"?"))</f>
        <v/>
      </c>
      <c r="V1161" s="35" t="str">
        <f aca="false">IF($F1161="","",IF(OR($D1161="",$E1161="",$T1161="?",$U1161="?"),"Konto prüfen!",IF($A1161="","Datum fehlt",IF(YEAR($A1161)&lt;&gt;Einstellungen!$B$7,"anderes Jahr!",IF($G1161="","MWST-Code fehlt","OK")))))</f>
        <v/>
      </c>
      <c r="W1161" s="35" t="str">
        <f aca="false">IF($F1161="","",IF(OR($D1161=Kontoauszug!$C$4,$E1161=Kontoauszug!$C$4),MAX(W$4:W1160)+1,""))</f>
        <v/>
      </c>
    </row>
    <row r="1162" customFormat="false" ht="15" hidden="false" customHeight="false" outlineLevel="0" collapsed="false">
      <c r="A1162" s="33"/>
      <c r="B1162" s="32"/>
      <c r="C1162" s="32"/>
      <c r="D1162" s="32"/>
      <c r="E1162" s="32"/>
      <c r="F1162" s="30"/>
      <c r="G1162" s="32"/>
      <c r="H1162" s="34" t="n">
        <f aca="false">IF($G1162="",0,IFERROR(INDEX(Einstellungen!$G$5:$G$11,MATCH($G1162,Einstellungen!$E$5:$E$11,0)),0))</f>
        <v>0</v>
      </c>
      <c r="I1162" s="35" t="str">
        <f aca="false">IF($G1162="","-",IFERROR(INDEX(Einstellungen!$H$5:$H$11,MATCH($G1162,Einstellungen!$E$5:$E$11,0)),"-"))</f>
        <v>-</v>
      </c>
      <c r="J1162" s="35" t="str">
        <f aca="false">IF(AND(Einstellungen!$B$8="Ja",Einstellungen!$B$9="Effektiv"),$I1162,"-")</f>
        <v>-</v>
      </c>
      <c r="K1162" s="31" t="n">
        <f aca="false">IF(OR($F1162="",$J1162="-"),0,ROUND($F1162-$F1162/(1+$H1162),2))</f>
        <v>0</v>
      </c>
      <c r="L1162" s="31" t="n">
        <f aca="false">IF($F1162="",0,$F1162-$K1162)</f>
        <v>0</v>
      </c>
      <c r="M1162" s="31" t="n">
        <f aca="false">IF($F1162="",0,IF($J1162="V",$L1162,$F1162))</f>
        <v>0</v>
      </c>
      <c r="N1162" s="31" t="n">
        <f aca="false">IF($F1162="",0,IF($J1162="U",$L1162,$F1162))</f>
        <v>0</v>
      </c>
      <c r="O1162" s="35" t="str">
        <f aca="false">IF($A1162="","",MONTH($A1162))</f>
        <v/>
      </c>
      <c r="P1162" s="35" t="str">
        <f aca="false">IF($A1162="","",ROUNDUP(MONTH($A1162)/3,0))</f>
        <v/>
      </c>
      <c r="Q1162" s="35" t="str">
        <f aca="false">IF($A1162="","",IF(MONTH($A1162)&lt;=6,1,2))</f>
        <v/>
      </c>
      <c r="R1162" s="35" t="str">
        <f aca="false">IF($E1162="","",IFERROR(INDEX(Kontenplan!$F$5:$F$90,MATCH($E1162,Kontenplan!$A$5:$A$90,0)),""))</f>
        <v/>
      </c>
      <c r="S1162" s="35" t="str">
        <f aca="false">IF($D1162="","",IFERROR(INDEX(Kontenplan!$F$5:$F$90,MATCH($D1162,Kontenplan!$A$5:$A$90,0)),""))</f>
        <v/>
      </c>
      <c r="T1162" s="35" t="str">
        <f aca="false">IF($D1162="","",IFERROR(INDEX(Kontenplan!$C$5:$C$90,MATCH($D1162,Kontenplan!$A$5:$A$90,0)),"?"))</f>
        <v/>
      </c>
      <c r="U1162" s="35" t="str">
        <f aca="false">IF($E1162="","",IFERROR(INDEX(Kontenplan!$C$5:$C$90,MATCH($E1162,Kontenplan!$A$5:$A$90,0)),"?"))</f>
        <v/>
      </c>
      <c r="V1162" s="35" t="str">
        <f aca="false">IF($F1162="","",IF(OR($D1162="",$E1162="",$T1162="?",$U1162="?"),"Konto prüfen!",IF($A1162="","Datum fehlt",IF(YEAR($A1162)&lt;&gt;Einstellungen!$B$7,"anderes Jahr!",IF($G1162="","MWST-Code fehlt","OK")))))</f>
        <v/>
      </c>
      <c r="W1162" s="35" t="str">
        <f aca="false">IF($F1162="","",IF(OR($D1162=Kontoauszug!$C$4,$E1162=Kontoauszug!$C$4),MAX(W$4:W1161)+1,""))</f>
        <v/>
      </c>
    </row>
    <row r="1163" customFormat="false" ht="15" hidden="false" customHeight="false" outlineLevel="0" collapsed="false">
      <c r="A1163" s="33"/>
      <c r="B1163" s="32"/>
      <c r="C1163" s="32"/>
      <c r="D1163" s="32"/>
      <c r="E1163" s="32"/>
      <c r="F1163" s="30"/>
      <c r="G1163" s="32"/>
      <c r="H1163" s="34" t="n">
        <f aca="false">IF($G1163="",0,IFERROR(INDEX(Einstellungen!$G$5:$G$11,MATCH($G1163,Einstellungen!$E$5:$E$11,0)),0))</f>
        <v>0</v>
      </c>
      <c r="I1163" s="35" t="str">
        <f aca="false">IF($G1163="","-",IFERROR(INDEX(Einstellungen!$H$5:$H$11,MATCH($G1163,Einstellungen!$E$5:$E$11,0)),"-"))</f>
        <v>-</v>
      </c>
      <c r="J1163" s="35" t="str">
        <f aca="false">IF(AND(Einstellungen!$B$8="Ja",Einstellungen!$B$9="Effektiv"),$I1163,"-")</f>
        <v>-</v>
      </c>
      <c r="K1163" s="31" t="n">
        <f aca="false">IF(OR($F1163="",$J1163="-"),0,ROUND($F1163-$F1163/(1+$H1163),2))</f>
        <v>0</v>
      </c>
      <c r="L1163" s="31" t="n">
        <f aca="false">IF($F1163="",0,$F1163-$K1163)</f>
        <v>0</v>
      </c>
      <c r="M1163" s="31" t="n">
        <f aca="false">IF($F1163="",0,IF($J1163="V",$L1163,$F1163))</f>
        <v>0</v>
      </c>
      <c r="N1163" s="31" t="n">
        <f aca="false">IF($F1163="",0,IF($J1163="U",$L1163,$F1163))</f>
        <v>0</v>
      </c>
      <c r="O1163" s="35" t="str">
        <f aca="false">IF($A1163="","",MONTH($A1163))</f>
        <v/>
      </c>
      <c r="P1163" s="35" t="str">
        <f aca="false">IF($A1163="","",ROUNDUP(MONTH($A1163)/3,0))</f>
        <v/>
      </c>
      <c r="Q1163" s="35" t="str">
        <f aca="false">IF($A1163="","",IF(MONTH($A1163)&lt;=6,1,2))</f>
        <v/>
      </c>
      <c r="R1163" s="35" t="str">
        <f aca="false">IF($E1163="","",IFERROR(INDEX(Kontenplan!$F$5:$F$90,MATCH($E1163,Kontenplan!$A$5:$A$90,0)),""))</f>
        <v/>
      </c>
      <c r="S1163" s="35" t="str">
        <f aca="false">IF($D1163="","",IFERROR(INDEX(Kontenplan!$F$5:$F$90,MATCH($D1163,Kontenplan!$A$5:$A$90,0)),""))</f>
        <v/>
      </c>
      <c r="T1163" s="35" t="str">
        <f aca="false">IF($D1163="","",IFERROR(INDEX(Kontenplan!$C$5:$C$90,MATCH($D1163,Kontenplan!$A$5:$A$90,0)),"?"))</f>
        <v/>
      </c>
      <c r="U1163" s="35" t="str">
        <f aca="false">IF($E1163="","",IFERROR(INDEX(Kontenplan!$C$5:$C$90,MATCH($E1163,Kontenplan!$A$5:$A$90,0)),"?"))</f>
        <v/>
      </c>
      <c r="V1163" s="35" t="str">
        <f aca="false">IF($F1163="","",IF(OR($D1163="",$E1163="",$T1163="?",$U1163="?"),"Konto prüfen!",IF($A1163="","Datum fehlt",IF(YEAR($A1163)&lt;&gt;Einstellungen!$B$7,"anderes Jahr!",IF($G1163="","MWST-Code fehlt","OK")))))</f>
        <v/>
      </c>
      <c r="W1163" s="35" t="str">
        <f aca="false">IF($F1163="","",IF(OR($D1163=Kontoauszug!$C$4,$E1163=Kontoauszug!$C$4),MAX(W$4:W1162)+1,""))</f>
        <v/>
      </c>
    </row>
    <row r="1164" customFormat="false" ht="15" hidden="false" customHeight="false" outlineLevel="0" collapsed="false">
      <c r="A1164" s="33"/>
      <c r="B1164" s="32"/>
      <c r="C1164" s="32"/>
      <c r="D1164" s="32"/>
      <c r="E1164" s="32"/>
      <c r="F1164" s="30"/>
      <c r="G1164" s="32"/>
      <c r="H1164" s="34" t="n">
        <f aca="false">IF($G1164="",0,IFERROR(INDEX(Einstellungen!$G$5:$G$11,MATCH($G1164,Einstellungen!$E$5:$E$11,0)),0))</f>
        <v>0</v>
      </c>
      <c r="I1164" s="35" t="str">
        <f aca="false">IF($G1164="","-",IFERROR(INDEX(Einstellungen!$H$5:$H$11,MATCH($G1164,Einstellungen!$E$5:$E$11,0)),"-"))</f>
        <v>-</v>
      </c>
      <c r="J1164" s="35" t="str">
        <f aca="false">IF(AND(Einstellungen!$B$8="Ja",Einstellungen!$B$9="Effektiv"),$I1164,"-")</f>
        <v>-</v>
      </c>
      <c r="K1164" s="31" t="n">
        <f aca="false">IF(OR($F1164="",$J1164="-"),0,ROUND($F1164-$F1164/(1+$H1164),2))</f>
        <v>0</v>
      </c>
      <c r="L1164" s="31" t="n">
        <f aca="false">IF($F1164="",0,$F1164-$K1164)</f>
        <v>0</v>
      </c>
      <c r="M1164" s="31" t="n">
        <f aca="false">IF($F1164="",0,IF($J1164="V",$L1164,$F1164))</f>
        <v>0</v>
      </c>
      <c r="N1164" s="31" t="n">
        <f aca="false">IF($F1164="",0,IF($J1164="U",$L1164,$F1164))</f>
        <v>0</v>
      </c>
      <c r="O1164" s="35" t="str">
        <f aca="false">IF($A1164="","",MONTH($A1164))</f>
        <v/>
      </c>
      <c r="P1164" s="35" t="str">
        <f aca="false">IF($A1164="","",ROUNDUP(MONTH($A1164)/3,0))</f>
        <v/>
      </c>
      <c r="Q1164" s="35" t="str">
        <f aca="false">IF($A1164="","",IF(MONTH($A1164)&lt;=6,1,2))</f>
        <v/>
      </c>
      <c r="R1164" s="35" t="str">
        <f aca="false">IF($E1164="","",IFERROR(INDEX(Kontenplan!$F$5:$F$90,MATCH($E1164,Kontenplan!$A$5:$A$90,0)),""))</f>
        <v/>
      </c>
      <c r="S1164" s="35" t="str">
        <f aca="false">IF($D1164="","",IFERROR(INDEX(Kontenplan!$F$5:$F$90,MATCH($D1164,Kontenplan!$A$5:$A$90,0)),""))</f>
        <v/>
      </c>
      <c r="T1164" s="35" t="str">
        <f aca="false">IF($D1164="","",IFERROR(INDEX(Kontenplan!$C$5:$C$90,MATCH($D1164,Kontenplan!$A$5:$A$90,0)),"?"))</f>
        <v/>
      </c>
      <c r="U1164" s="35" t="str">
        <f aca="false">IF($E1164="","",IFERROR(INDEX(Kontenplan!$C$5:$C$90,MATCH($E1164,Kontenplan!$A$5:$A$90,0)),"?"))</f>
        <v/>
      </c>
      <c r="V1164" s="35" t="str">
        <f aca="false">IF($F1164="","",IF(OR($D1164="",$E1164="",$T1164="?",$U1164="?"),"Konto prüfen!",IF($A1164="","Datum fehlt",IF(YEAR($A1164)&lt;&gt;Einstellungen!$B$7,"anderes Jahr!",IF($G1164="","MWST-Code fehlt","OK")))))</f>
        <v/>
      </c>
      <c r="W1164" s="35" t="str">
        <f aca="false">IF($F1164="","",IF(OR($D1164=Kontoauszug!$C$4,$E1164=Kontoauszug!$C$4),MAX(W$4:W1163)+1,""))</f>
        <v/>
      </c>
    </row>
    <row r="1165" customFormat="false" ht="15" hidden="false" customHeight="false" outlineLevel="0" collapsed="false">
      <c r="A1165" s="33"/>
      <c r="B1165" s="32"/>
      <c r="C1165" s="32"/>
      <c r="D1165" s="32"/>
      <c r="E1165" s="32"/>
      <c r="F1165" s="30"/>
      <c r="G1165" s="32"/>
      <c r="H1165" s="34" t="n">
        <f aca="false">IF($G1165="",0,IFERROR(INDEX(Einstellungen!$G$5:$G$11,MATCH($G1165,Einstellungen!$E$5:$E$11,0)),0))</f>
        <v>0</v>
      </c>
      <c r="I1165" s="35" t="str">
        <f aca="false">IF($G1165="","-",IFERROR(INDEX(Einstellungen!$H$5:$H$11,MATCH($G1165,Einstellungen!$E$5:$E$11,0)),"-"))</f>
        <v>-</v>
      </c>
      <c r="J1165" s="35" t="str">
        <f aca="false">IF(AND(Einstellungen!$B$8="Ja",Einstellungen!$B$9="Effektiv"),$I1165,"-")</f>
        <v>-</v>
      </c>
      <c r="K1165" s="31" t="n">
        <f aca="false">IF(OR($F1165="",$J1165="-"),0,ROUND($F1165-$F1165/(1+$H1165),2))</f>
        <v>0</v>
      </c>
      <c r="L1165" s="31" t="n">
        <f aca="false">IF($F1165="",0,$F1165-$K1165)</f>
        <v>0</v>
      </c>
      <c r="M1165" s="31" t="n">
        <f aca="false">IF($F1165="",0,IF($J1165="V",$L1165,$F1165))</f>
        <v>0</v>
      </c>
      <c r="N1165" s="31" t="n">
        <f aca="false">IF($F1165="",0,IF($J1165="U",$L1165,$F1165))</f>
        <v>0</v>
      </c>
      <c r="O1165" s="35" t="str">
        <f aca="false">IF($A1165="","",MONTH($A1165))</f>
        <v/>
      </c>
      <c r="P1165" s="35" t="str">
        <f aca="false">IF($A1165="","",ROUNDUP(MONTH($A1165)/3,0))</f>
        <v/>
      </c>
      <c r="Q1165" s="35" t="str">
        <f aca="false">IF($A1165="","",IF(MONTH($A1165)&lt;=6,1,2))</f>
        <v/>
      </c>
      <c r="R1165" s="35" t="str">
        <f aca="false">IF($E1165="","",IFERROR(INDEX(Kontenplan!$F$5:$F$90,MATCH($E1165,Kontenplan!$A$5:$A$90,0)),""))</f>
        <v/>
      </c>
      <c r="S1165" s="35" t="str">
        <f aca="false">IF($D1165="","",IFERROR(INDEX(Kontenplan!$F$5:$F$90,MATCH($D1165,Kontenplan!$A$5:$A$90,0)),""))</f>
        <v/>
      </c>
      <c r="T1165" s="35" t="str">
        <f aca="false">IF($D1165="","",IFERROR(INDEX(Kontenplan!$C$5:$C$90,MATCH($D1165,Kontenplan!$A$5:$A$90,0)),"?"))</f>
        <v/>
      </c>
      <c r="U1165" s="35" t="str">
        <f aca="false">IF($E1165="","",IFERROR(INDEX(Kontenplan!$C$5:$C$90,MATCH($E1165,Kontenplan!$A$5:$A$90,0)),"?"))</f>
        <v/>
      </c>
      <c r="V1165" s="35" t="str">
        <f aca="false">IF($F1165="","",IF(OR($D1165="",$E1165="",$T1165="?",$U1165="?"),"Konto prüfen!",IF($A1165="","Datum fehlt",IF(YEAR($A1165)&lt;&gt;Einstellungen!$B$7,"anderes Jahr!",IF($G1165="","MWST-Code fehlt","OK")))))</f>
        <v/>
      </c>
      <c r="W1165" s="35" t="str">
        <f aca="false">IF($F1165="","",IF(OR($D1165=Kontoauszug!$C$4,$E1165=Kontoauszug!$C$4),MAX(W$4:W1164)+1,""))</f>
        <v/>
      </c>
    </row>
    <row r="1166" customFormat="false" ht="15" hidden="false" customHeight="false" outlineLevel="0" collapsed="false">
      <c r="A1166" s="33"/>
      <c r="B1166" s="32"/>
      <c r="C1166" s="32"/>
      <c r="D1166" s="32"/>
      <c r="E1166" s="32"/>
      <c r="F1166" s="30"/>
      <c r="G1166" s="32"/>
      <c r="H1166" s="34" t="n">
        <f aca="false">IF($G1166="",0,IFERROR(INDEX(Einstellungen!$G$5:$G$11,MATCH($G1166,Einstellungen!$E$5:$E$11,0)),0))</f>
        <v>0</v>
      </c>
      <c r="I1166" s="35" t="str">
        <f aca="false">IF($G1166="","-",IFERROR(INDEX(Einstellungen!$H$5:$H$11,MATCH($G1166,Einstellungen!$E$5:$E$11,0)),"-"))</f>
        <v>-</v>
      </c>
      <c r="J1166" s="35" t="str">
        <f aca="false">IF(AND(Einstellungen!$B$8="Ja",Einstellungen!$B$9="Effektiv"),$I1166,"-")</f>
        <v>-</v>
      </c>
      <c r="K1166" s="31" t="n">
        <f aca="false">IF(OR($F1166="",$J1166="-"),0,ROUND($F1166-$F1166/(1+$H1166),2))</f>
        <v>0</v>
      </c>
      <c r="L1166" s="31" t="n">
        <f aca="false">IF($F1166="",0,$F1166-$K1166)</f>
        <v>0</v>
      </c>
      <c r="M1166" s="31" t="n">
        <f aca="false">IF($F1166="",0,IF($J1166="V",$L1166,$F1166))</f>
        <v>0</v>
      </c>
      <c r="N1166" s="31" t="n">
        <f aca="false">IF($F1166="",0,IF($J1166="U",$L1166,$F1166))</f>
        <v>0</v>
      </c>
      <c r="O1166" s="35" t="str">
        <f aca="false">IF($A1166="","",MONTH($A1166))</f>
        <v/>
      </c>
      <c r="P1166" s="35" t="str">
        <f aca="false">IF($A1166="","",ROUNDUP(MONTH($A1166)/3,0))</f>
        <v/>
      </c>
      <c r="Q1166" s="35" t="str">
        <f aca="false">IF($A1166="","",IF(MONTH($A1166)&lt;=6,1,2))</f>
        <v/>
      </c>
      <c r="R1166" s="35" t="str">
        <f aca="false">IF($E1166="","",IFERROR(INDEX(Kontenplan!$F$5:$F$90,MATCH($E1166,Kontenplan!$A$5:$A$90,0)),""))</f>
        <v/>
      </c>
      <c r="S1166" s="35" t="str">
        <f aca="false">IF($D1166="","",IFERROR(INDEX(Kontenplan!$F$5:$F$90,MATCH($D1166,Kontenplan!$A$5:$A$90,0)),""))</f>
        <v/>
      </c>
      <c r="T1166" s="35" t="str">
        <f aca="false">IF($D1166="","",IFERROR(INDEX(Kontenplan!$C$5:$C$90,MATCH($D1166,Kontenplan!$A$5:$A$90,0)),"?"))</f>
        <v/>
      </c>
      <c r="U1166" s="35" t="str">
        <f aca="false">IF($E1166="","",IFERROR(INDEX(Kontenplan!$C$5:$C$90,MATCH($E1166,Kontenplan!$A$5:$A$90,0)),"?"))</f>
        <v/>
      </c>
      <c r="V1166" s="35" t="str">
        <f aca="false">IF($F1166="","",IF(OR($D1166="",$E1166="",$T1166="?",$U1166="?"),"Konto prüfen!",IF($A1166="","Datum fehlt",IF(YEAR($A1166)&lt;&gt;Einstellungen!$B$7,"anderes Jahr!",IF($G1166="","MWST-Code fehlt","OK")))))</f>
        <v/>
      </c>
      <c r="W1166" s="35" t="str">
        <f aca="false">IF($F1166="","",IF(OR($D1166=Kontoauszug!$C$4,$E1166=Kontoauszug!$C$4),MAX(W$4:W1165)+1,""))</f>
        <v/>
      </c>
    </row>
    <row r="1167" customFormat="false" ht="15" hidden="false" customHeight="false" outlineLevel="0" collapsed="false">
      <c r="A1167" s="33"/>
      <c r="B1167" s="32"/>
      <c r="C1167" s="32"/>
      <c r="D1167" s="32"/>
      <c r="E1167" s="32"/>
      <c r="F1167" s="30"/>
      <c r="G1167" s="32"/>
      <c r="H1167" s="34" t="n">
        <f aca="false">IF($G1167="",0,IFERROR(INDEX(Einstellungen!$G$5:$G$11,MATCH($G1167,Einstellungen!$E$5:$E$11,0)),0))</f>
        <v>0</v>
      </c>
      <c r="I1167" s="35" t="str">
        <f aca="false">IF($G1167="","-",IFERROR(INDEX(Einstellungen!$H$5:$H$11,MATCH($G1167,Einstellungen!$E$5:$E$11,0)),"-"))</f>
        <v>-</v>
      </c>
      <c r="J1167" s="35" t="str">
        <f aca="false">IF(AND(Einstellungen!$B$8="Ja",Einstellungen!$B$9="Effektiv"),$I1167,"-")</f>
        <v>-</v>
      </c>
      <c r="K1167" s="31" t="n">
        <f aca="false">IF(OR($F1167="",$J1167="-"),0,ROUND($F1167-$F1167/(1+$H1167),2))</f>
        <v>0</v>
      </c>
      <c r="L1167" s="31" t="n">
        <f aca="false">IF($F1167="",0,$F1167-$K1167)</f>
        <v>0</v>
      </c>
      <c r="M1167" s="31" t="n">
        <f aca="false">IF($F1167="",0,IF($J1167="V",$L1167,$F1167))</f>
        <v>0</v>
      </c>
      <c r="N1167" s="31" t="n">
        <f aca="false">IF($F1167="",0,IF($J1167="U",$L1167,$F1167))</f>
        <v>0</v>
      </c>
      <c r="O1167" s="35" t="str">
        <f aca="false">IF($A1167="","",MONTH($A1167))</f>
        <v/>
      </c>
      <c r="P1167" s="35" t="str">
        <f aca="false">IF($A1167="","",ROUNDUP(MONTH($A1167)/3,0))</f>
        <v/>
      </c>
      <c r="Q1167" s="35" t="str">
        <f aca="false">IF($A1167="","",IF(MONTH($A1167)&lt;=6,1,2))</f>
        <v/>
      </c>
      <c r="R1167" s="35" t="str">
        <f aca="false">IF($E1167="","",IFERROR(INDEX(Kontenplan!$F$5:$F$90,MATCH($E1167,Kontenplan!$A$5:$A$90,0)),""))</f>
        <v/>
      </c>
      <c r="S1167" s="35" t="str">
        <f aca="false">IF($D1167="","",IFERROR(INDEX(Kontenplan!$F$5:$F$90,MATCH($D1167,Kontenplan!$A$5:$A$90,0)),""))</f>
        <v/>
      </c>
      <c r="T1167" s="35" t="str">
        <f aca="false">IF($D1167="","",IFERROR(INDEX(Kontenplan!$C$5:$C$90,MATCH($D1167,Kontenplan!$A$5:$A$90,0)),"?"))</f>
        <v/>
      </c>
      <c r="U1167" s="35" t="str">
        <f aca="false">IF($E1167="","",IFERROR(INDEX(Kontenplan!$C$5:$C$90,MATCH($E1167,Kontenplan!$A$5:$A$90,0)),"?"))</f>
        <v/>
      </c>
      <c r="V1167" s="35" t="str">
        <f aca="false">IF($F1167="","",IF(OR($D1167="",$E1167="",$T1167="?",$U1167="?"),"Konto prüfen!",IF($A1167="","Datum fehlt",IF(YEAR($A1167)&lt;&gt;Einstellungen!$B$7,"anderes Jahr!",IF($G1167="","MWST-Code fehlt","OK")))))</f>
        <v/>
      </c>
      <c r="W1167" s="35" t="str">
        <f aca="false">IF($F1167="","",IF(OR($D1167=Kontoauszug!$C$4,$E1167=Kontoauszug!$C$4),MAX(W$4:W1166)+1,""))</f>
        <v/>
      </c>
    </row>
    <row r="1168" customFormat="false" ht="15" hidden="false" customHeight="false" outlineLevel="0" collapsed="false">
      <c r="A1168" s="33"/>
      <c r="B1168" s="32"/>
      <c r="C1168" s="32"/>
      <c r="D1168" s="32"/>
      <c r="E1168" s="32"/>
      <c r="F1168" s="30"/>
      <c r="G1168" s="32"/>
      <c r="H1168" s="34" t="n">
        <f aca="false">IF($G1168="",0,IFERROR(INDEX(Einstellungen!$G$5:$G$11,MATCH($G1168,Einstellungen!$E$5:$E$11,0)),0))</f>
        <v>0</v>
      </c>
      <c r="I1168" s="35" t="str">
        <f aca="false">IF($G1168="","-",IFERROR(INDEX(Einstellungen!$H$5:$H$11,MATCH($G1168,Einstellungen!$E$5:$E$11,0)),"-"))</f>
        <v>-</v>
      </c>
      <c r="J1168" s="35" t="str">
        <f aca="false">IF(AND(Einstellungen!$B$8="Ja",Einstellungen!$B$9="Effektiv"),$I1168,"-")</f>
        <v>-</v>
      </c>
      <c r="K1168" s="31" t="n">
        <f aca="false">IF(OR($F1168="",$J1168="-"),0,ROUND($F1168-$F1168/(1+$H1168),2))</f>
        <v>0</v>
      </c>
      <c r="L1168" s="31" t="n">
        <f aca="false">IF($F1168="",0,$F1168-$K1168)</f>
        <v>0</v>
      </c>
      <c r="M1168" s="31" t="n">
        <f aca="false">IF($F1168="",0,IF($J1168="V",$L1168,$F1168))</f>
        <v>0</v>
      </c>
      <c r="N1168" s="31" t="n">
        <f aca="false">IF($F1168="",0,IF($J1168="U",$L1168,$F1168))</f>
        <v>0</v>
      </c>
      <c r="O1168" s="35" t="str">
        <f aca="false">IF($A1168="","",MONTH($A1168))</f>
        <v/>
      </c>
      <c r="P1168" s="35" t="str">
        <f aca="false">IF($A1168="","",ROUNDUP(MONTH($A1168)/3,0))</f>
        <v/>
      </c>
      <c r="Q1168" s="35" t="str">
        <f aca="false">IF($A1168="","",IF(MONTH($A1168)&lt;=6,1,2))</f>
        <v/>
      </c>
      <c r="R1168" s="35" t="str">
        <f aca="false">IF($E1168="","",IFERROR(INDEX(Kontenplan!$F$5:$F$90,MATCH($E1168,Kontenplan!$A$5:$A$90,0)),""))</f>
        <v/>
      </c>
      <c r="S1168" s="35" t="str">
        <f aca="false">IF($D1168="","",IFERROR(INDEX(Kontenplan!$F$5:$F$90,MATCH($D1168,Kontenplan!$A$5:$A$90,0)),""))</f>
        <v/>
      </c>
      <c r="T1168" s="35" t="str">
        <f aca="false">IF($D1168="","",IFERROR(INDEX(Kontenplan!$C$5:$C$90,MATCH($D1168,Kontenplan!$A$5:$A$90,0)),"?"))</f>
        <v/>
      </c>
      <c r="U1168" s="35" t="str">
        <f aca="false">IF($E1168="","",IFERROR(INDEX(Kontenplan!$C$5:$C$90,MATCH($E1168,Kontenplan!$A$5:$A$90,0)),"?"))</f>
        <v/>
      </c>
      <c r="V1168" s="35" t="str">
        <f aca="false">IF($F1168="","",IF(OR($D1168="",$E1168="",$T1168="?",$U1168="?"),"Konto prüfen!",IF($A1168="","Datum fehlt",IF(YEAR($A1168)&lt;&gt;Einstellungen!$B$7,"anderes Jahr!",IF($G1168="","MWST-Code fehlt","OK")))))</f>
        <v/>
      </c>
      <c r="W1168" s="35" t="str">
        <f aca="false">IF($F1168="","",IF(OR($D1168=Kontoauszug!$C$4,$E1168=Kontoauszug!$C$4),MAX(W$4:W1167)+1,""))</f>
        <v/>
      </c>
    </row>
    <row r="1169" customFormat="false" ht="15" hidden="false" customHeight="false" outlineLevel="0" collapsed="false">
      <c r="A1169" s="33"/>
      <c r="B1169" s="32"/>
      <c r="C1169" s="32"/>
      <c r="D1169" s="32"/>
      <c r="E1169" s="32"/>
      <c r="F1169" s="30"/>
      <c r="G1169" s="32"/>
      <c r="H1169" s="34" t="n">
        <f aca="false">IF($G1169="",0,IFERROR(INDEX(Einstellungen!$G$5:$G$11,MATCH($G1169,Einstellungen!$E$5:$E$11,0)),0))</f>
        <v>0</v>
      </c>
      <c r="I1169" s="35" t="str">
        <f aca="false">IF($G1169="","-",IFERROR(INDEX(Einstellungen!$H$5:$H$11,MATCH($G1169,Einstellungen!$E$5:$E$11,0)),"-"))</f>
        <v>-</v>
      </c>
      <c r="J1169" s="35" t="str">
        <f aca="false">IF(AND(Einstellungen!$B$8="Ja",Einstellungen!$B$9="Effektiv"),$I1169,"-")</f>
        <v>-</v>
      </c>
      <c r="K1169" s="31" t="n">
        <f aca="false">IF(OR($F1169="",$J1169="-"),0,ROUND($F1169-$F1169/(1+$H1169),2))</f>
        <v>0</v>
      </c>
      <c r="L1169" s="31" t="n">
        <f aca="false">IF($F1169="",0,$F1169-$K1169)</f>
        <v>0</v>
      </c>
      <c r="M1169" s="31" t="n">
        <f aca="false">IF($F1169="",0,IF($J1169="V",$L1169,$F1169))</f>
        <v>0</v>
      </c>
      <c r="N1169" s="31" t="n">
        <f aca="false">IF($F1169="",0,IF($J1169="U",$L1169,$F1169))</f>
        <v>0</v>
      </c>
      <c r="O1169" s="35" t="str">
        <f aca="false">IF($A1169="","",MONTH($A1169))</f>
        <v/>
      </c>
      <c r="P1169" s="35" t="str">
        <f aca="false">IF($A1169="","",ROUNDUP(MONTH($A1169)/3,0))</f>
        <v/>
      </c>
      <c r="Q1169" s="35" t="str">
        <f aca="false">IF($A1169="","",IF(MONTH($A1169)&lt;=6,1,2))</f>
        <v/>
      </c>
      <c r="R1169" s="35" t="str">
        <f aca="false">IF($E1169="","",IFERROR(INDEX(Kontenplan!$F$5:$F$90,MATCH($E1169,Kontenplan!$A$5:$A$90,0)),""))</f>
        <v/>
      </c>
      <c r="S1169" s="35" t="str">
        <f aca="false">IF($D1169="","",IFERROR(INDEX(Kontenplan!$F$5:$F$90,MATCH($D1169,Kontenplan!$A$5:$A$90,0)),""))</f>
        <v/>
      </c>
      <c r="T1169" s="35" t="str">
        <f aca="false">IF($D1169="","",IFERROR(INDEX(Kontenplan!$C$5:$C$90,MATCH($D1169,Kontenplan!$A$5:$A$90,0)),"?"))</f>
        <v/>
      </c>
      <c r="U1169" s="35" t="str">
        <f aca="false">IF($E1169="","",IFERROR(INDEX(Kontenplan!$C$5:$C$90,MATCH($E1169,Kontenplan!$A$5:$A$90,0)),"?"))</f>
        <v/>
      </c>
      <c r="V1169" s="35" t="str">
        <f aca="false">IF($F1169="","",IF(OR($D1169="",$E1169="",$T1169="?",$U1169="?"),"Konto prüfen!",IF($A1169="","Datum fehlt",IF(YEAR($A1169)&lt;&gt;Einstellungen!$B$7,"anderes Jahr!",IF($G1169="","MWST-Code fehlt","OK")))))</f>
        <v/>
      </c>
      <c r="W1169" s="35" t="str">
        <f aca="false">IF($F1169="","",IF(OR($D1169=Kontoauszug!$C$4,$E1169=Kontoauszug!$C$4),MAX(W$4:W1168)+1,""))</f>
        <v/>
      </c>
    </row>
    <row r="1170" customFormat="false" ht="15" hidden="false" customHeight="false" outlineLevel="0" collapsed="false">
      <c r="A1170" s="33"/>
      <c r="B1170" s="32"/>
      <c r="C1170" s="32"/>
      <c r="D1170" s="32"/>
      <c r="E1170" s="32"/>
      <c r="F1170" s="30"/>
      <c r="G1170" s="32"/>
      <c r="H1170" s="34" t="n">
        <f aca="false">IF($G1170="",0,IFERROR(INDEX(Einstellungen!$G$5:$G$11,MATCH($G1170,Einstellungen!$E$5:$E$11,0)),0))</f>
        <v>0</v>
      </c>
      <c r="I1170" s="35" t="str">
        <f aca="false">IF($G1170="","-",IFERROR(INDEX(Einstellungen!$H$5:$H$11,MATCH($G1170,Einstellungen!$E$5:$E$11,0)),"-"))</f>
        <v>-</v>
      </c>
      <c r="J1170" s="35" t="str">
        <f aca="false">IF(AND(Einstellungen!$B$8="Ja",Einstellungen!$B$9="Effektiv"),$I1170,"-")</f>
        <v>-</v>
      </c>
      <c r="K1170" s="31" t="n">
        <f aca="false">IF(OR($F1170="",$J1170="-"),0,ROUND($F1170-$F1170/(1+$H1170),2))</f>
        <v>0</v>
      </c>
      <c r="L1170" s="31" t="n">
        <f aca="false">IF($F1170="",0,$F1170-$K1170)</f>
        <v>0</v>
      </c>
      <c r="M1170" s="31" t="n">
        <f aca="false">IF($F1170="",0,IF($J1170="V",$L1170,$F1170))</f>
        <v>0</v>
      </c>
      <c r="N1170" s="31" t="n">
        <f aca="false">IF($F1170="",0,IF($J1170="U",$L1170,$F1170))</f>
        <v>0</v>
      </c>
      <c r="O1170" s="35" t="str">
        <f aca="false">IF($A1170="","",MONTH($A1170))</f>
        <v/>
      </c>
      <c r="P1170" s="35" t="str">
        <f aca="false">IF($A1170="","",ROUNDUP(MONTH($A1170)/3,0))</f>
        <v/>
      </c>
      <c r="Q1170" s="35" t="str">
        <f aca="false">IF($A1170="","",IF(MONTH($A1170)&lt;=6,1,2))</f>
        <v/>
      </c>
      <c r="R1170" s="35" t="str">
        <f aca="false">IF($E1170="","",IFERROR(INDEX(Kontenplan!$F$5:$F$90,MATCH($E1170,Kontenplan!$A$5:$A$90,0)),""))</f>
        <v/>
      </c>
      <c r="S1170" s="35" t="str">
        <f aca="false">IF($D1170="","",IFERROR(INDEX(Kontenplan!$F$5:$F$90,MATCH($D1170,Kontenplan!$A$5:$A$90,0)),""))</f>
        <v/>
      </c>
      <c r="T1170" s="35" t="str">
        <f aca="false">IF($D1170="","",IFERROR(INDEX(Kontenplan!$C$5:$C$90,MATCH($D1170,Kontenplan!$A$5:$A$90,0)),"?"))</f>
        <v/>
      </c>
      <c r="U1170" s="35" t="str">
        <f aca="false">IF($E1170="","",IFERROR(INDEX(Kontenplan!$C$5:$C$90,MATCH($E1170,Kontenplan!$A$5:$A$90,0)),"?"))</f>
        <v/>
      </c>
      <c r="V1170" s="35" t="str">
        <f aca="false">IF($F1170="","",IF(OR($D1170="",$E1170="",$T1170="?",$U1170="?"),"Konto prüfen!",IF($A1170="","Datum fehlt",IF(YEAR($A1170)&lt;&gt;Einstellungen!$B$7,"anderes Jahr!",IF($G1170="","MWST-Code fehlt","OK")))))</f>
        <v/>
      </c>
      <c r="W1170" s="35" t="str">
        <f aca="false">IF($F1170="","",IF(OR($D1170=Kontoauszug!$C$4,$E1170=Kontoauszug!$C$4),MAX(W$4:W1169)+1,""))</f>
        <v/>
      </c>
    </row>
    <row r="1171" customFormat="false" ht="15" hidden="false" customHeight="false" outlineLevel="0" collapsed="false">
      <c r="A1171" s="33"/>
      <c r="B1171" s="32"/>
      <c r="C1171" s="32"/>
      <c r="D1171" s="32"/>
      <c r="E1171" s="32"/>
      <c r="F1171" s="30"/>
      <c r="G1171" s="32"/>
      <c r="H1171" s="34" t="n">
        <f aca="false">IF($G1171="",0,IFERROR(INDEX(Einstellungen!$G$5:$G$11,MATCH($G1171,Einstellungen!$E$5:$E$11,0)),0))</f>
        <v>0</v>
      </c>
      <c r="I1171" s="35" t="str">
        <f aca="false">IF($G1171="","-",IFERROR(INDEX(Einstellungen!$H$5:$H$11,MATCH($G1171,Einstellungen!$E$5:$E$11,0)),"-"))</f>
        <v>-</v>
      </c>
      <c r="J1171" s="35" t="str">
        <f aca="false">IF(AND(Einstellungen!$B$8="Ja",Einstellungen!$B$9="Effektiv"),$I1171,"-")</f>
        <v>-</v>
      </c>
      <c r="K1171" s="31" t="n">
        <f aca="false">IF(OR($F1171="",$J1171="-"),0,ROUND($F1171-$F1171/(1+$H1171),2))</f>
        <v>0</v>
      </c>
      <c r="L1171" s="31" t="n">
        <f aca="false">IF($F1171="",0,$F1171-$K1171)</f>
        <v>0</v>
      </c>
      <c r="M1171" s="31" t="n">
        <f aca="false">IF($F1171="",0,IF($J1171="V",$L1171,$F1171))</f>
        <v>0</v>
      </c>
      <c r="N1171" s="31" t="n">
        <f aca="false">IF($F1171="",0,IF($J1171="U",$L1171,$F1171))</f>
        <v>0</v>
      </c>
      <c r="O1171" s="35" t="str">
        <f aca="false">IF($A1171="","",MONTH($A1171))</f>
        <v/>
      </c>
      <c r="P1171" s="35" t="str">
        <f aca="false">IF($A1171="","",ROUNDUP(MONTH($A1171)/3,0))</f>
        <v/>
      </c>
      <c r="Q1171" s="35" t="str">
        <f aca="false">IF($A1171="","",IF(MONTH($A1171)&lt;=6,1,2))</f>
        <v/>
      </c>
      <c r="R1171" s="35" t="str">
        <f aca="false">IF($E1171="","",IFERROR(INDEX(Kontenplan!$F$5:$F$90,MATCH($E1171,Kontenplan!$A$5:$A$90,0)),""))</f>
        <v/>
      </c>
      <c r="S1171" s="35" t="str">
        <f aca="false">IF($D1171="","",IFERROR(INDEX(Kontenplan!$F$5:$F$90,MATCH($D1171,Kontenplan!$A$5:$A$90,0)),""))</f>
        <v/>
      </c>
      <c r="T1171" s="35" t="str">
        <f aca="false">IF($D1171="","",IFERROR(INDEX(Kontenplan!$C$5:$C$90,MATCH($D1171,Kontenplan!$A$5:$A$90,0)),"?"))</f>
        <v/>
      </c>
      <c r="U1171" s="35" t="str">
        <f aca="false">IF($E1171="","",IFERROR(INDEX(Kontenplan!$C$5:$C$90,MATCH($E1171,Kontenplan!$A$5:$A$90,0)),"?"))</f>
        <v/>
      </c>
      <c r="V1171" s="35" t="str">
        <f aca="false">IF($F1171="","",IF(OR($D1171="",$E1171="",$T1171="?",$U1171="?"),"Konto prüfen!",IF($A1171="","Datum fehlt",IF(YEAR($A1171)&lt;&gt;Einstellungen!$B$7,"anderes Jahr!",IF($G1171="","MWST-Code fehlt","OK")))))</f>
        <v/>
      </c>
      <c r="W1171" s="35" t="str">
        <f aca="false">IF($F1171="","",IF(OR($D1171=Kontoauszug!$C$4,$E1171=Kontoauszug!$C$4),MAX(W$4:W1170)+1,""))</f>
        <v/>
      </c>
    </row>
    <row r="1172" customFormat="false" ht="15" hidden="false" customHeight="false" outlineLevel="0" collapsed="false">
      <c r="A1172" s="33"/>
      <c r="B1172" s="32"/>
      <c r="C1172" s="32"/>
      <c r="D1172" s="32"/>
      <c r="E1172" s="32"/>
      <c r="F1172" s="30"/>
      <c r="G1172" s="32"/>
      <c r="H1172" s="34" t="n">
        <f aca="false">IF($G1172="",0,IFERROR(INDEX(Einstellungen!$G$5:$G$11,MATCH($G1172,Einstellungen!$E$5:$E$11,0)),0))</f>
        <v>0</v>
      </c>
      <c r="I1172" s="35" t="str">
        <f aca="false">IF($G1172="","-",IFERROR(INDEX(Einstellungen!$H$5:$H$11,MATCH($G1172,Einstellungen!$E$5:$E$11,0)),"-"))</f>
        <v>-</v>
      </c>
      <c r="J1172" s="35" t="str">
        <f aca="false">IF(AND(Einstellungen!$B$8="Ja",Einstellungen!$B$9="Effektiv"),$I1172,"-")</f>
        <v>-</v>
      </c>
      <c r="K1172" s="31" t="n">
        <f aca="false">IF(OR($F1172="",$J1172="-"),0,ROUND($F1172-$F1172/(1+$H1172),2))</f>
        <v>0</v>
      </c>
      <c r="L1172" s="31" t="n">
        <f aca="false">IF($F1172="",0,$F1172-$K1172)</f>
        <v>0</v>
      </c>
      <c r="M1172" s="31" t="n">
        <f aca="false">IF($F1172="",0,IF($J1172="V",$L1172,$F1172))</f>
        <v>0</v>
      </c>
      <c r="N1172" s="31" t="n">
        <f aca="false">IF($F1172="",0,IF($J1172="U",$L1172,$F1172))</f>
        <v>0</v>
      </c>
      <c r="O1172" s="35" t="str">
        <f aca="false">IF($A1172="","",MONTH($A1172))</f>
        <v/>
      </c>
      <c r="P1172" s="35" t="str">
        <f aca="false">IF($A1172="","",ROUNDUP(MONTH($A1172)/3,0))</f>
        <v/>
      </c>
      <c r="Q1172" s="35" t="str">
        <f aca="false">IF($A1172="","",IF(MONTH($A1172)&lt;=6,1,2))</f>
        <v/>
      </c>
      <c r="R1172" s="35" t="str">
        <f aca="false">IF($E1172="","",IFERROR(INDEX(Kontenplan!$F$5:$F$90,MATCH($E1172,Kontenplan!$A$5:$A$90,0)),""))</f>
        <v/>
      </c>
      <c r="S1172" s="35" t="str">
        <f aca="false">IF($D1172="","",IFERROR(INDEX(Kontenplan!$F$5:$F$90,MATCH($D1172,Kontenplan!$A$5:$A$90,0)),""))</f>
        <v/>
      </c>
      <c r="T1172" s="35" t="str">
        <f aca="false">IF($D1172="","",IFERROR(INDEX(Kontenplan!$C$5:$C$90,MATCH($D1172,Kontenplan!$A$5:$A$90,0)),"?"))</f>
        <v/>
      </c>
      <c r="U1172" s="35" t="str">
        <f aca="false">IF($E1172="","",IFERROR(INDEX(Kontenplan!$C$5:$C$90,MATCH($E1172,Kontenplan!$A$5:$A$90,0)),"?"))</f>
        <v/>
      </c>
      <c r="V1172" s="35" t="str">
        <f aca="false">IF($F1172="","",IF(OR($D1172="",$E1172="",$T1172="?",$U1172="?"),"Konto prüfen!",IF($A1172="","Datum fehlt",IF(YEAR($A1172)&lt;&gt;Einstellungen!$B$7,"anderes Jahr!",IF($G1172="","MWST-Code fehlt","OK")))))</f>
        <v/>
      </c>
      <c r="W1172" s="35" t="str">
        <f aca="false">IF($F1172="","",IF(OR($D1172=Kontoauszug!$C$4,$E1172=Kontoauszug!$C$4),MAX(W$4:W1171)+1,""))</f>
        <v/>
      </c>
    </row>
    <row r="1173" customFormat="false" ht="15" hidden="false" customHeight="false" outlineLevel="0" collapsed="false">
      <c r="A1173" s="33"/>
      <c r="B1173" s="32"/>
      <c r="C1173" s="32"/>
      <c r="D1173" s="32"/>
      <c r="E1173" s="32"/>
      <c r="F1173" s="30"/>
      <c r="G1173" s="32"/>
      <c r="H1173" s="34" t="n">
        <f aca="false">IF($G1173="",0,IFERROR(INDEX(Einstellungen!$G$5:$G$11,MATCH($G1173,Einstellungen!$E$5:$E$11,0)),0))</f>
        <v>0</v>
      </c>
      <c r="I1173" s="35" t="str">
        <f aca="false">IF($G1173="","-",IFERROR(INDEX(Einstellungen!$H$5:$H$11,MATCH($G1173,Einstellungen!$E$5:$E$11,0)),"-"))</f>
        <v>-</v>
      </c>
      <c r="J1173" s="35" t="str">
        <f aca="false">IF(AND(Einstellungen!$B$8="Ja",Einstellungen!$B$9="Effektiv"),$I1173,"-")</f>
        <v>-</v>
      </c>
      <c r="K1173" s="31" t="n">
        <f aca="false">IF(OR($F1173="",$J1173="-"),0,ROUND($F1173-$F1173/(1+$H1173),2))</f>
        <v>0</v>
      </c>
      <c r="L1173" s="31" t="n">
        <f aca="false">IF($F1173="",0,$F1173-$K1173)</f>
        <v>0</v>
      </c>
      <c r="M1173" s="31" t="n">
        <f aca="false">IF($F1173="",0,IF($J1173="V",$L1173,$F1173))</f>
        <v>0</v>
      </c>
      <c r="N1173" s="31" t="n">
        <f aca="false">IF($F1173="",0,IF($J1173="U",$L1173,$F1173))</f>
        <v>0</v>
      </c>
      <c r="O1173" s="35" t="str">
        <f aca="false">IF($A1173="","",MONTH($A1173))</f>
        <v/>
      </c>
      <c r="P1173" s="35" t="str">
        <f aca="false">IF($A1173="","",ROUNDUP(MONTH($A1173)/3,0))</f>
        <v/>
      </c>
      <c r="Q1173" s="35" t="str">
        <f aca="false">IF($A1173="","",IF(MONTH($A1173)&lt;=6,1,2))</f>
        <v/>
      </c>
      <c r="R1173" s="35" t="str">
        <f aca="false">IF($E1173="","",IFERROR(INDEX(Kontenplan!$F$5:$F$90,MATCH($E1173,Kontenplan!$A$5:$A$90,0)),""))</f>
        <v/>
      </c>
      <c r="S1173" s="35" t="str">
        <f aca="false">IF($D1173="","",IFERROR(INDEX(Kontenplan!$F$5:$F$90,MATCH($D1173,Kontenplan!$A$5:$A$90,0)),""))</f>
        <v/>
      </c>
      <c r="T1173" s="35" t="str">
        <f aca="false">IF($D1173="","",IFERROR(INDEX(Kontenplan!$C$5:$C$90,MATCH($D1173,Kontenplan!$A$5:$A$90,0)),"?"))</f>
        <v/>
      </c>
      <c r="U1173" s="35" t="str">
        <f aca="false">IF($E1173="","",IFERROR(INDEX(Kontenplan!$C$5:$C$90,MATCH($E1173,Kontenplan!$A$5:$A$90,0)),"?"))</f>
        <v/>
      </c>
      <c r="V1173" s="35" t="str">
        <f aca="false">IF($F1173="","",IF(OR($D1173="",$E1173="",$T1173="?",$U1173="?"),"Konto prüfen!",IF($A1173="","Datum fehlt",IF(YEAR($A1173)&lt;&gt;Einstellungen!$B$7,"anderes Jahr!",IF($G1173="","MWST-Code fehlt","OK")))))</f>
        <v/>
      </c>
      <c r="W1173" s="35" t="str">
        <f aca="false">IF($F1173="","",IF(OR($D1173=Kontoauszug!$C$4,$E1173=Kontoauszug!$C$4),MAX(W$4:W1172)+1,""))</f>
        <v/>
      </c>
    </row>
    <row r="1174" customFormat="false" ht="15" hidden="false" customHeight="false" outlineLevel="0" collapsed="false">
      <c r="A1174" s="33"/>
      <c r="B1174" s="32"/>
      <c r="C1174" s="32"/>
      <c r="D1174" s="32"/>
      <c r="E1174" s="32"/>
      <c r="F1174" s="30"/>
      <c r="G1174" s="32"/>
      <c r="H1174" s="34" t="n">
        <f aca="false">IF($G1174="",0,IFERROR(INDEX(Einstellungen!$G$5:$G$11,MATCH($G1174,Einstellungen!$E$5:$E$11,0)),0))</f>
        <v>0</v>
      </c>
      <c r="I1174" s="35" t="str">
        <f aca="false">IF($G1174="","-",IFERROR(INDEX(Einstellungen!$H$5:$H$11,MATCH($G1174,Einstellungen!$E$5:$E$11,0)),"-"))</f>
        <v>-</v>
      </c>
      <c r="J1174" s="35" t="str">
        <f aca="false">IF(AND(Einstellungen!$B$8="Ja",Einstellungen!$B$9="Effektiv"),$I1174,"-")</f>
        <v>-</v>
      </c>
      <c r="K1174" s="31" t="n">
        <f aca="false">IF(OR($F1174="",$J1174="-"),0,ROUND($F1174-$F1174/(1+$H1174),2))</f>
        <v>0</v>
      </c>
      <c r="L1174" s="31" t="n">
        <f aca="false">IF($F1174="",0,$F1174-$K1174)</f>
        <v>0</v>
      </c>
      <c r="M1174" s="31" t="n">
        <f aca="false">IF($F1174="",0,IF($J1174="V",$L1174,$F1174))</f>
        <v>0</v>
      </c>
      <c r="N1174" s="31" t="n">
        <f aca="false">IF($F1174="",0,IF($J1174="U",$L1174,$F1174))</f>
        <v>0</v>
      </c>
      <c r="O1174" s="35" t="str">
        <f aca="false">IF($A1174="","",MONTH($A1174))</f>
        <v/>
      </c>
      <c r="P1174" s="35" t="str">
        <f aca="false">IF($A1174="","",ROUNDUP(MONTH($A1174)/3,0))</f>
        <v/>
      </c>
      <c r="Q1174" s="35" t="str">
        <f aca="false">IF($A1174="","",IF(MONTH($A1174)&lt;=6,1,2))</f>
        <v/>
      </c>
      <c r="R1174" s="35" t="str">
        <f aca="false">IF($E1174="","",IFERROR(INDEX(Kontenplan!$F$5:$F$90,MATCH($E1174,Kontenplan!$A$5:$A$90,0)),""))</f>
        <v/>
      </c>
      <c r="S1174" s="35" t="str">
        <f aca="false">IF($D1174="","",IFERROR(INDEX(Kontenplan!$F$5:$F$90,MATCH($D1174,Kontenplan!$A$5:$A$90,0)),""))</f>
        <v/>
      </c>
      <c r="T1174" s="35" t="str">
        <f aca="false">IF($D1174="","",IFERROR(INDEX(Kontenplan!$C$5:$C$90,MATCH($D1174,Kontenplan!$A$5:$A$90,0)),"?"))</f>
        <v/>
      </c>
      <c r="U1174" s="35" t="str">
        <f aca="false">IF($E1174="","",IFERROR(INDEX(Kontenplan!$C$5:$C$90,MATCH($E1174,Kontenplan!$A$5:$A$90,0)),"?"))</f>
        <v/>
      </c>
      <c r="V1174" s="35" t="str">
        <f aca="false">IF($F1174="","",IF(OR($D1174="",$E1174="",$T1174="?",$U1174="?"),"Konto prüfen!",IF($A1174="","Datum fehlt",IF(YEAR($A1174)&lt;&gt;Einstellungen!$B$7,"anderes Jahr!",IF($G1174="","MWST-Code fehlt","OK")))))</f>
        <v/>
      </c>
      <c r="W1174" s="35" t="str">
        <f aca="false">IF($F1174="","",IF(OR($D1174=Kontoauszug!$C$4,$E1174=Kontoauszug!$C$4),MAX(W$4:W1173)+1,""))</f>
        <v/>
      </c>
    </row>
    <row r="1175" customFormat="false" ht="15" hidden="false" customHeight="false" outlineLevel="0" collapsed="false">
      <c r="A1175" s="33"/>
      <c r="B1175" s="32"/>
      <c r="C1175" s="32"/>
      <c r="D1175" s="32"/>
      <c r="E1175" s="32"/>
      <c r="F1175" s="30"/>
      <c r="G1175" s="32"/>
      <c r="H1175" s="34" t="n">
        <f aca="false">IF($G1175="",0,IFERROR(INDEX(Einstellungen!$G$5:$G$11,MATCH($G1175,Einstellungen!$E$5:$E$11,0)),0))</f>
        <v>0</v>
      </c>
      <c r="I1175" s="35" t="str">
        <f aca="false">IF($G1175="","-",IFERROR(INDEX(Einstellungen!$H$5:$H$11,MATCH($G1175,Einstellungen!$E$5:$E$11,0)),"-"))</f>
        <v>-</v>
      </c>
      <c r="J1175" s="35" t="str">
        <f aca="false">IF(AND(Einstellungen!$B$8="Ja",Einstellungen!$B$9="Effektiv"),$I1175,"-")</f>
        <v>-</v>
      </c>
      <c r="K1175" s="31" t="n">
        <f aca="false">IF(OR($F1175="",$J1175="-"),0,ROUND($F1175-$F1175/(1+$H1175),2))</f>
        <v>0</v>
      </c>
      <c r="L1175" s="31" t="n">
        <f aca="false">IF($F1175="",0,$F1175-$K1175)</f>
        <v>0</v>
      </c>
      <c r="M1175" s="31" t="n">
        <f aca="false">IF($F1175="",0,IF($J1175="V",$L1175,$F1175))</f>
        <v>0</v>
      </c>
      <c r="N1175" s="31" t="n">
        <f aca="false">IF($F1175="",0,IF($J1175="U",$L1175,$F1175))</f>
        <v>0</v>
      </c>
      <c r="O1175" s="35" t="str">
        <f aca="false">IF($A1175="","",MONTH($A1175))</f>
        <v/>
      </c>
      <c r="P1175" s="35" t="str">
        <f aca="false">IF($A1175="","",ROUNDUP(MONTH($A1175)/3,0))</f>
        <v/>
      </c>
      <c r="Q1175" s="35" t="str">
        <f aca="false">IF($A1175="","",IF(MONTH($A1175)&lt;=6,1,2))</f>
        <v/>
      </c>
      <c r="R1175" s="35" t="str">
        <f aca="false">IF($E1175="","",IFERROR(INDEX(Kontenplan!$F$5:$F$90,MATCH($E1175,Kontenplan!$A$5:$A$90,0)),""))</f>
        <v/>
      </c>
      <c r="S1175" s="35" t="str">
        <f aca="false">IF($D1175="","",IFERROR(INDEX(Kontenplan!$F$5:$F$90,MATCH($D1175,Kontenplan!$A$5:$A$90,0)),""))</f>
        <v/>
      </c>
      <c r="T1175" s="35" t="str">
        <f aca="false">IF($D1175="","",IFERROR(INDEX(Kontenplan!$C$5:$C$90,MATCH($D1175,Kontenplan!$A$5:$A$90,0)),"?"))</f>
        <v/>
      </c>
      <c r="U1175" s="35" t="str">
        <f aca="false">IF($E1175="","",IFERROR(INDEX(Kontenplan!$C$5:$C$90,MATCH($E1175,Kontenplan!$A$5:$A$90,0)),"?"))</f>
        <v/>
      </c>
      <c r="V1175" s="35" t="str">
        <f aca="false">IF($F1175="","",IF(OR($D1175="",$E1175="",$T1175="?",$U1175="?"),"Konto prüfen!",IF($A1175="","Datum fehlt",IF(YEAR($A1175)&lt;&gt;Einstellungen!$B$7,"anderes Jahr!",IF($G1175="","MWST-Code fehlt","OK")))))</f>
        <v/>
      </c>
      <c r="W1175" s="35" t="str">
        <f aca="false">IF($F1175="","",IF(OR($D1175=Kontoauszug!$C$4,$E1175=Kontoauszug!$C$4),MAX(W$4:W1174)+1,""))</f>
        <v/>
      </c>
    </row>
    <row r="1176" customFormat="false" ht="15" hidden="false" customHeight="false" outlineLevel="0" collapsed="false">
      <c r="A1176" s="33"/>
      <c r="B1176" s="32"/>
      <c r="C1176" s="32"/>
      <c r="D1176" s="32"/>
      <c r="E1176" s="32"/>
      <c r="F1176" s="30"/>
      <c r="G1176" s="32"/>
      <c r="H1176" s="34" t="n">
        <f aca="false">IF($G1176="",0,IFERROR(INDEX(Einstellungen!$G$5:$G$11,MATCH($G1176,Einstellungen!$E$5:$E$11,0)),0))</f>
        <v>0</v>
      </c>
      <c r="I1176" s="35" t="str">
        <f aca="false">IF($G1176="","-",IFERROR(INDEX(Einstellungen!$H$5:$H$11,MATCH($G1176,Einstellungen!$E$5:$E$11,0)),"-"))</f>
        <v>-</v>
      </c>
      <c r="J1176" s="35" t="str">
        <f aca="false">IF(AND(Einstellungen!$B$8="Ja",Einstellungen!$B$9="Effektiv"),$I1176,"-")</f>
        <v>-</v>
      </c>
      <c r="K1176" s="31" t="n">
        <f aca="false">IF(OR($F1176="",$J1176="-"),0,ROUND($F1176-$F1176/(1+$H1176),2))</f>
        <v>0</v>
      </c>
      <c r="L1176" s="31" t="n">
        <f aca="false">IF($F1176="",0,$F1176-$K1176)</f>
        <v>0</v>
      </c>
      <c r="M1176" s="31" t="n">
        <f aca="false">IF($F1176="",0,IF($J1176="V",$L1176,$F1176))</f>
        <v>0</v>
      </c>
      <c r="N1176" s="31" t="n">
        <f aca="false">IF($F1176="",0,IF($J1176="U",$L1176,$F1176))</f>
        <v>0</v>
      </c>
      <c r="O1176" s="35" t="str">
        <f aca="false">IF($A1176="","",MONTH($A1176))</f>
        <v/>
      </c>
      <c r="P1176" s="35" t="str">
        <f aca="false">IF($A1176="","",ROUNDUP(MONTH($A1176)/3,0))</f>
        <v/>
      </c>
      <c r="Q1176" s="35" t="str">
        <f aca="false">IF($A1176="","",IF(MONTH($A1176)&lt;=6,1,2))</f>
        <v/>
      </c>
      <c r="R1176" s="35" t="str">
        <f aca="false">IF($E1176="","",IFERROR(INDEX(Kontenplan!$F$5:$F$90,MATCH($E1176,Kontenplan!$A$5:$A$90,0)),""))</f>
        <v/>
      </c>
      <c r="S1176" s="35" t="str">
        <f aca="false">IF($D1176="","",IFERROR(INDEX(Kontenplan!$F$5:$F$90,MATCH($D1176,Kontenplan!$A$5:$A$90,0)),""))</f>
        <v/>
      </c>
      <c r="T1176" s="35" t="str">
        <f aca="false">IF($D1176="","",IFERROR(INDEX(Kontenplan!$C$5:$C$90,MATCH($D1176,Kontenplan!$A$5:$A$90,0)),"?"))</f>
        <v/>
      </c>
      <c r="U1176" s="35" t="str">
        <f aca="false">IF($E1176="","",IFERROR(INDEX(Kontenplan!$C$5:$C$90,MATCH($E1176,Kontenplan!$A$5:$A$90,0)),"?"))</f>
        <v/>
      </c>
      <c r="V1176" s="35" t="str">
        <f aca="false">IF($F1176="","",IF(OR($D1176="",$E1176="",$T1176="?",$U1176="?"),"Konto prüfen!",IF($A1176="","Datum fehlt",IF(YEAR($A1176)&lt;&gt;Einstellungen!$B$7,"anderes Jahr!",IF($G1176="","MWST-Code fehlt","OK")))))</f>
        <v/>
      </c>
      <c r="W1176" s="35" t="str">
        <f aca="false">IF($F1176="","",IF(OR($D1176=Kontoauszug!$C$4,$E1176=Kontoauszug!$C$4),MAX(W$4:W1175)+1,""))</f>
        <v/>
      </c>
    </row>
    <row r="1177" customFormat="false" ht="15" hidden="false" customHeight="false" outlineLevel="0" collapsed="false">
      <c r="A1177" s="33"/>
      <c r="B1177" s="32"/>
      <c r="C1177" s="32"/>
      <c r="D1177" s="32"/>
      <c r="E1177" s="32"/>
      <c r="F1177" s="30"/>
      <c r="G1177" s="32"/>
      <c r="H1177" s="34" t="n">
        <f aca="false">IF($G1177="",0,IFERROR(INDEX(Einstellungen!$G$5:$G$11,MATCH($G1177,Einstellungen!$E$5:$E$11,0)),0))</f>
        <v>0</v>
      </c>
      <c r="I1177" s="35" t="str">
        <f aca="false">IF($G1177="","-",IFERROR(INDEX(Einstellungen!$H$5:$H$11,MATCH($G1177,Einstellungen!$E$5:$E$11,0)),"-"))</f>
        <v>-</v>
      </c>
      <c r="J1177" s="35" t="str">
        <f aca="false">IF(AND(Einstellungen!$B$8="Ja",Einstellungen!$B$9="Effektiv"),$I1177,"-")</f>
        <v>-</v>
      </c>
      <c r="K1177" s="31" t="n">
        <f aca="false">IF(OR($F1177="",$J1177="-"),0,ROUND($F1177-$F1177/(1+$H1177),2))</f>
        <v>0</v>
      </c>
      <c r="L1177" s="31" t="n">
        <f aca="false">IF($F1177="",0,$F1177-$K1177)</f>
        <v>0</v>
      </c>
      <c r="M1177" s="31" t="n">
        <f aca="false">IF($F1177="",0,IF($J1177="V",$L1177,$F1177))</f>
        <v>0</v>
      </c>
      <c r="N1177" s="31" t="n">
        <f aca="false">IF($F1177="",0,IF($J1177="U",$L1177,$F1177))</f>
        <v>0</v>
      </c>
      <c r="O1177" s="35" t="str">
        <f aca="false">IF($A1177="","",MONTH($A1177))</f>
        <v/>
      </c>
      <c r="P1177" s="35" t="str">
        <f aca="false">IF($A1177="","",ROUNDUP(MONTH($A1177)/3,0))</f>
        <v/>
      </c>
      <c r="Q1177" s="35" t="str">
        <f aca="false">IF($A1177="","",IF(MONTH($A1177)&lt;=6,1,2))</f>
        <v/>
      </c>
      <c r="R1177" s="35" t="str">
        <f aca="false">IF($E1177="","",IFERROR(INDEX(Kontenplan!$F$5:$F$90,MATCH($E1177,Kontenplan!$A$5:$A$90,0)),""))</f>
        <v/>
      </c>
      <c r="S1177" s="35" t="str">
        <f aca="false">IF($D1177="","",IFERROR(INDEX(Kontenplan!$F$5:$F$90,MATCH($D1177,Kontenplan!$A$5:$A$90,0)),""))</f>
        <v/>
      </c>
      <c r="T1177" s="35" t="str">
        <f aca="false">IF($D1177="","",IFERROR(INDEX(Kontenplan!$C$5:$C$90,MATCH($D1177,Kontenplan!$A$5:$A$90,0)),"?"))</f>
        <v/>
      </c>
      <c r="U1177" s="35" t="str">
        <f aca="false">IF($E1177="","",IFERROR(INDEX(Kontenplan!$C$5:$C$90,MATCH($E1177,Kontenplan!$A$5:$A$90,0)),"?"))</f>
        <v/>
      </c>
      <c r="V1177" s="35" t="str">
        <f aca="false">IF($F1177="","",IF(OR($D1177="",$E1177="",$T1177="?",$U1177="?"),"Konto prüfen!",IF($A1177="","Datum fehlt",IF(YEAR($A1177)&lt;&gt;Einstellungen!$B$7,"anderes Jahr!",IF($G1177="","MWST-Code fehlt","OK")))))</f>
        <v/>
      </c>
      <c r="W1177" s="35" t="str">
        <f aca="false">IF($F1177="","",IF(OR($D1177=Kontoauszug!$C$4,$E1177=Kontoauszug!$C$4),MAX(W$4:W1176)+1,""))</f>
        <v/>
      </c>
    </row>
    <row r="1178" customFormat="false" ht="15" hidden="false" customHeight="false" outlineLevel="0" collapsed="false">
      <c r="A1178" s="33"/>
      <c r="B1178" s="32"/>
      <c r="C1178" s="32"/>
      <c r="D1178" s="32"/>
      <c r="E1178" s="32"/>
      <c r="F1178" s="30"/>
      <c r="G1178" s="32"/>
      <c r="H1178" s="34" t="n">
        <f aca="false">IF($G1178="",0,IFERROR(INDEX(Einstellungen!$G$5:$G$11,MATCH($G1178,Einstellungen!$E$5:$E$11,0)),0))</f>
        <v>0</v>
      </c>
      <c r="I1178" s="35" t="str">
        <f aca="false">IF($G1178="","-",IFERROR(INDEX(Einstellungen!$H$5:$H$11,MATCH($G1178,Einstellungen!$E$5:$E$11,0)),"-"))</f>
        <v>-</v>
      </c>
      <c r="J1178" s="35" t="str">
        <f aca="false">IF(AND(Einstellungen!$B$8="Ja",Einstellungen!$B$9="Effektiv"),$I1178,"-")</f>
        <v>-</v>
      </c>
      <c r="K1178" s="31" t="n">
        <f aca="false">IF(OR($F1178="",$J1178="-"),0,ROUND($F1178-$F1178/(1+$H1178),2))</f>
        <v>0</v>
      </c>
      <c r="L1178" s="31" t="n">
        <f aca="false">IF($F1178="",0,$F1178-$K1178)</f>
        <v>0</v>
      </c>
      <c r="M1178" s="31" t="n">
        <f aca="false">IF($F1178="",0,IF($J1178="V",$L1178,$F1178))</f>
        <v>0</v>
      </c>
      <c r="N1178" s="31" t="n">
        <f aca="false">IF($F1178="",0,IF($J1178="U",$L1178,$F1178))</f>
        <v>0</v>
      </c>
      <c r="O1178" s="35" t="str">
        <f aca="false">IF($A1178="","",MONTH($A1178))</f>
        <v/>
      </c>
      <c r="P1178" s="35" t="str">
        <f aca="false">IF($A1178="","",ROUNDUP(MONTH($A1178)/3,0))</f>
        <v/>
      </c>
      <c r="Q1178" s="35" t="str">
        <f aca="false">IF($A1178="","",IF(MONTH($A1178)&lt;=6,1,2))</f>
        <v/>
      </c>
      <c r="R1178" s="35" t="str">
        <f aca="false">IF($E1178="","",IFERROR(INDEX(Kontenplan!$F$5:$F$90,MATCH($E1178,Kontenplan!$A$5:$A$90,0)),""))</f>
        <v/>
      </c>
      <c r="S1178" s="35" t="str">
        <f aca="false">IF($D1178="","",IFERROR(INDEX(Kontenplan!$F$5:$F$90,MATCH($D1178,Kontenplan!$A$5:$A$90,0)),""))</f>
        <v/>
      </c>
      <c r="T1178" s="35" t="str">
        <f aca="false">IF($D1178="","",IFERROR(INDEX(Kontenplan!$C$5:$C$90,MATCH($D1178,Kontenplan!$A$5:$A$90,0)),"?"))</f>
        <v/>
      </c>
      <c r="U1178" s="35" t="str">
        <f aca="false">IF($E1178="","",IFERROR(INDEX(Kontenplan!$C$5:$C$90,MATCH($E1178,Kontenplan!$A$5:$A$90,0)),"?"))</f>
        <v/>
      </c>
      <c r="V1178" s="35" t="str">
        <f aca="false">IF($F1178="","",IF(OR($D1178="",$E1178="",$T1178="?",$U1178="?"),"Konto prüfen!",IF($A1178="","Datum fehlt",IF(YEAR($A1178)&lt;&gt;Einstellungen!$B$7,"anderes Jahr!",IF($G1178="","MWST-Code fehlt","OK")))))</f>
        <v/>
      </c>
      <c r="W1178" s="35" t="str">
        <f aca="false">IF($F1178="","",IF(OR($D1178=Kontoauszug!$C$4,$E1178=Kontoauszug!$C$4),MAX(W$4:W1177)+1,""))</f>
        <v/>
      </c>
    </row>
    <row r="1179" customFormat="false" ht="15" hidden="false" customHeight="false" outlineLevel="0" collapsed="false">
      <c r="A1179" s="33"/>
      <c r="B1179" s="32"/>
      <c r="C1179" s="32"/>
      <c r="D1179" s="32"/>
      <c r="E1179" s="32"/>
      <c r="F1179" s="30"/>
      <c r="G1179" s="32"/>
      <c r="H1179" s="34" t="n">
        <f aca="false">IF($G1179="",0,IFERROR(INDEX(Einstellungen!$G$5:$G$11,MATCH($G1179,Einstellungen!$E$5:$E$11,0)),0))</f>
        <v>0</v>
      </c>
      <c r="I1179" s="35" t="str">
        <f aca="false">IF($G1179="","-",IFERROR(INDEX(Einstellungen!$H$5:$H$11,MATCH($G1179,Einstellungen!$E$5:$E$11,0)),"-"))</f>
        <v>-</v>
      </c>
      <c r="J1179" s="35" t="str">
        <f aca="false">IF(AND(Einstellungen!$B$8="Ja",Einstellungen!$B$9="Effektiv"),$I1179,"-")</f>
        <v>-</v>
      </c>
      <c r="K1179" s="31" t="n">
        <f aca="false">IF(OR($F1179="",$J1179="-"),0,ROUND($F1179-$F1179/(1+$H1179),2))</f>
        <v>0</v>
      </c>
      <c r="L1179" s="31" t="n">
        <f aca="false">IF($F1179="",0,$F1179-$K1179)</f>
        <v>0</v>
      </c>
      <c r="M1179" s="31" t="n">
        <f aca="false">IF($F1179="",0,IF($J1179="V",$L1179,$F1179))</f>
        <v>0</v>
      </c>
      <c r="N1179" s="31" t="n">
        <f aca="false">IF($F1179="",0,IF($J1179="U",$L1179,$F1179))</f>
        <v>0</v>
      </c>
      <c r="O1179" s="35" t="str">
        <f aca="false">IF($A1179="","",MONTH($A1179))</f>
        <v/>
      </c>
      <c r="P1179" s="35" t="str">
        <f aca="false">IF($A1179="","",ROUNDUP(MONTH($A1179)/3,0))</f>
        <v/>
      </c>
      <c r="Q1179" s="35" t="str">
        <f aca="false">IF($A1179="","",IF(MONTH($A1179)&lt;=6,1,2))</f>
        <v/>
      </c>
      <c r="R1179" s="35" t="str">
        <f aca="false">IF($E1179="","",IFERROR(INDEX(Kontenplan!$F$5:$F$90,MATCH($E1179,Kontenplan!$A$5:$A$90,0)),""))</f>
        <v/>
      </c>
      <c r="S1179" s="35" t="str">
        <f aca="false">IF($D1179="","",IFERROR(INDEX(Kontenplan!$F$5:$F$90,MATCH($D1179,Kontenplan!$A$5:$A$90,0)),""))</f>
        <v/>
      </c>
      <c r="T1179" s="35" t="str">
        <f aca="false">IF($D1179="","",IFERROR(INDEX(Kontenplan!$C$5:$C$90,MATCH($D1179,Kontenplan!$A$5:$A$90,0)),"?"))</f>
        <v/>
      </c>
      <c r="U1179" s="35" t="str">
        <f aca="false">IF($E1179="","",IFERROR(INDEX(Kontenplan!$C$5:$C$90,MATCH($E1179,Kontenplan!$A$5:$A$90,0)),"?"))</f>
        <v/>
      </c>
      <c r="V1179" s="35" t="str">
        <f aca="false">IF($F1179="","",IF(OR($D1179="",$E1179="",$T1179="?",$U1179="?"),"Konto prüfen!",IF($A1179="","Datum fehlt",IF(YEAR($A1179)&lt;&gt;Einstellungen!$B$7,"anderes Jahr!",IF($G1179="","MWST-Code fehlt","OK")))))</f>
        <v/>
      </c>
      <c r="W1179" s="35" t="str">
        <f aca="false">IF($F1179="","",IF(OR($D1179=Kontoauszug!$C$4,$E1179=Kontoauszug!$C$4),MAX(W$4:W1178)+1,""))</f>
        <v/>
      </c>
    </row>
    <row r="1180" customFormat="false" ht="15" hidden="false" customHeight="false" outlineLevel="0" collapsed="false">
      <c r="A1180" s="33"/>
      <c r="B1180" s="32"/>
      <c r="C1180" s="32"/>
      <c r="D1180" s="32"/>
      <c r="E1180" s="32"/>
      <c r="F1180" s="30"/>
      <c r="G1180" s="32"/>
      <c r="H1180" s="34" t="n">
        <f aca="false">IF($G1180="",0,IFERROR(INDEX(Einstellungen!$G$5:$G$11,MATCH($G1180,Einstellungen!$E$5:$E$11,0)),0))</f>
        <v>0</v>
      </c>
      <c r="I1180" s="35" t="str">
        <f aca="false">IF($G1180="","-",IFERROR(INDEX(Einstellungen!$H$5:$H$11,MATCH($G1180,Einstellungen!$E$5:$E$11,0)),"-"))</f>
        <v>-</v>
      </c>
      <c r="J1180" s="35" t="str">
        <f aca="false">IF(AND(Einstellungen!$B$8="Ja",Einstellungen!$B$9="Effektiv"),$I1180,"-")</f>
        <v>-</v>
      </c>
      <c r="K1180" s="31" t="n">
        <f aca="false">IF(OR($F1180="",$J1180="-"),0,ROUND($F1180-$F1180/(1+$H1180),2))</f>
        <v>0</v>
      </c>
      <c r="L1180" s="31" t="n">
        <f aca="false">IF($F1180="",0,$F1180-$K1180)</f>
        <v>0</v>
      </c>
      <c r="M1180" s="31" t="n">
        <f aca="false">IF($F1180="",0,IF($J1180="V",$L1180,$F1180))</f>
        <v>0</v>
      </c>
      <c r="N1180" s="31" t="n">
        <f aca="false">IF($F1180="",0,IF($J1180="U",$L1180,$F1180))</f>
        <v>0</v>
      </c>
      <c r="O1180" s="35" t="str">
        <f aca="false">IF($A1180="","",MONTH($A1180))</f>
        <v/>
      </c>
      <c r="P1180" s="35" t="str">
        <f aca="false">IF($A1180="","",ROUNDUP(MONTH($A1180)/3,0))</f>
        <v/>
      </c>
      <c r="Q1180" s="35" t="str">
        <f aca="false">IF($A1180="","",IF(MONTH($A1180)&lt;=6,1,2))</f>
        <v/>
      </c>
      <c r="R1180" s="35" t="str">
        <f aca="false">IF($E1180="","",IFERROR(INDEX(Kontenplan!$F$5:$F$90,MATCH($E1180,Kontenplan!$A$5:$A$90,0)),""))</f>
        <v/>
      </c>
      <c r="S1180" s="35" t="str">
        <f aca="false">IF($D1180="","",IFERROR(INDEX(Kontenplan!$F$5:$F$90,MATCH($D1180,Kontenplan!$A$5:$A$90,0)),""))</f>
        <v/>
      </c>
      <c r="T1180" s="35" t="str">
        <f aca="false">IF($D1180="","",IFERROR(INDEX(Kontenplan!$C$5:$C$90,MATCH($D1180,Kontenplan!$A$5:$A$90,0)),"?"))</f>
        <v/>
      </c>
      <c r="U1180" s="35" t="str">
        <f aca="false">IF($E1180="","",IFERROR(INDEX(Kontenplan!$C$5:$C$90,MATCH($E1180,Kontenplan!$A$5:$A$90,0)),"?"))</f>
        <v/>
      </c>
      <c r="V1180" s="35" t="str">
        <f aca="false">IF($F1180="","",IF(OR($D1180="",$E1180="",$T1180="?",$U1180="?"),"Konto prüfen!",IF($A1180="","Datum fehlt",IF(YEAR($A1180)&lt;&gt;Einstellungen!$B$7,"anderes Jahr!",IF($G1180="","MWST-Code fehlt","OK")))))</f>
        <v/>
      </c>
      <c r="W1180" s="35" t="str">
        <f aca="false">IF($F1180="","",IF(OR($D1180=Kontoauszug!$C$4,$E1180=Kontoauszug!$C$4),MAX(W$4:W1179)+1,""))</f>
        <v/>
      </c>
    </row>
    <row r="1181" customFormat="false" ht="15" hidden="false" customHeight="false" outlineLevel="0" collapsed="false">
      <c r="A1181" s="33"/>
      <c r="B1181" s="32"/>
      <c r="C1181" s="32"/>
      <c r="D1181" s="32"/>
      <c r="E1181" s="32"/>
      <c r="F1181" s="30"/>
      <c r="G1181" s="32"/>
      <c r="H1181" s="34" t="n">
        <f aca="false">IF($G1181="",0,IFERROR(INDEX(Einstellungen!$G$5:$G$11,MATCH($G1181,Einstellungen!$E$5:$E$11,0)),0))</f>
        <v>0</v>
      </c>
      <c r="I1181" s="35" t="str">
        <f aca="false">IF($G1181="","-",IFERROR(INDEX(Einstellungen!$H$5:$H$11,MATCH($G1181,Einstellungen!$E$5:$E$11,0)),"-"))</f>
        <v>-</v>
      </c>
      <c r="J1181" s="35" t="str">
        <f aca="false">IF(AND(Einstellungen!$B$8="Ja",Einstellungen!$B$9="Effektiv"),$I1181,"-")</f>
        <v>-</v>
      </c>
      <c r="K1181" s="31" t="n">
        <f aca="false">IF(OR($F1181="",$J1181="-"),0,ROUND($F1181-$F1181/(1+$H1181),2))</f>
        <v>0</v>
      </c>
      <c r="L1181" s="31" t="n">
        <f aca="false">IF($F1181="",0,$F1181-$K1181)</f>
        <v>0</v>
      </c>
      <c r="M1181" s="31" t="n">
        <f aca="false">IF($F1181="",0,IF($J1181="V",$L1181,$F1181))</f>
        <v>0</v>
      </c>
      <c r="N1181" s="31" t="n">
        <f aca="false">IF($F1181="",0,IF($J1181="U",$L1181,$F1181))</f>
        <v>0</v>
      </c>
      <c r="O1181" s="35" t="str">
        <f aca="false">IF($A1181="","",MONTH($A1181))</f>
        <v/>
      </c>
      <c r="P1181" s="35" t="str">
        <f aca="false">IF($A1181="","",ROUNDUP(MONTH($A1181)/3,0))</f>
        <v/>
      </c>
      <c r="Q1181" s="35" t="str">
        <f aca="false">IF($A1181="","",IF(MONTH($A1181)&lt;=6,1,2))</f>
        <v/>
      </c>
      <c r="R1181" s="35" t="str">
        <f aca="false">IF($E1181="","",IFERROR(INDEX(Kontenplan!$F$5:$F$90,MATCH($E1181,Kontenplan!$A$5:$A$90,0)),""))</f>
        <v/>
      </c>
      <c r="S1181" s="35" t="str">
        <f aca="false">IF($D1181="","",IFERROR(INDEX(Kontenplan!$F$5:$F$90,MATCH($D1181,Kontenplan!$A$5:$A$90,0)),""))</f>
        <v/>
      </c>
      <c r="T1181" s="35" t="str">
        <f aca="false">IF($D1181="","",IFERROR(INDEX(Kontenplan!$C$5:$C$90,MATCH($D1181,Kontenplan!$A$5:$A$90,0)),"?"))</f>
        <v/>
      </c>
      <c r="U1181" s="35" t="str">
        <f aca="false">IF($E1181="","",IFERROR(INDEX(Kontenplan!$C$5:$C$90,MATCH($E1181,Kontenplan!$A$5:$A$90,0)),"?"))</f>
        <v/>
      </c>
      <c r="V1181" s="35" t="str">
        <f aca="false">IF($F1181="","",IF(OR($D1181="",$E1181="",$T1181="?",$U1181="?"),"Konto prüfen!",IF($A1181="","Datum fehlt",IF(YEAR($A1181)&lt;&gt;Einstellungen!$B$7,"anderes Jahr!",IF($G1181="","MWST-Code fehlt","OK")))))</f>
        <v/>
      </c>
      <c r="W1181" s="35" t="str">
        <f aca="false">IF($F1181="","",IF(OR($D1181=Kontoauszug!$C$4,$E1181=Kontoauszug!$C$4),MAX(W$4:W1180)+1,""))</f>
        <v/>
      </c>
    </row>
    <row r="1182" customFormat="false" ht="15" hidden="false" customHeight="false" outlineLevel="0" collapsed="false">
      <c r="A1182" s="33"/>
      <c r="B1182" s="32"/>
      <c r="C1182" s="32"/>
      <c r="D1182" s="32"/>
      <c r="E1182" s="32"/>
      <c r="F1182" s="30"/>
      <c r="G1182" s="32"/>
      <c r="H1182" s="34" t="n">
        <f aca="false">IF($G1182="",0,IFERROR(INDEX(Einstellungen!$G$5:$G$11,MATCH($G1182,Einstellungen!$E$5:$E$11,0)),0))</f>
        <v>0</v>
      </c>
      <c r="I1182" s="35" t="str">
        <f aca="false">IF($G1182="","-",IFERROR(INDEX(Einstellungen!$H$5:$H$11,MATCH($G1182,Einstellungen!$E$5:$E$11,0)),"-"))</f>
        <v>-</v>
      </c>
      <c r="J1182" s="35" t="str">
        <f aca="false">IF(AND(Einstellungen!$B$8="Ja",Einstellungen!$B$9="Effektiv"),$I1182,"-")</f>
        <v>-</v>
      </c>
      <c r="K1182" s="31" t="n">
        <f aca="false">IF(OR($F1182="",$J1182="-"),0,ROUND($F1182-$F1182/(1+$H1182),2))</f>
        <v>0</v>
      </c>
      <c r="L1182" s="31" t="n">
        <f aca="false">IF($F1182="",0,$F1182-$K1182)</f>
        <v>0</v>
      </c>
      <c r="M1182" s="31" t="n">
        <f aca="false">IF($F1182="",0,IF($J1182="V",$L1182,$F1182))</f>
        <v>0</v>
      </c>
      <c r="N1182" s="31" t="n">
        <f aca="false">IF($F1182="",0,IF($J1182="U",$L1182,$F1182))</f>
        <v>0</v>
      </c>
      <c r="O1182" s="35" t="str">
        <f aca="false">IF($A1182="","",MONTH($A1182))</f>
        <v/>
      </c>
      <c r="P1182" s="35" t="str">
        <f aca="false">IF($A1182="","",ROUNDUP(MONTH($A1182)/3,0))</f>
        <v/>
      </c>
      <c r="Q1182" s="35" t="str">
        <f aca="false">IF($A1182="","",IF(MONTH($A1182)&lt;=6,1,2))</f>
        <v/>
      </c>
      <c r="R1182" s="35" t="str">
        <f aca="false">IF($E1182="","",IFERROR(INDEX(Kontenplan!$F$5:$F$90,MATCH($E1182,Kontenplan!$A$5:$A$90,0)),""))</f>
        <v/>
      </c>
      <c r="S1182" s="35" t="str">
        <f aca="false">IF($D1182="","",IFERROR(INDEX(Kontenplan!$F$5:$F$90,MATCH($D1182,Kontenplan!$A$5:$A$90,0)),""))</f>
        <v/>
      </c>
      <c r="T1182" s="35" t="str">
        <f aca="false">IF($D1182="","",IFERROR(INDEX(Kontenplan!$C$5:$C$90,MATCH($D1182,Kontenplan!$A$5:$A$90,0)),"?"))</f>
        <v/>
      </c>
      <c r="U1182" s="35" t="str">
        <f aca="false">IF($E1182="","",IFERROR(INDEX(Kontenplan!$C$5:$C$90,MATCH($E1182,Kontenplan!$A$5:$A$90,0)),"?"))</f>
        <v/>
      </c>
      <c r="V1182" s="35" t="str">
        <f aca="false">IF($F1182="","",IF(OR($D1182="",$E1182="",$T1182="?",$U1182="?"),"Konto prüfen!",IF($A1182="","Datum fehlt",IF(YEAR($A1182)&lt;&gt;Einstellungen!$B$7,"anderes Jahr!",IF($G1182="","MWST-Code fehlt","OK")))))</f>
        <v/>
      </c>
      <c r="W1182" s="35" t="str">
        <f aca="false">IF($F1182="","",IF(OR($D1182=Kontoauszug!$C$4,$E1182=Kontoauszug!$C$4),MAX(W$4:W1181)+1,""))</f>
        <v/>
      </c>
    </row>
    <row r="1183" customFormat="false" ht="15" hidden="false" customHeight="false" outlineLevel="0" collapsed="false">
      <c r="A1183" s="33"/>
      <c r="B1183" s="32"/>
      <c r="C1183" s="32"/>
      <c r="D1183" s="32"/>
      <c r="E1183" s="32"/>
      <c r="F1183" s="30"/>
      <c r="G1183" s="32"/>
      <c r="H1183" s="34" t="n">
        <f aca="false">IF($G1183="",0,IFERROR(INDEX(Einstellungen!$G$5:$G$11,MATCH($G1183,Einstellungen!$E$5:$E$11,0)),0))</f>
        <v>0</v>
      </c>
      <c r="I1183" s="35" t="str">
        <f aca="false">IF($G1183="","-",IFERROR(INDEX(Einstellungen!$H$5:$H$11,MATCH($G1183,Einstellungen!$E$5:$E$11,0)),"-"))</f>
        <v>-</v>
      </c>
      <c r="J1183" s="35" t="str">
        <f aca="false">IF(AND(Einstellungen!$B$8="Ja",Einstellungen!$B$9="Effektiv"),$I1183,"-")</f>
        <v>-</v>
      </c>
      <c r="K1183" s="31" t="n">
        <f aca="false">IF(OR($F1183="",$J1183="-"),0,ROUND($F1183-$F1183/(1+$H1183),2))</f>
        <v>0</v>
      </c>
      <c r="L1183" s="31" t="n">
        <f aca="false">IF($F1183="",0,$F1183-$K1183)</f>
        <v>0</v>
      </c>
      <c r="M1183" s="31" t="n">
        <f aca="false">IF($F1183="",0,IF($J1183="V",$L1183,$F1183))</f>
        <v>0</v>
      </c>
      <c r="N1183" s="31" t="n">
        <f aca="false">IF($F1183="",0,IF($J1183="U",$L1183,$F1183))</f>
        <v>0</v>
      </c>
      <c r="O1183" s="35" t="str">
        <f aca="false">IF($A1183="","",MONTH($A1183))</f>
        <v/>
      </c>
      <c r="P1183" s="35" t="str">
        <f aca="false">IF($A1183="","",ROUNDUP(MONTH($A1183)/3,0))</f>
        <v/>
      </c>
      <c r="Q1183" s="35" t="str">
        <f aca="false">IF($A1183="","",IF(MONTH($A1183)&lt;=6,1,2))</f>
        <v/>
      </c>
      <c r="R1183" s="35" t="str">
        <f aca="false">IF($E1183="","",IFERROR(INDEX(Kontenplan!$F$5:$F$90,MATCH($E1183,Kontenplan!$A$5:$A$90,0)),""))</f>
        <v/>
      </c>
      <c r="S1183" s="35" t="str">
        <f aca="false">IF($D1183="","",IFERROR(INDEX(Kontenplan!$F$5:$F$90,MATCH($D1183,Kontenplan!$A$5:$A$90,0)),""))</f>
        <v/>
      </c>
      <c r="T1183" s="35" t="str">
        <f aca="false">IF($D1183="","",IFERROR(INDEX(Kontenplan!$C$5:$C$90,MATCH($D1183,Kontenplan!$A$5:$A$90,0)),"?"))</f>
        <v/>
      </c>
      <c r="U1183" s="35" t="str">
        <f aca="false">IF($E1183="","",IFERROR(INDEX(Kontenplan!$C$5:$C$90,MATCH($E1183,Kontenplan!$A$5:$A$90,0)),"?"))</f>
        <v/>
      </c>
      <c r="V1183" s="35" t="str">
        <f aca="false">IF($F1183="","",IF(OR($D1183="",$E1183="",$T1183="?",$U1183="?"),"Konto prüfen!",IF($A1183="","Datum fehlt",IF(YEAR($A1183)&lt;&gt;Einstellungen!$B$7,"anderes Jahr!",IF($G1183="","MWST-Code fehlt","OK")))))</f>
        <v/>
      </c>
      <c r="W1183" s="35" t="str">
        <f aca="false">IF($F1183="","",IF(OR($D1183=Kontoauszug!$C$4,$E1183=Kontoauszug!$C$4),MAX(W$4:W1182)+1,""))</f>
        <v/>
      </c>
    </row>
    <row r="1184" customFormat="false" ht="15" hidden="false" customHeight="false" outlineLevel="0" collapsed="false">
      <c r="A1184" s="33"/>
      <c r="B1184" s="32"/>
      <c r="C1184" s="32"/>
      <c r="D1184" s="32"/>
      <c r="E1184" s="32"/>
      <c r="F1184" s="30"/>
      <c r="G1184" s="32"/>
      <c r="H1184" s="34" t="n">
        <f aca="false">IF($G1184="",0,IFERROR(INDEX(Einstellungen!$G$5:$G$11,MATCH($G1184,Einstellungen!$E$5:$E$11,0)),0))</f>
        <v>0</v>
      </c>
      <c r="I1184" s="35" t="str">
        <f aca="false">IF($G1184="","-",IFERROR(INDEX(Einstellungen!$H$5:$H$11,MATCH($G1184,Einstellungen!$E$5:$E$11,0)),"-"))</f>
        <v>-</v>
      </c>
      <c r="J1184" s="35" t="str">
        <f aca="false">IF(AND(Einstellungen!$B$8="Ja",Einstellungen!$B$9="Effektiv"),$I1184,"-")</f>
        <v>-</v>
      </c>
      <c r="K1184" s="31" t="n">
        <f aca="false">IF(OR($F1184="",$J1184="-"),0,ROUND($F1184-$F1184/(1+$H1184),2))</f>
        <v>0</v>
      </c>
      <c r="L1184" s="31" t="n">
        <f aca="false">IF($F1184="",0,$F1184-$K1184)</f>
        <v>0</v>
      </c>
      <c r="M1184" s="31" t="n">
        <f aca="false">IF($F1184="",0,IF($J1184="V",$L1184,$F1184))</f>
        <v>0</v>
      </c>
      <c r="N1184" s="31" t="n">
        <f aca="false">IF($F1184="",0,IF($J1184="U",$L1184,$F1184))</f>
        <v>0</v>
      </c>
      <c r="O1184" s="35" t="str">
        <f aca="false">IF($A1184="","",MONTH($A1184))</f>
        <v/>
      </c>
      <c r="P1184" s="35" t="str">
        <f aca="false">IF($A1184="","",ROUNDUP(MONTH($A1184)/3,0))</f>
        <v/>
      </c>
      <c r="Q1184" s="35" t="str">
        <f aca="false">IF($A1184="","",IF(MONTH($A1184)&lt;=6,1,2))</f>
        <v/>
      </c>
      <c r="R1184" s="35" t="str">
        <f aca="false">IF($E1184="","",IFERROR(INDEX(Kontenplan!$F$5:$F$90,MATCH($E1184,Kontenplan!$A$5:$A$90,0)),""))</f>
        <v/>
      </c>
      <c r="S1184" s="35" t="str">
        <f aca="false">IF($D1184="","",IFERROR(INDEX(Kontenplan!$F$5:$F$90,MATCH($D1184,Kontenplan!$A$5:$A$90,0)),""))</f>
        <v/>
      </c>
      <c r="T1184" s="35" t="str">
        <f aca="false">IF($D1184="","",IFERROR(INDEX(Kontenplan!$C$5:$C$90,MATCH($D1184,Kontenplan!$A$5:$A$90,0)),"?"))</f>
        <v/>
      </c>
      <c r="U1184" s="35" t="str">
        <f aca="false">IF($E1184="","",IFERROR(INDEX(Kontenplan!$C$5:$C$90,MATCH($E1184,Kontenplan!$A$5:$A$90,0)),"?"))</f>
        <v/>
      </c>
      <c r="V1184" s="35" t="str">
        <f aca="false">IF($F1184="","",IF(OR($D1184="",$E1184="",$T1184="?",$U1184="?"),"Konto prüfen!",IF($A1184="","Datum fehlt",IF(YEAR($A1184)&lt;&gt;Einstellungen!$B$7,"anderes Jahr!",IF($G1184="","MWST-Code fehlt","OK")))))</f>
        <v/>
      </c>
      <c r="W1184" s="35" t="str">
        <f aca="false">IF($F1184="","",IF(OR($D1184=Kontoauszug!$C$4,$E1184=Kontoauszug!$C$4),MAX(W$4:W1183)+1,""))</f>
        <v/>
      </c>
    </row>
    <row r="1185" customFormat="false" ht="15" hidden="false" customHeight="false" outlineLevel="0" collapsed="false">
      <c r="A1185" s="33"/>
      <c r="B1185" s="32"/>
      <c r="C1185" s="32"/>
      <c r="D1185" s="32"/>
      <c r="E1185" s="32"/>
      <c r="F1185" s="30"/>
      <c r="G1185" s="32"/>
      <c r="H1185" s="34" t="n">
        <f aca="false">IF($G1185="",0,IFERROR(INDEX(Einstellungen!$G$5:$G$11,MATCH($G1185,Einstellungen!$E$5:$E$11,0)),0))</f>
        <v>0</v>
      </c>
      <c r="I1185" s="35" t="str">
        <f aca="false">IF($G1185="","-",IFERROR(INDEX(Einstellungen!$H$5:$H$11,MATCH($G1185,Einstellungen!$E$5:$E$11,0)),"-"))</f>
        <v>-</v>
      </c>
      <c r="J1185" s="35" t="str">
        <f aca="false">IF(AND(Einstellungen!$B$8="Ja",Einstellungen!$B$9="Effektiv"),$I1185,"-")</f>
        <v>-</v>
      </c>
      <c r="K1185" s="31" t="n">
        <f aca="false">IF(OR($F1185="",$J1185="-"),0,ROUND($F1185-$F1185/(1+$H1185),2))</f>
        <v>0</v>
      </c>
      <c r="L1185" s="31" t="n">
        <f aca="false">IF($F1185="",0,$F1185-$K1185)</f>
        <v>0</v>
      </c>
      <c r="M1185" s="31" t="n">
        <f aca="false">IF($F1185="",0,IF($J1185="V",$L1185,$F1185))</f>
        <v>0</v>
      </c>
      <c r="N1185" s="31" t="n">
        <f aca="false">IF($F1185="",0,IF($J1185="U",$L1185,$F1185))</f>
        <v>0</v>
      </c>
      <c r="O1185" s="35" t="str">
        <f aca="false">IF($A1185="","",MONTH($A1185))</f>
        <v/>
      </c>
      <c r="P1185" s="35" t="str">
        <f aca="false">IF($A1185="","",ROUNDUP(MONTH($A1185)/3,0))</f>
        <v/>
      </c>
      <c r="Q1185" s="35" t="str">
        <f aca="false">IF($A1185="","",IF(MONTH($A1185)&lt;=6,1,2))</f>
        <v/>
      </c>
      <c r="R1185" s="35" t="str">
        <f aca="false">IF($E1185="","",IFERROR(INDEX(Kontenplan!$F$5:$F$90,MATCH($E1185,Kontenplan!$A$5:$A$90,0)),""))</f>
        <v/>
      </c>
      <c r="S1185" s="35" t="str">
        <f aca="false">IF($D1185="","",IFERROR(INDEX(Kontenplan!$F$5:$F$90,MATCH($D1185,Kontenplan!$A$5:$A$90,0)),""))</f>
        <v/>
      </c>
      <c r="T1185" s="35" t="str">
        <f aca="false">IF($D1185="","",IFERROR(INDEX(Kontenplan!$C$5:$C$90,MATCH($D1185,Kontenplan!$A$5:$A$90,0)),"?"))</f>
        <v/>
      </c>
      <c r="U1185" s="35" t="str">
        <f aca="false">IF($E1185="","",IFERROR(INDEX(Kontenplan!$C$5:$C$90,MATCH($E1185,Kontenplan!$A$5:$A$90,0)),"?"))</f>
        <v/>
      </c>
      <c r="V1185" s="35" t="str">
        <f aca="false">IF($F1185="","",IF(OR($D1185="",$E1185="",$T1185="?",$U1185="?"),"Konto prüfen!",IF($A1185="","Datum fehlt",IF(YEAR($A1185)&lt;&gt;Einstellungen!$B$7,"anderes Jahr!",IF($G1185="","MWST-Code fehlt","OK")))))</f>
        <v/>
      </c>
      <c r="W1185" s="35" t="str">
        <f aca="false">IF($F1185="","",IF(OR($D1185=Kontoauszug!$C$4,$E1185=Kontoauszug!$C$4),MAX(W$4:W1184)+1,""))</f>
        <v/>
      </c>
    </row>
    <row r="1186" customFormat="false" ht="15" hidden="false" customHeight="false" outlineLevel="0" collapsed="false">
      <c r="A1186" s="33"/>
      <c r="B1186" s="32"/>
      <c r="C1186" s="32"/>
      <c r="D1186" s="32"/>
      <c r="E1186" s="32"/>
      <c r="F1186" s="30"/>
      <c r="G1186" s="32"/>
      <c r="H1186" s="34" t="n">
        <f aca="false">IF($G1186="",0,IFERROR(INDEX(Einstellungen!$G$5:$G$11,MATCH($G1186,Einstellungen!$E$5:$E$11,0)),0))</f>
        <v>0</v>
      </c>
      <c r="I1186" s="35" t="str">
        <f aca="false">IF($G1186="","-",IFERROR(INDEX(Einstellungen!$H$5:$H$11,MATCH($G1186,Einstellungen!$E$5:$E$11,0)),"-"))</f>
        <v>-</v>
      </c>
      <c r="J1186" s="35" t="str">
        <f aca="false">IF(AND(Einstellungen!$B$8="Ja",Einstellungen!$B$9="Effektiv"),$I1186,"-")</f>
        <v>-</v>
      </c>
      <c r="K1186" s="31" t="n">
        <f aca="false">IF(OR($F1186="",$J1186="-"),0,ROUND($F1186-$F1186/(1+$H1186),2))</f>
        <v>0</v>
      </c>
      <c r="L1186" s="31" t="n">
        <f aca="false">IF($F1186="",0,$F1186-$K1186)</f>
        <v>0</v>
      </c>
      <c r="M1186" s="31" t="n">
        <f aca="false">IF($F1186="",0,IF($J1186="V",$L1186,$F1186))</f>
        <v>0</v>
      </c>
      <c r="N1186" s="31" t="n">
        <f aca="false">IF($F1186="",0,IF($J1186="U",$L1186,$F1186))</f>
        <v>0</v>
      </c>
      <c r="O1186" s="35" t="str">
        <f aca="false">IF($A1186="","",MONTH($A1186))</f>
        <v/>
      </c>
      <c r="P1186" s="35" t="str">
        <f aca="false">IF($A1186="","",ROUNDUP(MONTH($A1186)/3,0))</f>
        <v/>
      </c>
      <c r="Q1186" s="35" t="str">
        <f aca="false">IF($A1186="","",IF(MONTH($A1186)&lt;=6,1,2))</f>
        <v/>
      </c>
      <c r="R1186" s="35" t="str">
        <f aca="false">IF($E1186="","",IFERROR(INDEX(Kontenplan!$F$5:$F$90,MATCH($E1186,Kontenplan!$A$5:$A$90,0)),""))</f>
        <v/>
      </c>
      <c r="S1186" s="35" t="str">
        <f aca="false">IF($D1186="","",IFERROR(INDEX(Kontenplan!$F$5:$F$90,MATCH($D1186,Kontenplan!$A$5:$A$90,0)),""))</f>
        <v/>
      </c>
      <c r="T1186" s="35" t="str">
        <f aca="false">IF($D1186="","",IFERROR(INDEX(Kontenplan!$C$5:$C$90,MATCH($D1186,Kontenplan!$A$5:$A$90,0)),"?"))</f>
        <v/>
      </c>
      <c r="U1186" s="35" t="str">
        <f aca="false">IF($E1186="","",IFERROR(INDEX(Kontenplan!$C$5:$C$90,MATCH($E1186,Kontenplan!$A$5:$A$90,0)),"?"))</f>
        <v/>
      </c>
      <c r="V1186" s="35" t="str">
        <f aca="false">IF($F1186="","",IF(OR($D1186="",$E1186="",$T1186="?",$U1186="?"),"Konto prüfen!",IF($A1186="","Datum fehlt",IF(YEAR($A1186)&lt;&gt;Einstellungen!$B$7,"anderes Jahr!",IF($G1186="","MWST-Code fehlt","OK")))))</f>
        <v/>
      </c>
      <c r="W1186" s="35" t="str">
        <f aca="false">IF($F1186="","",IF(OR($D1186=Kontoauszug!$C$4,$E1186=Kontoauszug!$C$4),MAX(W$4:W1185)+1,""))</f>
        <v/>
      </c>
    </row>
    <row r="1187" customFormat="false" ht="15" hidden="false" customHeight="false" outlineLevel="0" collapsed="false">
      <c r="A1187" s="33"/>
      <c r="B1187" s="32"/>
      <c r="C1187" s="32"/>
      <c r="D1187" s="32"/>
      <c r="E1187" s="32"/>
      <c r="F1187" s="30"/>
      <c r="G1187" s="32"/>
      <c r="H1187" s="34" t="n">
        <f aca="false">IF($G1187="",0,IFERROR(INDEX(Einstellungen!$G$5:$G$11,MATCH($G1187,Einstellungen!$E$5:$E$11,0)),0))</f>
        <v>0</v>
      </c>
      <c r="I1187" s="35" t="str">
        <f aca="false">IF($G1187="","-",IFERROR(INDEX(Einstellungen!$H$5:$H$11,MATCH($G1187,Einstellungen!$E$5:$E$11,0)),"-"))</f>
        <v>-</v>
      </c>
      <c r="J1187" s="35" t="str">
        <f aca="false">IF(AND(Einstellungen!$B$8="Ja",Einstellungen!$B$9="Effektiv"),$I1187,"-")</f>
        <v>-</v>
      </c>
      <c r="K1187" s="31" t="n">
        <f aca="false">IF(OR($F1187="",$J1187="-"),0,ROUND($F1187-$F1187/(1+$H1187),2))</f>
        <v>0</v>
      </c>
      <c r="L1187" s="31" t="n">
        <f aca="false">IF($F1187="",0,$F1187-$K1187)</f>
        <v>0</v>
      </c>
      <c r="M1187" s="31" t="n">
        <f aca="false">IF($F1187="",0,IF($J1187="V",$L1187,$F1187))</f>
        <v>0</v>
      </c>
      <c r="N1187" s="31" t="n">
        <f aca="false">IF($F1187="",0,IF($J1187="U",$L1187,$F1187))</f>
        <v>0</v>
      </c>
      <c r="O1187" s="35" t="str">
        <f aca="false">IF($A1187="","",MONTH($A1187))</f>
        <v/>
      </c>
      <c r="P1187" s="35" t="str">
        <f aca="false">IF($A1187="","",ROUNDUP(MONTH($A1187)/3,0))</f>
        <v/>
      </c>
      <c r="Q1187" s="35" t="str">
        <f aca="false">IF($A1187="","",IF(MONTH($A1187)&lt;=6,1,2))</f>
        <v/>
      </c>
      <c r="R1187" s="35" t="str">
        <f aca="false">IF($E1187="","",IFERROR(INDEX(Kontenplan!$F$5:$F$90,MATCH($E1187,Kontenplan!$A$5:$A$90,0)),""))</f>
        <v/>
      </c>
      <c r="S1187" s="35" t="str">
        <f aca="false">IF($D1187="","",IFERROR(INDEX(Kontenplan!$F$5:$F$90,MATCH($D1187,Kontenplan!$A$5:$A$90,0)),""))</f>
        <v/>
      </c>
      <c r="T1187" s="35" t="str">
        <f aca="false">IF($D1187="","",IFERROR(INDEX(Kontenplan!$C$5:$C$90,MATCH($D1187,Kontenplan!$A$5:$A$90,0)),"?"))</f>
        <v/>
      </c>
      <c r="U1187" s="35" t="str">
        <f aca="false">IF($E1187="","",IFERROR(INDEX(Kontenplan!$C$5:$C$90,MATCH($E1187,Kontenplan!$A$5:$A$90,0)),"?"))</f>
        <v/>
      </c>
      <c r="V1187" s="35" t="str">
        <f aca="false">IF($F1187="","",IF(OR($D1187="",$E1187="",$T1187="?",$U1187="?"),"Konto prüfen!",IF($A1187="","Datum fehlt",IF(YEAR($A1187)&lt;&gt;Einstellungen!$B$7,"anderes Jahr!",IF($G1187="","MWST-Code fehlt","OK")))))</f>
        <v/>
      </c>
      <c r="W1187" s="35" t="str">
        <f aca="false">IF($F1187="","",IF(OR($D1187=Kontoauszug!$C$4,$E1187=Kontoauszug!$C$4),MAX(W$4:W1186)+1,""))</f>
        <v/>
      </c>
    </row>
    <row r="1188" customFormat="false" ht="15" hidden="false" customHeight="false" outlineLevel="0" collapsed="false">
      <c r="A1188" s="33"/>
      <c r="B1188" s="32"/>
      <c r="C1188" s="32"/>
      <c r="D1188" s="32"/>
      <c r="E1188" s="32"/>
      <c r="F1188" s="30"/>
      <c r="G1188" s="32"/>
      <c r="H1188" s="34" t="n">
        <f aca="false">IF($G1188="",0,IFERROR(INDEX(Einstellungen!$G$5:$G$11,MATCH($G1188,Einstellungen!$E$5:$E$11,0)),0))</f>
        <v>0</v>
      </c>
      <c r="I1188" s="35" t="str">
        <f aca="false">IF($G1188="","-",IFERROR(INDEX(Einstellungen!$H$5:$H$11,MATCH($G1188,Einstellungen!$E$5:$E$11,0)),"-"))</f>
        <v>-</v>
      </c>
      <c r="J1188" s="35" t="str">
        <f aca="false">IF(AND(Einstellungen!$B$8="Ja",Einstellungen!$B$9="Effektiv"),$I1188,"-")</f>
        <v>-</v>
      </c>
      <c r="K1188" s="31" t="n">
        <f aca="false">IF(OR($F1188="",$J1188="-"),0,ROUND($F1188-$F1188/(1+$H1188),2))</f>
        <v>0</v>
      </c>
      <c r="L1188" s="31" t="n">
        <f aca="false">IF($F1188="",0,$F1188-$K1188)</f>
        <v>0</v>
      </c>
      <c r="M1188" s="31" t="n">
        <f aca="false">IF($F1188="",0,IF($J1188="V",$L1188,$F1188))</f>
        <v>0</v>
      </c>
      <c r="N1188" s="31" t="n">
        <f aca="false">IF($F1188="",0,IF($J1188="U",$L1188,$F1188))</f>
        <v>0</v>
      </c>
      <c r="O1188" s="35" t="str">
        <f aca="false">IF($A1188="","",MONTH($A1188))</f>
        <v/>
      </c>
      <c r="P1188" s="35" t="str">
        <f aca="false">IF($A1188="","",ROUNDUP(MONTH($A1188)/3,0))</f>
        <v/>
      </c>
      <c r="Q1188" s="35" t="str">
        <f aca="false">IF($A1188="","",IF(MONTH($A1188)&lt;=6,1,2))</f>
        <v/>
      </c>
      <c r="R1188" s="35" t="str">
        <f aca="false">IF($E1188="","",IFERROR(INDEX(Kontenplan!$F$5:$F$90,MATCH($E1188,Kontenplan!$A$5:$A$90,0)),""))</f>
        <v/>
      </c>
      <c r="S1188" s="35" t="str">
        <f aca="false">IF($D1188="","",IFERROR(INDEX(Kontenplan!$F$5:$F$90,MATCH($D1188,Kontenplan!$A$5:$A$90,0)),""))</f>
        <v/>
      </c>
      <c r="T1188" s="35" t="str">
        <f aca="false">IF($D1188="","",IFERROR(INDEX(Kontenplan!$C$5:$C$90,MATCH($D1188,Kontenplan!$A$5:$A$90,0)),"?"))</f>
        <v/>
      </c>
      <c r="U1188" s="35" t="str">
        <f aca="false">IF($E1188="","",IFERROR(INDEX(Kontenplan!$C$5:$C$90,MATCH($E1188,Kontenplan!$A$5:$A$90,0)),"?"))</f>
        <v/>
      </c>
      <c r="V1188" s="35" t="str">
        <f aca="false">IF($F1188="","",IF(OR($D1188="",$E1188="",$T1188="?",$U1188="?"),"Konto prüfen!",IF($A1188="","Datum fehlt",IF(YEAR($A1188)&lt;&gt;Einstellungen!$B$7,"anderes Jahr!",IF($G1188="","MWST-Code fehlt","OK")))))</f>
        <v/>
      </c>
      <c r="W1188" s="35" t="str">
        <f aca="false">IF($F1188="","",IF(OR($D1188=Kontoauszug!$C$4,$E1188=Kontoauszug!$C$4),MAX(W$4:W1187)+1,""))</f>
        <v/>
      </c>
    </row>
    <row r="1189" customFormat="false" ht="15" hidden="false" customHeight="false" outlineLevel="0" collapsed="false">
      <c r="A1189" s="33"/>
      <c r="B1189" s="32"/>
      <c r="C1189" s="32"/>
      <c r="D1189" s="32"/>
      <c r="E1189" s="32"/>
      <c r="F1189" s="30"/>
      <c r="G1189" s="32"/>
      <c r="H1189" s="34" t="n">
        <f aca="false">IF($G1189="",0,IFERROR(INDEX(Einstellungen!$G$5:$G$11,MATCH($G1189,Einstellungen!$E$5:$E$11,0)),0))</f>
        <v>0</v>
      </c>
      <c r="I1189" s="35" t="str">
        <f aca="false">IF($G1189="","-",IFERROR(INDEX(Einstellungen!$H$5:$H$11,MATCH($G1189,Einstellungen!$E$5:$E$11,0)),"-"))</f>
        <v>-</v>
      </c>
      <c r="J1189" s="35" t="str">
        <f aca="false">IF(AND(Einstellungen!$B$8="Ja",Einstellungen!$B$9="Effektiv"),$I1189,"-")</f>
        <v>-</v>
      </c>
      <c r="K1189" s="31" t="n">
        <f aca="false">IF(OR($F1189="",$J1189="-"),0,ROUND($F1189-$F1189/(1+$H1189),2))</f>
        <v>0</v>
      </c>
      <c r="L1189" s="31" t="n">
        <f aca="false">IF($F1189="",0,$F1189-$K1189)</f>
        <v>0</v>
      </c>
      <c r="M1189" s="31" t="n">
        <f aca="false">IF($F1189="",0,IF($J1189="V",$L1189,$F1189))</f>
        <v>0</v>
      </c>
      <c r="N1189" s="31" t="n">
        <f aca="false">IF($F1189="",0,IF($J1189="U",$L1189,$F1189))</f>
        <v>0</v>
      </c>
      <c r="O1189" s="35" t="str">
        <f aca="false">IF($A1189="","",MONTH($A1189))</f>
        <v/>
      </c>
      <c r="P1189" s="35" t="str">
        <f aca="false">IF($A1189="","",ROUNDUP(MONTH($A1189)/3,0))</f>
        <v/>
      </c>
      <c r="Q1189" s="35" t="str">
        <f aca="false">IF($A1189="","",IF(MONTH($A1189)&lt;=6,1,2))</f>
        <v/>
      </c>
      <c r="R1189" s="35" t="str">
        <f aca="false">IF($E1189="","",IFERROR(INDEX(Kontenplan!$F$5:$F$90,MATCH($E1189,Kontenplan!$A$5:$A$90,0)),""))</f>
        <v/>
      </c>
      <c r="S1189" s="35" t="str">
        <f aca="false">IF($D1189="","",IFERROR(INDEX(Kontenplan!$F$5:$F$90,MATCH($D1189,Kontenplan!$A$5:$A$90,0)),""))</f>
        <v/>
      </c>
      <c r="T1189" s="35" t="str">
        <f aca="false">IF($D1189="","",IFERROR(INDEX(Kontenplan!$C$5:$C$90,MATCH($D1189,Kontenplan!$A$5:$A$90,0)),"?"))</f>
        <v/>
      </c>
      <c r="U1189" s="35" t="str">
        <f aca="false">IF($E1189="","",IFERROR(INDEX(Kontenplan!$C$5:$C$90,MATCH($E1189,Kontenplan!$A$5:$A$90,0)),"?"))</f>
        <v/>
      </c>
      <c r="V1189" s="35" t="str">
        <f aca="false">IF($F1189="","",IF(OR($D1189="",$E1189="",$T1189="?",$U1189="?"),"Konto prüfen!",IF($A1189="","Datum fehlt",IF(YEAR($A1189)&lt;&gt;Einstellungen!$B$7,"anderes Jahr!",IF($G1189="","MWST-Code fehlt","OK")))))</f>
        <v/>
      </c>
      <c r="W1189" s="35" t="str">
        <f aca="false">IF($F1189="","",IF(OR($D1189=Kontoauszug!$C$4,$E1189=Kontoauszug!$C$4),MAX(W$4:W1188)+1,""))</f>
        <v/>
      </c>
    </row>
    <row r="1190" customFormat="false" ht="15" hidden="false" customHeight="false" outlineLevel="0" collapsed="false">
      <c r="A1190" s="33"/>
      <c r="B1190" s="32"/>
      <c r="C1190" s="32"/>
      <c r="D1190" s="32"/>
      <c r="E1190" s="32"/>
      <c r="F1190" s="30"/>
      <c r="G1190" s="32"/>
      <c r="H1190" s="34" t="n">
        <f aca="false">IF($G1190="",0,IFERROR(INDEX(Einstellungen!$G$5:$G$11,MATCH($G1190,Einstellungen!$E$5:$E$11,0)),0))</f>
        <v>0</v>
      </c>
      <c r="I1190" s="35" t="str">
        <f aca="false">IF($G1190="","-",IFERROR(INDEX(Einstellungen!$H$5:$H$11,MATCH($G1190,Einstellungen!$E$5:$E$11,0)),"-"))</f>
        <v>-</v>
      </c>
      <c r="J1190" s="35" t="str">
        <f aca="false">IF(AND(Einstellungen!$B$8="Ja",Einstellungen!$B$9="Effektiv"),$I1190,"-")</f>
        <v>-</v>
      </c>
      <c r="K1190" s="31" t="n">
        <f aca="false">IF(OR($F1190="",$J1190="-"),0,ROUND($F1190-$F1190/(1+$H1190),2))</f>
        <v>0</v>
      </c>
      <c r="L1190" s="31" t="n">
        <f aca="false">IF($F1190="",0,$F1190-$K1190)</f>
        <v>0</v>
      </c>
      <c r="M1190" s="31" t="n">
        <f aca="false">IF($F1190="",0,IF($J1190="V",$L1190,$F1190))</f>
        <v>0</v>
      </c>
      <c r="N1190" s="31" t="n">
        <f aca="false">IF($F1190="",0,IF($J1190="U",$L1190,$F1190))</f>
        <v>0</v>
      </c>
      <c r="O1190" s="35" t="str">
        <f aca="false">IF($A1190="","",MONTH($A1190))</f>
        <v/>
      </c>
      <c r="P1190" s="35" t="str">
        <f aca="false">IF($A1190="","",ROUNDUP(MONTH($A1190)/3,0))</f>
        <v/>
      </c>
      <c r="Q1190" s="35" t="str">
        <f aca="false">IF($A1190="","",IF(MONTH($A1190)&lt;=6,1,2))</f>
        <v/>
      </c>
      <c r="R1190" s="35" t="str">
        <f aca="false">IF($E1190="","",IFERROR(INDEX(Kontenplan!$F$5:$F$90,MATCH($E1190,Kontenplan!$A$5:$A$90,0)),""))</f>
        <v/>
      </c>
      <c r="S1190" s="35" t="str">
        <f aca="false">IF($D1190="","",IFERROR(INDEX(Kontenplan!$F$5:$F$90,MATCH($D1190,Kontenplan!$A$5:$A$90,0)),""))</f>
        <v/>
      </c>
      <c r="T1190" s="35" t="str">
        <f aca="false">IF($D1190="","",IFERROR(INDEX(Kontenplan!$C$5:$C$90,MATCH($D1190,Kontenplan!$A$5:$A$90,0)),"?"))</f>
        <v/>
      </c>
      <c r="U1190" s="35" t="str">
        <f aca="false">IF($E1190="","",IFERROR(INDEX(Kontenplan!$C$5:$C$90,MATCH($E1190,Kontenplan!$A$5:$A$90,0)),"?"))</f>
        <v/>
      </c>
      <c r="V1190" s="35" t="str">
        <f aca="false">IF($F1190="","",IF(OR($D1190="",$E1190="",$T1190="?",$U1190="?"),"Konto prüfen!",IF($A1190="","Datum fehlt",IF(YEAR($A1190)&lt;&gt;Einstellungen!$B$7,"anderes Jahr!",IF($G1190="","MWST-Code fehlt","OK")))))</f>
        <v/>
      </c>
      <c r="W1190" s="35" t="str">
        <f aca="false">IF($F1190="","",IF(OR($D1190=Kontoauszug!$C$4,$E1190=Kontoauszug!$C$4),MAX(W$4:W1189)+1,""))</f>
        <v/>
      </c>
    </row>
    <row r="1191" customFormat="false" ht="15" hidden="false" customHeight="false" outlineLevel="0" collapsed="false">
      <c r="A1191" s="33"/>
      <c r="B1191" s="32"/>
      <c r="C1191" s="32"/>
      <c r="D1191" s="32"/>
      <c r="E1191" s="32"/>
      <c r="F1191" s="30"/>
      <c r="G1191" s="32"/>
      <c r="H1191" s="34" t="n">
        <f aca="false">IF($G1191="",0,IFERROR(INDEX(Einstellungen!$G$5:$G$11,MATCH($G1191,Einstellungen!$E$5:$E$11,0)),0))</f>
        <v>0</v>
      </c>
      <c r="I1191" s="35" t="str">
        <f aca="false">IF($G1191="","-",IFERROR(INDEX(Einstellungen!$H$5:$H$11,MATCH($G1191,Einstellungen!$E$5:$E$11,0)),"-"))</f>
        <v>-</v>
      </c>
      <c r="J1191" s="35" t="str">
        <f aca="false">IF(AND(Einstellungen!$B$8="Ja",Einstellungen!$B$9="Effektiv"),$I1191,"-")</f>
        <v>-</v>
      </c>
      <c r="K1191" s="31" t="n">
        <f aca="false">IF(OR($F1191="",$J1191="-"),0,ROUND($F1191-$F1191/(1+$H1191),2))</f>
        <v>0</v>
      </c>
      <c r="L1191" s="31" t="n">
        <f aca="false">IF($F1191="",0,$F1191-$K1191)</f>
        <v>0</v>
      </c>
      <c r="M1191" s="31" t="n">
        <f aca="false">IF($F1191="",0,IF($J1191="V",$L1191,$F1191))</f>
        <v>0</v>
      </c>
      <c r="N1191" s="31" t="n">
        <f aca="false">IF($F1191="",0,IF($J1191="U",$L1191,$F1191))</f>
        <v>0</v>
      </c>
      <c r="O1191" s="35" t="str">
        <f aca="false">IF($A1191="","",MONTH($A1191))</f>
        <v/>
      </c>
      <c r="P1191" s="35" t="str">
        <f aca="false">IF($A1191="","",ROUNDUP(MONTH($A1191)/3,0))</f>
        <v/>
      </c>
      <c r="Q1191" s="35" t="str">
        <f aca="false">IF($A1191="","",IF(MONTH($A1191)&lt;=6,1,2))</f>
        <v/>
      </c>
      <c r="R1191" s="35" t="str">
        <f aca="false">IF($E1191="","",IFERROR(INDEX(Kontenplan!$F$5:$F$90,MATCH($E1191,Kontenplan!$A$5:$A$90,0)),""))</f>
        <v/>
      </c>
      <c r="S1191" s="35" t="str">
        <f aca="false">IF($D1191="","",IFERROR(INDEX(Kontenplan!$F$5:$F$90,MATCH($D1191,Kontenplan!$A$5:$A$90,0)),""))</f>
        <v/>
      </c>
      <c r="T1191" s="35" t="str">
        <f aca="false">IF($D1191="","",IFERROR(INDEX(Kontenplan!$C$5:$C$90,MATCH($D1191,Kontenplan!$A$5:$A$90,0)),"?"))</f>
        <v/>
      </c>
      <c r="U1191" s="35" t="str">
        <f aca="false">IF($E1191="","",IFERROR(INDEX(Kontenplan!$C$5:$C$90,MATCH($E1191,Kontenplan!$A$5:$A$90,0)),"?"))</f>
        <v/>
      </c>
      <c r="V1191" s="35" t="str">
        <f aca="false">IF($F1191="","",IF(OR($D1191="",$E1191="",$T1191="?",$U1191="?"),"Konto prüfen!",IF($A1191="","Datum fehlt",IF(YEAR($A1191)&lt;&gt;Einstellungen!$B$7,"anderes Jahr!",IF($G1191="","MWST-Code fehlt","OK")))))</f>
        <v/>
      </c>
      <c r="W1191" s="35" t="str">
        <f aca="false">IF($F1191="","",IF(OR($D1191=Kontoauszug!$C$4,$E1191=Kontoauszug!$C$4),MAX(W$4:W1190)+1,""))</f>
        <v/>
      </c>
    </row>
    <row r="1192" customFormat="false" ht="15" hidden="false" customHeight="false" outlineLevel="0" collapsed="false">
      <c r="A1192" s="33"/>
      <c r="B1192" s="32"/>
      <c r="C1192" s="32"/>
      <c r="D1192" s="32"/>
      <c r="E1192" s="32"/>
      <c r="F1192" s="30"/>
      <c r="G1192" s="32"/>
      <c r="H1192" s="34" t="n">
        <f aca="false">IF($G1192="",0,IFERROR(INDEX(Einstellungen!$G$5:$G$11,MATCH($G1192,Einstellungen!$E$5:$E$11,0)),0))</f>
        <v>0</v>
      </c>
      <c r="I1192" s="35" t="str">
        <f aca="false">IF($G1192="","-",IFERROR(INDEX(Einstellungen!$H$5:$H$11,MATCH($G1192,Einstellungen!$E$5:$E$11,0)),"-"))</f>
        <v>-</v>
      </c>
      <c r="J1192" s="35" t="str">
        <f aca="false">IF(AND(Einstellungen!$B$8="Ja",Einstellungen!$B$9="Effektiv"),$I1192,"-")</f>
        <v>-</v>
      </c>
      <c r="K1192" s="31" t="n">
        <f aca="false">IF(OR($F1192="",$J1192="-"),0,ROUND($F1192-$F1192/(1+$H1192),2))</f>
        <v>0</v>
      </c>
      <c r="L1192" s="31" t="n">
        <f aca="false">IF($F1192="",0,$F1192-$K1192)</f>
        <v>0</v>
      </c>
      <c r="M1192" s="31" t="n">
        <f aca="false">IF($F1192="",0,IF($J1192="V",$L1192,$F1192))</f>
        <v>0</v>
      </c>
      <c r="N1192" s="31" t="n">
        <f aca="false">IF($F1192="",0,IF($J1192="U",$L1192,$F1192))</f>
        <v>0</v>
      </c>
      <c r="O1192" s="35" t="str">
        <f aca="false">IF($A1192="","",MONTH($A1192))</f>
        <v/>
      </c>
      <c r="P1192" s="35" t="str">
        <f aca="false">IF($A1192="","",ROUNDUP(MONTH($A1192)/3,0))</f>
        <v/>
      </c>
      <c r="Q1192" s="35" t="str">
        <f aca="false">IF($A1192="","",IF(MONTH($A1192)&lt;=6,1,2))</f>
        <v/>
      </c>
      <c r="R1192" s="35" t="str">
        <f aca="false">IF($E1192="","",IFERROR(INDEX(Kontenplan!$F$5:$F$90,MATCH($E1192,Kontenplan!$A$5:$A$90,0)),""))</f>
        <v/>
      </c>
      <c r="S1192" s="35" t="str">
        <f aca="false">IF($D1192="","",IFERROR(INDEX(Kontenplan!$F$5:$F$90,MATCH($D1192,Kontenplan!$A$5:$A$90,0)),""))</f>
        <v/>
      </c>
      <c r="T1192" s="35" t="str">
        <f aca="false">IF($D1192="","",IFERROR(INDEX(Kontenplan!$C$5:$C$90,MATCH($D1192,Kontenplan!$A$5:$A$90,0)),"?"))</f>
        <v/>
      </c>
      <c r="U1192" s="35" t="str">
        <f aca="false">IF($E1192="","",IFERROR(INDEX(Kontenplan!$C$5:$C$90,MATCH($E1192,Kontenplan!$A$5:$A$90,0)),"?"))</f>
        <v/>
      </c>
      <c r="V1192" s="35" t="str">
        <f aca="false">IF($F1192="","",IF(OR($D1192="",$E1192="",$T1192="?",$U1192="?"),"Konto prüfen!",IF($A1192="","Datum fehlt",IF(YEAR($A1192)&lt;&gt;Einstellungen!$B$7,"anderes Jahr!",IF($G1192="","MWST-Code fehlt","OK")))))</f>
        <v/>
      </c>
      <c r="W1192" s="35" t="str">
        <f aca="false">IF($F1192="","",IF(OR($D1192=Kontoauszug!$C$4,$E1192=Kontoauszug!$C$4),MAX(W$4:W1191)+1,""))</f>
        <v/>
      </c>
    </row>
    <row r="1193" customFormat="false" ht="15" hidden="false" customHeight="false" outlineLevel="0" collapsed="false">
      <c r="A1193" s="33"/>
      <c r="B1193" s="32"/>
      <c r="C1193" s="32"/>
      <c r="D1193" s="32"/>
      <c r="E1193" s="32"/>
      <c r="F1193" s="30"/>
      <c r="G1193" s="32"/>
      <c r="H1193" s="34" t="n">
        <f aca="false">IF($G1193="",0,IFERROR(INDEX(Einstellungen!$G$5:$G$11,MATCH($G1193,Einstellungen!$E$5:$E$11,0)),0))</f>
        <v>0</v>
      </c>
      <c r="I1193" s="35" t="str">
        <f aca="false">IF($G1193="","-",IFERROR(INDEX(Einstellungen!$H$5:$H$11,MATCH($G1193,Einstellungen!$E$5:$E$11,0)),"-"))</f>
        <v>-</v>
      </c>
      <c r="J1193" s="35" t="str">
        <f aca="false">IF(AND(Einstellungen!$B$8="Ja",Einstellungen!$B$9="Effektiv"),$I1193,"-")</f>
        <v>-</v>
      </c>
      <c r="K1193" s="31" t="n">
        <f aca="false">IF(OR($F1193="",$J1193="-"),0,ROUND($F1193-$F1193/(1+$H1193),2))</f>
        <v>0</v>
      </c>
      <c r="L1193" s="31" t="n">
        <f aca="false">IF($F1193="",0,$F1193-$K1193)</f>
        <v>0</v>
      </c>
      <c r="M1193" s="31" t="n">
        <f aca="false">IF($F1193="",0,IF($J1193="V",$L1193,$F1193))</f>
        <v>0</v>
      </c>
      <c r="N1193" s="31" t="n">
        <f aca="false">IF($F1193="",0,IF($J1193="U",$L1193,$F1193))</f>
        <v>0</v>
      </c>
      <c r="O1193" s="35" t="str">
        <f aca="false">IF($A1193="","",MONTH($A1193))</f>
        <v/>
      </c>
      <c r="P1193" s="35" t="str">
        <f aca="false">IF($A1193="","",ROUNDUP(MONTH($A1193)/3,0))</f>
        <v/>
      </c>
      <c r="Q1193" s="35" t="str">
        <f aca="false">IF($A1193="","",IF(MONTH($A1193)&lt;=6,1,2))</f>
        <v/>
      </c>
      <c r="R1193" s="35" t="str">
        <f aca="false">IF($E1193="","",IFERROR(INDEX(Kontenplan!$F$5:$F$90,MATCH($E1193,Kontenplan!$A$5:$A$90,0)),""))</f>
        <v/>
      </c>
      <c r="S1193" s="35" t="str">
        <f aca="false">IF($D1193="","",IFERROR(INDEX(Kontenplan!$F$5:$F$90,MATCH($D1193,Kontenplan!$A$5:$A$90,0)),""))</f>
        <v/>
      </c>
      <c r="T1193" s="35" t="str">
        <f aca="false">IF($D1193="","",IFERROR(INDEX(Kontenplan!$C$5:$C$90,MATCH($D1193,Kontenplan!$A$5:$A$90,0)),"?"))</f>
        <v/>
      </c>
      <c r="U1193" s="35" t="str">
        <f aca="false">IF($E1193="","",IFERROR(INDEX(Kontenplan!$C$5:$C$90,MATCH($E1193,Kontenplan!$A$5:$A$90,0)),"?"))</f>
        <v/>
      </c>
      <c r="V1193" s="35" t="str">
        <f aca="false">IF($F1193="","",IF(OR($D1193="",$E1193="",$T1193="?",$U1193="?"),"Konto prüfen!",IF($A1193="","Datum fehlt",IF(YEAR($A1193)&lt;&gt;Einstellungen!$B$7,"anderes Jahr!",IF($G1193="","MWST-Code fehlt","OK")))))</f>
        <v/>
      </c>
      <c r="W1193" s="35" t="str">
        <f aca="false">IF($F1193="","",IF(OR($D1193=Kontoauszug!$C$4,$E1193=Kontoauszug!$C$4),MAX(W$4:W1192)+1,""))</f>
        <v/>
      </c>
    </row>
    <row r="1194" customFormat="false" ht="15" hidden="false" customHeight="false" outlineLevel="0" collapsed="false">
      <c r="A1194" s="33"/>
      <c r="B1194" s="32"/>
      <c r="C1194" s="32"/>
      <c r="D1194" s="32"/>
      <c r="E1194" s="32"/>
      <c r="F1194" s="30"/>
      <c r="G1194" s="32"/>
      <c r="H1194" s="34" t="n">
        <f aca="false">IF($G1194="",0,IFERROR(INDEX(Einstellungen!$G$5:$G$11,MATCH($G1194,Einstellungen!$E$5:$E$11,0)),0))</f>
        <v>0</v>
      </c>
      <c r="I1194" s="35" t="str">
        <f aca="false">IF($G1194="","-",IFERROR(INDEX(Einstellungen!$H$5:$H$11,MATCH($G1194,Einstellungen!$E$5:$E$11,0)),"-"))</f>
        <v>-</v>
      </c>
      <c r="J1194" s="35" t="str">
        <f aca="false">IF(AND(Einstellungen!$B$8="Ja",Einstellungen!$B$9="Effektiv"),$I1194,"-")</f>
        <v>-</v>
      </c>
      <c r="K1194" s="31" t="n">
        <f aca="false">IF(OR($F1194="",$J1194="-"),0,ROUND($F1194-$F1194/(1+$H1194),2))</f>
        <v>0</v>
      </c>
      <c r="L1194" s="31" t="n">
        <f aca="false">IF($F1194="",0,$F1194-$K1194)</f>
        <v>0</v>
      </c>
      <c r="M1194" s="31" t="n">
        <f aca="false">IF($F1194="",0,IF($J1194="V",$L1194,$F1194))</f>
        <v>0</v>
      </c>
      <c r="N1194" s="31" t="n">
        <f aca="false">IF($F1194="",0,IF($J1194="U",$L1194,$F1194))</f>
        <v>0</v>
      </c>
      <c r="O1194" s="35" t="str">
        <f aca="false">IF($A1194="","",MONTH($A1194))</f>
        <v/>
      </c>
      <c r="P1194" s="35" t="str">
        <f aca="false">IF($A1194="","",ROUNDUP(MONTH($A1194)/3,0))</f>
        <v/>
      </c>
      <c r="Q1194" s="35" t="str">
        <f aca="false">IF($A1194="","",IF(MONTH($A1194)&lt;=6,1,2))</f>
        <v/>
      </c>
      <c r="R1194" s="35" t="str">
        <f aca="false">IF($E1194="","",IFERROR(INDEX(Kontenplan!$F$5:$F$90,MATCH($E1194,Kontenplan!$A$5:$A$90,0)),""))</f>
        <v/>
      </c>
      <c r="S1194" s="35" t="str">
        <f aca="false">IF($D1194="","",IFERROR(INDEX(Kontenplan!$F$5:$F$90,MATCH($D1194,Kontenplan!$A$5:$A$90,0)),""))</f>
        <v/>
      </c>
      <c r="T1194" s="35" t="str">
        <f aca="false">IF($D1194="","",IFERROR(INDEX(Kontenplan!$C$5:$C$90,MATCH($D1194,Kontenplan!$A$5:$A$90,0)),"?"))</f>
        <v/>
      </c>
      <c r="U1194" s="35" t="str">
        <f aca="false">IF($E1194="","",IFERROR(INDEX(Kontenplan!$C$5:$C$90,MATCH($E1194,Kontenplan!$A$5:$A$90,0)),"?"))</f>
        <v/>
      </c>
      <c r="V1194" s="35" t="str">
        <f aca="false">IF($F1194="","",IF(OR($D1194="",$E1194="",$T1194="?",$U1194="?"),"Konto prüfen!",IF($A1194="","Datum fehlt",IF(YEAR($A1194)&lt;&gt;Einstellungen!$B$7,"anderes Jahr!",IF($G1194="","MWST-Code fehlt","OK")))))</f>
        <v/>
      </c>
      <c r="W1194" s="35" t="str">
        <f aca="false">IF($F1194="","",IF(OR($D1194=Kontoauszug!$C$4,$E1194=Kontoauszug!$C$4),MAX(W$4:W1193)+1,""))</f>
        <v/>
      </c>
    </row>
    <row r="1195" customFormat="false" ht="15" hidden="false" customHeight="false" outlineLevel="0" collapsed="false">
      <c r="A1195" s="33"/>
      <c r="B1195" s="32"/>
      <c r="C1195" s="32"/>
      <c r="D1195" s="32"/>
      <c r="E1195" s="32"/>
      <c r="F1195" s="30"/>
      <c r="G1195" s="32"/>
      <c r="H1195" s="34" t="n">
        <f aca="false">IF($G1195="",0,IFERROR(INDEX(Einstellungen!$G$5:$G$11,MATCH($G1195,Einstellungen!$E$5:$E$11,0)),0))</f>
        <v>0</v>
      </c>
      <c r="I1195" s="35" t="str">
        <f aca="false">IF($G1195="","-",IFERROR(INDEX(Einstellungen!$H$5:$H$11,MATCH($G1195,Einstellungen!$E$5:$E$11,0)),"-"))</f>
        <v>-</v>
      </c>
      <c r="J1195" s="35" t="str">
        <f aca="false">IF(AND(Einstellungen!$B$8="Ja",Einstellungen!$B$9="Effektiv"),$I1195,"-")</f>
        <v>-</v>
      </c>
      <c r="K1195" s="31" t="n">
        <f aca="false">IF(OR($F1195="",$J1195="-"),0,ROUND($F1195-$F1195/(1+$H1195),2))</f>
        <v>0</v>
      </c>
      <c r="L1195" s="31" t="n">
        <f aca="false">IF($F1195="",0,$F1195-$K1195)</f>
        <v>0</v>
      </c>
      <c r="M1195" s="31" t="n">
        <f aca="false">IF($F1195="",0,IF($J1195="V",$L1195,$F1195))</f>
        <v>0</v>
      </c>
      <c r="N1195" s="31" t="n">
        <f aca="false">IF($F1195="",0,IF($J1195="U",$L1195,$F1195))</f>
        <v>0</v>
      </c>
      <c r="O1195" s="35" t="str">
        <f aca="false">IF($A1195="","",MONTH($A1195))</f>
        <v/>
      </c>
      <c r="P1195" s="35" t="str">
        <f aca="false">IF($A1195="","",ROUNDUP(MONTH($A1195)/3,0))</f>
        <v/>
      </c>
      <c r="Q1195" s="35" t="str">
        <f aca="false">IF($A1195="","",IF(MONTH($A1195)&lt;=6,1,2))</f>
        <v/>
      </c>
      <c r="R1195" s="35" t="str">
        <f aca="false">IF($E1195="","",IFERROR(INDEX(Kontenplan!$F$5:$F$90,MATCH($E1195,Kontenplan!$A$5:$A$90,0)),""))</f>
        <v/>
      </c>
      <c r="S1195" s="35" t="str">
        <f aca="false">IF($D1195="","",IFERROR(INDEX(Kontenplan!$F$5:$F$90,MATCH($D1195,Kontenplan!$A$5:$A$90,0)),""))</f>
        <v/>
      </c>
      <c r="T1195" s="35" t="str">
        <f aca="false">IF($D1195="","",IFERROR(INDEX(Kontenplan!$C$5:$C$90,MATCH($D1195,Kontenplan!$A$5:$A$90,0)),"?"))</f>
        <v/>
      </c>
      <c r="U1195" s="35" t="str">
        <f aca="false">IF($E1195="","",IFERROR(INDEX(Kontenplan!$C$5:$C$90,MATCH($E1195,Kontenplan!$A$5:$A$90,0)),"?"))</f>
        <v/>
      </c>
      <c r="V1195" s="35" t="str">
        <f aca="false">IF($F1195="","",IF(OR($D1195="",$E1195="",$T1195="?",$U1195="?"),"Konto prüfen!",IF($A1195="","Datum fehlt",IF(YEAR($A1195)&lt;&gt;Einstellungen!$B$7,"anderes Jahr!",IF($G1195="","MWST-Code fehlt","OK")))))</f>
        <v/>
      </c>
      <c r="W1195" s="35" t="str">
        <f aca="false">IF($F1195="","",IF(OR($D1195=Kontoauszug!$C$4,$E1195=Kontoauszug!$C$4),MAX(W$4:W1194)+1,""))</f>
        <v/>
      </c>
    </row>
    <row r="1196" customFormat="false" ht="15" hidden="false" customHeight="false" outlineLevel="0" collapsed="false">
      <c r="A1196" s="33"/>
      <c r="B1196" s="32"/>
      <c r="C1196" s="32"/>
      <c r="D1196" s="32"/>
      <c r="E1196" s="32"/>
      <c r="F1196" s="30"/>
      <c r="G1196" s="32"/>
      <c r="H1196" s="34" t="n">
        <f aca="false">IF($G1196="",0,IFERROR(INDEX(Einstellungen!$G$5:$G$11,MATCH($G1196,Einstellungen!$E$5:$E$11,0)),0))</f>
        <v>0</v>
      </c>
      <c r="I1196" s="35" t="str">
        <f aca="false">IF($G1196="","-",IFERROR(INDEX(Einstellungen!$H$5:$H$11,MATCH($G1196,Einstellungen!$E$5:$E$11,0)),"-"))</f>
        <v>-</v>
      </c>
      <c r="J1196" s="35" t="str">
        <f aca="false">IF(AND(Einstellungen!$B$8="Ja",Einstellungen!$B$9="Effektiv"),$I1196,"-")</f>
        <v>-</v>
      </c>
      <c r="K1196" s="31" t="n">
        <f aca="false">IF(OR($F1196="",$J1196="-"),0,ROUND($F1196-$F1196/(1+$H1196),2))</f>
        <v>0</v>
      </c>
      <c r="L1196" s="31" t="n">
        <f aca="false">IF($F1196="",0,$F1196-$K1196)</f>
        <v>0</v>
      </c>
      <c r="M1196" s="31" t="n">
        <f aca="false">IF($F1196="",0,IF($J1196="V",$L1196,$F1196))</f>
        <v>0</v>
      </c>
      <c r="N1196" s="31" t="n">
        <f aca="false">IF($F1196="",0,IF($J1196="U",$L1196,$F1196))</f>
        <v>0</v>
      </c>
      <c r="O1196" s="35" t="str">
        <f aca="false">IF($A1196="","",MONTH($A1196))</f>
        <v/>
      </c>
      <c r="P1196" s="35" t="str">
        <f aca="false">IF($A1196="","",ROUNDUP(MONTH($A1196)/3,0))</f>
        <v/>
      </c>
      <c r="Q1196" s="35" t="str">
        <f aca="false">IF($A1196="","",IF(MONTH($A1196)&lt;=6,1,2))</f>
        <v/>
      </c>
      <c r="R1196" s="35" t="str">
        <f aca="false">IF($E1196="","",IFERROR(INDEX(Kontenplan!$F$5:$F$90,MATCH($E1196,Kontenplan!$A$5:$A$90,0)),""))</f>
        <v/>
      </c>
      <c r="S1196" s="35" t="str">
        <f aca="false">IF($D1196="","",IFERROR(INDEX(Kontenplan!$F$5:$F$90,MATCH($D1196,Kontenplan!$A$5:$A$90,0)),""))</f>
        <v/>
      </c>
      <c r="T1196" s="35" t="str">
        <f aca="false">IF($D1196="","",IFERROR(INDEX(Kontenplan!$C$5:$C$90,MATCH($D1196,Kontenplan!$A$5:$A$90,0)),"?"))</f>
        <v/>
      </c>
      <c r="U1196" s="35" t="str">
        <f aca="false">IF($E1196="","",IFERROR(INDEX(Kontenplan!$C$5:$C$90,MATCH($E1196,Kontenplan!$A$5:$A$90,0)),"?"))</f>
        <v/>
      </c>
      <c r="V1196" s="35" t="str">
        <f aca="false">IF($F1196="","",IF(OR($D1196="",$E1196="",$T1196="?",$U1196="?"),"Konto prüfen!",IF($A1196="","Datum fehlt",IF(YEAR($A1196)&lt;&gt;Einstellungen!$B$7,"anderes Jahr!",IF($G1196="","MWST-Code fehlt","OK")))))</f>
        <v/>
      </c>
      <c r="W1196" s="35" t="str">
        <f aca="false">IF($F1196="","",IF(OR($D1196=Kontoauszug!$C$4,$E1196=Kontoauszug!$C$4),MAX(W$4:W1195)+1,""))</f>
        <v/>
      </c>
    </row>
    <row r="1197" customFormat="false" ht="15" hidden="false" customHeight="false" outlineLevel="0" collapsed="false">
      <c r="A1197" s="33"/>
      <c r="B1197" s="32"/>
      <c r="C1197" s="32"/>
      <c r="D1197" s="32"/>
      <c r="E1197" s="32"/>
      <c r="F1197" s="30"/>
      <c r="G1197" s="32"/>
      <c r="H1197" s="34" t="n">
        <f aca="false">IF($G1197="",0,IFERROR(INDEX(Einstellungen!$G$5:$G$11,MATCH($G1197,Einstellungen!$E$5:$E$11,0)),0))</f>
        <v>0</v>
      </c>
      <c r="I1197" s="35" t="str">
        <f aca="false">IF($G1197="","-",IFERROR(INDEX(Einstellungen!$H$5:$H$11,MATCH($G1197,Einstellungen!$E$5:$E$11,0)),"-"))</f>
        <v>-</v>
      </c>
      <c r="J1197" s="35" t="str">
        <f aca="false">IF(AND(Einstellungen!$B$8="Ja",Einstellungen!$B$9="Effektiv"),$I1197,"-")</f>
        <v>-</v>
      </c>
      <c r="K1197" s="31" t="n">
        <f aca="false">IF(OR($F1197="",$J1197="-"),0,ROUND($F1197-$F1197/(1+$H1197),2))</f>
        <v>0</v>
      </c>
      <c r="L1197" s="31" t="n">
        <f aca="false">IF($F1197="",0,$F1197-$K1197)</f>
        <v>0</v>
      </c>
      <c r="M1197" s="31" t="n">
        <f aca="false">IF($F1197="",0,IF($J1197="V",$L1197,$F1197))</f>
        <v>0</v>
      </c>
      <c r="N1197" s="31" t="n">
        <f aca="false">IF($F1197="",0,IF($J1197="U",$L1197,$F1197))</f>
        <v>0</v>
      </c>
      <c r="O1197" s="35" t="str">
        <f aca="false">IF($A1197="","",MONTH($A1197))</f>
        <v/>
      </c>
      <c r="P1197" s="35" t="str">
        <f aca="false">IF($A1197="","",ROUNDUP(MONTH($A1197)/3,0))</f>
        <v/>
      </c>
      <c r="Q1197" s="35" t="str">
        <f aca="false">IF($A1197="","",IF(MONTH($A1197)&lt;=6,1,2))</f>
        <v/>
      </c>
      <c r="R1197" s="35" t="str">
        <f aca="false">IF($E1197="","",IFERROR(INDEX(Kontenplan!$F$5:$F$90,MATCH($E1197,Kontenplan!$A$5:$A$90,0)),""))</f>
        <v/>
      </c>
      <c r="S1197" s="35" t="str">
        <f aca="false">IF($D1197="","",IFERROR(INDEX(Kontenplan!$F$5:$F$90,MATCH($D1197,Kontenplan!$A$5:$A$90,0)),""))</f>
        <v/>
      </c>
      <c r="T1197" s="35" t="str">
        <f aca="false">IF($D1197="","",IFERROR(INDEX(Kontenplan!$C$5:$C$90,MATCH($D1197,Kontenplan!$A$5:$A$90,0)),"?"))</f>
        <v/>
      </c>
      <c r="U1197" s="35" t="str">
        <f aca="false">IF($E1197="","",IFERROR(INDEX(Kontenplan!$C$5:$C$90,MATCH($E1197,Kontenplan!$A$5:$A$90,0)),"?"))</f>
        <v/>
      </c>
      <c r="V1197" s="35" t="str">
        <f aca="false">IF($F1197="","",IF(OR($D1197="",$E1197="",$T1197="?",$U1197="?"),"Konto prüfen!",IF($A1197="","Datum fehlt",IF(YEAR($A1197)&lt;&gt;Einstellungen!$B$7,"anderes Jahr!",IF($G1197="","MWST-Code fehlt","OK")))))</f>
        <v/>
      </c>
      <c r="W1197" s="35" t="str">
        <f aca="false">IF($F1197="","",IF(OR($D1197=Kontoauszug!$C$4,$E1197=Kontoauszug!$C$4),MAX(W$4:W1196)+1,""))</f>
        <v/>
      </c>
    </row>
    <row r="1198" customFormat="false" ht="15" hidden="false" customHeight="false" outlineLevel="0" collapsed="false">
      <c r="A1198" s="33"/>
      <c r="B1198" s="32"/>
      <c r="C1198" s="32"/>
      <c r="D1198" s="32"/>
      <c r="E1198" s="32"/>
      <c r="F1198" s="30"/>
      <c r="G1198" s="32"/>
      <c r="H1198" s="34" t="n">
        <f aca="false">IF($G1198="",0,IFERROR(INDEX(Einstellungen!$G$5:$G$11,MATCH($G1198,Einstellungen!$E$5:$E$11,0)),0))</f>
        <v>0</v>
      </c>
      <c r="I1198" s="35" t="str">
        <f aca="false">IF($G1198="","-",IFERROR(INDEX(Einstellungen!$H$5:$H$11,MATCH($G1198,Einstellungen!$E$5:$E$11,0)),"-"))</f>
        <v>-</v>
      </c>
      <c r="J1198" s="35" t="str">
        <f aca="false">IF(AND(Einstellungen!$B$8="Ja",Einstellungen!$B$9="Effektiv"),$I1198,"-")</f>
        <v>-</v>
      </c>
      <c r="K1198" s="31" t="n">
        <f aca="false">IF(OR($F1198="",$J1198="-"),0,ROUND($F1198-$F1198/(1+$H1198),2))</f>
        <v>0</v>
      </c>
      <c r="L1198" s="31" t="n">
        <f aca="false">IF($F1198="",0,$F1198-$K1198)</f>
        <v>0</v>
      </c>
      <c r="M1198" s="31" t="n">
        <f aca="false">IF($F1198="",0,IF($J1198="V",$L1198,$F1198))</f>
        <v>0</v>
      </c>
      <c r="N1198" s="31" t="n">
        <f aca="false">IF($F1198="",0,IF($J1198="U",$L1198,$F1198))</f>
        <v>0</v>
      </c>
      <c r="O1198" s="35" t="str">
        <f aca="false">IF($A1198="","",MONTH($A1198))</f>
        <v/>
      </c>
      <c r="P1198" s="35" t="str">
        <f aca="false">IF($A1198="","",ROUNDUP(MONTH($A1198)/3,0))</f>
        <v/>
      </c>
      <c r="Q1198" s="35" t="str">
        <f aca="false">IF($A1198="","",IF(MONTH($A1198)&lt;=6,1,2))</f>
        <v/>
      </c>
      <c r="R1198" s="35" t="str">
        <f aca="false">IF($E1198="","",IFERROR(INDEX(Kontenplan!$F$5:$F$90,MATCH($E1198,Kontenplan!$A$5:$A$90,0)),""))</f>
        <v/>
      </c>
      <c r="S1198" s="35" t="str">
        <f aca="false">IF($D1198="","",IFERROR(INDEX(Kontenplan!$F$5:$F$90,MATCH($D1198,Kontenplan!$A$5:$A$90,0)),""))</f>
        <v/>
      </c>
      <c r="T1198" s="35" t="str">
        <f aca="false">IF($D1198="","",IFERROR(INDEX(Kontenplan!$C$5:$C$90,MATCH($D1198,Kontenplan!$A$5:$A$90,0)),"?"))</f>
        <v/>
      </c>
      <c r="U1198" s="35" t="str">
        <f aca="false">IF($E1198="","",IFERROR(INDEX(Kontenplan!$C$5:$C$90,MATCH($E1198,Kontenplan!$A$5:$A$90,0)),"?"))</f>
        <v/>
      </c>
      <c r="V1198" s="35" t="str">
        <f aca="false">IF($F1198="","",IF(OR($D1198="",$E1198="",$T1198="?",$U1198="?"),"Konto prüfen!",IF($A1198="","Datum fehlt",IF(YEAR($A1198)&lt;&gt;Einstellungen!$B$7,"anderes Jahr!",IF($G1198="","MWST-Code fehlt","OK")))))</f>
        <v/>
      </c>
      <c r="W1198" s="35" t="str">
        <f aca="false">IF($F1198="","",IF(OR($D1198=Kontoauszug!$C$4,$E1198=Kontoauszug!$C$4),MAX(W$4:W1197)+1,""))</f>
        <v/>
      </c>
    </row>
    <row r="1199" customFormat="false" ht="15" hidden="false" customHeight="false" outlineLevel="0" collapsed="false">
      <c r="A1199" s="33"/>
      <c r="B1199" s="32"/>
      <c r="C1199" s="32"/>
      <c r="D1199" s="32"/>
      <c r="E1199" s="32"/>
      <c r="F1199" s="30"/>
      <c r="G1199" s="32"/>
      <c r="H1199" s="34" t="n">
        <f aca="false">IF($G1199="",0,IFERROR(INDEX(Einstellungen!$G$5:$G$11,MATCH($G1199,Einstellungen!$E$5:$E$11,0)),0))</f>
        <v>0</v>
      </c>
      <c r="I1199" s="35" t="str">
        <f aca="false">IF($G1199="","-",IFERROR(INDEX(Einstellungen!$H$5:$H$11,MATCH($G1199,Einstellungen!$E$5:$E$11,0)),"-"))</f>
        <v>-</v>
      </c>
      <c r="J1199" s="35" t="str">
        <f aca="false">IF(AND(Einstellungen!$B$8="Ja",Einstellungen!$B$9="Effektiv"),$I1199,"-")</f>
        <v>-</v>
      </c>
      <c r="K1199" s="31" t="n">
        <f aca="false">IF(OR($F1199="",$J1199="-"),0,ROUND($F1199-$F1199/(1+$H1199),2))</f>
        <v>0</v>
      </c>
      <c r="L1199" s="31" t="n">
        <f aca="false">IF($F1199="",0,$F1199-$K1199)</f>
        <v>0</v>
      </c>
      <c r="M1199" s="31" t="n">
        <f aca="false">IF($F1199="",0,IF($J1199="V",$L1199,$F1199))</f>
        <v>0</v>
      </c>
      <c r="N1199" s="31" t="n">
        <f aca="false">IF($F1199="",0,IF($J1199="U",$L1199,$F1199))</f>
        <v>0</v>
      </c>
      <c r="O1199" s="35" t="str">
        <f aca="false">IF($A1199="","",MONTH($A1199))</f>
        <v/>
      </c>
      <c r="P1199" s="35" t="str">
        <f aca="false">IF($A1199="","",ROUNDUP(MONTH($A1199)/3,0))</f>
        <v/>
      </c>
      <c r="Q1199" s="35" t="str">
        <f aca="false">IF($A1199="","",IF(MONTH($A1199)&lt;=6,1,2))</f>
        <v/>
      </c>
      <c r="R1199" s="35" t="str">
        <f aca="false">IF($E1199="","",IFERROR(INDEX(Kontenplan!$F$5:$F$90,MATCH($E1199,Kontenplan!$A$5:$A$90,0)),""))</f>
        <v/>
      </c>
      <c r="S1199" s="35" t="str">
        <f aca="false">IF($D1199="","",IFERROR(INDEX(Kontenplan!$F$5:$F$90,MATCH($D1199,Kontenplan!$A$5:$A$90,0)),""))</f>
        <v/>
      </c>
      <c r="T1199" s="35" t="str">
        <f aca="false">IF($D1199="","",IFERROR(INDEX(Kontenplan!$C$5:$C$90,MATCH($D1199,Kontenplan!$A$5:$A$90,0)),"?"))</f>
        <v/>
      </c>
      <c r="U1199" s="35" t="str">
        <f aca="false">IF($E1199="","",IFERROR(INDEX(Kontenplan!$C$5:$C$90,MATCH($E1199,Kontenplan!$A$5:$A$90,0)),"?"))</f>
        <v/>
      </c>
      <c r="V1199" s="35" t="str">
        <f aca="false">IF($F1199="","",IF(OR($D1199="",$E1199="",$T1199="?",$U1199="?"),"Konto prüfen!",IF($A1199="","Datum fehlt",IF(YEAR($A1199)&lt;&gt;Einstellungen!$B$7,"anderes Jahr!",IF($G1199="","MWST-Code fehlt","OK")))))</f>
        <v/>
      </c>
      <c r="W1199" s="35" t="str">
        <f aca="false">IF($F1199="","",IF(OR($D1199=Kontoauszug!$C$4,$E1199=Kontoauszug!$C$4),MAX(W$4:W1198)+1,""))</f>
        <v/>
      </c>
    </row>
    <row r="1200" customFormat="false" ht="15" hidden="false" customHeight="false" outlineLevel="0" collapsed="false">
      <c r="A1200" s="33"/>
      <c r="B1200" s="32"/>
      <c r="C1200" s="32"/>
      <c r="D1200" s="32"/>
      <c r="E1200" s="32"/>
      <c r="F1200" s="30"/>
      <c r="G1200" s="32"/>
      <c r="H1200" s="34" t="n">
        <f aca="false">IF($G1200="",0,IFERROR(INDEX(Einstellungen!$G$5:$G$11,MATCH($G1200,Einstellungen!$E$5:$E$11,0)),0))</f>
        <v>0</v>
      </c>
      <c r="I1200" s="35" t="str">
        <f aca="false">IF($G1200="","-",IFERROR(INDEX(Einstellungen!$H$5:$H$11,MATCH($G1200,Einstellungen!$E$5:$E$11,0)),"-"))</f>
        <v>-</v>
      </c>
      <c r="J1200" s="35" t="str">
        <f aca="false">IF(AND(Einstellungen!$B$8="Ja",Einstellungen!$B$9="Effektiv"),$I1200,"-")</f>
        <v>-</v>
      </c>
      <c r="K1200" s="31" t="n">
        <f aca="false">IF(OR($F1200="",$J1200="-"),0,ROUND($F1200-$F1200/(1+$H1200),2))</f>
        <v>0</v>
      </c>
      <c r="L1200" s="31" t="n">
        <f aca="false">IF($F1200="",0,$F1200-$K1200)</f>
        <v>0</v>
      </c>
      <c r="M1200" s="31" t="n">
        <f aca="false">IF($F1200="",0,IF($J1200="V",$L1200,$F1200))</f>
        <v>0</v>
      </c>
      <c r="N1200" s="31" t="n">
        <f aca="false">IF($F1200="",0,IF($J1200="U",$L1200,$F1200))</f>
        <v>0</v>
      </c>
      <c r="O1200" s="35" t="str">
        <f aca="false">IF($A1200="","",MONTH($A1200))</f>
        <v/>
      </c>
      <c r="P1200" s="35" t="str">
        <f aca="false">IF($A1200="","",ROUNDUP(MONTH($A1200)/3,0))</f>
        <v/>
      </c>
      <c r="Q1200" s="35" t="str">
        <f aca="false">IF($A1200="","",IF(MONTH($A1200)&lt;=6,1,2))</f>
        <v/>
      </c>
      <c r="R1200" s="35" t="str">
        <f aca="false">IF($E1200="","",IFERROR(INDEX(Kontenplan!$F$5:$F$90,MATCH($E1200,Kontenplan!$A$5:$A$90,0)),""))</f>
        <v/>
      </c>
      <c r="S1200" s="35" t="str">
        <f aca="false">IF($D1200="","",IFERROR(INDEX(Kontenplan!$F$5:$F$90,MATCH($D1200,Kontenplan!$A$5:$A$90,0)),""))</f>
        <v/>
      </c>
      <c r="T1200" s="35" t="str">
        <f aca="false">IF($D1200="","",IFERROR(INDEX(Kontenplan!$C$5:$C$90,MATCH($D1200,Kontenplan!$A$5:$A$90,0)),"?"))</f>
        <v/>
      </c>
      <c r="U1200" s="35" t="str">
        <f aca="false">IF($E1200="","",IFERROR(INDEX(Kontenplan!$C$5:$C$90,MATCH($E1200,Kontenplan!$A$5:$A$90,0)),"?"))</f>
        <v/>
      </c>
      <c r="V1200" s="35" t="str">
        <f aca="false">IF($F1200="","",IF(OR($D1200="",$E1200="",$T1200="?",$U1200="?"),"Konto prüfen!",IF($A1200="","Datum fehlt",IF(YEAR($A1200)&lt;&gt;Einstellungen!$B$7,"anderes Jahr!",IF($G1200="","MWST-Code fehlt","OK")))))</f>
        <v/>
      </c>
      <c r="W1200" s="35" t="str">
        <f aca="false">IF($F1200="","",IF(OR($D1200=Kontoauszug!$C$4,$E1200=Kontoauszug!$C$4),MAX(W$4:W1199)+1,""))</f>
        <v/>
      </c>
    </row>
    <row r="1201" customFormat="false" ht="15" hidden="false" customHeight="false" outlineLevel="0" collapsed="false">
      <c r="A1201" s="33"/>
      <c r="B1201" s="32"/>
      <c r="C1201" s="32"/>
      <c r="D1201" s="32"/>
      <c r="E1201" s="32"/>
      <c r="F1201" s="30"/>
      <c r="G1201" s="32"/>
      <c r="H1201" s="34" t="n">
        <f aca="false">IF($G1201="",0,IFERROR(INDEX(Einstellungen!$G$5:$G$11,MATCH($G1201,Einstellungen!$E$5:$E$11,0)),0))</f>
        <v>0</v>
      </c>
      <c r="I1201" s="35" t="str">
        <f aca="false">IF($G1201="","-",IFERROR(INDEX(Einstellungen!$H$5:$H$11,MATCH($G1201,Einstellungen!$E$5:$E$11,0)),"-"))</f>
        <v>-</v>
      </c>
      <c r="J1201" s="35" t="str">
        <f aca="false">IF(AND(Einstellungen!$B$8="Ja",Einstellungen!$B$9="Effektiv"),$I1201,"-")</f>
        <v>-</v>
      </c>
      <c r="K1201" s="31" t="n">
        <f aca="false">IF(OR($F1201="",$J1201="-"),0,ROUND($F1201-$F1201/(1+$H1201),2))</f>
        <v>0</v>
      </c>
      <c r="L1201" s="31" t="n">
        <f aca="false">IF($F1201="",0,$F1201-$K1201)</f>
        <v>0</v>
      </c>
      <c r="M1201" s="31" t="n">
        <f aca="false">IF($F1201="",0,IF($J1201="V",$L1201,$F1201))</f>
        <v>0</v>
      </c>
      <c r="N1201" s="31" t="n">
        <f aca="false">IF($F1201="",0,IF($J1201="U",$L1201,$F1201))</f>
        <v>0</v>
      </c>
      <c r="O1201" s="35" t="str">
        <f aca="false">IF($A1201="","",MONTH($A1201))</f>
        <v/>
      </c>
      <c r="P1201" s="35" t="str">
        <f aca="false">IF($A1201="","",ROUNDUP(MONTH($A1201)/3,0))</f>
        <v/>
      </c>
      <c r="Q1201" s="35" t="str">
        <f aca="false">IF($A1201="","",IF(MONTH($A1201)&lt;=6,1,2))</f>
        <v/>
      </c>
      <c r="R1201" s="35" t="str">
        <f aca="false">IF($E1201="","",IFERROR(INDEX(Kontenplan!$F$5:$F$90,MATCH($E1201,Kontenplan!$A$5:$A$90,0)),""))</f>
        <v/>
      </c>
      <c r="S1201" s="35" t="str">
        <f aca="false">IF($D1201="","",IFERROR(INDEX(Kontenplan!$F$5:$F$90,MATCH($D1201,Kontenplan!$A$5:$A$90,0)),""))</f>
        <v/>
      </c>
      <c r="T1201" s="35" t="str">
        <f aca="false">IF($D1201="","",IFERROR(INDEX(Kontenplan!$C$5:$C$90,MATCH($D1201,Kontenplan!$A$5:$A$90,0)),"?"))</f>
        <v/>
      </c>
      <c r="U1201" s="35" t="str">
        <f aca="false">IF($E1201="","",IFERROR(INDEX(Kontenplan!$C$5:$C$90,MATCH($E1201,Kontenplan!$A$5:$A$90,0)),"?"))</f>
        <v/>
      </c>
      <c r="V1201" s="35" t="str">
        <f aca="false">IF($F1201="","",IF(OR($D1201="",$E1201="",$T1201="?",$U1201="?"),"Konto prüfen!",IF($A1201="","Datum fehlt",IF(YEAR($A1201)&lt;&gt;Einstellungen!$B$7,"anderes Jahr!",IF($G1201="","MWST-Code fehlt","OK")))))</f>
        <v/>
      </c>
      <c r="W1201" s="35" t="str">
        <f aca="false">IF($F1201="","",IF(OR($D1201=Kontoauszug!$C$4,$E1201=Kontoauszug!$C$4),MAX(W$4:W1200)+1,""))</f>
        <v/>
      </c>
    </row>
    <row r="1202" customFormat="false" ht="15" hidden="false" customHeight="false" outlineLevel="0" collapsed="false">
      <c r="A1202" s="33"/>
      <c r="B1202" s="32"/>
      <c r="C1202" s="32"/>
      <c r="D1202" s="32"/>
      <c r="E1202" s="32"/>
      <c r="F1202" s="30"/>
      <c r="G1202" s="32"/>
      <c r="H1202" s="34" t="n">
        <f aca="false">IF($G1202="",0,IFERROR(INDEX(Einstellungen!$G$5:$G$11,MATCH($G1202,Einstellungen!$E$5:$E$11,0)),0))</f>
        <v>0</v>
      </c>
      <c r="I1202" s="35" t="str">
        <f aca="false">IF($G1202="","-",IFERROR(INDEX(Einstellungen!$H$5:$H$11,MATCH($G1202,Einstellungen!$E$5:$E$11,0)),"-"))</f>
        <v>-</v>
      </c>
      <c r="J1202" s="35" t="str">
        <f aca="false">IF(AND(Einstellungen!$B$8="Ja",Einstellungen!$B$9="Effektiv"),$I1202,"-")</f>
        <v>-</v>
      </c>
      <c r="K1202" s="31" t="n">
        <f aca="false">IF(OR($F1202="",$J1202="-"),0,ROUND($F1202-$F1202/(1+$H1202),2))</f>
        <v>0</v>
      </c>
      <c r="L1202" s="31" t="n">
        <f aca="false">IF($F1202="",0,$F1202-$K1202)</f>
        <v>0</v>
      </c>
      <c r="M1202" s="31" t="n">
        <f aca="false">IF($F1202="",0,IF($J1202="V",$L1202,$F1202))</f>
        <v>0</v>
      </c>
      <c r="N1202" s="31" t="n">
        <f aca="false">IF($F1202="",0,IF($J1202="U",$L1202,$F1202))</f>
        <v>0</v>
      </c>
      <c r="O1202" s="35" t="str">
        <f aca="false">IF($A1202="","",MONTH($A1202))</f>
        <v/>
      </c>
      <c r="P1202" s="35" t="str">
        <f aca="false">IF($A1202="","",ROUNDUP(MONTH($A1202)/3,0))</f>
        <v/>
      </c>
      <c r="Q1202" s="35" t="str">
        <f aca="false">IF($A1202="","",IF(MONTH($A1202)&lt;=6,1,2))</f>
        <v/>
      </c>
      <c r="R1202" s="35" t="str">
        <f aca="false">IF($E1202="","",IFERROR(INDEX(Kontenplan!$F$5:$F$90,MATCH($E1202,Kontenplan!$A$5:$A$90,0)),""))</f>
        <v/>
      </c>
      <c r="S1202" s="35" t="str">
        <f aca="false">IF($D1202="","",IFERROR(INDEX(Kontenplan!$F$5:$F$90,MATCH($D1202,Kontenplan!$A$5:$A$90,0)),""))</f>
        <v/>
      </c>
      <c r="T1202" s="35" t="str">
        <f aca="false">IF($D1202="","",IFERROR(INDEX(Kontenplan!$C$5:$C$90,MATCH($D1202,Kontenplan!$A$5:$A$90,0)),"?"))</f>
        <v/>
      </c>
      <c r="U1202" s="35" t="str">
        <f aca="false">IF($E1202="","",IFERROR(INDEX(Kontenplan!$C$5:$C$90,MATCH($E1202,Kontenplan!$A$5:$A$90,0)),"?"))</f>
        <v/>
      </c>
      <c r="V1202" s="35" t="str">
        <f aca="false">IF($F1202="","",IF(OR($D1202="",$E1202="",$T1202="?",$U1202="?"),"Konto prüfen!",IF($A1202="","Datum fehlt",IF(YEAR($A1202)&lt;&gt;Einstellungen!$B$7,"anderes Jahr!",IF($G1202="","MWST-Code fehlt","OK")))))</f>
        <v/>
      </c>
      <c r="W1202" s="35" t="str">
        <f aca="false">IF($F1202="","",IF(OR($D1202=Kontoauszug!$C$4,$E1202=Kontoauszug!$C$4),MAX(W$4:W1201)+1,""))</f>
        <v/>
      </c>
    </row>
    <row r="1203" customFormat="false" ht="15" hidden="false" customHeight="false" outlineLevel="0" collapsed="false">
      <c r="A1203" s="33"/>
      <c r="B1203" s="32"/>
      <c r="C1203" s="32"/>
      <c r="D1203" s="32"/>
      <c r="E1203" s="32"/>
      <c r="F1203" s="30"/>
      <c r="G1203" s="32"/>
      <c r="H1203" s="34" t="n">
        <f aca="false">IF($G1203="",0,IFERROR(INDEX(Einstellungen!$G$5:$G$11,MATCH($G1203,Einstellungen!$E$5:$E$11,0)),0))</f>
        <v>0</v>
      </c>
      <c r="I1203" s="35" t="str">
        <f aca="false">IF($G1203="","-",IFERROR(INDEX(Einstellungen!$H$5:$H$11,MATCH($G1203,Einstellungen!$E$5:$E$11,0)),"-"))</f>
        <v>-</v>
      </c>
      <c r="J1203" s="35" t="str">
        <f aca="false">IF(AND(Einstellungen!$B$8="Ja",Einstellungen!$B$9="Effektiv"),$I1203,"-")</f>
        <v>-</v>
      </c>
      <c r="K1203" s="31" t="n">
        <f aca="false">IF(OR($F1203="",$J1203="-"),0,ROUND($F1203-$F1203/(1+$H1203),2))</f>
        <v>0</v>
      </c>
      <c r="L1203" s="31" t="n">
        <f aca="false">IF($F1203="",0,$F1203-$K1203)</f>
        <v>0</v>
      </c>
      <c r="M1203" s="31" t="n">
        <f aca="false">IF($F1203="",0,IF($J1203="V",$L1203,$F1203))</f>
        <v>0</v>
      </c>
      <c r="N1203" s="31" t="n">
        <f aca="false">IF($F1203="",0,IF($J1203="U",$L1203,$F1203))</f>
        <v>0</v>
      </c>
      <c r="O1203" s="35" t="str">
        <f aca="false">IF($A1203="","",MONTH($A1203))</f>
        <v/>
      </c>
      <c r="P1203" s="35" t="str">
        <f aca="false">IF($A1203="","",ROUNDUP(MONTH($A1203)/3,0))</f>
        <v/>
      </c>
      <c r="Q1203" s="35" t="str">
        <f aca="false">IF($A1203="","",IF(MONTH($A1203)&lt;=6,1,2))</f>
        <v/>
      </c>
      <c r="R1203" s="35" t="str">
        <f aca="false">IF($E1203="","",IFERROR(INDEX(Kontenplan!$F$5:$F$90,MATCH($E1203,Kontenplan!$A$5:$A$90,0)),""))</f>
        <v/>
      </c>
      <c r="S1203" s="35" t="str">
        <f aca="false">IF($D1203="","",IFERROR(INDEX(Kontenplan!$F$5:$F$90,MATCH($D1203,Kontenplan!$A$5:$A$90,0)),""))</f>
        <v/>
      </c>
      <c r="T1203" s="35" t="str">
        <f aca="false">IF($D1203="","",IFERROR(INDEX(Kontenplan!$C$5:$C$90,MATCH($D1203,Kontenplan!$A$5:$A$90,0)),"?"))</f>
        <v/>
      </c>
      <c r="U1203" s="35" t="str">
        <f aca="false">IF($E1203="","",IFERROR(INDEX(Kontenplan!$C$5:$C$90,MATCH($E1203,Kontenplan!$A$5:$A$90,0)),"?"))</f>
        <v/>
      </c>
      <c r="V1203" s="35" t="str">
        <f aca="false">IF($F1203="","",IF(OR($D1203="",$E1203="",$T1203="?",$U1203="?"),"Konto prüfen!",IF($A1203="","Datum fehlt",IF(YEAR($A1203)&lt;&gt;Einstellungen!$B$7,"anderes Jahr!",IF($G1203="","MWST-Code fehlt","OK")))))</f>
        <v/>
      </c>
      <c r="W1203" s="35" t="str">
        <f aca="false">IF($F1203="","",IF(OR($D1203=Kontoauszug!$C$4,$E1203=Kontoauszug!$C$4),MAX(W$4:W1202)+1,""))</f>
        <v/>
      </c>
    </row>
    <row r="1204" customFormat="false" ht="15" hidden="false" customHeight="false" outlineLevel="0" collapsed="false">
      <c r="A1204" s="33"/>
      <c r="B1204" s="32"/>
      <c r="C1204" s="32"/>
      <c r="D1204" s="32"/>
      <c r="E1204" s="32"/>
      <c r="F1204" s="30"/>
      <c r="G1204" s="32"/>
      <c r="H1204" s="34" t="n">
        <f aca="false">IF($G1204="",0,IFERROR(INDEX(Einstellungen!$G$5:$G$11,MATCH($G1204,Einstellungen!$E$5:$E$11,0)),0))</f>
        <v>0</v>
      </c>
      <c r="I1204" s="35" t="str">
        <f aca="false">IF($G1204="","-",IFERROR(INDEX(Einstellungen!$H$5:$H$11,MATCH($G1204,Einstellungen!$E$5:$E$11,0)),"-"))</f>
        <v>-</v>
      </c>
      <c r="J1204" s="35" t="str">
        <f aca="false">IF(AND(Einstellungen!$B$8="Ja",Einstellungen!$B$9="Effektiv"),$I1204,"-")</f>
        <v>-</v>
      </c>
      <c r="K1204" s="31" t="n">
        <f aca="false">IF(OR($F1204="",$J1204="-"),0,ROUND($F1204-$F1204/(1+$H1204),2))</f>
        <v>0</v>
      </c>
      <c r="L1204" s="31" t="n">
        <f aca="false">IF($F1204="",0,$F1204-$K1204)</f>
        <v>0</v>
      </c>
      <c r="M1204" s="31" t="n">
        <f aca="false">IF($F1204="",0,IF($J1204="V",$L1204,$F1204))</f>
        <v>0</v>
      </c>
      <c r="N1204" s="31" t="n">
        <f aca="false">IF($F1204="",0,IF($J1204="U",$L1204,$F1204))</f>
        <v>0</v>
      </c>
      <c r="O1204" s="35" t="str">
        <f aca="false">IF($A1204="","",MONTH($A1204))</f>
        <v/>
      </c>
      <c r="P1204" s="35" t="str">
        <f aca="false">IF($A1204="","",ROUNDUP(MONTH($A1204)/3,0))</f>
        <v/>
      </c>
      <c r="Q1204" s="35" t="str">
        <f aca="false">IF($A1204="","",IF(MONTH($A1204)&lt;=6,1,2))</f>
        <v/>
      </c>
      <c r="R1204" s="35" t="str">
        <f aca="false">IF($E1204="","",IFERROR(INDEX(Kontenplan!$F$5:$F$90,MATCH($E1204,Kontenplan!$A$5:$A$90,0)),""))</f>
        <v/>
      </c>
      <c r="S1204" s="35" t="str">
        <f aca="false">IF($D1204="","",IFERROR(INDEX(Kontenplan!$F$5:$F$90,MATCH($D1204,Kontenplan!$A$5:$A$90,0)),""))</f>
        <v/>
      </c>
      <c r="T1204" s="35" t="str">
        <f aca="false">IF($D1204="","",IFERROR(INDEX(Kontenplan!$C$5:$C$90,MATCH($D1204,Kontenplan!$A$5:$A$90,0)),"?"))</f>
        <v/>
      </c>
      <c r="U1204" s="35" t="str">
        <f aca="false">IF($E1204="","",IFERROR(INDEX(Kontenplan!$C$5:$C$90,MATCH($E1204,Kontenplan!$A$5:$A$90,0)),"?"))</f>
        <v/>
      </c>
      <c r="V1204" s="35" t="str">
        <f aca="false">IF($F1204="","",IF(OR($D1204="",$E1204="",$T1204="?",$U1204="?"),"Konto prüfen!",IF($A1204="","Datum fehlt",IF(YEAR($A1204)&lt;&gt;Einstellungen!$B$7,"anderes Jahr!",IF($G1204="","MWST-Code fehlt","OK")))))</f>
        <v/>
      </c>
      <c r="W1204" s="35" t="str">
        <f aca="false">IF($F1204="","",IF(OR($D1204=Kontoauszug!$C$4,$E1204=Kontoauszug!$C$4),MAX(W$4:W1203)+1,""))</f>
        <v/>
      </c>
    </row>
    <row r="1205" customFormat="false" ht="15" hidden="false" customHeight="false" outlineLevel="0" collapsed="false">
      <c r="A1205" s="33"/>
      <c r="B1205" s="32"/>
      <c r="C1205" s="32"/>
      <c r="D1205" s="32"/>
      <c r="E1205" s="32"/>
      <c r="F1205" s="30"/>
      <c r="G1205" s="32"/>
      <c r="H1205" s="34" t="n">
        <f aca="false">IF($G1205="",0,IFERROR(INDEX(Einstellungen!$G$5:$G$11,MATCH($G1205,Einstellungen!$E$5:$E$11,0)),0))</f>
        <v>0</v>
      </c>
      <c r="I1205" s="35" t="str">
        <f aca="false">IF($G1205="","-",IFERROR(INDEX(Einstellungen!$H$5:$H$11,MATCH($G1205,Einstellungen!$E$5:$E$11,0)),"-"))</f>
        <v>-</v>
      </c>
      <c r="J1205" s="35" t="str">
        <f aca="false">IF(AND(Einstellungen!$B$8="Ja",Einstellungen!$B$9="Effektiv"),$I1205,"-")</f>
        <v>-</v>
      </c>
      <c r="K1205" s="31" t="n">
        <f aca="false">IF(OR($F1205="",$J1205="-"),0,ROUND($F1205-$F1205/(1+$H1205),2))</f>
        <v>0</v>
      </c>
      <c r="L1205" s="31" t="n">
        <f aca="false">IF($F1205="",0,$F1205-$K1205)</f>
        <v>0</v>
      </c>
      <c r="M1205" s="31" t="n">
        <f aca="false">IF($F1205="",0,IF($J1205="V",$L1205,$F1205))</f>
        <v>0</v>
      </c>
      <c r="N1205" s="31" t="n">
        <f aca="false">IF($F1205="",0,IF($J1205="U",$L1205,$F1205))</f>
        <v>0</v>
      </c>
      <c r="O1205" s="35" t="str">
        <f aca="false">IF($A1205="","",MONTH($A1205))</f>
        <v/>
      </c>
      <c r="P1205" s="35" t="str">
        <f aca="false">IF($A1205="","",ROUNDUP(MONTH($A1205)/3,0))</f>
        <v/>
      </c>
      <c r="Q1205" s="35" t="str">
        <f aca="false">IF($A1205="","",IF(MONTH($A1205)&lt;=6,1,2))</f>
        <v/>
      </c>
      <c r="R1205" s="35" t="str">
        <f aca="false">IF($E1205="","",IFERROR(INDEX(Kontenplan!$F$5:$F$90,MATCH($E1205,Kontenplan!$A$5:$A$90,0)),""))</f>
        <v/>
      </c>
      <c r="S1205" s="35" t="str">
        <f aca="false">IF($D1205="","",IFERROR(INDEX(Kontenplan!$F$5:$F$90,MATCH($D1205,Kontenplan!$A$5:$A$90,0)),""))</f>
        <v/>
      </c>
      <c r="T1205" s="35" t="str">
        <f aca="false">IF($D1205="","",IFERROR(INDEX(Kontenplan!$C$5:$C$90,MATCH($D1205,Kontenplan!$A$5:$A$90,0)),"?"))</f>
        <v/>
      </c>
      <c r="U1205" s="35" t="str">
        <f aca="false">IF($E1205="","",IFERROR(INDEX(Kontenplan!$C$5:$C$90,MATCH($E1205,Kontenplan!$A$5:$A$90,0)),"?"))</f>
        <v/>
      </c>
      <c r="V1205" s="35" t="str">
        <f aca="false">IF($F1205="","",IF(OR($D1205="",$E1205="",$T1205="?",$U1205="?"),"Konto prüfen!",IF($A1205="","Datum fehlt",IF(YEAR($A1205)&lt;&gt;Einstellungen!$B$7,"anderes Jahr!",IF($G1205="","MWST-Code fehlt","OK")))))</f>
        <v/>
      </c>
      <c r="W1205" s="35" t="str">
        <f aca="false">IF($F1205="","",IF(OR($D1205=Kontoauszug!$C$4,$E1205=Kontoauszug!$C$4),MAX(W$4:W1204)+1,""))</f>
        <v/>
      </c>
    </row>
    <row r="1206" customFormat="false" ht="15" hidden="false" customHeight="false" outlineLevel="0" collapsed="false">
      <c r="A1206" s="33"/>
      <c r="B1206" s="32"/>
      <c r="C1206" s="32"/>
      <c r="D1206" s="32"/>
      <c r="E1206" s="32"/>
      <c r="F1206" s="30"/>
      <c r="G1206" s="32"/>
      <c r="H1206" s="34" t="n">
        <f aca="false">IF($G1206="",0,IFERROR(INDEX(Einstellungen!$G$5:$G$11,MATCH($G1206,Einstellungen!$E$5:$E$11,0)),0))</f>
        <v>0</v>
      </c>
      <c r="I1206" s="35" t="str">
        <f aca="false">IF($G1206="","-",IFERROR(INDEX(Einstellungen!$H$5:$H$11,MATCH($G1206,Einstellungen!$E$5:$E$11,0)),"-"))</f>
        <v>-</v>
      </c>
      <c r="J1206" s="35" t="str">
        <f aca="false">IF(AND(Einstellungen!$B$8="Ja",Einstellungen!$B$9="Effektiv"),$I1206,"-")</f>
        <v>-</v>
      </c>
      <c r="K1206" s="31" t="n">
        <f aca="false">IF(OR($F1206="",$J1206="-"),0,ROUND($F1206-$F1206/(1+$H1206),2))</f>
        <v>0</v>
      </c>
      <c r="L1206" s="31" t="n">
        <f aca="false">IF($F1206="",0,$F1206-$K1206)</f>
        <v>0</v>
      </c>
      <c r="M1206" s="31" t="n">
        <f aca="false">IF($F1206="",0,IF($J1206="V",$L1206,$F1206))</f>
        <v>0</v>
      </c>
      <c r="N1206" s="31" t="n">
        <f aca="false">IF($F1206="",0,IF($J1206="U",$L1206,$F1206))</f>
        <v>0</v>
      </c>
      <c r="O1206" s="35" t="str">
        <f aca="false">IF($A1206="","",MONTH($A1206))</f>
        <v/>
      </c>
      <c r="P1206" s="35" t="str">
        <f aca="false">IF($A1206="","",ROUNDUP(MONTH($A1206)/3,0))</f>
        <v/>
      </c>
      <c r="Q1206" s="35" t="str">
        <f aca="false">IF($A1206="","",IF(MONTH($A1206)&lt;=6,1,2))</f>
        <v/>
      </c>
      <c r="R1206" s="35" t="str">
        <f aca="false">IF($E1206="","",IFERROR(INDEX(Kontenplan!$F$5:$F$90,MATCH($E1206,Kontenplan!$A$5:$A$90,0)),""))</f>
        <v/>
      </c>
      <c r="S1206" s="35" t="str">
        <f aca="false">IF($D1206="","",IFERROR(INDEX(Kontenplan!$F$5:$F$90,MATCH($D1206,Kontenplan!$A$5:$A$90,0)),""))</f>
        <v/>
      </c>
      <c r="T1206" s="35" t="str">
        <f aca="false">IF($D1206="","",IFERROR(INDEX(Kontenplan!$C$5:$C$90,MATCH($D1206,Kontenplan!$A$5:$A$90,0)),"?"))</f>
        <v/>
      </c>
      <c r="U1206" s="35" t="str">
        <f aca="false">IF($E1206="","",IFERROR(INDEX(Kontenplan!$C$5:$C$90,MATCH($E1206,Kontenplan!$A$5:$A$90,0)),"?"))</f>
        <v/>
      </c>
      <c r="V1206" s="35" t="str">
        <f aca="false">IF($F1206="","",IF(OR($D1206="",$E1206="",$T1206="?",$U1206="?"),"Konto prüfen!",IF($A1206="","Datum fehlt",IF(YEAR($A1206)&lt;&gt;Einstellungen!$B$7,"anderes Jahr!",IF($G1206="","MWST-Code fehlt","OK")))))</f>
        <v/>
      </c>
      <c r="W1206" s="35" t="str">
        <f aca="false">IF($F1206="","",IF(OR($D1206=Kontoauszug!$C$4,$E1206=Kontoauszug!$C$4),MAX(W$4:W1205)+1,""))</f>
        <v/>
      </c>
    </row>
    <row r="1207" customFormat="false" ht="15" hidden="false" customHeight="false" outlineLevel="0" collapsed="false">
      <c r="A1207" s="33"/>
      <c r="B1207" s="32"/>
      <c r="C1207" s="32"/>
      <c r="D1207" s="32"/>
      <c r="E1207" s="32"/>
      <c r="F1207" s="30"/>
      <c r="G1207" s="32"/>
      <c r="H1207" s="34" t="n">
        <f aca="false">IF($G1207="",0,IFERROR(INDEX(Einstellungen!$G$5:$G$11,MATCH($G1207,Einstellungen!$E$5:$E$11,0)),0))</f>
        <v>0</v>
      </c>
      <c r="I1207" s="35" t="str">
        <f aca="false">IF($G1207="","-",IFERROR(INDEX(Einstellungen!$H$5:$H$11,MATCH($G1207,Einstellungen!$E$5:$E$11,0)),"-"))</f>
        <v>-</v>
      </c>
      <c r="J1207" s="35" t="str">
        <f aca="false">IF(AND(Einstellungen!$B$8="Ja",Einstellungen!$B$9="Effektiv"),$I1207,"-")</f>
        <v>-</v>
      </c>
      <c r="K1207" s="31" t="n">
        <f aca="false">IF(OR($F1207="",$J1207="-"),0,ROUND($F1207-$F1207/(1+$H1207),2))</f>
        <v>0</v>
      </c>
      <c r="L1207" s="31" t="n">
        <f aca="false">IF($F1207="",0,$F1207-$K1207)</f>
        <v>0</v>
      </c>
      <c r="M1207" s="31" t="n">
        <f aca="false">IF($F1207="",0,IF($J1207="V",$L1207,$F1207))</f>
        <v>0</v>
      </c>
      <c r="N1207" s="31" t="n">
        <f aca="false">IF($F1207="",0,IF($J1207="U",$L1207,$F1207))</f>
        <v>0</v>
      </c>
      <c r="O1207" s="35" t="str">
        <f aca="false">IF($A1207="","",MONTH($A1207))</f>
        <v/>
      </c>
      <c r="P1207" s="35" t="str">
        <f aca="false">IF($A1207="","",ROUNDUP(MONTH($A1207)/3,0))</f>
        <v/>
      </c>
      <c r="Q1207" s="35" t="str">
        <f aca="false">IF($A1207="","",IF(MONTH($A1207)&lt;=6,1,2))</f>
        <v/>
      </c>
      <c r="R1207" s="35" t="str">
        <f aca="false">IF($E1207="","",IFERROR(INDEX(Kontenplan!$F$5:$F$90,MATCH($E1207,Kontenplan!$A$5:$A$90,0)),""))</f>
        <v/>
      </c>
      <c r="S1207" s="35" t="str">
        <f aca="false">IF($D1207="","",IFERROR(INDEX(Kontenplan!$F$5:$F$90,MATCH($D1207,Kontenplan!$A$5:$A$90,0)),""))</f>
        <v/>
      </c>
      <c r="T1207" s="35" t="str">
        <f aca="false">IF($D1207="","",IFERROR(INDEX(Kontenplan!$C$5:$C$90,MATCH($D1207,Kontenplan!$A$5:$A$90,0)),"?"))</f>
        <v/>
      </c>
      <c r="U1207" s="35" t="str">
        <f aca="false">IF($E1207="","",IFERROR(INDEX(Kontenplan!$C$5:$C$90,MATCH($E1207,Kontenplan!$A$5:$A$90,0)),"?"))</f>
        <v/>
      </c>
      <c r="V1207" s="35" t="str">
        <f aca="false">IF($F1207="","",IF(OR($D1207="",$E1207="",$T1207="?",$U1207="?"),"Konto prüfen!",IF($A1207="","Datum fehlt",IF(YEAR($A1207)&lt;&gt;Einstellungen!$B$7,"anderes Jahr!",IF($G1207="","MWST-Code fehlt","OK")))))</f>
        <v/>
      </c>
      <c r="W1207" s="35" t="str">
        <f aca="false">IF($F1207="","",IF(OR($D1207=Kontoauszug!$C$4,$E1207=Kontoauszug!$C$4),MAX(W$4:W1206)+1,""))</f>
        <v/>
      </c>
    </row>
    <row r="1208" customFormat="false" ht="15" hidden="false" customHeight="false" outlineLevel="0" collapsed="false">
      <c r="A1208" s="33"/>
      <c r="B1208" s="32"/>
      <c r="C1208" s="32"/>
      <c r="D1208" s="32"/>
      <c r="E1208" s="32"/>
      <c r="F1208" s="30"/>
      <c r="G1208" s="32"/>
      <c r="H1208" s="34" t="n">
        <f aca="false">IF($G1208="",0,IFERROR(INDEX(Einstellungen!$G$5:$G$11,MATCH($G1208,Einstellungen!$E$5:$E$11,0)),0))</f>
        <v>0</v>
      </c>
      <c r="I1208" s="35" t="str">
        <f aca="false">IF($G1208="","-",IFERROR(INDEX(Einstellungen!$H$5:$H$11,MATCH($G1208,Einstellungen!$E$5:$E$11,0)),"-"))</f>
        <v>-</v>
      </c>
      <c r="J1208" s="35" t="str">
        <f aca="false">IF(AND(Einstellungen!$B$8="Ja",Einstellungen!$B$9="Effektiv"),$I1208,"-")</f>
        <v>-</v>
      </c>
      <c r="K1208" s="31" t="n">
        <f aca="false">IF(OR($F1208="",$J1208="-"),0,ROUND($F1208-$F1208/(1+$H1208),2))</f>
        <v>0</v>
      </c>
      <c r="L1208" s="31" t="n">
        <f aca="false">IF($F1208="",0,$F1208-$K1208)</f>
        <v>0</v>
      </c>
      <c r="M1208" s="31" t="n">
        <f aca="false">IF($F1208="",0,IF($J1208="V",$L1208,$F1208))</f>
        <v>0</v>
      </c>
      <c r="N1208" s="31" t="n">
        <f aca="false">IF($F1208="",0,IF($J1208="U",$L1208,$F1208))</f>
        <v>0</v>
      </c>
      <c r="O1208" s="35" t="str">
        <f aca="false">IF($A1208="","",MONTH($A1208))</f>
        <v/>
      </c>
      <c r="P1208" s="35" t="str">
        <f aca="false">IF($A1208="","",ROUNDUP(MONTH($A1208)/3,0))</f>
        <v/>
      </c>
      <c r="Q1208" s="35" t="str">
        <f aca="false">IF($A1208="","",IF(MONTH($A1208)&lt;=6,1,2))</f>
        <v/>
      </c>
      <c r="R1208" s="35" t="str">
        <f aca="false">IF($E1208="","",IFERROR(INDEX(Kontenplan!$F$5:$F$90,MATCH($E1208,Kontenplan!$A$5:$A$90,0)),""))</f>
        <v/>
      </c>
      <c r="S1208" s="35" t="str">
        <f aca="false">IF($D1208="","",IFERROR(INDEX(Kontenplan!$F$5:$F$90,MATCH($D1208,Kontenplan!$A$5:$A$90,0)),""))</f>
        <v/>
      </c>
      <c r="T1208" s="35" t="str">
        <f aca="false">IF($D1208="","",IFERROR(INDEX(Kontenplan!$C$5:$C$90,MATCH($D1208,Kontenplan!$A$5:$A$90,0)),"?"))</f>
        <v/>
      </c>
      <c r="U1208" s="35" t="str">
        <f aca="false">IF($E1208="","",IFERROR(INDEX(Kontenplan!$C$5:$C$90,MATCH($E1208,Kontenplan!$A$5:$A$90,0)),"?"))</f>
        <v/>
      </c>
      <c r="V1208" s="35" t="str">
        <f aca="false">IF($F1208="","",IF(OR($D1208="",$E1208="",$T1208="?",$U1208="?"),"Konto prüfen!",IF($A1208="","Datum fehlt",IF(YEAR($A1208)&lt;&gt;Einstellungen!$B$7,"anderes Jahr!",IF($G1208="","MWST-Code fehlt","OK")))))</f>
        <v/>
      </c>
      <c r="W1208" s="35" t="str">
        <f aca="false">IF($F1208="","",IF(OR($D1208=Kontoauszug!$C$4,$E1208=Kontoauszug!$C$4),MAX(W$4:W1207)+1,""))</f>
        <v/>
      </c>
    </row>
    <row r="1209" customFormat="false" ht="15" hidden="false" customHeight="false" outlineLevel="0" collapsed="false">
      <c r="A1209" s="33"/>
      <c r="B1209" s="32"/>
      <c r="C1209" s="32"/>
      <c r="D1209" s="32"/>
      <c r="E1209" s="32"/>
      <c r="F1209" s="30"/>
      <c r="G1209" s="32"/>
      <c r="H1209" s="34" t="n">
        <f aca="false">IF($G1209="",0,IFERROR(INDEX(Einstellungen!$G$5:$G$11,MATCH($G1209,Einstellungen!$E$5:$E$11,0)),0))</f>
        <v>0</v>
      </c>
      <c r="I1209" s="35" t="str">
        <f aca="false">IF($G1209="","-",IFERROR(INDEX(Einstellungen!$H$5:$H$11,MATCH($G1209,Einstellungen!$E$5:$E$11,0)),"-"))</f>
        <v>-</v>
      </c>
      <c r="J1209" s="35" t="str">
        <f aca="false">IF(AND(Einstellungen!$B$8="Ja",Einstellungen!$B$9="Effektiv"),$I1209,"-")</f>
        <v>-</v>
      </c>
      <c r="K1209" s="31" t="n">
        <f aca="false">IF(OR($F1209="",$J1209="-"),0,ROUND($F1209-$F1209/(1+$H1209),2))</f>
        <v>0</v>
      </c>
      <c r="L1209" s="31" t="n">
        <f aca="false">IF($F1209="",0,$F1209-$K1209)</f>
        <v>0</v>
      </c>
      <c r="M1209" s="31" t="n">
        <f aca="false">IF($F1209="",0,IF($J1209="V",$L1209,$F1209))</f>
        <v>0</v>
      </c>
      <c r="N1209" s="31" t="n">
        <f aca="false">IF($F1209="",0,IF($J1209="U",$L1209,$F1209))</f>
        <v>0</v>
      </c>
      <c r="O1209" s="35" t="str">
        <f aca="false">IF($A1209="","",MONTH($A1209))</f>
        <v/>
      </c>
      <c r="P1209" s="35" t="str">
        <f aca="false">IF($A1209="","",ROUNDUP(MONTH($A1209)/3,0))</f>
        <v/>
      </c>
      <c r="Q1209" s="35" t="str">
        <f aca="false">IF($A1209="","",IF(MONTH($A1209)&lt;=6,1,2))</f>
        <v/>
      </c>
      <c r="R1209" s="35" t="str">
        <f aca="false">IF($E1209="","",IFERROR(INDEX(Kontenplan!$F$5:$F$90,MATCH($E1209,Kontenplan!$A$5:$A$90,0)),""))</f>
        <v/>
      </c>
      <c r="S1209" s="35" t="str">
        <f aca="false">IF($D1209="","",IFERROR(INDEX(Kontenplan!$F$5:$F$90,MATCH($D1209,Kontenplan!$A$5:$A$90,0)),""))</f>
        <v/>
      </c>
      <c r="T1209" s="35" t="str">
        <f aca="false">IF($D1209="","",IFERROR(INDEX(Kontenplan!$C$5:$C$90,MATCH($D1209,Kontenplan!$A$5:$A$90,0)),"?"))</f>
        <v/>
      </c>
      <c r="U1209" s="35" t="str">
        <f aca="false">IF($E1209="","",IFERROR(INDEX(Kontenplan!$C$5:$C$90,MATCH($E1209,Kontenplan!$A$5:$A$90,0)),"?"))</f>
        <v/>
      </c>
      <c r="V1209" s="35" t="str">
        <f aca="false">IF($F1209="","",IF(OR($D1209="",$E1209="",$T1209="?",$U1209="?"),"Konto prüfen!",IF($A1209="","Datum fehlt",IF(YEAR($A1209)&lt;&gt;Einstellungen!$B$7,"anderes Jahr!",IF($G1209="","MWST-Code fehlt","OK")))))</f>
        <v/>
      </c>
      <c r="W1209" s="35" t="str">
        <f aca="false">IF($F1209="","",IF(OR($D1209=Kontoauszug!$C$4,$E1209=Kontoauszug!$C$4),MAX(W$4:W1208)+1,""))</f>
        <v/>
      </c>
    </row>
    <row r="1210" customFormat="false" ht="15" hidden="false" customHeight="false" outlineLevel="0" collapsed="false">
      <c r="A1210" s="33"/>
      <c r="B1210" s="32"/>
      <c r="C1210" s="32"/>
      <c r="D1210" s="32"/>
      <c r="E1210" s="32"/>
      <c r="F1210" s="30"/>
      <c r="G1210" s="32"/>
      <c r="H1210" s="34" t="n">
        <f aca="false">IF($G1210="",0,IFERROR(INDEX(Einstellungen!$G$5:$G$11,MATCH($G1210,Einstellungen!$E$5:$E$11,0)),0))</f>
        <v>0</v>
      </c>
      <c r="I1210" s="35" t="str">
        <f aca="false">IF($G1210="","-",IFERROR(INDEX(Einstellungen!$H$5:$H$11,MATCH($G1210,Einstellungen!$E$5:$E$11,0)),"-"))</f>
        <v>-</v>
      </c>
      <c r="J1210" s="35" t="str">
        <f aca="false">IF(AND(Einstellungen!$B$8="Ja",Einstellungen!$B$9="Effektiv"),$I1210,"-")</f>
        <v>-</v>
      </c>
      <c r="K1210" s="31" t="n">
        <f aca="false">IF(OR($F1210="",$J1210="-"),0,ROUND($F1210-$F1210/(1+$H1210),2))</f>
        <v>0</v>
      </c>
      <c r="L1210" s="31" t="n">
        <f aca="false">IF($F1210="",0,$F1210-$K1210)</f>
        <v>0</v>
      </c>
      <c r="M1210" s="31" t="n">
        <f aca="false">IF($F1210="",0,IF($J1210="V",$L1210,$F1210))</f>
        <v>0</v>
      </c>
      <c r="N1210" s="31" t="n">
        <f aca="false">IF($F1210="",0,IF($J1210="U",$L1210,$F1210))</f>
        <v>0</v>
      </c>
      <c r="O1210" s="35" t="str">
        <f aca="false">IF($A1210="","",MONTH($A1210))</f>
        <v/>
      </c>
      <c r="P1210" s="35" t="str">
        <f aca="false">IF($A1210="","",ROUNDUP(MONTH($A1210)/3,0))</f>
        <v/>
      </c>
      <c r="Q1210" s="35" t="str">
        <f aca="false">IF($A1210="","",IF(MONTH($A1210)&lt;=6,1,2))</f>
        <v/>
      </c>
      <c r="R1210" s="35" t="str">
        <f aca="false">IF($E1210="","",IFERROR(INDEX(Kontenplan!$F$5:$F$90,MATCH($E1210,Kontenplan!$A$5:$A$90,0)),""))</f>
        <v/>
      </c>
      <c r="S1210" s="35" t="str">
        <f aca="false">IF($D1210="","",IFERROR(INDEX(Kontenplan!$F$5:$F$90,MATCH($D1210,Kontenplan!$A$5:$A$90,0)),""))</f>
        <v/>
      </c>
      <c r="T1210" s="35" t="str">
        <f aca="false">IF($D1210="","",IFERROR(INDEX(Kontenplan!$C$5:$C$90,MATCH($D1210,Kontenplan!$A$5:$A$90,0)),"?"))</f>
        <v/>
      </c>
      <c r="U1210" s="35" t="str">
        <f aca="false">IF($E1210="","",IFERROR(INDEX(Kontenplan!$C$5:$C$90,MATCH($E1210,Kontenplan!$A$5:$A$90,0)),"?"))</f>
        <v/>
      </c>
      <c r="V1210" s="35" t="str">
        <f aca="false">IF($F1210="","",IF(OR($D1210="",$E1210="",$T1210="?",$U1210="?"),"Konto prüfen!",IF($A1210="","Datum fehlt",IF(YEAR($A1210)&lt;&gt;Einstellungen!$B$7,"anderes Jahr!",IF($G1210="","MWST-Code fehlt","OK")))))</f>
        <v/>
      </c>
      <c r="W1210" s="35" t="str">
        <f aca="false">IF($F1210="","",IF(OR($D1210=Kontoauszug!$C$4,$E1210=Kontoauszug!$C$4),MAX(W$4:W1209)+1,""))</f>
        <v/>
      </c>
    </row>
    <row r="1211" customFormat="false" ht="15" hidden="false" customHeight="false" outlineLevel="0" collapsed="false">
      <c r="A1211" s="33"/>
      <c r="B1211" s="32"/>
      <c r="C1211" s="32"/>
      <c r="D1211" s="32"/>
      <c r="E1211" s="32"/>
      <c r="F1211" s="30"/>
      <c r="G1211" s="32"/>
      <c r="H1211" s="34" t="n">
        <f aca="false">IF($G1211="",0,IFERROR(INDEX(Einstellungen!$G$5:$G$11,MATCH($G1211,Einstellungen!$E$5:$E$11,0)),0))</f>
        <v>0</v>
      </c>
      <c r="I1211" s="35" t="str">
        <f aca="false">IF($G1211="","-",IFERROR(INDEX(Einstellungen!$H$5:$H$11,MATCH($G1211,Einstellungen!$E$5:$E$11,0)),"-"))</f>
        <v>-</v>
      </c>
      <c r="J1211" s="35" t="str">
        <f aca="false">IF(AND(Einstellungen!$B$8="Ja",Einstellungen!$B$9="Effektiv"),$I1211,"-")</f>
        <v>-</v>
      </c>
      <c r="K1211" s="31" t="n">
        <f aca="false">IF(OR($F1211="",$J1211="-"),0,ROUND($F1211-$F1211/(1+$H1211),2))</f>
        <v>0</v>
      </c>
      <c r="L1211" s="31" t="n">
        <f aca="false">IF($F1211="",0,$F1211-$K1211)</f>
        <v>0</v>
      </c>
      <c r="M1211" s="31" t="n">
        <f aca="false">IF($F1211="",0,IF($J1211="V",$L1211,$F1211))</f>
        <v>0</v>
      </c>
      <c r="N1211" s="31" t="n">
        <f aca="false">IF($F1211="",0,IF($J1211="U",$L1211,$F1211))</f>
        <v>0</v>
      </c>
      <c r="O1211" s="35" t="str">
        <f aca="false">IF($A1211="","",MONTH($A1211))</f>
        <v/>
      </c>
      <c r="P1211" s="35" t="str">
        <f aca="false">IF($A1211="","",ROUNDUP(MONTH($A1211)/3,0))</f>
        <v/>
      </c>
      <c r="Q1211" s="35" t="str">
        <f aca="false">IF($A1211="","",IF(MONTH($A1211)&lt;=6,1,2))</f>
        <v/>
      </c>
      <c r="R1211" s="35" t="str">
        <f aca="false">IF($E1211="","",IFERROR(INDEX(Kontenplan!$F$5:$F$90,MATCH($E1211,Kontenplan!$A$5:$A$90,0)),""))</f>
        <v/>
      </c>
      <c r="S1211" s="35" t="str">
        <f aca="false">IF($D1211="","",IFERROR(INDEX(Kontenplan!$F$5:$F$90,MATCH($D1211,Kontenplan!$A$5:$A$90,0)),""))</f>
        <v/>
      </c>
      <c r="T1211" s="35" t="str">
        <f aca="false">IF($D1211="","",IFERROR(INDEX(Kontenplan!$C$5:$C$90,MATCH($D1211,Kontenplan!$A$5:$A$90,0)),"?"))</f>
        <v/>
      </c>
      <c r="U1211" s="35" t="str">
        <f aca="false">IF($E1211="","",IFERROR(INDEX(Kontenplan!$C$5:$C$90,MATCH($E1211,Kontenplan!$A$5:$A$90,0)),"?"))</f>
        <v/>
      </c>
      <c r="V1211" s="35" t="str">
        <f aca="false">IF($F1211="","",IF(OR($D1211="",$E1211="",$T1211="?",$U1211="?"),"Konto prüfen!",IF($A1211="","Datum fehlt",IF(YEAR($A1211)&lt;&gt;Einstellungen!$B$7,"anderes Jahr!",IF($G1211="","MWST-Code fehlt","OK")))))</f>
        <v/>
      </c>
      <c r="W1211" s="35" t="str">
        <f aca="false">IF($F1211="","",IF(OR($D1211=Kontoauszug!$C$4,$E1211=Kontoauszug!$C$4),MAX(W$4:W1210)+1,""))</f>
        <v/>
      </c>
    </row>
    <row r="1212" customFormat="false" ht="15" hidden="false" customHeight="false" outlineLevel="0" collapsed="false">
      <c r="A1212" s="33"/>
      <c r="B1212" s="32"/>
      <c r="C1212" s="32"/>
      <c r="D1212" s="32"/>
      <c r="E1212" s="32"/>
      <c r="F1212" s="30"/>
      <c r="G1212" s="32"/>
      <c r="H1212" s="34" t="n">
        <f aca="false">IF($G1212="",0,IFERROR(INDEX(Einstellungen!$G$5:$G$11,MATCH($G1212,Einstellungen!$E$5:$E$11,0)),0))</f>
        <v>0</v>
      </c>
      <c r="I1212" s="35" t="str">
        <f aca="false">IF($G1212="","-",IFERROR(INDEX(Einstellungen!$H$5:$H$11,MATCH($G1212,Einstellungen!$E$5:$E$11,0)),"-"))</f>
        <v>-</v>
      </c>
      <c r="J1212" s="35" t="str">
        <f aca="false">IF(AND(Einstellungen!$B$8="Ja",Einstellungen!$B$9="Effektiv"),$I1212,"-")</f>
        <v>-</v>
      </c>
      <c r="K1212" s="31" t="n">
        <f aca="false">IF(OR($F1212="",$J1212="-"),0,ROUND($F1212-$F1212/(1+$H1212),2))</f>
        <v>0</v>
      </c>
      <c r="L1212" s="31" t="n">
        <f aca="false">IF($F1212="",0,$F1212-$K1212)</f>
        <v>0</v>
      </c>
      <c r="M1212" s="31" t="n">
        <f aca="false">IF($F1212="",0,IF($J1212="V",$L1212,$F1212))</f>
        <v>0</v>
      </c>
      <c r="N1212" s="31" t="n">
        <f aca="false">IF($F1212="",0,IF($J1212="U",$L1212,$F1212))</f>
        <v>0</v>
      </c>
      <c r="O1212" s="35" t="str">
        <f aca="false">IF($A1212="","",MONTH($A1212))</f>
        <v/>
      </c>
      <c r="P1212" s="35" t="str">
        <f aca="false">IF($A1212="","",ROUNDUP(MONTH($A1212)/3,0))</f>
        <v/>
      </c>
      <c r="Q1212" s="35" t="str">
        <f aca="false">IF($A1212="","",IF(MONTH($A1212)&lt;=6,1,2))</f>
        <v/>
      </c>
      <c r="R1212" s="35" t="str">
        <f aca="false">IF($E1212="","",IFERROR(INDEX(Kontenplan!$F$5:$F$90,MATCH($E1212,Kontenplan!$A$5:$A$90,0)),""))</f>
        <v/>
      </c>
      <c r="S1212" s="35" t="str">
        <f aca="false">IF($D1212="","",IFERROR(INDEX(Kontenplan!$F$5:$F$90,MATCH($D1212,Kontenplan!$A$5:$A$90,0)),""))</f>
        <v/>
      </c>
      <c r="T1212" s="35" t="str">
        <f aca="false">IF($D1212="","",IFERROR(INDEX(Kontenplan!$C$5:$C$90,MATCH($D1212,Kontenplan!$A$5:$A$90,0)),"?"))</f>
        <v/>
      </c>
      <c r="U1212" s="35" t="str">
        <f aca="false">IF($E1212="","",IFERROR(INDEX(Kontenplan!$C$5:$C$90,MATCH($E1212,Kontenplan!$A$5:$A$90,0)),"?"))</f>
        <v/>
      </c>
      <c r="V1212" s="35" t="str">
        <f aca="false">IF($F1212="","",IF(OR($D1212="",$E1212="",$T1212="?",$U1212="?"),"Konto prüfen!",IF($A1212="","Datum fehlt",IF(YEAR($A1212)&lt;&gt;Einstellungen!$B$7,"anderes Jahr!",IF($G1212="","MWST-Code fehlt","OK")))))</f>
        <v/>
      </c>
      <c r="W1212" s="35" t="str">
        <f aca="false">IF($F1212="","",IF(OR($D1212=Kontoauszug!$C$4,$E1212=Kontoauszug!$C$4),MAX(W$4:W1211)+1,""))</f>
        <v/>
      </c>
    </row>
    <row r="1213" customFormat="false" ht="15" hidden="false" customHeight="false" outlineLevel="0" collapsed="false">
      <c r="A1213" s="33"/>
      <c r="B1213" s="32"/>
      <c r="C1213" s="32"/>
      <c r="D1213" s="32"/>
      <c r="E1213" s="32"/>
      <c r="F1213" s="30"/>
      <c r="G1213" s="32"/>
      <c r="H1213" s="34" t="n">
        <f aca="false">IF($G1213="",0,IFERROR(INDEX(Einstellungen!$G$5:$G$11,MATCH($G1213,Einstellungen!$E$5:$E$11,0)),0))</f>
        <v>0</v>
      </c>
      <c r="I1213" s="35" t="str">
        <f aca="false">IF($G1213="","-",IFERROR(INDEX(Einstellungen!$H$5:$H$11,MATCH($G1213,Einstellungen!$E$5:$E$11,0)),"-"))</f>
        <v>-</v>
      </c>
      <c r="J1213" s="35" t="str">
        <f aca="false">IF(AND(Einstellungen!$B$8="Ja",Einstellungen!$B$9="Effektiv"),$I1213,"-")</f>
        <v>-</v>
      </c>
      <c r="K1213" s="31" t="n">
        <f aca="false">IF(OR($F1213="",$J1213="-"),0,ROUND($F1213-$F1213/(1+$H1213),2))</f>
        <v>0</v>
      </c>
      <c r="L1213" s="31" t="n">
        <f aca="false">IF($F1213="",0,$F1213-$K1213)</f>
        <v>0</v>
      </c>
      <c r="M1213" s="31" t="n">
        <f aca="false">IF($F1213="",0,IF($J1213="V",$L1213,$F1213))</f>
        <v>0</v>
      </c>
      <c r="N1213" s="31" t="n">
        <f aca="false">IF($F1213="",0,IF($J1213="U",$L1213,$F1213))</f>
        <v>0</v>
      </c>
      <c r="O1213" s="35" t="str">
        <f aca="false">IF($A1213="","",MONTH($A1213))</f>
        <v/>
      </c>
      <c r="P1213" s="35" t="str">
        <f aca="false">IF($A1213="","",ROUNDUP(MONTH($A1213)/3,0))</f>
        <v/>
      </c>
      <c r="Q1213" s="35" t="str">
        <f aca="false">IF($A1213="","",IF(MONTH($A1213)&lt;=6,1,2))</f>
        <v/>
      </c>
      <c r="R1213" s="35" t="str">
        <f aca="false">IF($E1213="","",IFERROR(INDEX(Kontenplan!$F$5:$F$90,MATCH($E1213,Kontenplan!$A$5:$A$90,0)),""))</f>
        <v/>
      </c>
      <c r="S1213" s="35" t="str">
        <f aca="false">IF($D1213="","",IFERROR(INDEX(Kontenplan!$F$5:$F$90,MATCH($D1213,Kontenplan!$A$5:$A$90,0)),""))</f>
        <v/>
      </c>
      <c r="T1213" s="35" t="str">
        <f aca="false">IF($D1213="","",IFERROR(INDEX(Kontenplan!$C$5:$C$90,MATCH($D1213,Kontenplan!$A$5:$A$90,0)),"?"))</f>
        <v/>
      </c>
      <c r="U1213" s="35" t="str">
        <f aca="false">IF($E1213="","",IFERROR(INDEX(Kontenplan!$C$5:$C$90,MATCH($E1213,Kontenplan!$A$5:$A$90,0)),"?"))</f>
        <v/>
      </c>
      <c r="V1213" s="35" t="str">
        <f aca="false">IF($F1213="","",IF(OR($D1213="",$E1213="",$T1213="?",$U1213="?"),"Konto prüfen!",IF($A1213="","Datum fehlt",IF(YEAR($A1213)&lt;&gt;Einstellungen!$B$7,"anderes Jahr!",IF($G1213="","MWST-Code fehlt","OK")))))</f>
        <v/>
      </c>
      <c r="W1213" s="35" t="str">
        <f aca="false">IF($F1213="","",IF(OR($D1213=Kontoauszug!$C$4,$E1213=Kontoauszug!$C$4),MAX(W$4:W1212)+1,""))</f>
        <v/>
      </c>
    </row>
    <row r="1214" customFormat="false" ht="15" hidden="false" customHeight="false" outlineLevel="0" collapsed="false">
      <c r="A1214" s="33"/>
      <c r="B1214" s="32"/>
      <c r="C1214" s="32"/>
      <c r="D1214" s="32"/>
      <c r="E1214" s="32"/>
      <c r="F1214" s="30"/>
      <c r="G1214" s="32"/>
      <c r="H1214" s="34" t="n">
        <f aca="false">IF($G1214="",0,IFERROR(INDEX(Einstellungen!$G$5:$G$11,MATCH($G1214,Einstellungen!$E$5:$E$11,0)),0))</f>
        <v>0</v>
      </c>
      <c r="I1214" s="35" t="str">
        <f aca="false">IF($G1214="","-",IFERROR(INDEX(Einstellungen!$H$5:$H$11,MATCH($G1214,Einstellungen!$E$5:$E$11,0)),"-"))</f>
        <v>-</v>
      </c>
      <c r="J1214" s="35" t="str">
        <f aca="false">IF(AND(Einstellungen!$B$8="Ja",Einstellungen!$B$9="Effektiv"),$I1214,"-")</f>
        <v>-</v>
      </c>
      <c r="K1214" s="31" t="n">
        <f aca="false">IF(OR($F1214="",$J1214="-"),0,ROUND($F1214-$F1214/(1+$H1214),2))</f>
        <v>0</v>
      </c>
      <c r="L1214" s="31" t="n">
        <f aca="false">IF($F1214="",0,$F1214-$K1214)</f>
        <v>0</v>
      </c>
      <c r="M1214" s="31" t="n">
        <f aca="false">IF($F1214="",0,IF($J1214="V",$L1214,$F1214))</f>
        <v>0</v>
      </c>
      <c r="N1214" s="31" t="n">
        <f aca="false">IF($F1214="",0,IF($J1214="U",$L1214,$F1214))</f>
        <v>0</v>
      </c>
      <c r="O1214" s="35" t="str">
        <f aca="false">IF($A1214="","",MONTH($A1214))</f>
        <v/>
      </c>
      <c r="P1214" s="35" t="str">
        <f aca="false">IF($A1214="","",ROUNDUP(MONTH($A1214)/3,0))</f>
        <v/>
      </c>
      <c r="Q1214" s="35" t="str">
        <f aca="false">IF($A1214="","",IF(MONTH($A1214)&lt;=6,1,2))</f>
        <v/>
      </c>
      <c r="R1214" s="35" t="str">
        <f aca="false">IF($E1214="","",IFERROR(INDEX(Kontenplan!$F$5:$F$90,MATCH($E1214,Kontenplan!$A$5:$A$90,0)),""))</f>
        <v/>
      </c>
      <c r="S1214" s="35" t="str">
        <f aca="false">IF($D1214="","",IFERROR(INDEX(Kontenplan!$F$5:$F$90,MATCH($D1214,Kontenplan!$A$5:$A$90,0)),""))</f>
        <v/>
      </c>
      <c r="T1214" s="35" t="str">
        <f aca="false">IF($D1214="","",IFERROR(INDEX(Kontenplan!$C$5:$C$90,MATCH($D1214,Kontenplan!$A$5:$A$90,0)),"?"))</f>
        <v/>
      </c>
      <c r="U1214" s="35" t="str">
        <f aca="false">IF($E1214="","",IFERROR(INDEX(Kontenplan!$C$5:$C$90,MATCH($E1214,Kontenplan!$A$5:$A$90,0)),"?"))</f>
        <v/>
      </c>
      <c r="V1214" s="35" t="str">
        <f aca="false">IF($F1214="","",IF(OR($D1214="",$E1214="",$T1214="?",$U1214="?"),"Konto prüfen!",IF($A1214="","Datum fehlt",IF(YEAR($A1214)&lt;&gt;Einstellungen!$B$7,"anderes Jahr!",IF($G1214="","MWST-Code fehlt","OK")))))</f>
        <v/>
      </c>
      <c r="W1214" s="35" t="str">
        <f aca="false">IF($F1214="","",IF(OR($D1214=Kontoauszug!$C$4,$E1214=Kontoauszug!$C$4),MAX(W$4:W1213)+1,""))</f>
        <v/>
      </c>
    </row>
    <row r="1215" customFormat="false" ht="15" hidden="false" customHeight="false" outlineLevel="0" collapsed="false">
      <c r="A1215" s="33"/>
      <c r="B1215" s="32"/>
      <c r="C1215" s="32"/>
      <c r="D1215" s="32"/>
      <c r="E1215" s="32"/>
      <c r="F1215" s="30"/>
      <c r="G1215" s="32"/>
      <c r="H1215" s="34" t="n">
        <f aca="false">IF($G1215="",0,IFERROR(INDEX(Einstellungen!$G$5:$G$11,MATCH($G1215,Einstellungen!$E$5:$E$11,0)),0))</f>
        <v>0</v>
      </c>
      <c r="I1215" s="35" t="str">
        <f aca="false">IF($G1215="","-",IFERROR(INDEX(Einstellungen!$H$5:$H$11,MATCH($G1215,Einstellungen!$E$5:$E$11,0)),"-"))</f>
        <v>-</v>
      </c>
      <c r="J1215" s="35" t="str">
        <f aca="false">IF(AND(Einstellungen!$B$8="Ja",Einstellungen!$B$9="Effektiv"),$I1215,"-")</f>
        <v>-</v>
      </c>
      <c r="K1215" s="31" t="n">
        <f aca="false">IF(OR($F1215="",$J1215="-"),0,ROUND($F1215-$F1215/(1+$H1215),2))</f>
        <v>0</v>
      </c>
      <c r="L1215" s="31" t="n">
        <f aca="false">IF($F1215="",0,$F1215-$K1215)</f>
        <v>0</v>
      </c>
      <c r="M1215" s="31" t="n">
        <f aca="false">IF($F1215="",0,IF($J1215="V",$L1215,$F1215))</f>
        <v>0</v>
      </c>
      <c r="N1215" s="31" t="n">
        <f aca="false">IF($F1215="",0,IF($J1215="U",$L1215,$F1215))</f>
        <v>0</v>
      </c>
      <c r="O1215" s="35" t="str">
        <f aca="false">IF($A1215="","",MONTH($A1215))</f>
        <v/>
      </c>
      <c r="P1215" s="35" t="str">
        <f aca="false">IF($A1215="","",ROUNDUP(MONTH($A1215)/3,0))</f>
        <v/>
      </c>
      <c r="Q1215" s="35" t="str">
        <f aca="false">IF($A1215="","",IF(MONTH($A1215)&lt;=6,1,2))</f>
        <v/>
      </c>
      <c r="R1215" s="35" t="str">
        <f aca="false">IF($E1215="","",IFERROR(INDEX(Kontenplan!$F$5:$F$90,MATCH($E1215,Kontenplan!$A$5:$A$90,0)),""))</f>
        <v/>
      </c>
      <c r="S1215" s="35" t="str">
        <f aca="false">IF($D1215="","",IFERROR(INDEX(Kontenplan!$F$5:$F$90,MATCH($D1215,Kontenplan!$A$5:$A$90,0)),""))</f>
        <v/>
      </c>
      <c r="T1215" s="35" t="str">
        <f aca="false">IF($D1215="","",IFERROR(INDEX(Kontenplan!$C$5:$C$90,MATCH($D1215,Kontenplan!$A$5:$A$90,0)),"?"))</f>
        <v/>
      </c>
      <c r="U1215" s="35" t="str">
        <f aca="false">IF($E1215="","",IFERROR(INDEX(Kontenplan!$C$5:$C$90,MATCH($E1215,Kontenplan!$A$5:$A$90,0)),"?"))</f>
        <v/>
      </c>
      <c r="V1215" s="35" t="str">
        <f aca="false">IF($F1215="","",IF(OR($D1215="",$E1215="",$T1215="?",$U1215="?"),"Konto prüfen!",IF($A1215="","Datum fehlt",IF(YEAR($A1215)&lt;&gt;Einstellungen!$B$7,"anderes Jahr!",IF($G1215="","MWST-Code fehlt","OK")))))</f>
        <v/>
      </c>
      <c r="W1215" s="35" t="str">
        <f aca="false">IF($F1215="","",IF(OR($D1215=Kontoauszug!$C$4,$E1215=Kontoauszug!$C$4),MAX(W$4:W1214)+1,""))</f>
        <v/>
      </c>
    </row>
    <row r="1216" customFormat="false" ht="15" hidden="false" customHeight="false" outlineLevel="0" collapsed="false">
      <c r="A1216" s="33"/>
      <c r="B1216" s="32"/>
      <c r="C1216" s="32"/>
      <c r="D1216" s="32"/>
      <c r="E1216" s="32"/>
      <c r="F1216" s="30"/>
      <c r="G1216" s="32"/>
      <c r="H1216" s="34" t="n">
        <f aca="false">IF($G1216="",0,IFERROR(INDEX(Einstellungen!$G$5:$G$11,MATCH($G1216,Einstellungen!$E$5:$E$11,0)),0))</f>
        <v>0</v>
      </c>
      <c r="I1216" s="35" t="str">
        <f aca="false">IF($G1216="","-",IFERROR(INDEX(Einstellungen!$H$5:$H$11,MATCH($G1216,Einstellungen!$E$5:$E$11,0)),"-"))</f>
        <v>-</v>
      </c>
      <c r="J1216" s="35" t="str">
        <f aca="false">IF(AND(Einstellungen!$B$8="Ja",Einstellungen!$B$9="Effektiv"),$I1216,"-")</f>
        <v>-</v>
      </c>
      <c r="K1216" s="31" t="n">
        <f aca="false">IF(OR($F1216="",$J1216="-"),0,ROUND($F1216-$F1216/(1+$H1216),2))</f>
        <v>0</v>
      </c>
      <c r="L1216" s="31" t="n">
        <f aca="false">IF($F1216="",0,$F1216-$K1216)</f>
        <v>0</v>
      </c>
      <c r="M1216" s="31" t="n">
        <f aca="false">IF($F1216="",0,IF($J1216="V",$L1216,$F1216))</f>
        <v>0</v>
      </c>
      <c r="N1216" s="31" t="n">
        <f aca="false">IF($F1216="",0,IF($J1216="U",$L1216,$F1216))</f>
        <v>0</v>
      </c>
      <c r="O1216" s="35" t="str">
        <f aca="false">IF($A1216="","",MONTH($A1216))</f>
        <v/>
      </c>
      <c r="P1216" s="35" t="str">
        <f aca="false">IF($A1216="","",ROUNDUP(MONTH($A1216)/3,0))</f>
        <v/>
      </c>
      <c r="Q1216" s="35" t="str">
        <f aca="false">IF($A1216="","",IF(MONTH($A1216)&lt;=6,1,2))</f>
        <v/>
      </c>
      <c r="R1216" s="35" t="str">
        <f aca="false">IF($E1216="","",IFERROR(INDEX(Kontenplan!$F$5:$F$90,MATCH($E1216,Kontenplan!$A$5:$A$90,0)),""))</f>
        <v/>
      </c>
      <c r="S1216" s="35" t="str">
        <f aca="false">IF($D1216="","",IFERROR(INDEX(Kontenplan!$F$5:$F$90,MATCH($D1216,Kontenplan!$A$5:$A$90,0)),""))</f>
        <v/>
      </c>
      <c r="T1216" s="35" t="str">
        <f aca="false">IF($D1216="","",IFERROR(INDEX(Kontenplan!$C$5:$C$90,MATCH($D1216,Kontenplan!$A$5:$A$90,0)),"?"))</f>
        <v/>
      </c>
      <c r="U1216" s="35" t="str">
        <f aca="false">IF($E1216="","",IFERROR(INDEX(Kontenplan!$C$5:$C$90,MATCH($E1216,Kontenplan!$A$5:$A$90,0)),"?"))</f>
        <v/>
      </c>
      <c r="V1216" s="35" t="str">
        <f aca="false">IF($F1216="","",IF(OR($D1216="",$E1216="",$T1216="?",$U1216="?"),"Konto prüfen!",IF($A1216="","Datum fehlt",IF(YEAR($A1216)&lt;&gt;Einstellungen!$B$7,"anderes Jahr!",IF($G1216="","MWST-Code fehlt","OK")))))</f>
        <v/>
      </c>
      <c r="W1216" s="35" t="str">
        <f aca="false">IF($F1216="","",IF(OR($D1216=Kontoauszug!$C$4,$E1216=Kontoauszug!$C$4),MAX(W$4:W1215)+1,""))</f>
        <v/>
      </c>
    </row>
    <row r="1217" customFormat="false" ht="15" hidden="false" customHeight="false" outlineLevel="0" collapsed="false">
      <c r="A1217" s="33"/>
      <c r="B1217" s="32"/>
      <c r="C1217" s="32"/>
      <c r="D1217" s="32"/>
      <c r="E1217" s="32"/>
      <c r="F1217" s="30"/>
      <c r="G1217" s="32"/>
      <c r="H1217" s="34" t="n">
        <f aca="false">IF($G1217="",0,IFERROR(INDEX(Einstellungen!$G$5:$G$11,MATCH($G1217,Einstellungen!$E$5:$E$11,0)),0))</f>
        <v>0</v>
      </c>
      <c r="I1217" s="35" t="str">
        <f aca="false">IF($G1217="","-",IFERROR(INDEX(Einstellungen!$H$5:$H$11,MATCH($G1217,Einstellungen!$E$5:$E$11,0)),"-"))</f>
        <v>-</v>
      </c>
      <c r="J1217" s="35" t="str">
        <f aca="false">IF(AND(Einstellungen!$B$8="Ja",Einstellungen!$B$9="Effektiv"),$I1217,"-")</f>
        <v>-</v>
      </c>
      <c r="K1217" s="31" t="n">
        <f aca="false">IF(OR($F1217="",$J1217="-"),0,ROUND($F1217-$F1217/(1+$H1217),2))</f>
        <v>0</v>
      </c>
      <c r="L1217" s="31" t="n">
        <f aca="false">IF($F1217="",0,$F1217-$K1217)</f>
        <v>0</v>
      </c>
      <c r="M1217" s="31" t="n">
        <f aca="false">IF($F1217="",0,IF($J1217="V",$L1217,$F1217))</f>
        <v>0</v>
      </c>
      <c r="N1217" s="31" t="n">
        <f aca="false">IF($F1217="",0,IF($J1217="U",$L1217,$F1217))</f>
        <v>0</v>
      </c>
      <c r="O1217" s="35" t="str">
        <f aca="false">IF($A1217="","",MONTH($A1217))</f>
        <v/>
      </c>
      <c r="P1217" s="35" t="str">
        <f aca="false">IF($A1217="","",ROUNDUP(MONTH($A1217)/3,0))</f>
        <v/>
      </c>
      <c r="Q1217" s="35" t="str">
        <f aca="false">IF($A1217="","",IF(MONTH($A1217)&lt;=6,1,2))</f>
        <v/>
      </c>
      <c r="R1217" s="35" t="str">
        <f aca="false">IF($E1217="","",IFERROR(INDEX(Kontenplan!$F$5:$F$90,MATCH($E1217,Kontenplan!$A$5:$A$90,0)),""))</f>
        <v/>
      </c>
      <c r="S1217" s="35" t="str">
        <f aca="false">IF($D1217="","",IFERROR(INDEX(Kontenplan!$F$5:$F$90,MATCH($D1217,Kontenplan!$A$5:$A$90,0)),""))</f>
        <v/>
      </c>
      <c r="T1217" s="35" t="str">
        <f aca="false">IF($D1217="","",IFERROR(INDEX(Kontenplan!$C$5:$C$90,MATCH($D1217,Kontenplan!$A$5:$A$90,0)),"?"))</f>
        <v/>
      </c>
      <c r="U1217" s="35" t="str">
        <f aca="false">IF($E1217="","",IFERROR(INDEX(Kontenplan!$C$5:$C$90,MATCH($E1217,Kontenplan!$A$5:$A$90,0)),"?"))</f>
        <v/>
      </c>
      <c r="V1217" s="35" t="str">
        <f aca="false">IF($F1217="","",IF(OR($D1217="",$E1217="",$T1217="?",$U1217="?"),"Konto prüfen!",IF($A1217="","Datum fehlt",IF(YEAR($A1217)&lt;&gt;Einstellungen!$B$7,"anderes Jahr!",IF($G1217="","MWST-Code fehlt","OK")))))</f>
        <v/>
      </c>
      <c r="W1217" s="35" t="str">
        <f aca="false">IF($F1217="","",IF(OR($D1217=Kontoauszug!$C$4,$E1217=Kontoauszug!$C$4),MAX(W$4:W1216)+1,""))</f>
        <v/>
      </c>
    </row>
    <row r="1218" customFormat="false" ht="15" hidden="false" customHeight="false" outlineLevel="0" collapsed="false">
      <c r="A1218" s="33"/>
      <c r="B1218" s="32"/>
      <c r="C1218" s="32"/>
      <c r="D1218" s="32"/>
      <c r="E1218" s="32"/>
      <c r="F1218" s="30"/>
      <c r="G1218" s="32"/>
      <c r="H1218" s="34" t="n">
        <f aca="false">IF($G1218="",0,IFERROR(INDEX(Einstellungen!$G$5:$G$11,MATCH($G1218,Einstellungen!$E$5:$E$11,0)),0))</f>
        <v>0</v>
      </c>
      <c r="I1218" s="35" t="str">
        <f aca="false">IF($G1218="","-",IFERROR(INDEX(Einstellungen!$H$5:$H$11,MATCH($G1218,Einstellungen!$E$5:$E$11,0)),"-"))</f>
        <v>-</v>
      </c>
      <c r="J1218" s="35" t="str">
        <f aca="false">IF(AND(Einstellungen!$B$8="Ja",Einstellungen!$B$9="Effektiv"),$I1218,"-")</f>
        <v>-</v>
      </c>
      <c r="K1218" s="31" t="n">
        <f aca="false">IF(OR($F1218="",$J1218="-"),0,ROUND($F1218-$F1218/(1+$H1218),2))</f>
        <v>0</v>
      </c>
      <c r="L1218" s="31" t="n">
        <f aca="false">IF($F1218="",0,$F1218-$K1218)</f>
        <v>0</v>
      </c>
      <c r="M1218" s="31" t="n">
        <f aca="false">IF($F1218="",0,IF($J1218="V",$L1218,$F1218))</f>
        <v>0</v>
      </c>
      <c r="N1218" s="31" t="n">
        <f aca="false">IF($F1218="",0,IF($J1218="U",$L1218,$F1218))</f>
        <v>0</v>
      </c>
      <c r="O1218" s="35" t="str">
        <f aca="false">IF($A1218="","",MONTH($A1218))</f>
        <v/>
      </c>
      <c r="P1218" s="35" t="str">
        <f aca="false">IF($A1218="","",ROUNDUP(MONTH($A1218)/3,0))</f>
        <v/>
      </c>
      <c r="Q1218" s="35" t="str">
        <f aca="false">IF($A1218="","",IF(MONTH($A1218)&lt;=6,1,2))</f>
        <v/>
      </c>
      <c r="R1218" s="35" t="str">
        <f aca="false">IF($E1218="","",IFERROR(INDEX(Kontenplan!$F$5:$F$90,MATCH($E1218,Kontenplan!$A$5:$A$90,0)),""))</f>
        <v/>
      </c>
      <c r="S1218" s="35" t="str">
        <f aca="false">IF($D1218="","",IFERROR(INDEX(Kontenplan!$F$5:$F$90,MATCH($D1218,Kontenplan!$A$5:$A$90,0)),""))</f>
        <v/>
      </c>
      <c r="T1218" s="35" t="str">
        <f aca="false">IF($D1218="","",IFERROR(INDEX(Kontenplan!$C$5:$C$90,MATCH($D1218,Kontenplan!$A$5:$A$90,0)),"?"))</f>
        <v/>
      </c>
      <c r="U1218" s="35" t="str">
        <f aca="false">IF($E1218="","",IFERROR(INDEX(Kontenplan!$C$5:$C$90,MATCH($E1218,Kontenplan!$A$5:$A$90,0)),"?"))</f>
        <v/>
      </c>
      <c r="V1218" s="35" t="str">
        <f aca="false">IF($F1218="","",IF(OR($D1218="",$E1218="",$T1218="?",$U1218="?"),"Konto prüfen!",IF($A1218="","Datum fehlt",IF(YEAR($A1218)&lt;&gt;Einstellungen!$B$7,"anderes Jahr!",IF($G1218="","MWST-Code fehlt","OK")))))</f>
        <v/>
      </c>
      <c r="W1218" s="35" t="str">
        <f aca="false">IF($F1218="","",IF(OR($D1218=Kontoauszug!$C$4,$E1218=Kontoauszug!$C$4),MAX(W$4:W1217)+1,""))</f>
        <v/>
      </c>
    </row>
    <row r="1219" customFormat="false" ht="15" hidden="false" customHeight="false" outlineLevel="0" collapsed="false">
      <c r="A1219" s="33"/>
      <c r="B1219" s="32"/>
      <c r="C1219" s="32"/>
      <c r="D1219" s="32"/>
      <c r="E1219" s="32"/>
      <c r="F1219" s="30"/>
      <c r="G1219" s="32"/>
      <c r="H1219" s="34" t="n">
        <f aca="false">IF($G1219="",0,IFERROR(INDEX(Einstellungen!$G$5:$G$11,MATCH($G1219,Einstellungen!$E$5:$E$11,0)),0))</f>
        <v>0</v>
      </c>
      <c r="I1219" s="35" t="str">
        <f aca="false">IF($G1219="","-",IFERROR(INDEX(Einstellungen!$H$5:$H$11,MATCH($G1219,Einstellungen!$E$5:$E$11,0)),"-"))</f>
        <v>-</v>
      </c>
      <c r="J1219" s="35" t="str">
        <f aca="false">IF(AND(Einstellungen!$B$8="Ja",Einstellungen!$B$9="Effektiv"),$I1219,"-")</f>
        <v>-</v>
      </c>
      <c r="K1219" s="31" t="n">
        <f aca="false">IF(OR($F1219="",$J1219="-"),0,ROUND($F1219-$F1219/(1+$H1219),2))</f>
        <v>0</v>
      </c>
      <c r="L1219" s="31" t="n">
        <f aca="false">IF($F1219="",0,$F1219-$K1219)</f>
        <v>0</v>
      </c>
      <c r="M1219" s="31" t="n">
        <f aca="false">IF($F1219="",0,IF($J1219="V",$L1219,$F1219))</f>
        <v>0</v>
      </c>
      <c r="N1219" s="31" t="n">
        <f aca="false">IF($F1219="",0,IF($J1219="U",$L1219,$F1219))</f>
        <v>0</v>
      </c>
      <c r="O1219" s="35" t="str">
        <f aca="false">IF($A1219="","",MONTH($A1219))</f>
        <v/>
      </c>
      <c r="P1219" s="35" t="str">
        <f aca="false">IF($A1219="","",ROUNDUP(MONTH($A1219)/3,0))</f>
        <v/>
      </c>
      <c r="Q1219" s="35" t="str">
        <f aca="false">IF($A1219="","",IF(MONTH($A1219)&lt;=6,1,2))</f>
        <v/>
      </c>
      <c r="R1219" s="35" t="str">
        <f aca="false">IF($E1219="","",IFERROR(INDEX(Kontenplan!$F$5:$F$90,MATCH($E1219,Kontenplan!$A$5:$A$90,0)),""))</f>
        <v/>
      </c>
      <c r="S1219" s="35" t="str">
        <f aca="false">IF($D1219="","",IFERROR(INDEX(Kontenplan!$F$5:$F$90,MATCH($D1219,Kontenplan!$A$5:$A$90,0)),""))</f>
        <v/>
      </c>
      <c r="T1219" s="35" t="str">
        <f aca="false">IF($D1219="","",IFERROR(INDEX(Kontenplan!$C$5:$C$90,MATCH($D1219,Kontenplan!$A$5:$A$90,0)),"?"))</f>
        <v/>
      </c>
      <c r="U1219" s="35" t="str">
        <f aca="false">IF($E1219="","",IFERROR(INDEX(Kontenplan!$C$5:$C$90,MATCH($E1219,Kontenplan!$A$5:$A$90,0)),"?"))</f>
        <v/>
      </c>
      <c r="V1219" s="35" t="str">
        <f aca="false">IF($F1219="","",IF(OR($D1219="",$E1219="",$T1219="?",$U1219="?"),"Konto prüfen!",IF($A1219="","Datum fehlt",IF(YEAR($A1219)&lt;&gt;Einstellungen!$B$7,"anderes Jahr!",IF($G1219="","MWST-Code fehlt","OK")))))</f>
        <v/>
      </c>
      <c r="W1219" s="35" t="str">
        <f aca="false">IF($F1219="","",IF(OR($D1219=Kontoauszug!$C$4,$E1219=Kontoauszug!$C$4),MAX(W$4:W1218)+1,""))</f>
        <v/>
      </c>
    </row>
    <row r="1220" customFormat="false" ht="15" hidden="false" customHeight="false" outlineLevel="0" collapsed="false">
      <c r="A1220" s="33"/>
      <c r="B1220" s="32"/>
      <c r="C1220" s="32"/>
      <c r="D1220" s="32"/>
      <c r="E1220" s="32"/>
      <c r="F1220" s="30"/>
      <c r="G1220" s="32"/>
      <c r="H1220" s="34" t="n">
        <f aca="false">IF($G1220="",0,IFERROR(INDEX(Einstellungen!$G$5:$G$11,MATCH($G1220,Einstellungen!$E$5:$E$11,0)),0))</f>
        <v>0</v>
      </c>
      <c r="I1220" s="35" t="str">
        <f aca="false">IF($G1220="","-",IFERROR(INDEX(Einstellungen!$H$5:$H$11,MATCH($G1220,Einstellungen!$E$5:$E$11,0)),"-"))</f>
        <v>-</v>
      </c>
      <c r="J1220" s="35" t="str">
        <f aca="false">IF(AND(Einstellungen!$B$8="Ja",Einstellungen!$B$9="Effektiv"),$I1220,"-")</f>
        <v>-</v>
      </c>
      <c r="K1220" s="31" t="n">
        <f aca="false">IF(OR($F1220="",$J1220="-"),0,ROUND($F1220-$F1220/(1+$H1220),2))</f>
        <v>0</v>
      </c>
      <c r="L1220" s="31" t="n">
        <f aca="false">IF($F1220="",0,$F1220-$K1220)</f>
        <v>0</v>
      </c>
      <c r="M1220" s="31" t="n">
        <f aca="false">IF($F1220="",0,IF($J1220="V",$L1220,$F1220))</f>
        <v>0</v>
      </c>
      <c r="N1220" s="31" t="n">
        <f aca="false">IF($F1220="",0,IF($J1220="U",$L1220,$F1220))</f>
        <v>0</v>
      </c>
      <c r="O1220" s="35" t="str">
        <f aca="false">IF($A1220="","",MONTH($A1220))</f>
        <v/>
      </c>
      <c r="P1220" s="35" t="str">
        <f aca="false">IF($A1220="","",ROUNDUP(MONTH($A1220)/3,0))</f>
        <v/>
      </c>
      <c r="Q1220" s="35" t="str">
        <f aca="false">IF($A1220="","",IF(MONTH($A1220)&lt;=6,1,2))</f>
        <v/>
      </c>
      <c r="R1220" s="35" t="str">
        <f aca="false">IF($E1220="","",IFERROR(INDEX(Kontenplan!$F$5:$F$90,MATCH($E1220,Kontenplan!$A$5:$A$90,0)),""))</f>
        <v/>
      </c>
      <c r="S1220" s="35" t="str">
        <f aca="false">IF($D1220="","",IFERROR(INDEX(Kontenplan!$F$5:$F$90,MATCH($D1220,Kontenplan!$A$5:$A$90,0)),""))</f>
        <v/>
      </c>
      <c r="T1220" s="35" t="str">
        <f aca="false">IF($D1220="","",IFERROR(INDEX(Kontenplan!$C$5:$C$90,MATCH($D1220,Kontenplan!$A$5:$A$90,0)),"?"))</f>
        <v/>
      </c>
      <c r="U1220" s="35" t="str">
        <f aca="false">IF($E1220="","",IFERROR(INDEX(Kontenplan!$C$5:$C$90,MATCH($E1220,Kontenplan!$A$5:$A$90,0)),"?"))</f>
        <v/>
      </c>
      <c r="V1220" s="35" t="str">
        <f aca="false">IF($F1220="","",IF(OR($D1220="",$E1220="",$T1220="?",$U1220="?"),"Konto prüfen!",IF($A1220="","Datum fehlt",IF(YEAR($A1220)&lt;&gt;Einstellungen!$B$7,"anderes Jahr!",IF($G1220="","MWST-Code fehlt","OK")))))</f>
        <v/>
      </c>
      <c r="W1220" s="35" t="str">
        <f aca="false">IF($F1220="","",IF(OR($D1220=Kontoauszug!$C$4,$E1220=Kontoauszug!$C$4),MAX(W$4:W1219)+1,""))</f>
        <v/>
      </c>
    </row>
    <row r="1221" customFormat="false" ht="15" hidden="false" customHeight="false" outlineLevel="0" collapsed="false">
      <c r="A1221" s="33"/>
      <c r="B1221" s="32"/>
      <c r="C1221" s="32"/>
      <c r="D1221" s="32"/>
      <c r="E1221" s="32"/>
      <c r="F1221" s="30"/>
      <c r="G1221" s="32"/>
      <c r="H1221" s="34" t="n">
        <f aca="false">IF($G1221="",0,IFERROR(INDEX(Einstellungen!$G$5:$G$11,MATCH($G1221,Einstellungen!$E$5:$E$11,0)),0))</f>
        <v>0</v>
      </c>
      <c r="I1221" s="35" t="str">
        <f aca="false">IF($G1221="","-",IFERROR(INDEX(Einstellungen!$H$5:$H$11,MATCH($G1221,Einstellungen!$E$5:$E$11,0)),"-"))</f>
        <v>-</v>
      </c>
      <c r="J1221" s="35" t="str">
        <f aca="false">IF(AND(Einstellungen!$B$8="Ja",Einstellungen!$B$9="Effektiv"),$I1221,"-")</f>
        <v>-</v>
      </c>
      <c r="K1221" s="31" t="n">
        <f aca="false">IF(OR($F1221="",$J1221="-"),0,ROUND($F1221-$F1221/(1+$H1221),2))</f>
        <v>0</v>
      </c>
      <c r="L1221" s="31" t="n">
        <f aca="false">IF($F1221="",0,$F1221-$K1221)</f>
        <v>0</v>
      </c>
      <c r="M1221" s="31" t="n">
        <f aca="false">IF($F1221="",0,IF($J1221="V",$L1221,$F1221))</f>
        <v>0</v>
      </c>
      <c r="N1221" s="31" t="n">
        <f aca="false">IF($F1221="",0,IF($J1221="U",$L1221,$F1221))</f>
        <v>0</v>
      </c>
      <c r="O1221" s="35" t="str">
        <f aca="false">IF($A1221="","",MONTH($A1221))</f>
        <v/>
      </c>
      <c r="P1221" s="35" t="str">
        <f aca="false">IF($A1221="","",ROUNDUP(MONTH($A1221)/3,0))</f>
        <v/>
      </c>
      <c r="Q1221" s="35" t="str">
        <f aca="false">IF($A1221="","",IF(MONTH($A1221)&lt;=6,1,2))</f>
        <v/>
      </c>
      <c r="R1221" s="35" t="str">
        <f aca="false">IF($E1221="","",IFERROR(INDEX(Kontenplan!$F$5:$F$90,MATCH($E1221,Kontenplan!$A$5:$A$90,0)),""))</f>
        <v/>
      </c>
      <c r="S1221" s="35" t="str">
        <f aca="false">IF($D1221="","",IFERROR(INDEX(Kontenplan!$F$5:$F$90,MATCH($D1221,Kontenplan!$A$5:$A$90,0)),""))</f>
        <v/>
      </c>
      <c r="T1221" s="35" t="str">
        <f aca="false">IF($D1221="","",IFERROR(INDEX(Kontenplan!$C$5:$C$90,MATCH($D1221,Kontenplan!$A$5:$A$90,0)),"?"))</f>
        <v/>
      </c>
      <c r="U1221" s="35" t="str">
        <f aca="false">IF($E1221="","",IFERROR(INDEX(Kontenplan!$C$5:$C$90,MATCH($E1221,Kontenplan!$A$5:$A$90,0)),"?"))</f>
        <v/>
      </c>
      <c r="V1221" s="35" t="str">
        <f aca="false">IF($F1221="","",IF(OR($D1221="",$E1221="",$T1221="?",$U1221="?"),"Konto prüfen!",IF($A1221="","Datum fehlt",IF(YEAR($A1221)&lt;&gt;Einstellungen!$B$7,"anderes Jahr!",IF($G1221="","MWST-Code fehlt","OK")))))</f>
        <v/>
      </c>
      <c r="W1221" s="35" t="str">
        <f aca="false">IF($F1221="","",IF(OR($D1221=Kontoauszug!$C$4,$E1221=Kontoauszug!$C$4),MAX(W$4:W1220)+1,""))</f>
        <v/>
      </c>
    </row>
    <row r="1222" customFormat="false" ht="15" hidden="false" customHeight="false" outlineLevel="0" collapsed="false">
      <c r="A1222" s="33"/>
      <c r="B1222" s="32"/>
      <c r="C1222" s="32"/>
      <c r="D1222" s="32"/>
      <c r="E1222" s="32"/>
      <c r="F1222" s="30"/>
      <c r="G1222" s="32"/>
      <c r="H1222" s="34" t="n">
        <f aca="false">IF($G1222="",0,IFERROR(INDEX(Einstellungen!$G$5:$G$11,MATCH($G1222,Einstellungen!$E$5:$E$11,0)),0))</f>
        <v>0</v>
      </c>
      <c r="I1222" s="35" t="str">
        <f aca="false">IF($G1222="","-",IFERROR(INDEX(Einstellungen!$H$5:$H$11,MATCH($G1222,Einstellungen!$E$5:$E$11,0)),"-"))</f>
        <v>-</v>
      </c>
      <c r="J1222" s="35" t="str">
        <f aca="false">IF(AND(Einstellungen!$B$8="Ja",Einstellungen!$B$9="Effektiv"),$I1222,"-")</f>
        <v>-</v>
      </c>
      <c r="K1222" s="31" t="n">
        <f aca="false">IF(OR($F1222="",$J1222="-"),0,ROUND($F1222-$F1222/(1+$H1222),2))</f>
        <v>0</v>
      </c>
      <c r="L1222" s="31" t="n">
        <f aca="false">IF($F1222="",0,$F1222-$K1222)</f>
        <v>0</v>
      </c>
      <c r="M1222" s="31" t="n">
        <f aca="false">IF($F1222="",0,IF($J1222="V",$L1222,$F1222))</f>
        <v>0</v>
      </c>
      <c r="N1222" s="31" t="n">
        <f aca="false">IF($F1222="",0,IF($J1222="U",$L1222,$F1222))</f>
        <v>0</v>
      </c>
      <c r="O1222" s="35" t="str">
        <f aca="false">IF($A1222="","",MONTH($A1222))</f>
        <v/>
      </c>
      <c r="P1222" s="35" t="str">
        <f aca="false">IF($A1222="","",ROUNDUP(MONTH($A1222)/3,0))</f>
        <v/>
      </c>
      <c r="Q1222" s="35" t="str">
        <f aca="false">IF($A1222="","",IF(MONTH($A1222)&lt;=6,1,2))</f>
        <v/>
      </c>
      <c r="R1222" s="35" t="str">
        <f aca="false">IF($E1222="","",IFERROR(INDEX(Kontenplan!$F$5:$F$90,MATCH($E1222,Kontenplan!$A$5:$A$90,0)),""))</f>
        <v/>
      </c>
      <c r="S1222" s="35" t="str">
        <f aca="false">IF($D1222="","",IFERROR(INDEX(Kontenplan!$F$5:$F$90,MATCH($D1222,Kontenplan!$A$5:$A$90,0)),""))</f>
        <v/>
      </c>
      <c r="T1222" s="35" t="str">
        <f aca="false">IF($D1222="","",IFERROR(INDEX(Kontenplan!$C$5:$C$90,MATCH($D1222,Kontenplan!$A$5:$A$90,0)),"?"))</f>
        <v/>
      </c>
      <c r="U1222" s="35" t="str">
        <f aca="false">IF($E1222="","",IFERROR(INDEX(Kontenplan!$C$5:$C$90,MATCH($E1222,Kontenplan!$A$5:$A$90,0)),"?"))</f>
        <v/>
      </c>
      <c r="V1222" s="35" t="str">
        <f aca="false">IF($F1222="","",IF(OR($D1222="",$E1222="",$T1222="?",$U1222="?"),"Konto prüfen!",IF($A1222="","Datum fehlt",IF(YEAR($A1222)&lt;&gt;Einstellungen!$B$7,"anderes Jahr!",IF($G1222="","MWST-Code fehlt","OK")))))</f>
        <v/>
      </c>
      <c r="W1222" s="35" t="str">
        <f aca="false">IF($F1222="","",IF(OR($D1222=Kontoauszug!$C$4,$E1222=Kontoauszug!$C$4),MAX(W$4:W1221)+1,""))</f>
        <v/>
      </c>
    </row>
    <row r="1223" customFormat="false" ht="15" hidden="false" customHeight="false" outlineLevel="0" collapsed="false">
      <c r="A1223" s="33"/>
      <c r="B1223" s="32"/>
      <c r="C1223" s="32"/>
      <c r="D1223" s="32"/>
      <c r="E1223" s="32"/>
      <c r="F1223" s="30"/>
      <c r="G1223" s="32"/>
      <c r="H1223" s="34" t="n">
        <f aca="false">IF($G1223="",0,IFERROR(INDEX(Einstellungen!$G$5:$G$11,MATCH($G1223,Einstellungen!$E$5:$E$11,0)),0))</f>
        <v>0</v>
      </c>
      <c r="I1223" s="35" t="str">
        <f aca="false">IF($G1223="","-",IFERROR(INDEX(Einstellungen!$H$5:$H$11,MATCH($G1223,Einstellungen!$E$5:$E$11,0)),"-"))</f>
        <v>-</v>
      </c>
      <c r="J1223" s="35" t="str">
        <f aca="false">IF(AND(Einstellungen!$B$8="Ja",Einstellungen!$B$9="Effektiv"),$I1223,"-")</f>
        <v>-</v>
      </c>
      <c r="K1223" s="31" t="n">
        <f aca="false">IF(OR($F1223="",$J1223="-"),0,ROUND($F1223-$F1223/(1+$H1223),2))</f>
        <v>0</v>
      </c>
      <c r="L1223" s="31" t="n">
        <f aca="false">IF($F1223="",0,$F1223-$K1223)</f>
        <v>0</v>
      </c>
      <c r="M1223" s="31" t="n">
        <f aca="false">IF($F1223="",0,IF($J1223="V",$L1223,$F1223))</f>
        <v>0</v>
      </c>
      <c r="N1223" s="31" t="n">
        <f aca="false">IF($F1223="",0,IF($J1223="U",$L1223,$F1223))</f>
        <v>0</v>
      </c>
      <c r="O1223" s="35" t="str">
        <f aca="false">IF($A1223="","",MONTH($A1223))</f>
        <v/>
      </c>
      <c r="P1223" s="35" t="str">
        <f aca="false">IF($A1223="","",ROUNDUP(MONTH($A1223)/3,0))</f>
        <v/>
      </c>
      <c r="Q1223" s="35" t="str">
        <f aca="false">IF($A1223="","",IF(MONTH($A1223)&lt;=6,1,2))</f>
        <v/>
      </c>
      <c r="R1223" s="35" t="str">
        <f aca="false">IF($E1223="","",IFERROR(INDEX(Kontenplan!$F$5:$F$90,MATCH($E1223,Kontenplan!$A$5:$A$90,0)),""))</f>
        <v/>
      </c>
      <c r="S1223" s="35" t="str">
        <f aca="false">IF($D1223="","",IFERROR(INDEX(Kontenplan!$F$5:$F$90,MATCH($D1223,Kontenplan!$A$5:$A$90,0)),""))</f>
        <v/>
      </c>
      <c r="T1223" s="35" t="str">
        <f aca="false">IF($D1223="","",IFERROR(INDEX(Kontenplan!$C$5:$C$90,MATCH($D1223,Kontenplan!$A$5:$A$90,0)),"?"))</f>
        <v/>
      </c>
      <c r="U1223" s="35" t="str">
        <f aca="false">IF($E1223="","",IFERROR(INDEX(Kontenplan!$C$5:$C$90,MATCH($E1223,Kontenplan!$A$5:$A$90,0)),"?"))</f>
        <v/>
      </c>
      <c r="V1223" s="35" t="str">
        <f aca="false">IF($F1223="","",IF(OR($D1223="",$E1223="",$T1223="?",$U1223="?"),"Konto prüfen!",IF($A1223="","Datum fehlt",IF(YEAR($A1223)&lt;&gt;Einstellungen!$B$7,"anderes Jahr!",IF($G1223="","MWST-Code fehlt","OK")))))</f>
        <v/>
      </c>
      <c r="W1223" s="35" t="str">
        <f aca="false">IF($F1223="","",IF(OR($D1223=Kontoauszug!$C$4,$E1223=Kontoauszug!$C$4),MAX(W$4:W1222)+1,""))</f>
        <v/>
      </c>
    </row>
    <row r="1224" customFormat="false" ht="15" hidden="false" customHeight="false" outlineLevel="0" collapsed="false">
      <c r="A1224" s="33"/>
      <c r="B1224" s="32"/>
      <c r="C1224" s="32"/>
      <c r="D1224" s="32"/>
      <c r="E1224" s="32"/>
      <c r="F1224" s="30"/>
      <c r="G1224" s="32"/>
      <c r="H1224" s="34" t="n">
        <f aca="false">IF($G1224="",0,IFERROR(INDEX(Einstellungen!$G$5:$G$11,MATCH($G1224,Einstellungen!$E$5:$E$11,0)),0))</f>
        <v>0</v>
      </c>
      <c r="I1224" s="35" t="str">
        <f aca="false">IF($G1224="","-",IFERROR(INDEX(Einstellungen!$H$5:$H$11,MATCH($G1224,Einstellungen!$E$5:$E$11,0)),"-"))</f>
        <v>-</v>
      </c>
      <c r="J1224" s="35" t="str">
        <f aca="false">IF(AND(Einstellungen!$B$8="Ja",Einstellungen!$B$9="Effektiv"),$I1224,"-")</f>
        <v>-</v>
      </c>
      <c r="K1224" s="31" t="n">
        <f aca="false">IF(OR($F1224="",$J1224="-"),0,ROUND($F1224-$F1224/(1+$H1224),2))</f>
        <v>0</v>
      </c>
      <c r="L1224" s="31" t="n">
        <f aca="false">IF($F1224="",0,$F1224-$K1224)</f>
        <v>0</v>
      </c>
      <c r="M1224" s="31" t="n">
        <f aca="false">IF($F1224="",0,IF($J1224="V",$L1224,$F1224))</f>
        <v>0</v>
      </c>
      <c r="N1224" s="31" t="n">
        <f aca="false">IF($F1224="",0,IF($J1224="U",$L1224,$F1224))</f>
        <v>0</v>
      </c>
      <c r="O1224" s="35" t="str">
        <f aca="false">IF($A1224="","",MONTH($A1224))</f>
        <v/>
      </c>
      <c r="P1224" s="35" t="str">
        <f aca="false">IF($A1224="","",ROUNDUP(MONTH($A1224)/3,0))</f>
        <v/>
      </c>
      <c r="Q1224" s="35" t="str">
        <f aca="false">IF($A1224="","",IF(MONTH($A1224)&lt;=6,1,2))</f>
        <v/>
      </c>
      <c r="R1224" s="35" t="str">
        <f aca="false">IF($E1224="","",IFERROR(INDEX(Kontenplan!$F$5:$F$90,MATCH($E1224,Kontenplan!$A$5:$A$90,0)),""))</f>
        <v/>
      </c>
      <c r="S1224" s="35" t="str">
        <f aca="false">IF($D1224="","",IFERROR(INDEX(Kontenplan!$F$5:$F$90,MATCH($D1224,Kontenplan!$A$5:$A$90,0)),""))</f>
        <v/>
      </c>
      <c r="T1224" s="35" t="str">
        <f aca="false">IF($D1224="","",IFERROR(INDEX(Kontenplan!$C$5:$C$90,MATCH($D1224,Kontenplan!$A$5:$A$90,0)),"?"))</f>
        <v/>
      </c>
      <c r="U1224" s="35" t="str">
        <f aca="false">IF($E1224="","",IFERROR(INDEX(Kontenplan!$C$5:$C$90,MATCH($E1224,Kontenplan!$A$5:$A$90,0)),"?"))</f>
        <v/>
      </c>
      <c r="V1224" s="35" t="str">
        <f aca="false">IF($F1224="","",IF(OR($D1224="",$E1224="",$T1224="?",$U1224="?"),"Konto prüfen!",IF($A1224="","Datum fehlt",IF(YEAR($A1224)&lt;&gt;Einstellungen!$B$7,"anderes Jahr!",IF($G1224="","MWST-Code fehlt","OK")))))</f>
        <v/>
      </c>
      <c r="W1224" s="35" t="str">
        <f aca="false">IF($F1224="","",IF(OR($D1224=Kontoauszug!$C$4,$E1224=Kontoauszug!$C$4),MAX(W$4:W1223)+1,""))</f>
        <v/>
      </c>
    </row>
    <row r="1225" customFormat="false" ht="15" hidden="false" customHeight="false" outlineLevel="0" collapsed="false">
      <c r="A1225" s="33"/>
      <c r="B1225" s="32"/>
      <c r="C1225" s="32"/>
      <c r="D1225" s="32"/>
      <c r="E1225" s="32"/>
      <c r="F1225" s="30"/>
      <c r="G1225" s="32"/>
      <c r="H1225" s="34" t="n">
        <f aca="false">IF($G1225="",0,IFERROR(INDEX(Einstellungen!$G$5:$G$11,MATCH($G1225,Einstellungen!$E$5:$E$11,0)),0))</f>
        <v>0</v>
      </c>
      <c r="I1225" s="35" t="str">
        <f aca="false">IF($G1225="","-",IFERROR(INDEX(Einstellungen!$H$5:$H$11,MATCH($G1225,Einstellungen!$E$5:$E$11,0)),"-"))</f>
        <v>-</v>
      </c>
      <c r="J1225" s="35" t="str">
        <f aca="false">IF(AND(Einstellungen!$B$8="Ja",Einstellungen!$B$9="Effektiv"),$I1225,"-")</f>
        <v>-</v>
      </c>
      <c r="K1225" s="31" t="n">
        <f aca="false">IF(OR($F1225="",$J1225="-"),0,ROUND($F1225-$F1225/(1+$H1225),2))</f>
        <v>0</v>
      </c>
      <c r="L1225" s="31" t="n">
        <f aca="false">IF($F1225="",0,$F1225-$K1225)</f>
        <v>0</v>
      </c>
      <c r="M1225" s="31" t="n">
        <f aca="false">IF($F1225="",0,IF($J1225="V",$L1225,$F1225))</f>
        <v>0</v>
      </c>
      <c r="N1225" s="31" t="n">
        <f aca="false">IF($F1225="",0,IF($J1225="U",$L1225,$F1225))</f>
        <v>0</v>
      </c>
      <c r="O1225" s="35" t="str">
        <f aca="false">IF($A1225="","",MONTH($A1225))</f>
        <v/>
      </c>
      <c r="P1225" s="35" t="str">
        <f aca="false">IF($A1225="","",ROUNDUP(MONTH($A1225)/3,0))</f>
        <v/>
      </c>
      <c r="Q1225" s="35" t="str">
        <f aca="false">IF($A1225="","",IF(MONTH($A1225)&lt;=6,1,2))</f>
        <v/>
      </c>
      <c r="R1225" s="35" t="str">
        <f aca="false">IF($E1225="","",IFERROR(INDEX(Kontenplan!$F$5:$F$90,MATCH($E1225,Kontenplan!$A$5:$A$90,0)),""))</f>
        <v/>
      </c>
      <c r="S1225" s="35" t="str">
        <f aca="false">IF($D1225="","",IFERROR(INDEX(Kontenplan!$F$5:$F$90,MATCH($D1225,Kontenplan!$A$5:$A$90,0)),""))</f>
        <v/>
      </c>
      <c r="T1225" s="35" t="str">
        <f aca="false">IF($D1225="","",IFERROR(INDEX(Kontenplan!$C$5:$C$90,MATCH($D1225,Kontenplan!$A$5:$A$90,0)),"?"))</f>
        <v/>
      </c>
      <c r="U1225" s="35" t="str">
        <f aca="false">IF($E1225="","",IFERROR(INDEX(Kontenplan!$C$5:$C$90,MATCH($E1225,Kontenplan!$A$5:$A$90,0)),"?"))</f>
        <v/>
      </c>
      <c r="V1225" s="35" t="str">
        <f aca="false">IF($F1225="","",IF(OR($D1225="",$E1225="",$T1225="?",$U1225="?"),"Konto prüfen!",IF($A1225="","Datum fehlt",IF(YEAR($A1225)&lt;&gt;Einstellungen!$B$7,"anderes Jahr!",IF($G1225="","MWST-Code fehlt","OK")))))</f>
        <v/>
      </c>
      <c r="W1225" s="35" t="str">
        <f aca="false">IF($F1225="","",IF(OR($D1225=Kontoauszug!$C$4,$E1225=Kontoauszug!$C$4),MAX(W$4:W1224)+1,""))</f>
        <v/>
      </c>
    </row>
    <row r="1226" customFormat="false" ht="15" hidden="false" customHeight="false" outlineLevel="0" collapsed="false">
      <c r="A1226" s="33"/>
      <c r="B1226" s="32"/>
      <c r="C1226" s="32"/>
      <c r="D1226" s="32"/>
      <c r="E1226" s="32"/>
      <c r="F1226" s="30"/>
      <c r="G1226" s="32"/>
      <c r="H1226" s="34" t="n">
        <f aca="false">IF($G1226="",0,IFERROR(INDEX(Einstellungen!$G$5:$G$11,MATCH($G1226,Einstellungen!$E$5:$E$11,0)),0))</f>
        <v>0</v>
      </c>
      <c r="I1226" s="35" t="str">
        <f aca="false">IF($G1226="","-",IFERROR(INDEX(Einstellungen!$H$5:$H$11,MATCH($G1226,Einstellungen!$E$5:$E$11,0)),"-"))</f>
        <v>-</v>
      </c>
      <c r="J1226" s="35" t="str">
        <f aca="false">IF(AND(Einstellungen!$B$8="Ja",Einstellungen!$B$9="Effektiv"),$I1226,"-")</f>
        <v>-</v>
      </c>
      <c r="K1226" s="31" t="n">
        <f aca="false">IF(OR($F1226="",$J1226="-"),0,ROUND($F1226-$F1226/(1+$H1226),2))</f>
        <v>0</v>
      </c>
      <c r="L1226" s="31" t="n">
        <f aca="false">IF($F1226="",0,$F1226-$K1226)</f>
        <v>0</v>
      </c>
      <c r="M1226" s="31" t="n">
        <f aca="false">IF($F1226="",0,IF($J1226="V",$L1226,$F1226))</f>
        <v>0</v>
      </c>
      <c r="N1226" s="31" t="n">
        <f aca="false">IF($F1226="",0,IF($J1226="U",$L1226,$F1226))</f>
        <v>0</v>
      </c>
      <c r="O1226" s="35" t="str">
        <f aca="false">IF($A1226="","",MONTH($A1226))</f>
        <v/>
      </c>
      <c r="P1226" s="35" t="str">
        <f aca="false">IF($A1226="","",ROUNDUP(MONTH($A1226)/3,0))</f>
        <v/>
      </c>
      <c r="Q1226" s="35" t="str">
        <f aca="false">IF($A1226="","",IF(MONTH($A1226)&lt;=6,1,2))</f>
        <v/>
      </c>
      <c r="R1226" s="35" t="str">
        <f aca="false">IF($E1226="","",IFERROR(INDEX(Kontenplan!$F$5:$F$90,MATCH($E1226,Kontenplan!$A$5:$A$90,0)),""))</f>
        <v/>
      </c>
      <c r="S1226" s="35" t="str">
        <f aca="false">IF($D1226="","",IFERROR(INDEX(Kontenplan!$F$5:$F$90,MATCH($D1226,Kontenplan!$A$5:$A$90,0)),""))</f>
        <v/>
      </c>
      <c r="T1226" s="35" t="str">
        <f aca="false">IF($D1226="","",IFERROR(INDEX(Kontenplan!$C$5:$C$90,MATCH($D1226,Kontenplan!$A$5:$A$90,0)),"?"))</f>
        <v/>
      </c>
      <c r="U1226" s="35" t="str">
        <f aca="false">IF($E1226="","",IFERROR(INDEX(Kontenplan!$C$5:$C$90,MATCH($E1226,Kontenplan!$A$5:$A$90,0)),"?"))</f>
        <v/>
      </c>
      <c r="V1226" s="35" t="str">
        <f aca="false">IF($F1226="","",IF(OR($D1226="",$E1226="",$T1226="?",$U1226="?"),"Konto prüfen!",IF($A1226="","Datum fehlt",IF(YEAR($A1226)&lt;&gt;Einstellungen!$B$7,"anderes Jahr!",IF($G1226="","MWST-Code fehlt","OK")))))</f>
        <v/>
      </c>
      <c r="W1226" s="35" t="str">
        <f aca="false">IF($F1226="","",IF(OR($D1226=Kontoauszug!$C$4,$E1226=Kontoauszug!$C$4),MAX(W$4:W1225)+1,""))</f>
        <v/>
      </c>
    </row>
    <row r="1227" customFormat="false" ht="15" hidden="false" customHeight="false" outlineLevel="0" collapsed="false">
      <c r="A1227" s="33"/>
      <c r="B1227" s="32"/>
      <c r="C1227" s="32"/>
      <c r="D1227" s="32"/>
      <c r="E1227" s="32"/>
      <c r="F1227" s="30"/>
      <c r="G1227" s="32"/>
      <c r="H1227" s="34" t="n">
        <f aca="false">IF($G1227="",0,IFERROR(INDEX(Einstellungen!$G$5:$G$11,MATCH($G1227,Einstellungen!$E$5:$E$11,0)),0))</f>
        <v>0</v>
      </c>
      <c r="I1227" s="35" t="str">
        <f aca="false">IF($G1227="","-",IFERROR(INDEX(Einstellungen!$H$5:$H$11,MATCH($G1227,Einstellungen!$E$5:$E$11,0)),"-"))</f>
        <v>-</v>
      </c>
      <c r="J1227" s="35" t="str">
        <f aca="false">IF(AND(Einstellungen!$B$8="Ja",Einstellungen!$B$9="Effektiv"),$I1227,"-")</f>
        <v>-</v>
      </c>
      <c r="K1227" s="31" t="n">
        <f aca="false">IF(OR($F1227="",$J1227="-"),0,ROUND($F1227-$F1227/(1+$H1227),2))</f>
        <v>0</v>
      </c>
      <c r="L1227" s="31" t="n">
        <f aca="false">IF($F1227="",0,$F1227-$K1227)</f>
        <v>0</v>
      </c>
      <c r="M1227" s="31" t="n">
        <f aca="false">IF($F1227="",0,IF($J1227="V",$L1227,$F1227))</f>
        <v>0</v>
      </c>
      <c r="N1227" s="31" t="n">
        <f aca="false">IF($F1227="",0,IF($J1227="U",$L1227,$F1227))</f>
        <v>0</v>
      </c>
      <c r="O1227" s="35" t="str">
        <f aca="false">IF($A1227="","",MONTH($A1227))</f>
        <v/>
      </c>
      <c r="P1227" s="35" t="str">
        <f aca="false">IF($A1227="","",ROUNDUP(MONTH($A1227)/3,0))</f>
        <v/>
      </c>
      <c r="Q1227" s="35" t="str">
        <f aca="false">IF($A1227="","",IF(MONTH($A1227)&lt;=6,1,2))</f>
        <v/>
      </c>
      <c r="R1227" s="35" t="str">
        <f aca="false">IF($E1227="","",IFERROR(INDEX(Kontenplan!$F$5:$F$90,MATCH($E1227,Kontenplan!$A$5:$A$90,0)),""))</f>
        <v/>
      </c>
      <c r="S1227" s="35" t="str">
        <f aca="false">IF($D1227="","",IFERROR(INDEX(Kontenplan!$F$5:$F$90,MATCH($D1227,Kontenplan!$A$5:$A$90,0)),""))</f>
        <v/>
      </c>
      <c r="T1227" s="35" t="str">
        <f aca="false">IF($D1227="","",IFERROR(INDEX(Kontenplan!$C$5:$C$90,MATCH($D1227,Kontenplan!$A$5:$A$90,0)),"?"))</f>
        <v/>
      </c>
      <c r="U1227" s="35" t="str">
        <f aca="false">IF($E1227="","",IFERROR(INDEX(Kontenplan!$C$5:$C$90,MATCH($E1227,Kontenplan!$A$5:$A$90,0)),"?"))</f>
        <v/>
      </c>
      <c r="V1227" s="35" t="str">
        <f aca="false">IF($F1227="","",IF(OR($D1227="",$E1227="",$T1227="?",$U1227="?"),"Konto prüfen!",IF($A1227="","Datum fehlt",IF(YEAR($A1227)&lt;&gt;Einstellungen!$B$7,"anderes Jahr!",IF($G1227="","MWST-Code fehlt","OK")))))</f>
        <v/>
      </c>
      <c r="W1227" s="35" t="str">
        <f aca="false">IF($F1227="","",IF(OR($D1227=Kontoauszug!$C$4,$E1227=Kontoauszug!$C$4),MAX(W$4:W1226)+1,""))</f>
        <v/>
      </c>
    </row>
    <row r="1228" customFormat="false" ht="15" hidden="false" customHeight="false" outlineLevel="0" collapsed="false">
      <c r="A1228" s="33"/>
      <c r="B1228" s="32"/>
      <c r="C1228" s="32"/>
      <c r="D1228" s="32"/>
      <c r="E1228" s="32"/>
      <c r="F1228" s="30"/>
      <c r="G1228" s="32"/>
      <c r="H1228" s="34" t="n">
        <f aca="false">IF($G1228="",0,IFERROR(INDEX(Einstellungen!$G$5:$G$11,MATCH($G1228,Einstellungen!$E$5:$E$11,0)),0))</f>
        <v>0</v>
      </c>
      <c r="I1228" s="35" t="str">
        <f aca="false">IF($G1228="","-",IFERROR(INDEX(Einstellungen!$H$5:$H$11,MATCH($G1228,Einstellungen!$E$5:$E$11,0)),"-"))</f>
        <v>-</v>
      </c>
      <c r="J1228" s="35" t="str">
        <f aca="false">IF(AND(Einstellungen!$B$8="Ja",Einstellungen!$B$9="Effektiv"),$I1228,"-")</f>
        <v>-</v>
      </c>
      <c r="K1228" s="31" t="n">
        <f aca="false">IF(OR($F1228="",$J1228="-"),0,ROUND($F1228-$F1228/(1+$H1228),2))</f>
        <v>0</v>
      </c>
      <c r="L1228" s="31" t="n">
        <f aca="false">IF($F1228="",0,$F1228-$K1228)</f>
        <v>0</v>
      </c>
      <c r="M1228" s="31" t="n">
        <f aca="false">IF($F1228="",0,IF($J1228="V",$L1228,$F1228))</f>
        <v>0</v>
      </c>
      <c r="N1228" s="31" t="n">
        <f aca="false">IF($F1228="",0,IF($J1228="U",$L1228,$F1228))</f>
        <v>0</v>
      </c>
      <c r="O1228" s="35" t="str">
        <f aca="false">IF($A1228="","",MONTH($A1228))</f>
        <v/>
      </c>
      <c r="P1228" s="35" t="str">
        <f aca="false">IF($A1228="","",ROUNDUP(MONTH($A1228)/3,0))</f>
        <v/>
      </c>
      <c r="Q1228" s="35" t="str">
        <f aca="false">IF($A1228="","",IF(MONTH($A1228)&lt;=6,1,2))</f>
        <v/>
      </c>
      <c r="R1228" s="35" t="str">
        <f aca="false">IF($E1228="","",IFERROR(INDEX(Kontenplan!$F$5:$F$90,MATCH($E1228,Kontenplan!$A$5:$A$90,0)),""))</f>
        <v/>
      </c>
      <c r="S1228" s="35" t="str">
        <f aca="false">IF($D1228="","",IFERROR(INDEX(Kontenplan!$F$5:$F$90,MATCH($D1228,Kontenplan!$A$5:$A$90,0)),""))</f>
        <v/>
      </c>
      <c r="T1228" s="35" t="str">
        <f aca="false">IF($D1228="","",IFERROR(INDEX(Kontenplan!$C$5:$C$90,MATCH($D1228,Kontenplan!$A$5:$A$90,0)),"?"))</f>
        <v/>
      </c>
      <c r="U1228" s="35" t="str">
        <f aca="false">IF($E1228="","",IFERROR(INDEX(Kontenplan!$C$5:$C$90,MATCH($E1228,Kontenplan!$A$5:$A$90,0)),"?"))</f>
        <v/>
      </c>
      <c r="V1228" s="35" t="str">
        <f aca="false">IF($F1228="","",IF(OR($D1228="",$E1228="",$T1228="?",$U1228="?"),"Konto prüfen!",IF($A1228="","Datum fehlt",IF(YEAR($A1228)&lt;&gt;Einstellungen!$B$7,"anderes Jahr!",IF($G1228="","MWST-Code fehlt","OK")))))</f>
        <v/>
      </c>
      <c r="W1228" s="35" t="str">
        <f aca="false">IF($F1228="","",IF(OR($D1228=Kontoauszug!$C$4,$E1228=Kontoauszug!$C$4),MAX(W$4:W1227)+1,""))</f>
        <v/>
      </c>
    </row>
    <row r="1229" customFormat="false" ht="15" hidden="false" customHeight="false" outlineLevel="0" collapsed="false">
      <c r="A1229" s="33"/>
      <c r="B1229" s="32"/>
      <c r="C1229" s="32"/>
      <c r="D1229" s="32"/>
      <c r="E1229" s="32"/>
      <c r="F1229" s="30"/>
      <c r="G1229" s="32"/>
      <c r="H1229" s="34" t="n">
        <f aca="false">IF($G1229="",0,IFERROR(INDEX(Einstellungen!$G$5:$G$11,MATCH($G1229,Einstellungen!$E$5:$E$11,0)),0))</f>
        <v>0</v>
      </c>
      <c r="I1229" s="35" t="str">
        <f aca="false">IF($G1229="","-",IFERROR(INDEX(Einstellungen!$H$5:$H$11,MATCH($G1229,Einstellungen!$E$5:$E$11,0)),"-"))</f>
        <v>-</v>
      </c>
      <c r="J1229" s="35" t="str">
        <f aca="false">IF(AND(Einstellungen!$B$8="Ja",Einstellungen!$B$9="Effektiv"),$I1229,"-")</f>
        <v>-</v>
      </c>
      <c r="K1229" s="31" t="n">
        <f aca="false">IF(OR($F1229="",$J1229="-"),0,ROUND($F1229-$F1229/(1+$H1229),2))</f>
        <v>0</v>
      </c>
      <c r="L1229" s="31" t="n">
        <f aca="false">IF($F1229="",0,$F1229-$K1229)</f>
        <v>0</v>
      </c>
      <c r="M1229" s="31" t="n">
        <f aca="false">IF($F1229="",0,IF($J1229="V",$L1229,$F1229))</f>
        <v>0</v>
      </c>
      <c r="N1229" s="31" t="n">
        <f aca="false">IF($F1229="",0,IF($J1229="U",$L1229,$F1229))</f>
        <v>0</v>
      </c>
      <c r="O1229" s="35" t="str">
        <f aca="false">IF($A1229="","",MONTH($A1229))</f>
        <v/>
      </c>
      <c r="P1229" s="35" t="str">
        <f aca="false">IF($A1229="","",ROUNDUP(MONTH($A1229)/3,0))</f>
        <v/>
      </c>
      <c r="Q1229" s="35" t="str">
        <f aca="false">IF($A1229="","",IF(MONTH($A1229)&lt;=6,1,2))</f>
        <v/>
      </c>
      <c r="R1229" s="35" t="str">
        <f aca="false">IF($E1229="","",IFERROR(INDEX(Kontenplan!$F$5:$F$90,MATCH($E1229,Kontenplan!$A$5:$A$90,0)),""))</f>
        <v/>
      </c>
      <c r="S1229" s="35" t="str">
        <f aca="false">IF($D1229="","",IFERROR(INDEX(Kontenplan!$F$5:$F$90,MATCH($D1229,Kontenplan!$A$5:$A$90,0)),""))</f>
        <v/>
      </c>
      <c r="T1229" s="35" t="str">
        <f aca="false">IF($D1229="","",IFERROR(INDEX(Kontenplan!$C$5:$C$90,MATCH($D1229,Kontenplan!$A$5:$A$90,0)),"?"))</f>
        <v/>
      </c>
      <c r="U1229" s="35" t="str">
        <f aca="false">IF($E1229="","",IFERROR(INDEX(Kontenplan!$C$5:$C$90,MATCH($E1229,Kontenplan!$A$5:$A$90,0)),"?"))</f>
        <v/>
      </c>
      <c r="V1229" s="35" t="str">
        <f aca="false">IF($F1229="","",IF(OR($D1229="",$E1229="",$T1229="?",$U1229="?"),"Konto prüfen!",IF($A1229="","Datum fehlt",IF(YEAR($A1229)&lt;&gt;Einstellungen!$B$7,"anderes Jahr!",IF($G1229="","MWST-Code fehlt","OK")))))</f>
        <v/>
      </c>
      <c r="W1229" s="35" t="str">
        <f aca="false">IF($F1229="","",IF(OR($D1229=Kontoauszug!$C$4,$E1229=Kontoauszug!$C$4),MAX(W$4:W1228)+1,""))</f>
        <v/>
      </c>
    </row>
    <row r="1230" customFormat="false" ht="15" hidden="false" customHeight="false" outlineLevel="0" collapsed="false">
      <c r="A1230" s="33"/>
      <c r="B1230" s="32"/>
      <c r="C1230" s="32"/>
      <c r="D1230" s="32"/>
      <c r="E1230" s="32"/>
      <c r="F1230" s="30"/>
      <c r="G1230" s="32"/>
      <c r="H1230" s="34" t="n">
        <f aca="false">IF($G1230="",0,IFERROR(INDEX(Einstellungen!$G$5:$G$11,MATCH($G1230,Einstellungen!$E$5:$E$11,0)),0))</f>
        <v>0</v>
      </c>
      <c r="I1230" s="35" t="str">
        <f aca="false">IF($G1230="","-",IFERROR(INDEX(Einstellungen!$H$5:$H$11,MATCH($G1230,Einstellungen!$E$5:$E$11,0)),"-"))</f>
        <v>-</v>
      </c>
      <c r="J1230" s="35" t="str">
        <f aca="false">IF(AND(Einstellungen!$B$8="Ja",Einstellungen!$B$9="Effektiv"),$I1230,"-")</f>
        <v>-</v>
      </c>
      <c r="K1230" s="31" t="n">
        <f aca="false">IF(OR($F1230="",$J1230="-"),0,ROUND($F1230-$F1230/(1+$H1230),2))</f>
        <v>0</v>
      </c>
      <c r="L1230" s="31" t="n">
        <f aca="false">IF($F1230="",0,$F1230-$K1230)</f>
        <v>0</v>
      </c>
      <c r="M1230" s="31" t="n">
        <f aca="false">IF($F1230="",0,IF($J1230="V",$L1230,$F1230))</f>
        <v>0</v>
      </c>
      <c r="N1230" s="31" t="n">
        <f aca="false">IF($F1230="",0,IF($J1230="U",$L1230,$F1230))</f>
        <v>0</v>
      </c>
      <c r="O1230" s="35" t="str">
        <f aca="false">IF($A1230="","",MONTH($A1230))</f>
        <v/>
      </c>
      <c r="P1230" s="35" t="str">
        <f aca="false">IF($A1230="","",ROUNDUP(MONTH($A1230)/3,0))</f>
        <v/>
      </c>
      <c r="Q1230" s="35" t="str">
        <f aca="false">IF($A1230="","",IF(MONTH($A1230)&lt;=6,1,2))</f>
        <v/>
      </c>
      <c r="R1230" s="35" t="str">
        <f aca="false">IF($E1230="","",IFERROR(INDEX(Kontenplan!$F$5:$F$90,MATCH($E1230,Kontenplan!$A$5:$A$90,0)),""))</f>
        <v/>
      </c>
      <c r="S1230" s="35" t="str">
        <f aca="false">IF($D1230="","",IFERROR(INDEX(Kontenplan!$F$5:$F$90,MATCH($D1230,Kontenplan!$A$5:$A$90,0)),""))</f>
        <v/>
      </c>
      <c r="T1230" s="35" t="str">
        <f aca="false">IF($D1230="","",IFERROR(INDEX(Kontenplan!$C$5:$C$90,MATCH($D1230,Kontenplan!$A$5:$A$90,0)),"?"))</f>
        <v/>
      </c>
      <c r="U1230" s="35" t="str">
        <f aca="false">IF($E1230="","",IFERROR(INDEX(Kontenplan!$C$5:$C$90,MATCH($E1230,Kontenplan!$A$5:$A$90,0)),"?"))</f>
        <v/>
      </c>
      <c r="V1230" s="35" t="str">
        <f aca="false">IF($F1230="","",IF(OR($D1230="",$E1230="",$T1230="?",$U1230="?"),"Konto prüfen!",IF($A1230="","Datum fehlt",IF(YEAR($A1230)&lt;&gt;Einstellungen!$B$7,"anderes Jahr!",IF($G1230="","MWST-Code fehlt","OK")))))</f>
        <v/>
      </c>
      <c r="W1230" s="35" t="str">
        <f aca="false">IF($F1230="","",IF(OR($D1230=Kontoauszug!$C$4,$E1230=Kontoauszug!$C$4),MAX(W$4:W1229)+1,""))</f>
        <v/>
      </c>
    </row>
    <row r="1231" customFormat="false" ht="15" hidden="false" customHeight="false" outlineLevel="0" collapsed="false">
      <c r="A1231" s="33"/>
      <c r="B1231" s="32"/>
      <c r="C1231" s="32"/>
      <c r="D1231" s="32"/>
      <c r="E1231" s="32"/>
      <c r="F1231" s="30"/>
      <c r="G1231" s="32"/>
      <c r="H1231" s="34" t="n">
        <f aca="false">IF($G1231="",0,IFERROR(INDEX(Einstellungen!$G$5:$G$11,MATCH($G1231,Einstellungen!$E$5:$E$11,0)),0))</f>
        <v>0</v>
      </c>
      <c r="I1231" s="35" t="str">
        <f aca="false">IF($G1231="","-",IFERROR(INDEX(Einstellungen!$H$5:$H$11,MATCH($G1231,Einstellungen!$E$5:$E$11,0)),"-"))</f>
        <v>-</v>
      </c>
      <c r="J1231" s="35" t="str">
        <f aca="false">IF(AND(Einstellungen!$B$8="Ja",Einstellungen!$B$9="Effektiv"),$I1231,"-")</f>
        <v>-</v>
      </c>
      <c r="K1231" s="31" t="n">
        <f aca="false">IF(OR($F1231="",$J1231="-"),0,ROUND($F1231-$F1231/(1+$H1231),2))</f>
        <v>0</v>
      </c>
      <c r="L1231" s="31" t="n">
        <f aca="false">IF($F1231="",0,$F1231-$K1231)</f>
        <v>0</v>
      </c>
      <c r="M1231" s="31" t="n">
        <f aca="false">IF($F1231="",0,IF($J1231="V",$L1231,$F1231))</f>
        <v>0</v>
      </c>
      <c r="N1231" s="31" t="n">
        <f aca="false">IF($F1231="",0,IF($J1231="U",$L1231,$F1231))</f>
        <v>0</v>
      </c>
      <c r="O1231" s="35" t="str">
        <f aca="false">IF($A1231="","",MONTH($A1231))</f>
        <v/>
      </c>
      <c r="P1231" s="35" t="str">
        <f aca="false">IF($A1231="","",ROUNDUP(MONTH($A1231)/3,0))</f>
        <v/>
      </c>
      <c r="Q1231" s="35" t="str">
        <f aca="false">IF($A1231="","",IF(MONTH($A1231)&lt;=6,1,2))</f>
        <v/>
      </c>
      <c r="R1231" s="35" t="str">
        <f aca="false">IF($E1231="","",IFERROR(INDEX(Kontenplan!$F$5:$F$90,MATCH($E1231,Kontenplan!$A$5:$A$90,0)),""))</f>
        <v/>
      </c>
      <c r="S1231" s="35" t="str">
        <f aca="false">IF($D1231="","",IFERROR(INDEX(Kontenplan!$F$5:$F$90,MATCH($D1231,Kontenplan!$A$5:$A$90,0)),""))</f>
        <v/>
      </c>
      <c r="T1231" s="35" t="str">
        <f aca="false">IF($D1231="","",IFERROR(INDEX(Kontenplan!$C$5:$C$90,MATCH($D1231,Kontenplan!$A$5:$A$90,0)),"?"))</f>
        <v/>
      </c>
      <c r="U1231" s="35" t="str">
        <f aca="false">IF($E1231="","",IFERROR(INDEX(Kontenplan!$C$5:$C$90,MATCH($E1231,Kontenplan!$A$5:$A$90,0)),"?"))</f>
        <v/>
      </c>
      <c r="V1231" s="35" t="str">
        <f aca="false">IF($F1231="","",IF(OR($D1231="",$E1231="",$T1231="?",$U1231="?"),"Konto prüfen!",IF($A1231="","Datum fehlt",IF(YEAR($A1231)&lt;&gt;Einstellungen!$B$7,"anderes Jahr!",IF($G1231="","MWST-Code fehlt","OK")))))</f>
        <v/>
      </c>
      <c r="W1231" s="35" t="str">
        <f aca="false">IF($F1231="","",IF(OR($D1231=Kontoauszug!$C$4,$E1231=Kontoauszug!$C$4),MAX(W$4:W1230)+1,""))</f>
        <v/>
      </c>
    </row>
    <row r="1232" customFormat="false" ht="15" hidden="false" customHeight="false" outlineLevel="0" collapsed="false">
      <c r="A1232" s="33"/>
      <c r="B1232" s="32"/>
      <c r="C1232" s="32"/>
      <c r="D1232" s="32"/>
      <c r="E1232" s="32"/>
      <c r="F1232" s="30"/>
      <c r="G1232" s="32"/>
      <c r="H1232" s="34" t="n">
        <f aca="false">IF($G1232="",0,IFERROR(INDEX(Einstellungen!$G$5:$G$11,MATCH($G1232,Einstellungen!$E$5:$E$11,0)),0))</f>
        <v>0</v>
      </c>
      <c r="I1232" s="35" t="str">
        <f aca="false">IF($G1232="","-",IFERROR(INDEX(Einstellungen!$H$5:$H$11,MATCH($G1232,Einstellungen!$E$5:$E$11,0)),"-"))</f>
        <v>-</v>
      </c>
      <c r="J1232" s="35" t="str">
        <f aca="false">IF(AND(Einstellungen!$B$8="Ja",Einstellungen!$B$9="Effektiv"),$I1232,"-")</f>
        <v>-</v>
      </c>
      <c r="K1232" s="31" t="n">
        <f aca="false">IF(OR($F1232="",$J1232="-"),0,ROUND($F1232-$F1232/(1+$H1232),2))</f>
        <v>0</v>
      </c>
      <c r="L1232" s="31" t="n">
        <f aca="false">IF($F1232="",0,$F1232-$K1232)</f>
        <v>0</v>
      </c>
      <c r="M1232" s="31" t="n">
        <f aca="false">IF($F1232="",0,IF($J1232="V",$L1232,$F1232))</f>
        <v>0</v>
      </c>
      <c r="N1232" s="31" t="n">
        <f aca="false">IF($F1232="",0,IF($J1232="U",$L1232,$F1232))</f>
        <v>0</v>
      </c>
      <c r="O1232" s="35" t="str">
        <f aca="false">IF($A1232="","",MONTH($A1232))</f>
        <v/>
      </c>
      <c r="P1232" s="35" t="str">
        <f aca="false">IF($A1232="","",ROUNDUP(MONTH($A1232)/3,0))</f>
        <v/>
      </c>
      <c r="Q1232" s="35" t="str">
        <f aca="false">IF($A1232="","",IF(MONTH($A1232)&lt;=6,1,2))</f>
        <v/>
      </c>
      <c r="R1232" s="35" t="str">
        <f aca="false">IF($E1232="","",IFERROR(INDEX(Kontenplan!$F$5:$F$90,MATCH($E1232,Kontenplan!$A$5:$A$90,0)),""))</f>
        <v/>
      </c>
      <c r="S1232" s="35" t="str">
        <f aca="false">IF($D1232="","",IFERROR(INDEX(Kontenplan!$F$5:$F$90,MATCH($D1232,Kontenplan!$A$5:$A$90,0)),""))</f>
        <v/>
      </c>
      <c r="T1232" s="35" t="str">
        <f aca="false">IF($D1232="","",IFERROR(INDEX(Kontenplan!$C$5:$C$90,MATCH($D1232,Kontenplan!$A$5:$A$90,0)),"?"))</f>
        <v/>
      </c>
      <c r="U1232" s="35" t="str">
        <f aca="false">IF($E1232="","",IFERROR(INDEX(Kontenplan!$C$5:$C$90,MATCH($E1232,Kontenplan!$A$5:$A$90,0)),"?"))</f>
        <v/>
      </c>
      <c r="V1232" s="35" t="str">
        <f aca="false">IF($F1232="","",IF(OR($D1232="",$E1232="",$T1232="?",$U1232="?"),"Konto prüfen!",IF($A1232="","Datum fehlt",IF(YEAR($A1232)&lt;&gt;Einstellungen!$B$7,"anderes Jahr!",IF($G1232="","MWST-Code fehlt","OK")))))</f>
        <v/>
      </c>
      <c r="W1232" s="35" t="str">
        <f aca="false">IF($F1232="","",IF(OR($D1232=Kontoauszug!$C$4,$E1232=Kontoauszug!$C$4),MAX(W$4:W1231)+1,""))</f>
        <v/>
      </c>
    </row>
    <row r="1233" customFormat="false" ht="15" hidden="false" customHeight="false" outlineLevel="0" collapsed="false">
      <c r="A1233" s="33"/>
      <c r="B1233" s="32"/>
      <c r="C1233" s="32"/>
      <c r="D1233" s="32"/>
      <c r="E1233" s="32"/>
      <c r="F1233" s="30"/>
      <c r="G1233" s="32"/>
      <c r="H1233" s="34" t="n">
        <f aca="false">IF($G1233="",0,IFERROR(INDEX(Einstellungen!$G$5:$G$11,MATCH($G1233,Einstellungen!$E$5:$E$11,0)),0))</f>
        <v>0</v>
      </c>
      <c r="I1233" s="35" t="str">
        <f aca="false">IF($G1233="","-",IFERROR(INDEX(Einstellungen!$H$5:$H$11,MATCH($G1233,Einstellungen!$E$5:$E$11,0)),"-"))</f>
        <v>-</v>
      </c>
      <c r="J1233" s="35" t="str">
        <f aca="false">IF(AND(Einstellungen!$B$8="Ja",Einstellungen!$B$9="Effektiv"),$I1233,"-")</f>
        <v>-</v>
      </c>
      <c r="K1233" s="31" t="n">
        <f aca="false">IF(OR($F1233="",$J1233="-"),0,ROUND($F1233-$F1233/(1+$H1233),2))</f>
        <v>0</v>
      </c>
      <c r="L1233" s="31" t="n">
        <f aca="false">IF($F1233="",0,$F1233-$K1233)</f>
        <v>0</v>
      </c>
      <c r="M1233" s="31" t="n">
        <f aca="false">IF($F1233="",0,IF($J1233="V",$L1233,$F1233))</f>
        <v>0</v>
      </c>
      <c r="N1233" s="31" t="n">
        <f aca="false">IF($F1233="",0,IF($J1233="U",$L1233,$F1233))</f>
        <v>0</v>
      </c>
      <c r="O1233" s="35" t="str">
        <f aca="false">IF($A1233="","",MONTH($A1233))</f>
        <v/>
      </c>
      <c r="P1233" s="35" t="str">
        <f aca="false">IF($A1233="","",ROUNDUP(MONTH($A1233)/3,0))</f>
        <v/>
      </c>
      <c r="Q1233" s="35" t="str">
        <f aca="false">IF($A1233="","",IF(MONTH($A1233)&lt;=6,1,2))</f>
        <v/>
      </c>
      <c r="R1233" s="35" t="str">
        <f aca="false">IF($E1233="","",IFERROR(INDEX(Kontenplan!$F$5:$F$90,MATCH($E1233,Kontenplan!$A$5:$A$90,0)),""))</f>
        <v/>
      </c>
      <c r="S1233" s="35" t="str">
        <f aca="false">IF($D1233="","",IFERROR(INDEX(Kontenplan!$F$5:$F$90,MATCH($D1233,Kontenplan!$A$5:$A$90,0)),""))</f>
        <v/>
      </c>
      <c r="T1233" s="35" t="str">
        <f aca="false">IF($D1233="","",IFERROR(INDEX(Kontenplan!$C$5:$C$90,MATCH($D1233,Kontenplan!$A$5:$A$90,0)),"?"))</f>
        <v/>
      </c>
      <c r="U1233" s="35" t="str">
        <f aca="false">IF($E1233="","",IFERROR(INDEX(Kontenplan!$C$5:$C$90,MATCH($E1233,Kontenplan!$A$5:$A$90,0)),"?"))</f>
        <v/>
      </c>
      <c r="V1233" s="35" t="str">
        <f aca="false">IF($F1233="","",IF(OR($D1233="",$E1233="",$T1233="?",$U1233="?"),"Konto prüfen!",IF($A1233="","Datum fehlt",IF(YEAR($A1233)&lt;&gt;Einstellungen!$B$7,"anderes Jahr!",IF($G1233="","MWST-Code fehlt","OK")))))</f>
        <v/>
      </c>
      <c r="W1233" s="35" t="str">
        <f aca="false">IF($F1233="","",IF(OR($D1233=Kontoauszug!$C$4,$E1233=Kontoauszug!$C$4),MAX(W$4:W1232)+1,""))</f>
        <v/>
      </c>
    </row>
    <row r="1234" customFormat="false" ht="15" hidden="false" customHeight="false" outlineLevel="0" collapsed="false">
      <c r="A1234" s="33"/>
      <c r="B1234" s="32"/>
      <c r="C1234" s="32"/>
      <c r="D1234" s="32"/>
      <c r="E1234" s="32"/>
      <c r="F1234" s="30"/>
      <c r="G1234" s="32"/>
      <c r="H1234" s="34" t="n">
        <f aca="false">IF($G1234="",0,IFERROR(INDEX(Einstellungen!$G$5:$G$11,MATCH($G1234,Einstellungen!$E$5:$E$11,0)),0))</f>
        <v>0</v>
      </c>
      <c r="I1234" s="35" t="str">
        <f aca="false">IF($G1234="","-",IFERROR(INDEX(Einstellungen!$H$5:$H$11,MATCH($G1234,Einstellungen!$E$5:$E$11,0)),"-"))</f>
        <v>-</v>
      </c>
      <c r="J1234" s="35" t="str">
        <f aca="false">IF(AND(Einstellungen!$B$8="Ja",Einstellungen!$B$9="Effektiv"),$I1234,"-")</f>
        <v>-</v>
      </c>
      <c r="K1234" s="31" t="n">
        <f aca="false">IF(OR($F1234="",$J1234="-"),0,ROUND($F1234-$F1234/(1+$H1234),2))</f>
        <v>0</v>
      </c>
      <c r="L1234" s="31" t="n">
        <f aca="false">IF($F1234="",0,$F1234-$K1234)</f>
        <v>0</v>
      </c>
      <c r="M1234" s="31" t="n">
        <f aca="false">IF($F1234="",0,IF($J1234="V",$L1234,$F1234))</f>
        <v>0</v>
      </c>
      <c r="N1234" s="31" t="n">
        <f aca="false">IF($F1234="",0,IF($J1234="U",$L1234,$F1234))</f>
        <v>0</v>
      </c>
      <c r="O1234" s="35" t="str">
        <f aca="false">IF($A1234="","",MONTH($A1234))</f>
        <v/>
      </c>
      <c r="P1234" s="35" t="str">
        <f aca="false">IF($A1234="","",ROUNDUP(MONTH($A1234)/3,0))</f>
        <v/>
      </c>
      <c r="Q1234" s="35" t="str">
        <f aca="false">IF($A1234="","",IF(MONTH($A1234)&lt;=6,1,2))</f>
        <v/>
      </c>
      <c r="R1234" s="35" t="str">
        <f aca="false">IF($E1234="","",IFERROR(INDEX(Kontenplan!$F$5:$F$90,MATCH($E1234,Kontenplan!$A$5:$A$90,0)),""))</f>
        <v/>
      </c>
      <c r="S1234" s="35" t="str">
        <f aca="false">IF($D1234="","",IFERROR(INDEX(Kontenplan!$F$5:$F$90,MATCH($D1234,Kontenplan!$A$5:$A$90,0)),""))</f>
        <v/>
      </c>
      <c r="T1234" s="35" t="str">
        <f aca="false">IF($D1234="","",IFERROR(INDEX(Kontenplan!$C$5:$C$90,MATCH($D1234,Kontenplan!$A$5:$A$90,0)),"?"))</f>
        <v/>
      </c>
      <c r="U1234" s="35" t="str">
        <f aca="false">IF($E1234="","",IFERROR(INDEX(Kontenplan!$C$5:$C$90,MATCH($E1234,Kontenplan!$A$5:$A$90,0)),"?"))</f>
        <v/>
      </c>
      <c r="V1234" s="35" t="str">
        <f aca="false">IF($F1234="","",IF(OR($D1234="",$E1234="",$T1234="?",$U1234="?"),"Konto prüfen!",IF($A1234="","Datum fehlt",IF(YEAR($A1234)&lt;&gt;Einstellungen!$B$7,"anderes Jahr!",IF($G1234="","MWST-Code fehlt","OK")))))</f>
        <v/>
      </c>
      <c r="W1234" s="35" t="str">
        <f aca="false">IF($F1234="","",IF(OR($D1234=Kontoauszug!$C$4,$E1234=Kontoauszug!$C$4),MAX(W$4:W1233)+1,""))</f>
        <v/>
      </c>
    </row>
    <row r="1235" customFormat="false" ht="15" hidden="false" customHeight="false" outlineLevel="0" collapsed="false">
      <c r="A1235" s="33"/>
      <c r="B1235" s="32"/>
      <c r="C1235" s="32"/>
      <c r="D1235" s="32"/>
      <c r="E1235" s="32"/>
      <c r="F1235" s="30"/>
      <c r="G1235" s="32"/>
      <c r="H1235" s="34" t="n">
        <f aca="false">IF($G1235="",0,IFERROR(INDEX(Einstellungen!$G$5:$G$11,MATCH($G1235,Einstellungen!$E$5:$E$11,0)),0))</f>
        <v>0</v>
      </c>
      <c r="I1235" s="35" t="str">
        <f aca="false">IF($G1235="","-",IFERROR(INDEX(Einstellungen!$H$5:$H$11,MATCH($G1235,Einstellungen!$E$5:$E$11,0)),"-"))</f>
        <v>-</v>
      </c>
      <c r="J1235" s="35" t="str">
        <f aca="false">IF(AND(Einstellungen!$B$8="Ja",Einstellungen!$B$9="Effektiv"),$I1235,"-")</f>
        <v>-</v>
      </c>
      <c r="K1235" s="31" t="n">
        <f aca="false">IF(OR($F1235="",$J1235="-"),0,ROUND($F1235-$F1235/(1+$H1235),2))</f>
        <v>0</v>
      </c>
      <c r="L1235" s="31" t="n">
        <f aca="false">IF($F1235="",0,$F1235-$K1235)</f>
        <v>0</v>
      </c>
      <c r="M1235" s="31" t="n">
        <f aca="false">IF($F1235="",0,IF($J1235="V",$L1235,$F1235))</f>
        <v>0</v>
      </c>
      <c r="N1235" s="31" t="n">
        <f aca="false">IF($F1235="",0,IF($J1235="U",$L1235,$F1235))</f>
        <v>0</v>
      </c>
      <c r="O1235" s="35" t="str">
        <f aca="false">IF($A1235="","",MONTH($A1235))</f>
        <v/>
      </c>
      <c r="P1235" s="35" t="str">
        <f aca="false">IF($A1235="","",ROUNDUP(MONTH($A1235)/3,0))</f>
        <v/>
      </c>
      <c r="Q1235" s="35" t="str">
        <f aca="false">IF($A1235="","",IF(MONTH($A1235)&lt;=6,1,2))</f>
        <v/>
      </c>
      <c r="R1235" s="35" t="str">
        <f aca="false">IF($E1235="","",IFERROR(INDEX(Kontenplan!$F$5:$F$90,MATCH($E1235,Kontenplan!$A$5:$A$90,0)),""))</f>
        <v/>
      </c>
      <c r="S1235" s="35" t="str">
        <f aca="false">IF($D1235="","",IFERROR(INDEX(Kontenplan!$F$5:$F$90,MATCH($D1235,Kontenplan!$A$5:$A$90,0)),""))</f>
        <v/>
      </c>
      <c r="T1235" s="35" t="str">
        <f aca="false">IF($D1235="","",IFERROR(INDEX(Kontenplan!$C$5:$C$90,MATCH($D1235,Kontenplan!$A$5:$A$90,0)),"?"))</f>
        <v/>
      </c>
      <c r="U1235" s="35" t="str">
        <f aca="false">IF($E1235="","",IFERROR(INDEX(Kontenplan!$C$5:$C$90,MATCH($E1235,Kontenplan!$A$5:$A$90,0)),"?"))</f>
        <v/>
      </c>
      <c r="V1235" s="35" t="str">
        <f aca="false">IF($F1235="","",IF(OR($D1235="",$E1235="",$T1235="?",$U1235="?"),"Konto prüfen!",IF($A1235="","Datum fehlt",IF(YEAR($A1235)&lt;&gt;Einstellungen!$B$7,"anderes Jahr!",IF($G1235="","MWST-Code fehlt","OK")))))</f>
        <v/>
      </c>
      <c r="W1235" s="35" t="str">
        <f aca="false">IF($F1235="","",IF(OR($D1235=Kontoauszug!$C$4,$E1235=Kontoauszug!$C$4),MAX(W$4:W1234)+1,""))</f>
        <v/>
      </c>
    </row>
    <row r="1236" customFormat="false" ht="15" hidden="false" customHeight="false" outlineLevel="0" collapsed="false">
      <c r="A1236" s="33"/>
      <c r="B1236" s="32"/>
      <c r="C1236" s="32"/>
      <c r="D1236" s="32"/>
      <c r="E1236" s="32"/>
      <c r="F1236" s="30"/>
      <c r="G1236" s="32"/>
      <c r="H1236" s="34" t="n">
        <f aca="false">IF($G1236="",0,IFERROR(INDEX(Einstellungen!$G$5:$G$11,MATCH($G1236,Einstellungen!$E$5:$E$11,0)),0))</f>
        <v>0</v>
      </c>
      <c r="I1236" s="35" t="str">
        <f aca="false">IF($G1236="","-",IFERROR(INDEX(Einstellungen!$H$5:$H$11,MATCH($G1236,Einstellungen!$E$5:$E$11,0)),"-"))</f>
        <v>-</v>
      </c>
      <c r="J1236" s="35" t="str">
        <f aca="false">IF(AND(Einstellungen!$B$8="Ja",Einstellungen!$B$9="Effektiv"),$I1236,"-")</f>
        <v>-</v>
      </c>
      <c r="K1236" s="31" t="n">
        <f aca="false">IF(OR($F1236="",$J1236="-"),0,ROUND($F1236-$F1236/(1+$H1236),2))</f>
        <v>0</v>
      </c>
      <c r="L1236" s="31" t="n">
        <f aca="false">IF($F1236="",0,$F1236-$K1236)</f>
        <v>0</v>
      </c>
      <c r="M1236" s="31" t="n">
        <f aca="false">IF($F1236="",0,IF($J1236="V",$L1236,$F1236))</f>
        <v>0</v>
      </c>
      <c r="N1236" s="31" t="n">
        <f aca="false">IF($F1236="",0,IF($J1236="U",$L1236,$F1236))</f>
        <v>0</v>
      </c>
      <c r="O1236" s="35" t="str">
        <f aca="false">IF($A1236="","",MONTH($A1236))</f>
        <v/>
      </c>
      <c r="P1236" s="35" t="str">
        <f aca="false">IF($A1236="","",ROUNDUP(MONTH($A1236)/3,0))</f>
        <v/>
      </c>
      <c r="Q1236" s="35" t="str">
        <f aca="false">IF($A1236="","",IF(MONTH($A1236)&lt;=6,1,2))</f>
        <v/>
      </c>
      <c r="R1236" s="35" t="str">
        <f aca="false">IF($E1236="","",IFERROR(INDEX(Kontenplan!$F$5:$F$90,MATCH($E1236,Kontenplan!$A$5:$A$90,0)),""))</f>
        <v/>
      </c>
      <c r="S1236" s="35" t="str">
        <f aca="false">IF($D1236="","",IFERROR(INDEX(Kontenplan!$F$5:$F$90,MATCH($D1236,Kontenplan!$A$5:$A$90,0)),""))</f>
        <v/>
      </c>
      <c r="T1236" s="35" t="str">
        <f aca="false">IF($D1236="","",IFERROR(INDEX(Kontenplan!$C$5:$C$90,MATCH($D1236,Kontenplan!$A$5:$A$90,0)),"?"))</f>
        <v/>
      </c>
      <c r="U1236" s="35" t="str">
        <f aca="false">IF($E1236="","",IFERROR(INDEX(Kontenplan!$C$5:$C$90,MATCH($E1236,Kontenplan!$A$5:$A$90,0)),"?"))</f>
        <v/>
      </c>
      <c r="V1236" s="35" t="str">
        <f aca="false">IF($F1236="","",IF(OR($D1236="",$E1236="",$T1236="?",$U1236="?"),"Konto prüfen!",IF($A1236="","Datum fehlt",IF(YEAR($A1236)&lt;&gt;Einstellungen!$B$7,"anderes Jahr!",IF($G1236="","MWST-Code fehlt","OK")))))</f>
        <v/>
      </c>
      <c r="W1236" s="35" t="str">
        <f aca="false">IF($F1236="","",IF(OR($D1236=Kontoauszug!$C$4,$E1236=Kontoauszug!$C$4),MAX(W$4:W1235)+1,""))</f>
        <v/>
      </c>
    </row>
    <row r="1237" customFormat="false" ht="15" hidden="false" customHeight="false" outlineLevel="0" collapsed="false">
      <c r="A1237" s="33"/>
      <c r="B1237" s="32"/>
      <c r="C1237" s="32"/>
      <c r="D1237" s="32"/>
      <c r="E1237" s="32"/>
      <c r="F1237" s="30"/>
      <c r="G1237" s="32"/>
      <c r="H1237" s="34" t="n">
        <f aca="false">IF($G1237="",0,IFERROR(INDEX(Einstellungen!$G$5:$G$11,MATCH($G1237,Einstellungen!$E$5:$E$11,0)),0))</f>
        <v>0</v>
      </c>
      <c r="I1237" s="35" t="str">
        <f aca="false">IF($G1237="","-",IFERROR(INDEX(Einstellungen!$H$5:$H$11,MATCH($G1237,Einstellungen!$E$5:$E$11,0)),"-"))</f>
        <v>-</v>
      </c>
      <c r="J1237" s="35" t="str">
        <f aca="false">IF(AND(Einstellungen!$B$8="Ja",Einstellungen!$B$9="Effektiv"),$I1237,"-")</f>
        <v>-</v>
      </c>
      <c r="K1237" s="31" t="n">
        <f aca="false">IF(OR($F1237="",$J1237="-"),0,ROUND($F1237-$F1237/(1+$H1237),2))</f>
        <v>0</v>
      </c>
      <c r="L1237" s="31" t="n">
        <f aca="false">IF($F1237="",0,$F1237-$K1237)</f>
        <v>0</v>
      </c>
      <c r="M1237" s="31" t="n">
        <f aca="false">IF($F1237="",0,IF($J1237="V",$L1237,$F1237))</f>
        <v>0</v>
      </c>
      <c r="N1237" s="31" t="n">
        <f aca="false">IF($F1237="",0,IF($J1237="U",$L1237,$F1237))</f>
        <v>0</v>
      </c>
      <c r="O1237" s="35" t="str">
        <f aca="false">IF($A1237="","",MONTH($A1237))</f>
        <v/>
      </c>
      <c r="P1237" s="35" t="str">
        <f aca="false">IF($A1237="","",ROUNDUP(MONTH($A1237)/3,0))</f>
        <v/>
      </c>
      <c r="Q1237" s="35" t="str">
        <f aca="false">IF($A1237="","",IF(MONTH($A1237)&lt;=6,1,2))</f>
        <v/>
      </c>
      <c r="R1237" s="35" t="str">
        <f aca="false">IF($E1237="","",IFERROR(INDEX(Kontenplan!$F$5:$F$90,MATCH($E1237,Kontenplan!$A$5:$A$90,0)),""))</f>
        <v/>
      </c>
      <c r="S1237" s="35" t="str">
        <f aca="false">IF($D1237="","",IFERROR(INDEX(Kontenplan!$F$5:$F$90,MATCH($D1237,Kontenplan!$A$5:$A$90,0)),""))</f>
        <v/>
      </c>
      <c r="T1237" s="35" t="str">
        <f aca="false">IF($D1237="","",IFERROR(INDEX(Kontenplan!$C$5:$C$90,MATCH($D1237,Kontenplan!$A$5:$A$90,0)),"?"))</f>
        <v/>
      </c>
      <c r="U1237" s="35" t="str">
        <f aca="false">IF($E1237="","",IFERROR(INDEX(Kontenplan!$C$5:$C$90,MATCH($E1237,Kontenplan!$A$5:$A$90,0)),"?"))</f>
        <v/>
      </c>
      <c r="V1237" s="35" t="str">
        <f aca="false">IF($F1237="","",IF(OR($D1237="",$E1237="",$T1237="?",$U1237="?"),"Konto prüfen!",IF($A1237="","Datum fehlt",IF(YEAR($A1237)&lt;&gt;Einstellungen!$B$7,"anderes Jahr!",IF($G1237="","MWST-Code fehlt","OK")))))</f>
        <v/>
      </c>
      <c r="W1237" s="35" t="str">
        <f aca="false">IF($F1237="","",IF(OR($D1237=Kontoauszug!$C$4,$E1237=Kontoauszug!$C$4),MAX(W$4:W1236)+1,""))</f>
        <v/>
      </c>
    </row>
    <row r="1238" customFormat="false" ht="15" hidden="false" customHeight="false" outlineLevel="0" collapsed="false">
      <c r="A1238" s="33"/>
      <c r="B1238" s="32"/>
      <c r="C1238" s="32"/>
      <c r="D1238" s="32"/>
      <c r="E1238" s="32"/>
      <c r="F1238" s="30"/>
      <c r="G1238" s="32"/>
      <c r="H1238" s="34" t="n">
        <f aca="false">IF($G1238="",0,IFERROR(INDEX(Einstellungen!$G$5:$G$11,MATCH($G1238,Einstellungen!$E$5:$E$11,0)),0))</f>
        <v>0</v>
      </c>
      <c r="I1238" s="35" t="str">
        <f aca="false">IF($G1238="","-",IFERROR(INDEX(Einstellungen!$H$5:$H$11,MATCH($G1238,Einstellungen!$E$5:$E$11,0)),"-"))</f>
        <v>-</v>
      </c>
      <c r="J1238" s="35" t="str">
        <f aca="false">IF(AND(Einstellungen!$B$8="Ja",Einstellungen!$B$9="Effektiv"),$I1238,"-")</f>
        <v>-</v>
      </c>
      <c r="K1238" s="31" t="n">
        <f aca="false">IF(OR($F1238="",$J1238="-"),0,ROUND($F1238-$F1238/(1+$H1238),2))</f>
        <v>0</v>
      </c>
      <c r="L1238" s="31" t="n">
        <f aca="false">IF($F1238="",0,$F1238-$K1238)</f>
        <v>0</v>
      </c>
      <c r="M1238" s="31" t="n">
        <f aca="false">IF($F1238="",0,IF($J1238="V",$L1238,$F1238))</f>
        <v>0</v>
      </c>
      <c r="N1238" s="31" t="n">
        <f aca="false">IF($F1238="",0,IF($J1238="U",$L1238,$F1238))</f>
        <v>0</v>
      </c>
      <c r="O1238" s="35" t="str">
        <f aca="false">IF($A1238="","",MONTH($A1238))</f>
        <v/>
      </c>
      <c r="P1238" s="35" t="str">
        <f aca="false">IF($A1238="","",ROUNDUP(MONTH($A1238)/3,0))</f>
        <v/>
      </c>
      <c r="Q1238" s="35" t="str">
        <f aca="false">IF($A1238="","",IF(MONTH($A1238)&lt;=6,1,2))</f>
        <v/>
      </c>
      <c r="R1238" s="35" t="str">
        <f aca="false">IF($E1238="","",IFERROR(INDEX(Kontenplan!$F$5:$F$90,MATCH($E1238,Kontenplan!$A$5:$A$90,0)),""))</f>
        <v/>
      </c>
      <c r="S1238" s="35" t="str">
        <f aca="false">IF($D1238="","",IFERROR(INDEX(Kontenplan!$F$5:$F$90,MATCH($D1238,Kontenplan!$A$5:$A$90,0)),""))</f>
        <v/>
      </c>
      <c r="T1238" s="35" t="str">
        <f aca="false">IF($D1238="","",IFERROR(INDEX(Kontenplan!$C$5:$C$90,MATCH($D1238,Kontenplan!$A$5:$A$90,0)),"?"))</f>
        <v/>
      </c>
      <c r="U1238" s="35" t="str">
        <f aca="false">IF($E1238="","",IFERROR(INDEX(Kontenplan!$C$5:$C$90,MATCH($E1238,Kontenplan!$A$5:$A$90,0)),"?"))</f>
        <v/>
      </c>
      <c r="V1238" s="35" t="str">
        <f aca="false">IF($F1238="","",IF(OR($D1238="",$E1238="",$T1238="?",$U1238="?"),"Konto prüfen!",IF($A1238="","Datum fehlt",IF(YEAR($A1238)&lt;&gt;Einstellungen!$B$7,"anderes Jahr!",IF($G1238="","MWST-Code fehlt","OK")))))</f>
        <v/>
      </c>
      <c r="W1238" s="35" t="str">
        <f aca="false">IF($F1238="","",IF(OR($D1238=Kontoauszug!$C$4,$E1238=Kontoauszug!$C$4),MAX(W$4:W1237)+1,""))</f>
        <v/>
      </c>
    </row>
    <row r="1239" customFormat="false" ht="15" hidden="false" customHeight="false" outlineLevel="0" collapsed="false">
      <c r="A1239" s="33"/>
      <c r="B1239" s="32"/>
      <c r="C1239" s="32"/>
      <c r="D1239" s="32"/>
      <c r="E1239" s="32"/>
      <c r="F1239" s="30"/>
      <c r="G1239" s="32"/>
      <c r="H1239" s="34" t="n">
        <f aca="false">IF($G1239="",0,IFERROR(INDEX(Einstellungen!$G$5:$G$11,MATCH($G1239,Einstellungen!$E$5:$E$11,0)),0))</f>
        <v>0</v>
      </c>
      <c r="I1239" s="35" t="str">
        <f aca="false">IF($G1239="","-",IFERROR(INDEX(Einstellungen!$H$5:$H$11,MATCH($G1239,Einstellungen!$E$5:$E$11,0)),"-"))</f>
        <v>-</v>
      </c>
      <c r="J1239" s="35" t="str">
        <f aca="false">IF(AND(Einstellungen!$B$8="Ja",Einstellungen!$B$9="Effektiv"),$I1239,"-")</f>
        <v>-</v>
      </c>
      <c r="K1239" s="31" t="n">
        <f aca="false">IF(OR($F1239="",$J1239="-"),0,ROUND($F1239-$F1239/(1+$H1239),2))</f>
        <v>0</v>
      </c>
      <c r="L1239" s="31" t="n">
        <f aca="false">IF($F1239="",0,$F1239-$K1239)</f>
        <v>0</v>
      </c>
      <c r="M1239" s="31" t="n">
        <f aca="false">IF($F1239="",0,IF($J1239="V",$L1239,$F1239))</f>
        <v>0</v>
      </c>
      <c r="N1239" s="31" t="n">
        <f aca="false">IF($F1239="",0,IF($J1239="U",$L1239,$F1239))</f>
        <v>0</v>
      </c>
      <c r="O1239" s="35" t="str">
        <f aca="false">IF($A1239="","",MONTH($A1239))</f>
        <v/>
      </c>
      <c r="P1239" s="35" t="str">
        <f aca="false">IF($A1239="","",ROUNDUP(MONTH($A1239)/3,0))</f>
        <v/>
      </c>
      <c r="Q1239" s="35" t="str">
        <f aca="false">IF($A1239="","",IF(MONTH($A1239)&lt;=6,1,2))</f>
        <v/>
      </c>
      <c r="R1239" s="35" t="str">
        <f aca="false">IF($E1239="","",IFERROR(INDEX(Kontenplan!$F$5:$F$90,MATCH($E1239,Kontenplan!$A$5:$A$90,0)),""))</f>
        <v/>
      </c>
      <c r="S1239" s="35" t="str">
        <f aca="false">IF($D1239="","",IFERROR(INDEX(Kontenplan!$F$5:$F$90,MATCH($D1239,Kontenplan!$A$5:$A$90,0)),""))</f>
        <v/>
      </c>
      <c r="T1239" s="35" t="str">
        <f aca="false">IF($D1239="","",IFERROR(INDEX(Kontenplan!$C$5:$C$90,MATCH($D1239,Kontenplan!$A$5:$A$90,0)),"?"))</f>
        <v/>
      </c>
      <c r="U1239" s="35" t="str">
        <f aca="false">IF($E1239="","",IFERROR(INDEX(Kontenplan!$C$5:$C$90,MATCH($E1239,Kontenplan!$A$5:$A$90,0)),"?"))</f>
        <v/>
      </c>
      <c r="V1239" s="35" t="str">
        <f aca="false">IF($F1239="","",IF(OR($D1239="",$E1239="",$T1239="?",$U1239="?"),"Konto prüfen!",IF($A1239="","Datum fehlt",IF(YEAR($A1239)&lt;&gt;Einstellungen!$B$7,"anderes Jahr!",IF($G1239="","MWST-Code fehlt","OK")))))</f>
        <v/>
      </c>
      <c r="W1239" s="35" t="str">
        <f aca="false">IF($F1239="","",IF(OR($D1239=Kontoauszug!$C$4,$E1239=Kontoauszug!$C$4),MAX(W$4:W1238)+1,""))</f>
        <v/>
      </c>
    </row>
    <row r="1240" customFormat="false" ht="15" hidden="false" customHeight="false" outlineLevel="0" collapsed="false">
      <c r="A1240" s="33"/>
      <c r="B1240" s="32"/>
      <c r="C1240" s="32"/>
      <c r="D1240" s="32"/>
      <c r="E1240" s="32"/>
      <c r="F1240" s="30"/>
      <c r="G1240" s="32"/>
      <c r="H1240" s="34" t="n">
        <f aca="false">IF($G1240="",0,IFERROR(INDEX(Einstellungen!$G$5:$G$11,MATCH($G1240,Einstellungen!$E$5:$E$11,0)),0))</f>
        <v>0</v>
      </c>
      <c r="I1240" s="35" t="str">
        <f aca="false">IF($G1240="","-",IFERROR(INDEX(Einstellungen!$H$5:$H$11,MATCH($G1240,Einstellungen!$E$5:$E$11,0)),"-"))</f>
        <v>-</v>
      </c>
      <c r="J1240" s="35" t="str">
        <f aca="false">IF(AND(Einstellungen!$B$8="Ja",Einstellungen!$B$9="Effektiv"),$I1240,"-")</f>
        <v>-</v>
      </c>
      <c r="K1240" s="31" t="n">
        <f aca="false">IF(OR($F1240="",$J1240="-"),0,ROUND($F1240-$F1240/(1+$H1240),2))</f>
        <v>0</v>
      </c>
      <c r="L1240" s="31" t="n">
        <f aca="false">IF($F1240="",0,$F1240-$K1240)</f>
        <v>0</v>
      </c>
      <c r="M1240" s="31" t="n">
        <f aca="false">IF($F1240="",0,IF($J1240="V",$L1240,$F1240))</f>
        <v>0</v>
      </c>
      <c r="N1240" s="31" t="n">
        <f aca="false">IF($F1240="",0,IF($J1240="U",$L1240,$F1240))</f>
        <v>0</v>
      </c>
      <c r="O1240" s="35" t="str">
        <f aca="false">IF($A1240="","",MONTH($A1240))</f>
        <v/>
      </c>
      <c r="P1240" s="35" t="str">
        <f aca="false">IF($A1240="","",ROUNDUP(MONTH($A1240)/3,0))</f>
        <v/>
      </c>
      <c r="Q1240" s="35" t="str">
        <f aca="false">IF($A1240="","",IF(MONTH($A1240)&lt;=6,1,2))</f>
        <v/>
      </c>
      <c r="R1240" s="35" t="str">
        <f aca="false">IF($E1240="","",IFERROR(INDEX(Kontenplan!$F$5:$F$90,MATCH($E1240,Kontenplan!$A$5:$A$90,0)),""))</f>
        <v/>
      </c>
      <c r="S1240" s="35" t="str">
        <f aca="false">IF($D1240="","",IFERROR(INDEX(Kontenplan!$F$5:$F$90,MATCH($D1240,Kontenplan!$A$5:$A$90,0)),""))</f>
        <v/>
      </c>
      <c r="T1240" s="35" t="str">
        <f aca="false">IF($D1240="","",IFERROR(INDEX(Kontenplan!$C$5:$C$90,MATCH($D1240,Kontenplan!$A$5:$A$90,0)),"?"))</f>
        <v/>
      </c>
      <c r="U1240" s="35" t="str">
        <f aca="false">IF($E1240="","",IFERROR(INDEX(Kontenplan!$C$5:$C$90,MATCH($E1240,Kontenplan!$A$5:$A$90,0)),"?"))</f>
        <v/>
      </c>
      <c r="V1240" s="35" t="str">
        <f aca="false">IF($F1240="","",IF(OR($D1240="",$E1240="",$T1240="?",$U1240="?"),"Konto prüfen!",IF($A1240="","Datum fehlt",IF(YEAR($A1240)&lt;&gt;Einstellungen!$B$7,"anderes Jahr!",IF($G1240="","MWST-Code fehlt","OK")))))</f>
        <v/>
      </c>
      <c r="W1240" s="35" t="str">
        <f aca="false">IF($F1240="","",IF(OR($D1240=Kontoauszug!$C$4,$E1240=Kontoauszug!$C$4),MAX(W$4:W1239)+1,""))</f>
        <v/>
      </c>
    </row>
    <row r="1241" customFormat="false" ht="15" hidden="false" customHeight="false" outlineLevel="0" collapsed="false">
      <c r="A1241" s="33"/>
      <c r="B1241" s="32"/>
      <c r="C1241" s="32"/>
      <c r="D1241" s="32"/>
      <c r="E1241" s="32"/>
      <c r="F1241" s="30"/>
      <c r="G1241" s="32"/>
      <c r="H1241" s="34" t="n">
        <f aca="false">IF($G1241="",0,IFERROR(INDEX(Einstellungen!$G$5:$G$11,MATCH($G1241,Einstellungen!$E$5:$E$11,0)),0))</f>
        <v>0</v>
      </c>
      <c r="I1241" s="35" t="str">
        <f aca="false">IF($G1241="","-",IFERROR(INDEX(Einstellungen!$H$5:$H$11,MATCH($G1241,Einstellungen!$E$5:$E$11,0)),"-"))</f>
        <v>-</v>
      </c>
      <c r="J1241" s="35" t="str">
        <f aca="false">IF(AND(Einstellungen!$B$8="Ja",Einstellungen!$B$9="Effektiv"),$I1241,"-")</f>
        <v>-</v>
      </c>
      <c r="K1241" s="31" t="n">
        <f aca="false">IF(OR($F1241="",$J1241="-"),0,ROUND($F1241-$F1241/(1+$H1241),2))</f>
        <v>0</v>
      </c>
      <c r="L1241" s="31" t="n">
        <f aca="false">IF($F1241="",0,$F1241-$K1241)</f>
        <v>0</v>
      </c>
      <c r="M1241" s="31" t="n">
        <f aca="false">IF($F1241="",0,IF($J1241="V",$L1241,$F1241))</f>
        <v>0</v>
      </c>
      <c r="N1241" s="31" t="n">
        <f aca="false">IF($F1241="",0,IF($J1241="U",$L1241,$F1241))</f>
        <v>0</v>
      </c>
      <c r="O1241" s="35" t="str">
        <f aca="false">IF($A1241="","",MONTH($A1241))</f>
        <v/>
      </c>
      <c r="P1241" s="35" t="str">
        <f aca="false">IF($A1241="","",ROUNDUP(MONTH($A1241)/3,0))</f>
        <v/>
      </c>
      <c r="Q1241" s="35" t="str">
        <f aca="false">IF($A1241="","",IF(MONTH($A1241)&lt;=6,1,2))</f>
        <v/>
      </c>
      <c r="R1241" s="35" t="str">
        <f aca="false">IF($E1241="","",IFERROR(INDEX(Kontenplan!$F$5:$F$90,MATCH($E1241,Kontenplan!$A$5:$A$90,0)),""))</f>
        <v/>
      </c>
      <c r="S1241" s="35" t="str">
        <f aca="false">IF($D1241="","",IFERROR(INDEX(Kontenplan!$F$5:$F$90,MATCH($D1241,Kontenplan!$A$5:$A$90,0)),""))</f>
        <v/>
      </c>
      <c r="T1241" s="35" t="str">
        <f aca="false">IF($D1241="","",IFERROR(INDEX(Kontenplan!$C$5:$C$90,MATCH($D1241,Kontenplan!$A$5:$A$90,0)),"?"))</f>
        <v/>
      </c>
      <c r="U1241" s="35" t="str">
        <f aca="false">IF($E1241="","",IFERROR(INDEX(Kontenplan!$C$5:$C$90,MATCH($E1241,Kontenplan!$A$5:$A$90,0)),"?"))</f>
        <v/>
      </c>
      <c r="V1241" s="35" t="str">
        <f aca="false">IF($F1241="","",IF(OR($D1241="",$E1241="",$T1241="?",$U1241="?"),"Konto prüfen!",IF($A1241="","Datum fehlt",IF(YEAR($A1241)&lt;&gt;Einstellungen!$B$7,"anderes Jahr!",IF($G1241="","MWST-Code fehlt","OK")))))</f>
        <v/>
      </c>
      <c r="W1241" s="35" t="str">
        <f aca="false">IF($F1241="","",IF(OR($D1241=Kontoauszug!$C$4,$E1241=Kontoauszug!$C$4),MAX(W$4:W1240)+1,""))</f>
        <v/>
      </c>
    </row>
    <row r="1242" customFormat="false" ht="15" hidden="false" customHeight="false" outlineLevel="0" collapsed="false">
      <c r="A1242" s="33"/>
      <c r="B1242" s="32"/>
      <c r="C1242" s="32"/>
      <c r="D1242" s="32"/>
      <c r="E1242" s="32"/>
      <c r="F1242" s="30"/>
      <c r="G1242" s="32"/>
      <c r="H1242" s="34" t="n">
        <f aca="false">IF($G1242="",0,IFERROR(INDEX(Einstellungen!$G$5:$G$11,MATCH($G1242,Einstellungen!$E$5:$E$11,0)),0))</f>
        <v>0</v>
      </c>
      <c r="I1242" s="35" t="str">
        <f aca="false">IF($G1242="","-",IFERROR(INDEX(Einstellungen!$H$5:$H$11,MATCH($G1242,Einstellungen!$E$5:$E$11,0)),"-"))</f>
        <v>-</v>
      </c>
      <c r="J1242" s="35" t="str">
        <f aca="false">IF(AND(Einstellungen!$B$8="Ja",Einstellungen!$B$9="Effektiv"),$I1242,"-")</f>
        <v>-</v>
      </c>
      <c r="K1242" s="31" t="n">
        <f aca="false">IF(OR($F1242="",$J1242="-"),0,ROUND($F1242-$F1242/(1+$H1242),2))</f>
        <v>0</v>
      </c>
      <c r="L1242" s="31" t="n">
        <f aca="false">IF($F1242="",0,$F1242-$K1242)</f>
        <v>0</v>
      </c>
      <c r="M1242" s="31" t="n">
        <f aca="false">IF($F1242="",0,IF($J1242="V",$L1242,$F1242))</f>
        <v>0</v>
      </c>
      <c r="N1242" s="31" t="n">
        <f aca="false">IF($F1242="",0,IF($J1242="U",$L1242,$F1242))</f>
        <v>0</v>
      </c>
      <c r="O1242" s="35" t="str">
        <f aca="false">IF($A1242="","",MONTH($A1242))</f>
        <v/>
      </c>
      <c r="P1242" s="35" t="str">
        <f aca="false">IF($A1242="","",ROUNDUP(MONTH($A1242)/3,0))</f>
        <v/>
      </c>
      <c r="Q1242" s="35" t="str">
        <f aca="false">IF($A1242="","",IF(MONTH($A1242)&lt;=6,1,2))</f>
        <v/>
      </c>
      <c r="R1242" s="35" t="str">
        <f aca="false">IF($E1242="","",IFERROR(INDEX(Kontenplan!$F$5:$F$90,MATCH($E1242,Kontenplan!$A$5:$A$90,0)),""))</f>
        <v/>
      </c>
      <c r="S1242" s="35" t="str">
        <f aca="false">IF($D1242="","",IFERROR(INDEX(Kontenplan!$F$5:$F$90,MATCH($D1242,Kontenplan!$A$5:$A$90,0)),""))</f>
        <v/>
      </c>
      <c r="T1242" s="35" t="str">
        <f aca="false">IF($D1242="","",IFERROR(INDEX(Kontenplan!$C$5:$C$90,MATCH($D1242,Kontenplan!$A$5:$A$90,0)),"?"))</f>
        <v/>
      </c>
      <c r="U1242" s="35" t="str">
        <f aca="false">IF($E1242="","",IFERROR(INDEX(Kontenplan!$C$5:$C$90,MATCH($E1242,Kontenplan!$A$5:$A$90,0)),"?"))</f>
        <v/>
      </c>
      <c r="V1242" s="35" t="str">
        <f aca="false">IF($F1242="","",IF(OR($D1242="",$E1242="",$T1242="?",$U1242="?"),"Konto prüfen!",IF($A1242="","Datum fehlt",IF(YEAR($A1242)&lt;&gt;Einstellungen!$B$7,"anderes Jahr!",IF($G1242="","MWST-Code fehlt","OK")))))</f>
        <v/>
      </c>
      <c r="W1242" s="35" t="str">
        <f aca="false">IF($F1242="","",IF(OR($D1242=Kontoauszug!$C$4,$E1242=Kontoauszug!$C$4),MAX(W$4:W1241)+1,""))</f>
        <v/>
      </c>
    </row>
    <row r="1243" customFormat="false" ht="15" hidden="false" customHeight="false" outlineLevel="0" collapsed="false">
      <c r="A1243" s="33"/>
      <c r="B1243" s="32"/>
      <c r="C1243" s="32"/>
      <c r="D1243" s="32"/>
      <c r="E1243" s="32"/>
      <c r="F1243" s="30"/>
      <c r="G1243" s="32"/>
      <c r="H1243" s="34" t="n">
        <f aca="false">IF($G1243="",0,IFERROR(INDEX(Einstellungen!$G$5:$G$11,MATCH($G1243,Einstellungen!$E$5:$E$11,0)),0))</f>
        <v>0</v>
      </c>
      <c r="I1243" s="35" t="str">
        <f aca="false">IF($G1243="","-",IFERROR(INDEX(Einstellungen!$H$5:$H$11,MATCH($G1243,Einstellungen!$E$5:$E$11,0)),"-"))</f>
        <v>-</v>
      </c>
      <c r="J1243" s="35" t="str">
        <f aca="false">IF(AND(Einstellungen!$B$8="Ja",Einstellungen!$B$9="Effektiv"),$I1243,"-")</f>
        <v>-</v>
      </c>
      <c r="K1243" s="31" t="n">
        <f aca="false">IF(OR($F1243="",$J1243="-"),0,ROUND($F1243-$F1243/(1+$H1243),2))</f>
        <v>0</v>
      </c>
      <c r="L1243" s="31" t="n">
        <f aca="false">IF($F1243="",0,$F1243-$K1243)</f>
        <v>0</v>
      </c>
      <c r="M1243" s="31" t="n">
        <f aca="false">IF($F1243="",0,IF($J1243="V",$L1243,$F1243))</f>
        <v>0</v>
      </c>
      <c r="N1243" s="31" t="n">
        <f aca="false">IF($F1243="",0,IF($J1243="U",$L1243,$F1243))</f>
        <v>0</v>
      </c>
      <c r="O1243" s="35" t="str">
        <f aca="false">IF($A1243="","",MONTH($A1243))</f>
        <v/>
      </c>
      <c r="P1243" s="35" t="str">
        <f aca="false">IF($A1243="","",ROUNDUP(MONTH($A1243)/3,0))</f>
        <v/>
      </c>
      <c r="Q1243" s="35" t="str">
        <f aca="false">IF($A1243="","",IF(MONTH($A1243)&lt;=6,1,2))</f>
        <v/>
      </c>
      <c r="R1243" s="35" t="str">
        <f aca="false">IF($E1243="","",IFERROR(INDEX(Kontenplan!$F$5:$F$90,MATCH($E1243,Kontenplan!$A$5:$A$90,0)),""))</f>
        <v/>
      </c>
      <c r="S1243" s="35" t="str">
        <f aca="false">IF($D1243="","",IFERROR(INDEX(Kontenplan!$F$5:$F$90,MATCH($D1243,Kontenplan!$A$5:$A$90,0)),""))</f>
        <v/>
      </c>
      <c r="T1243" s="35" t="str">
        <f aca="false">IF($D1243="","",IFERROR(INDEX(Kontenplan!$C$5:$C$90,MATCH($D1243,Kontenplan!$A$5:$A$90,0)),"?"))</f>
        <v/>
      </c>
      <c r="U1243" s="35" t="str">
        <f aca="false">IF($E1243="","",IFERROR(INDEX(Kontenplan!$C$5:$C$90,MATCH($E1243,Kontenplan!$A$5:$A$90,0)),"?"))</f>
        <v/>
      </c>
      <c r="V1243" s="35" t="str">
        <f aca="false">IF($F1243="","",IF(OR($D1243="",$E1243="",$T1243="?",$U1243="?"),"Konto prüfen!",IF($A1243="","Datum fehlt",IF(YEAR($A1243)&lt;&gt;Einstellungen!$B$7,"anderes Jahr!",IF($G1243="","MWST-Code fehlt","OK")))))</f>
        <v/>
      </c>
      <c r="W1243" s="35" t="str">
        <f aca="false">IF($F1243="","",IF(OR($D1243=Kontoauszug!$C$4,$E1243=Kontoauszug!$C$4),MAX(W$4:W1242)+1,""))</f>
        <v/>
      </c>
    </row>
    <row r="1244" customFormat="false" ht="15" hidden="false" customHeight="false" outlineLevel="0" collapsed="false">
      <c r="A1244" s="33"/>
      <c r="B1244" s="32"/>
      <c r="C1244" s="32"/>
      <c r="D1244" s="32"/>
      <c r="E1244" s="32"/>
      <c r="F1244" s="30"/>
      <c r="G1244" s="32"/>
      <c r="H1244" s="34" t="n">
        <f aca="false">IF($G1244="",0,IFERROR(INDEX(Einstellungen!$G$5:$G$11,MATCH($G1244,Einstellungen!$E$5:$E$11,0)),0))</f>
        <v>0</v>
      </c>
      <c r="I1244" s="35" t="str">
        <f aca="false">IF($G1244="","-",IFERROR(INDEX(Einstellungen!$H$5:$H$11,MATCH($G1244,Einstellungen!$E$5:$E$11,0)),"-"))</f>
        <v>-</v>
      </c>
      <c r="J1244" s="35" t="str">
        <f aca="false">IF(AND(Einstellungen!$B$8="Ja",Einstellungen!$B$9="Effektiv"),$I1244,"-")</f>
        <v>-</v>
      </c>
      <c r="K1244" s="31" t="n">
        <f aca="false">IF(OR($F1244="",$J1244="-"),0,ROUND($F1244-$F1244/(1+$H1244),2))</f>
        <v>0</v>
      </c>
      <c r="L1244" s="31" t="n">
        <f aca="false">IF($F1244="",0,$F1244-$K1244)</f>
        <v>0</v>
      </c>
      <c r="M1244" s="31" t="n">
        <f aca="false">IF($F1244="",0,IF($J1244="V",$L1244,$F1244))</f>
        <v>0</v>
      </c>
      <c r="N1244" s="31" t="n">
        <f aca="false">IF($F1244="",0,IF($J1244="U",$L1244,$F1244))</f>
        <v>0</v>
      </c>
      <c r="O1244" s="35" t="str">
        <f aca="false">IF($A1244="","",MONTH($A1244))</f>
        <v/>
      </c>
      <c r="P1244" s="35" t="str">
        <f aca="false">IF($A1244="","",ROUNDUP(MONTH($A1244)/3,0))</f>
        <v/>
      </c>
      <c r="Q1244" s="35" t="str">
        <f aca="false">IF($A1244="","",IF(MONTH($A1244)&lt;=6,1,2))</f>
        <v/>
      </c>
      <c r="R1244" s="35" t="str">
        <f aca="false">IF($E1244="","",IFERROR(INDEX(Kontenplan!$F$5:$F$90,MATCH($E1244,Kontenplan!$A$5:$A$90,0)),""))</f>
        <v/>
      </c>
      <c r="S1244" s="35" t="str">
        <f aca="false">IF($D1244="","",IFERROR(INDEX(Kontenplan!$F$5:$F$90,MATCH($D1244,Kontenplan!$A$5:$A$90,0)),""))</f>
        <v/>
      </c>
      <c r="T1244" s="35" t="str">
        <f aca="false">IF($D1244="","",IFERROR(INDEX(Kontenplan!$C$5:$C$90,MATCH($D1244,Kontenplan!$A$5:$A$90,0)),"?"))</f>
        <v/>
      </c>
      <c r="U1244" s="35" t="str">
        <f aca="false">IF($E1244="","",IFERROR(INDEX(Kontenplan!$C$5:$C$90,MATCH($E1244,Kontenplan!$A$5:$A$90,0)),"?"))</f>
        <v/>
      </c>
      <c r="V1244" s="35" t="str">
        <f aca="false">IF($F1244="","",IF(OR($D1244="",$E1244="",$T1244="?",$U1244="?"),"Konto prüfen!",IF($A1244="","Datum fehlt",IF(YEAR($A1244)&lt;&gt;Einstellungen!$B$7,"anderes Jahr!",IF($G1244="","MWST-Code fehlt","OK")))))</f>
        <v/>
      </c>
      <c r="W1244" s="35" t="str">
        <f aca="false">IF($F1244="","",IF(OR($D1244=Kontoauszug!$C$4,$E1244=Kontoauszug!$C$4),MAX(W$4:W1243)+1,""))</f>
        <v/>
      </c>
    </row>
    <row r="1245" customFormat="false" ht="15" hidden="false" customHeight="false" outlineLevel="0" collapsed="false">
      <c r="A1245" s="33"/>
      <c r="B1245" s="32"/>
      <c r="C1245" s="32"/>
      <c r="D1245" s="32"/>
      <c r="E1245" s="32"/>
      <c r="F1245" s="30"/>
      <c r="G1245" s="32"/>
      <c r="H1245" s="34" t="n">
        <f aca="false">IF($G1245="",0,IFERROR(INDEX(Einstellungen!$G$5:$G$11,MATCH($G1245,Einstellungen!$E$5:$E$11,0)),0))</f>
        <v>0</v>
      </c>
      <c r="I1245" s="35" t="str">
        <f aca="false">IF($G1245="","-",IFERROR(INDEX(Einstellungen!$H$5:$H$11,MATCH($G1245,Einstellungen!$E$5:$E$11,0)),"-"))</f>
        <v>-</v>
      </c>
      <c r="J1245" s="35" t="str">
        <f aca="false">IF(AND(Einstellungen!$B$8="Ja",Einstellungen!$B$9="Effektiv"),$I1245,"-")</f>
        <v>-</v>
      </c>
      <c r="K1245" s="31" t="n">
        <f aca="false">IF(OR($F1245="",$J1245="-"),0,ROUND($F1245-$F1245/(1+$H1245),2))</f>
        <v>0</v>
      </c>
      <c r="L1245" s="31" t="n">
        <f aca="false">IF($F1245="",0,$F1245-$K1245)</f>
        <v>0</v>
      </c>
      <c r="M1245" s="31" t="n">
        <f aca="false">IF($F1245="",0,IF($J1245="V",$L1245,$F1245))</f>
        <v>0</v>
      </c>
      <c r="N1245" s="31" t="n">
        <f aca="false">IF($F1245="",0,IF($J1245="U",$L1245,$F1245))</f>
        <v>0</v>
      </c>
      <c r="O1245" s="35" t="str">
        <f aca="false">IF($A1245="","",MONTH($A1245))</f>
        <v/>
      </c>
      <c r="P1245" s="35" t="str">
        <f aca="false">IF($A1245="","",ROUNDUP(MONTH($A1245)/3,0))</f>
        <v/>
      </c>
      <c r="Q1245" s="35" t="str">
        <f aca="false">IF($A1245="","",IF(MONTH($A1245)&lt;=6,1,2))</f>
        <v/>
      </c>
      <c r="R1245" s="35" t="str">
        <f aca="false">IF($E1245="","",IFERROR(INDEX(Kontenplan!$F$5:$F$90,MATCH($E1245,Kontenplan!$A$5:$A$90,0)),""))</f>
        <v/>
      </c>
      <c r="S1245" s="35" t="str">
        <f aca="false">IF($D1245="","",IFERROR(INDEX(Kontenplan!$F$5:$F$90,MATCH($D1245,Kontenplan!$A$5:$A$90,0)),""))</f>
        <v/>
      </c>
      <c r="T1245" s="35" t="str">
        <f aca="false">IF($D1245="","",IFERROR(INDEX(Kontenplan!$C$5:$C$90,MATCH($D1245,Kontenplan!$A$5:$A$90,0)),"?"))</f>
        <v/>
      </c>
      <c r="U1245" s="35" t="str">
        <f aca="false">IF($E1245="","",IFERROR(INDEX(Kontenplan!$C$5:$C$90,MATCH($E1245,Kontenplan!$A$5:$A$90,0)),"?"))</f>
        <v/>
      </c>
      <c r="V1245" s="35" t="str">
        <f aca="false">IF($F1245="","",IF(OR($D1245="",$E1245="",$T1245="?",$U1245="?"),"Konto prüfen!",IF($A1245="","Datum fehlt",IF(YEAR($A1245)&lt;&gt;Einstellungen!$B$7,"anderes Jahr!",IF($G1245="","MWST-Code fehlt","OK")))))</f>
        <v/>
      </c>
      <c r="W1245" s="35" t="str">
        <f aca="false">IF($F1245="","",IF(OR($D1245=Kontoauszug!$C$4,$E1245=Kontoauszug!$C$4),MAX(W$4:W1244)+1,""))</f>
        <v/>
      </c>
    </row>
    <row r="1246" customFormat="false" ht="15" hidden="false" customHeight="false" outlineLevel="0" collapsed="false">
      <c r="A1246" s="33"/>
      <c r="B1246" s="32"/>
      <c r="C1246" s="32"/>
      <c r="D1246" s="32"/>
      <c r="E1246" s="32"/>
      <c r="F1246" s="30"/>
      <c r="G1246" s="32"/>
      <c r="H1246" s="34" t="n">
        <f aca="false">IF($G1246="",0,IFERROR(INDEX(Einstellungen!$G$5:$G$11,MATCH($G1246,Einstellungen!$E$5:$E$11,0)),0))</f>
        <v>0</v>
      </c>
      <c r="I1246" s="35" t="str">
        <f aca="false">IF($G1246="","-",IFERROR(INDEX(Einstellungen!$H$5:$H$11,MATCH($G1246,Einstellungen!$E$5:$E$11,0)),"-"))</f>
        <v>-</v>
      </c>
      <c r="J1246" s="35" t="str">
        <f aca="false">IF(AND(Einstellungen!$B$8="Ja",Einstellungen!$B$9="Effektiv"),$I1246,"-")</f>
        <v>-</v>
      </c>
      <c r="K1246" s="31" t="n">
        <f aca="false">IF(OR($F1246="",$J1246="-"),0,ROUND($F1246-$F1246/(1+$H1246),2))</f>
        <v>0</v>
      </c>
      <c r="L1246" s="31" t="n">
        <f aca="false">IF($F1246="",0,$F1246-$K1246)</f>
        <v>0</v>
      </c>
      <c r="M1246" s="31" t="n">
        <f aca="false">IF($F1246="",0,IF($J1246="V",$L1246,$F1246))</f>
        <v>0</v>
      </c>
      <c r="N1246" s="31" t="n">
        <f aca="false">IF($F1246="",0,IF($J1246="U",$L1246,$F1246))</f>
        <v>0</v>
      </c>
      <c r="O1246" s="35" t="str">
        <f aca="false">IF($A1246="","",MONTH($A1246))</f>
        <v/>
      </c>
      <c r="P1246" s="35" t="str">
        <f aca="false">IF($A1246="","",ROUNDUP(MONTH($A1246)/3,0))</f>
        <v/>
      </c>
      <c r="Q1246" s="35" t="str">
        <f aca="false">IF($A1246="","",IF(MONTH($A1246)&lt;=6,1,2))</f>
        <v/>
      </c>
      <c r="R1246" s="35" t="str">
        <f aca="false">IF($E1246="","",IFERROR(INDEX(Kontenplan!$F$5:$F$90,MATCH($E1246,Kontenplan!$A$5:$A$90,0)),""))</f>
        <v/>
      </c>
      <c r="S1246" s="35" t="str">
        <f aca="false">IF($D1246="","",IFERROR(INDEX(Kontenplan!$F$5:$F$90,MATCH($D1246,Kontenplan!$A$5:$A$90,0)),""))</f>
        <v/>
      </c>
      <c r="T1246" s="35" t="str">
        <f aca="false">IF($D1246="","",IFERROR(INDEX(Kontenplan!$C$5:$C$90,MATCH($D1246,Kontenplan!$A$5:$A$90,0)),"?"))</f>
        <v/>
      </c>
      <c r="U1246" s="35" t="str">
        <f aca="false">IF($E1246="","",IFERROR(INDEX(Kontenplan!$C$5:$C$90,MATCH($E1246,Kontenplan!$A$5:$A$90,0)),"?"))</f>
        <v/>
      </c>
      <c r="V1246" s="35" t="str">
        <f aca="false">IF($F1246="","",IF(OR($D1246="",$E1246="",$T1246="?",$U1246="?"),"Konto prüfen!",IF($A1246="","Datum fehlt",IF(YEAR($A1246)&lt;&gt;Einstellungen!$B$7,"anderes Jahr!",IF($G1246="","MWST-Code fehlt","OK")))))</f>
        <v/>
      </c>
      <c r="W1246" s="35" t="str">
        <f aca="false">IF($F1246="","",IF(OR($D1246=Kontoauszug!$C$4,$E1246=Kontoauszug!$C$4),MAX(W$4:W1245)+1,""))</f>
        <v/>
      </c>
    </row>
    <row r="1247" customFormat="false" ht="15" hidden="false" customHeight="false" outlineLevel="0" collapsed="false">
      <c r="A1247" s="33"/>
      <c r="B1247" s="32"/>
      <c r="C1247" s="32"/>
      <c r="D1247" s="32"/>
      <c r="E1247" s="32"/>
      <c r="F1247" s="30"/>
      <c r="G1247" s="32"/>
      <c r="H1247" s="34" t="n">
        <f aca="false">IF($G1247="",0,IFERROR(INDEX(Einstellungen!$G$5:$G$11,MATCH($G1247,Einstellungen!$E$5:$E$11,0)),0))</f>
        <v>0</v>
      </c>
      <c r="I1247" s="35" t="str">
        <f aca="false">IF($G1247="","-",IFERROR(INDEX(Einstellungen!$H$5:$H$11,MATCH($G1247,Einstellungen!$E$5:$E$11,0)),"-"))</f>
        <v>-</v>
      </c>
      <c r="J1247" s="35" t="str">
        <f aca="false">IF(AND(Einstellungen!$B$8="Ja",Einstellungen!$B$9="Effektiv"),$I1247,"-")</f>
        <v>-</v>
      </c>
      <c r="K1247" s="31" t="n">
        <f aca="false">IF(OR($F1247="",$J1247="-"),0,ROUND($F1247-$F1247/(1+$H1247),2))</f>
        <v>0</v>
      </c>
      <c r="L1247" s="31" t="n">
        <f aca="false">IF($F1247="",0,$F1247-$K1247)</f>
        <v>0</v>
      </c>
      <c r="M1247" s="31" t="n">
        <f aca="false">IF($F1247="",0,IF($J1247="V",$L1247,$F1247))</f>
        <v>0</v>
      </c>
      <c r="N1247" s="31" t="n">
        <f aca="false">IF($F1247="",0,IF($J1247="U",$L1247,$F1247))</f>
        <v>0</v>
      </c>
      <c r="O1247" s="35" t="str">
        <f aca="false">IF($A1247="","",MONTH($A1247))</f>
        <v/>
      </c>
      <c r="P1247" s="35" t="str">
        <f aca="false">IF($A1247="","",ROUNDUP(MONTH($A1247)/3,0))</f>
        <v/>
      </c>
      <c r="Q1247" s="35" t="str">
        <f aca="false">IF($A1247="","",IF(MONTH($A1247)&lt;=6,1,2))</f>
        <v/>
      </c>
      <c r="R1247" s="35" t="str">
        <f aca="false">IF($E1247="","",IFERROR(INDEX(Kontenplan!$F$5:$F$90,MATCH($E1247,Kontenplan!$A$5:$A$90,0)),""))</f>
        <v/>
      </c>
      <c r="S1247" s="35" t="str">
        <f aca="false">IF($D1247="","",IFERROR(INDEX(Kontenplan!$F$5:$F$90,MATCH($D1247,Kontenplan!$A$5:$A$90,0)),""))</f>
        <v/>
      </c>
      <c r="T1247" s="35" t="str">
        <f aca="false">IF($D1247="","",IFERROR(INDEX(Kontenplan!$C$5:$C$90,MATCH($D1247,Kontenplan!$A$5:$A$90,0)),"?"))</f>
        <v/>
      </c>
      <c r="U1247" s="35" t="str">
        <f aca="false">IF($E1247="","",IFERROR(INDEX(Kontenplan!$C$5:$C$90,MATCH($E1247,Kontenplan!$A$5:$A$90,0)),"?"))</f>
        <v/>
      </c>
      <c r="V1247" s="35" t="str">
        <f aca="false">IF($F1247="","",IF(OR($D1247="",$E1247="",$T1247="?",$U1247="?"),"Konto prüfen!",IF($A1247="","Datum fehlt",IF(YEAR($A1247)&lt;&gt;Einstellungen!$B$7,"anderes Jahr!",IF($G1247="","MWST-Code fehlt","OK")))))</f>
        <v/>
      </c>
      <c r="W1247" s="35" t="str">
        <f aca="false">IF($F1247="","",IF(OR($D1247=Kontoauszug!$C$4,$E1247=Kontoauszug!$C$4),MAX(W$4:W1246)+1,""))</f>
        <v/>
      </c>
    </row>
    <row r="1248" customFormat="false" ht="15" hidden="false" customHeight="false" outlineLevel="0" collapsed="false">
      <c r="A1248" s="33"/>
      <c r="B1248" s="32"/>
      <c r="C1248" s="32"/>
      <c r="D1248" s="32"/>
      <c r="E1248" s="32"/>
      <c r="F1248" s="30"/>
      <c r="G1248" s="32"/>
      <c r="H1248" s="34" t="n">
        <f aca="false">IF($G1248="",0,IFERROR(INDEX(Einstellungen!$G$5:$G$11,MATCH($G1248,Einstellungen!$E$5:$E$11,0)),0))</f>
        <v>0</v>
      </c>
      <c r="I1248" s="35" t="str">
        <f aca="false">IF($G1248="","-",IFERROR(INDEX(Einstellungen!$H$5:$H$11,MATCH($G1248,Einstellungen!$E$5:$E$11,0)),"-"))</f>
        <v>-</v>
      </c>
      <c r="J1248" s="35" t="str">
        <f aca="false">IF(AND(Einstellungen!$B$8="Ja",Einstellungen!$B$9="Effektiv"),$I1248,"-")</f>
        <v>-</v>
      </c>
      <c r="K1248" s="31" t="n">
        <f aca="false">IF(OR($F1248="",$J1248="-"),0,ROUND($F1248-$F1248/(1+$H1248),2))</f>
        <v>0</v>
      </c>
      <c r="L1248" s="31" t="n">
        <f aca="false">IF($F1248="",0,$F1248-$K1248)</f>
        <v>0</v>
      </c>
      <c r="M1248" s="31" t="n">
        <f aca="false">IF($F1248="",0,IF($J1248="V",$L1248,$F1248))</f>
        <v>0</v>
      </c>
      <c r="N1248" s="31" t="n">
        <f aca="false">IF($F1248="",0,IF($J1248="U",$L1248,$F1248))</f>
        <v>0</v>
      </c>
      <c r="O1248" s="35" t="str">
        <f aca="false">IF($A1248="","",MONTH($A1248))</f>
        <v/>
      </c>
      <c r="P1248" s="35" t="str">
        <f aca="false">IF($A1248="","",ROUNDUP(MONTH($A1248)/3,0))</f>
        <v/>
      </c>
      <c r="Q1248" s="35" t="str">
        <f aca="false">IF($A1248="","",IF(MONTH($A1248)&lt;=6,1,2))</f>
        <v/>
      </c>
      <c r="R1248" s="35" t="str">
        <f aca="false">IF($E1248="","",IFERROR(INDEX(Kontenplan!$F$5:$F$90,MATCH($E1248,Kontenplan!$A$5:$A$90,0)),""))</f>
        <v/>
      </c>
      <c r="S1248" s="35" t="str">
        <f aca="false">IF($D1248="","",IFERROR(INDEX(Kontenplan!$F$5:$F$90,MATCH($D1248,Kontenplan!$A$5:$A$90,0)),""))</f>
        <v/>
      </c>
      <c r="T1248" s="35" t="str">
        <f aca="false">IF($D1248="","",IFERROR(INDEX(Kontenplan!$C$5:$C$90,MATCH($D1248,Kontenplan!$A$5:$A$90,0)),"?"))</f>
        <v/>
      </c>
      <c r="U1248" s="35" t="str">
        <f aca="false">IF($E1248="","",IFERROR(INDEX(Kontenplan!$C$5:$C$90,MATCH($E1248,Kontenplan!$A$5:$A$90,0)),"?"))</f>
        <v/>
      </c>
      <c r="V1248" s="35" t="str">
        <f aca="false">IF($F1248="","",IF(OR($D1248="",$E1248="",$T1248="?",$U1248="?"),"Konto prüfen!",IF($A1248="","Datum fehlt",IF(YEAR($A1248)&lt;&gt;Einstellungen!$B$7,"anderes Jahr!",IF($G1248="","MWST-Code fehlt","OK")))))</f>
        <v/>
      </c>
      <c r="W1248" s="35" t="str">
        <f aca="false">IF($F1248="","",IF(OR($D1248=Kontoauszug!$C$4,$E1248=Kontoauszug!$C$4),MAX(W$4:W1247)+1,""))</f>
        <v/>
      </c>
    </row>
    <row r="1249" customFormat="false" ht="15" hidden="false" customHeight="false" outlineLevel="0" collapsed="false">
      <c r="A1249" s="33"/>
      <c r="B1249" s="32"/>
      <c r="C1249" s="32"/>
      <c r="D1249" s="32"/>
      <c r="E1249" s="32"/>
      <c r="F1249" s="30"/>
      <c r="G1249" s="32"/>
      <c r="H1249" s="34" t="n">
        <f aca="false">IF($G1249="",0,IFERROR(INDEX(Einstellungen!$G$5:$G$11,MATCH($G1249,Einstellungen!$E$5:$E$11,0)),0))</f>
        <v>0</v>
      </c>
      <c r="I1249" s="35" t="str">
        <f aca="false">IF($G1249="","-",IFERROR(INDEX(Einstellungen!$H$5:$H$11,MATCH($G1249,Einstellungen!$E$5:$E$11,0)),"-"))</f>
        <v>-</v>
      </c>
      <c r="J1249" s="35" t="str">
        <f aca="false">IF(AND(Einstellungen!$B$8="Ja",Einstellungen!$B$9="Effektiv"),$I1249,"-")</f>
        <v>-</v>
      </c>
      <c r="K1249" s="31" t="n">
        <f aca="false">IF(OR($F1249="",$J1249="-"),0,ROUND($F1249-$F1249/(1+$H1249),2))</f>
        <v>0</v>
      </c>
      <c r="L1249" s="31" t="n">
        <f aca="false">IF($F1249="",0,$F1249-$K1249)</f>
        <v>0</v>
      </c>
      <c r="M1249" s="31" t="n">
        <f aca="false">IF($F1249="",0,IF($J1249="V",$L1249,$F1249))</f>
        <v>0</v>
      </c>
      <c r="N1249" s="31" t="n">
        <f aca="false">IF($F1249="",0,IF($J1249="U",$L1249,$F1249))</f>
        <v>0</v>
      </c>
      <c r="O1249" s="35" t="str">
        <f aca="false">IF($A1249="","",MONTH($A1249))</f>
        <v/>
      </c>
      <c r="P1249" s="35" t="str">
        <f aca="false">IF($A1249="","",ROUNDUP(MONTH($A1249)/3,0))</f>
        <v/>
      </c>
      <c r="Q1249" s="35" t="str">
        <f aca="false">IF($A1249="","",IF(MONTH($A1249)&lt;=6,1,2))</f>
        <v/>
      </c>
      <c r="R1249" s="35" t="str">
        <f aca="false">IF($E1249="","",IFERROR(INDEX(Kontenplan!$F$5:$F$90,MATCH($E1249,Kontenplan!$A$5:$A$90,0)),""))</f>
        <v/>
      </c>
      <c r="S1249" s="35" t="str">
        <f aca="false">IF($D1249="","",IFERROR(INDEX(Kontenplan!$F$5:$F$90,MATCH($D1249,Kontenplan!$A$5:$A$90,0)),""))</f>
        <v/>
      </c>
      <c r="T1249" s="35" t="str">
        <f aca="false">IF($D1249="","",IFERROR(INDEX(Kontenplan!$C$5:$C$90,MATCH($D1249,Kontenplan!$A$5:$A$90,0)),"?"))</f>
        <v/>
      </c>
      <c r="U1249" s="35" t="str">
        <f aca="false">IF($E1249="","",IFERROR(INDEX(Kontenplan!$C$5:$C$90,MATCH($E1249,Kontenplan!$A$5:$A$90,0)),"?"))</f>
        <v/>
      </c>
      <c r="V1249" s="35" t="str">
        <f aca="false">IF($F1249="","",IF(OR($D1249="",$E1249="",$T1249="?",$U1249="?"),"Konto prüfen!",IF($A1249="","Datum fehlt",IF(YEAR($A1249)&lt;&gt;Einstellungen!$B$7,"anderes Jahr!",IF($G1249="","MWST-Code fehlt","OK")))))</f>
        <v/>
      </c>
      <c r="W1249" s="35" t="str">
        <f aca="false">IF($F1249="","",IF(OR($D1249=Kontoauszug!$C$4,$E1249=Kontoauszug!$C$4),MAX(W$4:W1248)+1,""))</f>
        <v/>
      </c>
    </row>
    <row r="1250" customFormat="false" ht="15" hidden="false" customHeight="false" outlineLevel="0" collapsed="false">
      <c r="A1250" s="33"/>
      <c r="B1250" s="32"/>
      <c r="C1250" s="32"/>
      <c r="D1250" s="32"/>
      <c r="E1250" s="32"/>
      <c r="F1250" s="30"/>
      <c r="G1250" s="32"/>
      <c r="H1250" s="34" t="n">
        <f aca="false">IF($G1250="",0,IFERROR(INDEX(Einstellungen!$G$5:$G$11,MATCH($G1250,Einstellungen!$E$5:$E$11,0)),0))</f>
        <v>0</v>
      </c>
      <c r="I1250" s="35" t="str">
        <f aca="false">IF($G1250="","-",IFERROR(INDEX(Einstellungen!$H$5:$H$11,MATCH($G1250,Einstellungen!$E$5:$E$11,0)),"-"))</f>
        <v>-</v>
      </c>
      <c r="J1250" s="35" t="str">
        <f aca="false">IF(AND(Einstellungen!$B$8="Ja",Einstellungen!$B$9="Effektiv"),$I1250,"-")</f>
        <v>-</v>
      </c>
      <c r="K1250" s="31" t="n">
        <f aca="false">IF(OR($F1250="",$J1250="-"),0,ROUND($F1250-$F1250/(1+$H1250),2))</f>
        <v>0</v>
      </c>
      <c r="L1250" s="31" t="n">
        <f aca="false">IF($F1250="",0,$F1250-$K1250)</f>
        <v>0</v>
      </c>
      <c r="M1250" s="31" t="n">
        <f aca="false">IF($F1250="",0,IF($J1250="V",$L1250,$F1250))</f>
        <v>0</v>
      </c>
      <c r="N1250" s="31" t="n">
        <f aca="false">IF($F1250="",0,IF($J1250="U",$L1250,$F1250))</f>
        <v>0</v>
      </c>
      <c r="O1250" s="35" t="str">
        <f aca="false">IF($A1250="","",MONTH($A1250))</f>
        <v/>
      </c>
      <c r="P1250" s="35" t="str">
        <f aca="false">IF($A1250="","",ROUNDUP(MONTH($A1250)/3,0))</f>
        <v/>
      </c>
      <c r="Q1250" s="35" t="str">
        <f aca="false">IF($A1250="","",IF(MONTH($A1250)&lt;=6,1,2))</f>
        <v/>
      </c>
      <c r="R1250" s="35" t="str">
        <f aca="false">IF($E1250="","",IFERROR(INDEX(Kontenplan!$F$5:$F$90,MATCH($E1250,Kontenplan!$A$5:$A$90,0)),""))</f>
        <v/>
      </c>
      <c r="S1250" s="35" t="str">
        <f aca="false">IF($D1250="","",IFERROR(INDEX(Kontenplan!$F$5:$F$90,MATCH($D1250,Kontenplan!$A$5:$A$90,0)),""))</f>
        <v/>
      </c>
      <c r="T1250" s="35" t="str">
        <f aca="false">IF($D1250="","",IFERROR(INDEX(Kontenplan!$C$5:$C$90,MATCH($D1250,Kontenplan!$A$5:$A$90,0)),"?"))</f>
        <v/>
      </c>
      <c r="U1250" s="35" t="str">
        <f aca="false">IF($E1250="","",IFERROR(INDEX(Kontenplan!$C$5:$C$90,MATCH($E1250,Kontenplan!$A$5:$A$90,0)),"?"))</f>
        <v/>
      </c>
      <c r="V1250" s="35" t="str">
        <f aca="false">IF($F1250="","",IF(OR($D1250="",$E1250="",$T1250="?",$U1250="?"),"Konto prüfen!",IF($A1250="","Datum fehlt",IF(YEAR($A1250)&lt;&gt;Einstellungen!$B$7,"anderes Jahr!",IF($G1250="","MWST-Code fehlt","OK")))))</f>
        <v/>
      </c>
      <c r="W1250" s="35" t="str">
        <f aca="false">IF($F1250="","",IF(OR($D1250=Kontoauszug!$C$4,$E1250=Kontoauszug!$C$4),MAX(W$4:W1249)+1,""))</f>
        <v/>
      </c>
    </row>
    <row r="1251" customFormat="false" ht="15" hidden="false" customHeight="false" outlineLevel="0" collapsed="false">
      <c r="A1251" s="33"/>
      <c r="B1251" s="32"/>
      <c r="C1251" s="32"/>
      <c r="D1251" s="32"/>
      <c r="E1251" s="32"/>
      <c r="F1251" s="30"/>
      <c r="G1251" s="32"/>
      <c r="H1251" s="34" t="n">
        <f aca="false">IF($G1251="",0,IFERROR(INDEX(Einstellungen!$G$5:$G$11,MATCH($G1251,Einstellungen!$E$5:$E$11,0)),0))</f>
        <v>0</v>
      </c>
      <c r="I1251" s="35" t="str">
        <f aca="false">IF($G1251="","-",IFERROR(INDEX(Einstellungen!$H$5:$H$11,MATCH($G1251,Einstellungen!$E$5:$E$11,0)),"-"))</f>
        <v>-</v>
      </c>
      <c r="J1251" s="35" t="str">
        <f aca="false">IF(AND(Einstellungen!$B$8="Ja",Einstellungen!$B$9="Effektiv"),$I1251,"-")</f>
        <v>-</v>
      </c>
      <c r="K1251" s="31" t="n">
        <f aca="false">IF(OR($F1251="",$J1251="-"),0,ROUND($F1251-$F1251/(1+$H1251),2))</f>
        <v>0</v>
      </c>
      <c r="L1251" s="31" t="n">
        <f aca="false">IF($F1251="",0,$F1251-$K1251)</f>
        <v>0</v>
      </c>
      <c r="M1251" s="31" t="n">
        <f aca="false">IF($F1251="",0,IF($J1251="V",$L1251,$F1251))</f>
        <v>0</v>
      </c>
      <c r="N1251" s="31" t="n">
        <f aca="false">IF($F1251="",0,IF($J1251="U",$L1251,$F1251))</f>
        <v>0</v>
      </c>
      <c r="O1251" s="35" t="str">
        <f aca="false">IF($A1251="","",MONTH($A1251))</f>
        <v/>
      </c>
      <c r="P1251" s="35" t="str">
        <f aca="false">IF($A1251="","",ROUNDUP(MONTH($A1251)/3,0))</f>
        <v/>
      </c>
      <c r="Q1251" s="35" t="str">
        <f aca="false">IF($A1251="","",IF(MONTH($A1251)&lt;=6,1,2))</f>
        <v/>
      </c>
      <c r="R1251" s="35" t="str">
        <f aca="false">IF($E1251="","",IFERROR(INDEX(Kontenplan!$F$5:$F$90,MATCH($E1251,Kontenplan!$A$5:$A$90,0)),""))</f>
        <v/>
      </c>
      <c r="S1251" s="35" t="str">
        <f aca="false">IF($D1251="","",IFERROR(INDEX(Kontenplan!$F$5:$F$90,MATCH($D1251,Kontenplan!$A$5:$A$90,0)),""))</f>
        <v/>
      </c>
      <c r="T1251" s="35" t="str">
        <f aca="false">IF($D1251="","",IFERROR(INDEX(Kontenplan!$C$5:$C$90,MATCH($D1251,Kontenplan!$A$5:$A$90,0)),"?"))</f>
        <v/>
      </c>
      <c r="U1251" s="35" t="str">
        <f aca="false">IF($E1251="","",IFERROR(INDEX(Kontenplan!$C$5:$C$90,MATCH($E1251,Kontenplan!$A$5:$A$90,0)),"?"))</f>
        <v/>
      </c>
      <c r="V1251" s="35" t="str">
        <f aca="false">IF($F1251="","",IF(OR($D1251="",$E1251="",$T1251="?",$U1251="?"),"Konto prüfen!",IF($A1251="","Datum fehlt",IF(YEAR($A1251)&lt;&gt;Einstellungen!$B$7,"anderes Jahr!",IF($G1251="","MWST-Code fehlt","OK")))))</f>
        <v/>
      </c>
      <c r="W1251" s="35" t="str">
        <f aca="false">IF($F1251="","",IF(OR($D1251=Kontoauszug!$C$4,$E1251=Kontoauszug!$C$4),MAX(W$4:W1250)+1,""))</f>
        <v/>
      </c>
    </row>
    <row r="1252" customFormat="false" ht="15" hidden="false" customHeight="false" outlineLevel="0" collapsed="false">
      <c r="A1252" s="33"/>
      <c r="B1252" s="32"/>
      <c r="C1252" s="32"/>
      <c r="D1252" s="32"/>
      <c r="E1252" s="32"/>
      <c r="F1252" s="30"/>
      <c r="G1252" s="32"/>
      <c r="H1252" s="34" t="n">
        <f aca="false">IF($G1252="",0,IFERROR(INDEX(Einstellungen!$G$5:$G$11,MATCH($G1252,Einstellungen!$E$5:$E$11,0)),0))</f>
        <v>0</v>
      </c>
      <c r="I1252" s="35" t="str">
        <f aca="false">IF($G1252="","-",IFERROR(INDEX(Einstellungen!$H$5:$H$11,MATCH($G1252,Einstellungen!$E$5:$E$11,0)),"-"))</f>
        <v>-</v>
      </c>
      <c r="J1252" s="35" t="str">
        <f aca="false">IF(AND(Einstellungen!$B$8="Ja",Einstellungen!$B$9="Effektiv"),$I1252,"-")</f>
        <v>-</v>
      </c>
      <c r="K1252" s="31" t="n">
        <f aca="false">IF(OR($F1252="",$J1252="-"),0,ROUND($F1252-$F1252/(1+$H1252),2))</f>
        <v>0</v>
      </c>
      <c r="L1252" s="31" t="n">
        <f aca="false">IF($F1252="",0,$F1252-$K1252)</f>
        <v>0</v>
      </c>
      <c r="M1252" s="31" t="n">
        <f aca="false">IF($F1252="",0,IF($J1252="V",$L1252,$F1252))</f>
        <v>0</v>
      </c>
      <c r="N1252" s="31" t="n">
        <f aca="false">IF($F1252="",0,IF($J1252="U",$L1252,$F1252))</f>
        <v>0</v>
      </c>
      <c r="O1252" s="35" t="str">
        <f aca="false">IF($A1252="","",MONTH($A1252))</f>
        <v/>
      </c>
      <c r="P1252" s="35" t="str">
        <f aca="false">IF($A1252="","",ROUNDUP(MONTH($A1252)/3,0))</f>
        <v/>
      </c>
      <c r="Q1252" s="35" t="str">
        <f aca="false">IF($A1252="","",IF(MONTH($A1252)&lt;=6,1,2))</f>
        <v/>
      </c>
      <c r="R1252" s="35" t="str">
        <f aca="false">IF($E1252="","",IFERROR(INDEX(Kontenplan!$F$5:$F$90,MATCH($E1252,Kontenplan!$A$5:$A$90,0)),""))</f>
        <v/>
      </c>
      <c r="S1252" s="35" t="str">
        <f aca="false">IF($D1252="","",IFERROR(INDEX(Kontenplan!$F$5:$F$90,MATCH($D1252,Kontenplan!$A$5:$A$90,0)),""))</f>
        <v/>
      </c>
      <c r="T1252" s="35" t="str">
        <f aca="false">IF($D1252="","",IFERROR(INDEX(Kontenplan!$C$5:$C$90,MATCH($D1252,Kontenplan!$A$5:$A$90,0)),"?"))</f>
        <v/>
      </c>
      <c r="U1252" s="35" t="str">
        <f aca="false">IF($E1252="","",IFERROR(INDEX(Kontenplan!$C$5:$C$90,MATCH($E1252,Kontenplan!$A$5:$A$90,0)),"?"))</f>
        <v/>
      </c>
      <c r="V1252" s="35" t="str">
        <f aca="false">IF($F1252="","",IF(OR($D1252="",$E1252="",$T1252="?",$U1252="?"),"Konto prüfen!",IF($A1252="","Datum fehlt",IF(YEAR($A1252)&lt;&gt;Einstellungen!$B$7,"anderes Jahr!",IF($G1252="","MWST-Code fehlt","OK")))))</f>
        <v/>
      </c>
      <c r="W1252" s="35" t="str">
        <f aca="false">IF($F1252="","",IF(OR($D1252=Kontoauszug!$C$4,$E1252=Kontoauszug!$C$4),MAX(W$4:W1251)+1,""))</f>
        <v/>
      </c>
    </row>
    <row r="1253" customFormat="false" ht="15" hidden="false" customHeight="false" outlineLevel="0" collapsed="false">
      <c r="A1253" s="33"/>
      <c r="B1253" s="32"/>
      <c r="C1253" s="32"/>
      <c r="D1253" s="32"/>
      <c r="E1253" s="32"/>
      <c r="F1253" s="30"/>
      <c r="G1253" s="32"/>
      <c r="H1253" s="34" t="n">
        <f aca="false">IF($G1253="",0,IFERROR(INDEX(Einstellungen!$G$5:$G$11,MATCH($G1253,Einstellungen!$E$5:$E$11,0)),0))</f>
        <v>0</v>
      </c>
      <c r="I1253" s="35" t="str">
        <f aca="false">IF($G1253="","-",IFERROR(INDEX(Einstellungen!$H$5:$H$11,MATCH($G1253,Einstellungen!$E$5:$E$11,0)),"-"))</f>
        <v>-</v>
      </c>
      <c r="J1253" s="35" t="str">
        <f aca="false">IF(AND(Einstellungen!$B$8="Ja",Einstellungen!$B$9="Effektiv"),$I1253,"-")</f>
        <v>-</v>
      </c>
      <c r="K1253" s="31" t="n">
        <f aca="false">IF(OR($F1253="",$J1253="-"),0,ROUND($F1253-$F1253/(1+$H1253),2))</f>
        <v>0</v>
      </c>
      <c r="L1253" s="31" t="n">
        <f aca="false">IF($F1253="",0,$F1253-$K1253)</f>
        <v>0</v>
      </c>
      <c r="M1253" s="31" t="n">
        <f aca="false">IF($F1253="",0,IF($J1253="V",$L1253,$F1253))</f>
        <v>0</v>
      </c>
      <c r="N1253" s="31" t="n">
        <f aca="false">IF($F1253="",0,IF($J1253="U",$L1253,$F1253))</f>
        <v>0</v>
      </c>
      <c r="O1253" s="35" t="str">
        <f aca="false">IF($A1253="","",MONTH($A1253))</f>
        <v/>
      </c>
      <c r="P1253" s="35" t="str">
        <f aca="false">IF($A1253="","",ROUNDUP(MONTH($A1253)/3,0))</f>
        <v/>
      </c>
      <c r="Q1253" s="35" t="str">
        <f aca="false">IF($A1253="","",IF(MONTH($A1253)&lt;=6,1,2))</f>
        <v/>
      </c>
      <c r="R1253" s="35" t="str">
        <f aca="false">IF($E1253="","",IFERROR(INDEX(Kontenplan!$F$5:$F$90,MATCH($E1253,Kontenplan!$A$5:$A$90,0)),""))</f>
        <v/>
      </c>
      <c r="S1253" s="35" t="str">
        <f aca="false">IF($D1253="","",IFERROR(INDEX(Kontenplan!$F$5:$F$90,MATCH($D1253,Kontenplan!$A$5:$A$90,0)),""))</f>
        <v/>
      </c>
      <c r="T1253" s="35" t="str">
        <f aca="false">IF($D1253="","",IFERROR(INDEX(Kontenplan!$C$5:$C$90,MATCH($D1253,Kontenplan!$A$5:$A$90,0)),"?"))</f>
        <v/>
      </c>
      <c r="U1253" s="35" t="str">
        <f aca="false">IF($E1253="","",IFERROR(INDEX(Kontenplan!$C$5:$C$90,MATCH($E1253,Kontenplan!$A$5:$A$90,0)),"?"))</f>
        <v/>
      </c>
      <c r="V1253" s="35" t="str">
        <f aca="false">IF($F1253="","",IF(OR($D1253="",$E1253="",$T1253="?",$U1253="?"),"Konto prüfen!",IF($A1253="","Datum fehlt",IF(YEAR($A1253)&lt;&gt;Einstellungen!$B$7,"anderes Jahr!",IF($G1253="","MWST-Code fehlt","OK")))))</f>
        <v/>
      </c>
      <c r="W1253" s="35" t="str">
        <f aca="false">IF($F1253="","",IF(OR($D1253=Kontoauszug!$C$4,$E1253=Kontoauszug!$C$4),MAX(W$4:W1252)+1,""))</f>
        <v/>
      </c>
    </row>
    <row r="1254" customFormat="false" ht="15" hidden="false" customHeight="false" outlineLevel="0" collapsed="false">
      <c r="A1254" s="33"/>
      <c r="B1254" s="32"/>
      <c r="C1254" s="32"/>
      <c r="D1254" s="32"/>
      <c r="E1254" s="32"/>
      <c r="F1254" s="30"/>
      <c r="G1254" s="32"/>
      <c r="H1254" s="34" t="n">
        <f aca="false">IF($G1254="",0,IFERROR(INDEX(Einstellungen!$G$5:$G$11,MATCH($G1254,Einstellungen!$E$5:$E$11,0)),0))</f>
        <v>0</v>
      </c>
      <c r="I1254" s="35" t="str">
        <f aca="false">IF($G1254="","-",IFERROR(INDEX(Einstellungen!$H$5:$H$11,MATCH($G1254,Einstellungen!$E$5:$E$11,0)),"-"))</f>
        <v>-</v>
      </c>
      <c r="J1254" s="35" t="str">
        <f aca="false">IF(AND(Einstellungen!$B$8="Ja",Einstellungen!$B$9="Effektiv"),$I1254,"-")</f>
        <v>-</v>
      </c>
      <c r="K1254" s="31" t="n">
        <f aca="false">IF(OR($F1254="",$J1254="-"),0,ROUND($F1254-$F1254/(1+$H1254),2))</f>
        <v>0</v>
      </c>
      <c r="L1254" s="31" t="n">
        <f aca="false">IF($F1254="",0,$F1254-$K1254)</f>
        <v>0</v>
      </c>
      <c r="M1254" s="31" t="n">
        <f aca="false">IF($F1254="",0,IF($J1254="V",$L1254,$F1254))</f>
        <v>0</v>
      </c>
      <c r="N1254" s="31" t="n">
        <f aca="false">IF($F1254="",0,IF($J1254="U",$L1254,$F1254))</f>
        <v>0</v>
      </c>
      <c r="O1254" s="35" t="str">
        <f aca="false">IF($A1254="","",MONTH($A1254))</f>
        <v/>
      </c>
      <c r="P1254" s="35" t="str">
        <f aca="false">IF($A1254="","",ROUNDUP(MONTH($A1254)/3,0))</f>
        <v/>
      </c>
      <c r="Q1254" s="35" t="str">
        <f aca="false">IF($A1254="","",IF(MONTH($A1254)&lt;=6,1,2))</f>
        <v/>
      </c>
      <c r="R1254" s="35" t="str">
        <f aca="false">IF($E1254="","",IFERROR(INDEX(Kontenplan!$F$5:$F$90,MATCH($E1254,Kontenplan!$A$5:$A$90,0)),""))</f>
        <v/>
      </c>
      <c r="S1254" s="35" t="str">
        <f aca="false">IF($D1254="","",IFERROR(INDEX(Kontenplan!$F$5:$F$90,MATCH($D1254,Kontenplan!$A$5:$A$90,0)),""))</f>
        <v/>
      </c>
      <c r="T1254" s="35" t="str">
        <f aca="false">IF($D1254="","",IFERROR(INDEX(Kontenplan!$C$5:$C$90,MATCH($D1254,Kontenplan!$A$5:$A$90,0)),"?"))</f>
        <v/>
      </c>
      <c r="U1254" s="35" t="str">
        <f aca="false">IF($E1254="","",IFERROR(INDEX(Kontenplan!$C$5:$C$90,MATCH($E1254,Kontenplan!$A$5:$A$90,0)),"?"))</f>
        <v/>
      </c>
      <c r="V1254" s="35" t="str">
        <f aca="false">IF($F1254="","",IF(OR($D1254="",$E1254="",$T1254="?",$U1254="?"),"Konto prüfen!",IF($A1254="","Datum fehlt",IF(YEAR($A1254)&lt;&gt;Einstellungen!$B$7,"anderes Jahr!",IF($G1254="","MWST-Code fehlt","OK")))))</f>
        <v/>
      </c>
      <c r="W1254" s="35" t="str">
        <f aca="false">IF($F1254="","",IF(OR($D1254=Kontoauszug!$C$4,$E1254=Kontoauszug!$C$4),MAX(W$4:W1253)+1,""))</f>
        <v/>
      </c>
    </row>
    <row r="1255" customFormat="false" ht="15" hidden="false" customHeight="false" outlineLevel="0" collapsed="false">
      <c r="A1255" s="33"/>
      <c r="B1255" s="32"/>
      <c r="C1255" s="32"/>
      <c r="D1255" s="32"/>
      <c r="E1255" s="32"/>
      <c r="F1255" s="30"/>
      <c r="G1255" s="32"/>
      <c r="H1255" s="34" t="n">
        <f aca="false">IF($G1255="",0,IFERROR(INDEX(Einstellungen!$G$5:$G$11,MATCH($G1255,Einstellungen!$E$5:$E$11,0)),0))</f>
        <v>0</v>
      </c>
      <c r="I1255" s="35" t="str">
        <f aca="false">IF($G1255="","-",IFERROR(INDEX(Einstellungen!$H$5:$H$11,MATCH($G1255,Einstellungen!$E$5:$E$11,0)),"-"))</f>
        <v>-</v>
      </c>
      <c r="J1255" s="35" t="str">
        <f aca="false">IF(AND(Einstellungen!$B$8="Ja",Einstellungen!$B$9="Effektiv"),$I1255,"-")</f>
        <v>-</v>
      </c>
      <c r="K1255" s="31" t="n">
        <f aca="false">IF(OR($F1255="",$J1255="-"),0,ROUND($F1255-$F1255/(1+$H1255),2))</f>
        <v>0</v>
      </c>
      <c r="L1255" s="31" t="n">
        <f aca="false">IF($F1255="",0,$F1255-$K1255)</f>
        <v>0</v>
      </c>
      <c r="M1255" s="31" t="n">
        <f aca="false">IF($F1255="",0,IF($J1255="V",$L1255,$F1255))</f>
        <v>0</v>
      </c>
      <c r="N1255" s="31" t="n">
        <f aca="false">IF($F1255="",0,IF($J1255="U",$L1255,$F1255))</f>
        <v>0</v>
      </c>
      <c r="O1255" s="35" t="str">
        <f aca="false">IF($A1255="","",MONTH($A1255))</f>
        <v/>
      </c>
      <c r="P1255" s="35" t="str">
        <f aca="false">IF($A1255="","",ROUNDUP(MONTH($A1255)/3,0))</f>
        <v/>
      </c>
      <c r="Q1255" s="35" t="str">
        <f aca="false">IF($A1255="","",IF(MONTH($A1255)&lt;=6,1,2))</f>
        <v/>
      </c>
      <c r="R1255" s="35" t="str">
        <f aca="false">IF($E1255="","",IFERROR(INDEX(Kontenplan!$F$5:$F$90,MATCH($E1255,Kontenplan!$A$5:$A$90,0)),""))</f>
        <v/>
      </c>
      <c r="S1255" s="35" t="str">
        <f aca="false">IF($D1255="","",IFERROR(INDEX(Kontenplan!$F$5:$F$90,MATCH($D1255,Kontenplan!$A$5:$A$90,0)),""))</f>
        <v/>
      </c>
      <c r="T1255" s="35" t="str">
        <f aca="false">IF($D1255="","",IFERROR(INDEX(Kontenplan!$C$5:$C$90,MATCH($D1255,Kontenplan!$A$5:$A$90,0)),"?"))</f>
        <v/>
      </c>
      <c r="U1255" s="35" t="str">
        <f aca="false">IF($E1255="","",IFERROR(INDEX(Kontenplan!$C$5:$C$90,MATCH($E1255,Kontenplan!$A$5:$A$90,0)),"?"))</f>
        <v/>
      </c>
      <c r="V1255" s="35" t="str">
        <f aca="false">IF($F1255="","",IF(OR($D1255="",$E1255="",$T1255="?",$U1255="?"),"Konto prüfen!",IF($A1255="","Datum fehlt",IF(YEAR($A1255)&lt;&gt;Einstellungen!$B$7,"anderes Jahr!",IF($G1255="","MWST-Code fehlt","OK")))))</f>
        <v/>
      </c>
      <c r="W1255" s="35" t="str">
        <f aca="false">IF($F1255="","",IF(OR($D1255=Kontoauszug!$C$4,$E1255=Kontoauszug!$C$4),MAX(W$4:W1254)+1,""))</f>
        <v/>
      </c>
    </row>
    <row r="1256" customFormat="false" ht="15" hidden="false" customHeight="false" outlineLevel="0" collapsed="false">
      <c r="A1256" s="33"/>
      <c r="B1256" s="32"/>
      <c r="C1256" s="32"/>
      <c r="D1256" s="32"/>
      <c r="E1256" s="32"/>
      <c r="F1256" s="30"/>
      <c r="G1256" s="32"/>
      <c r="H1256" s="34" t="n">
        <f aca="false">IF($G1256="",0,IFERROR(INDEX(Einstellungen!$G$5:$G$11,MATCH($G1256,Einstellungen!$E$5:$E$11,0)),0))</f>
        <v>0</v>
      </c>
      <c r="I1256" s="35" t="str">
        <f aca="false">IF($G1256="","-",IFERROR(INDEX(Einstellungen!$H$5:$H$11,MATCH($G1256,Einstellungen!$E$5:$E$11,0)),"-"))</f>
        <v>-</v>
      </c>
      <c r="J1256" s="35" t="str">
        <f aca="false">IF(AND(Einstellungen!$B$8="Ja",Einstellungen!$B$9="Effektiv"),$I1256,"-")</f>
        <v>-</v>
      </c>
      <c r="K1256" s="31" t="n">
        <f aca="false">IF(OR($F1256="",$J1256="-"),0,ROUND($F1256-$F1256/(1+$H1256),2))</f>
        <v>0</v>
      </c>
      <c r="L1256" s="31" t="n">
        <f aca="false">IF($F1256="",0,$F1256-$K1256)</f>
        <v>0</v>
      </c>
      <c r="M1256" s="31" t="n">
        <f aca="false">IF($F1256="",0,IF($J1256="V",$L1256,$F1256))</f>
        <v>0</v>
      </c>
      <c r="N1256" s="31" t="n">
        <f aca="false">IF($F1256="",0,IF($J1256="U",$L1256,$F1256))</f>
        <v>0</v>
      </c>
      <c r="O1256" s="35" t="str">
        <f aca="false">IF($A1256="","",MONTH($A1256))</f>
        <v/>
      </c>
      <c r="P1256" s="35" t="str">
        <f aca="false">IF($A1256="","",ROUNDUP(MONTH($A1256)/3,0))</f>
        <v/>
      </c>
      <c r="Q1256" s="35" t="str">
        <f aca="false">IF($A1256="","",IF(MONTH($A1256)&lt;=6,1,2))</f>
        <v/>
      </c>
      <c r="R1256" s="35" t="str">
        <f aca="false">IF($E1256="","",IFERROR(INDEX(Kontenplan!$F$5:$F$90,MATCH($E1256,Kontenplan!$A$5:$A$90,0)),""))</f>
        <v/>
      </c>
      <c r="S1256" s="35" t="str">
        <f aca="false">IF($D1256="","",IFERROR(INDEX(Kontenplan!$F$5:$F$90,MATCH($D1256,Kontenplan!$A$5:$A$90,0)),""))</f>
        <v/>
      </c>
      <c r="T1256" s="35" t="str">
        <f aca="false">IF($D1256="","",IFERROR(INDEX(Kontenplan!$C$5:$C$90,MATCH($D1256,Kontenplan!$A$5:$A$90,0)),"?"))</f>
        <v/>
      </c>
      <c r="U1256" s="35" t="str">
        <f aca="false">IF($E1256="","",IFERROR(INDEX(Kontenplan!$C$5:$C$90,MATCH($E1256,Kontenplan!$A$5:$A$90,0)),"?"))</f>
        <v/>
      </c>
      <c r="V1256" s="35" t="str">
        <f aca="false">IF($F1256="","",IF(OR($D1256="",$E1256="",$T1256="?",$U1256="?"),"Konto prüfen!",IF($A1256="","Datum fehlt",IF(YEAR($A1256)&lt;&gt;Einstellungen!$B$7,"anderes Jahr!",IF($G1256="","MWST-Code fehlt","OK")))))</f>
        <v/>
      </c>
      <c r="W1256" s="35" t="str">
        <f aca="false">IF($F1256="","",IF(OR($D1256=Kontoauszug!$C$4,$E1256=Kontoauszug!$C$4),MAX(W$4:W1255)+1,""))</f>
        <v/>
      </c>
    </row>
    <row r="1257" customFormat="false" ht="15" hidden="false" customHeight="false" outlineLevel="0" collapsed="false">
      <c r="A1257" s="33"/>
      <c r="B1257" s="32"/>
      <c r="C1257" s="32"/>
      <c r="D1257" s="32"/>
      <c r="E1257" s="32"/>
      <c r="F1257" s="30"/>
      <c r="G1257" s="32"/>
      <c r="H1257" s="34" t="n">
        <f aca="false">IF($G1257="",0,IFERROR(INDEX(Einstellungen!$G$5:$G$11,MATCH($G1257,Einstellungen!$E$5:$E$11,0)),0))</f>
        <v>0</v>
      </c>
      <c r="I1257" s="35" t="str">
        <f aca="false">IF($G1257="","-",IFERROR(INDEX(Einstellungen!$H$5:$H$11,MATCH($G1257,Einstellungen!$E$5:$E$11,0)),"-"))</f>
        <v>-</v>
      </c>
      <c r="J1257" s="35" t="str">
        <f aca="false">IF(AND(Einstellungen!$B$8="Ja",Einstellungen!$B$9="Effektiv"),$I1257,"-")</f>
        <v>-</v>
      </c>
      <c r="K1257" s="31" t="n">
        <f aca="false">IF(OR($F1257="",$J1257="-"),0,ROUND($F1257-$F1257/(1+$H1257),2))</f>
        <v>0</v>
      </c>
      <c r="L1257" s="31" t="n">
        <f aca="false">IF($F1257="",0,$F1257-$K1257)</f>
        <v>0</v>
      </c>
      <c r="M1257" s="31" t="n">
        <f aca="false">IF($F1257="",0,IF($J1257="V",$L1257,$F1257))</f>
        <v>0</v>
      </c>
      <c r="N1257" s="31" t="n">
        <f aca="false">IF($F1257="",0,IF($J1257="U",$L1257,$F1257))</f>
        <v>0</v>
      </c>
      <c r="O1257" s="35" t="str">
        <f aca="false">IF($A1257="","",MONTH($A1257))</f>
        <v/>
      </c>
      <c r="P1257" s="35" t="str">
        <f aca="false">IF($A1257="","",ROUNDUP(MONTH($A1257)/3,0))</f>
        <v/>
      </c>
      <c r="Q1257" s="35" t="str">
        <f aca="false">IF($A1257="","",IF(MONTH($A1257)&lt;=6,1,2))</f>
        <v/>
      </c>
      <c r="R1257" s="35" t="str">
        <f aca="false">IF($E1257="","",IFERROR(INDEX(Kontenplan!$F$5:$F$90,MATCH($E1257,Kontenplan!$A$5:$A$90,0)),""))</f>
        <v/>
      </c>
      <c r="S1257" s="35" t="str">
        <f aca="false">IF($D1257="","",IFERROR(INDEX(Kontenplan!$F$5:$F$90,MATCH($D1257,Kontenplan!$A$5:$A$90,0)),""))</f>
        <v/>
      </c>
      <c r="T1257" s="35" t="str">
        <f aca="false">IF($D1257="","",IFERROR(INDEX(Kontenplan!$C$5:$C$90,MATCH($D1257,Kontenplan!$A$5:$A$90,0)),"?"))</f>
        <v/>
      </c>
      <c r="U1257" s="35" t="str">
        <f aca="false">IF($E1257="","",IFERROR(INDEX(Kontenplan!$C$5:$C$90,MATCH($E1257,Kontenplan!$A$5:$A$90,0)),"?"))</f>
        <v/>
      </c>
      <c r="V1257" s="35" t="str">
        <f aca="false">IF($F1257="","",IF(OR($D1257="",$E1257="",$T1257="?",$U1257="?"),"Konto prüfen!",IF($A1257="","Datum fehlt",IF(YEAR($A1257)&lt;&gt;Einstellungen!$B$7,"anderes Jahr!",IF($G1257="","MWST-Code fehlt","OK")))))</f>
        <v/>
      </c>
      <c r="W1257" s="35" t="str">
        <f aca="false">IF($F1257="","",IF(OR($D1257=Kontoauszug!$C$4,$E1257=Kontoauszug!$C$4),MAX(W$4:W1256)+1,""))</f>
        <v/>
      </c>
    </row>
    <row r="1258" customFormat="false" ht="15" hidden="false" customHeight="false" outlineLevel="0" collapsed="false">
      <c r="A1258" s="33"/>
      <c r="B1258" s="32"/>
      <c r="C1258" s="32"/>
      <c r="D1258" s="32"/>
      <c r="E1258" s="32"/>
      <c r="F1258" s="30"/>
      <c r="G1258" s="32"/>
      <c r="H1258" s="34" t="n">
        <f aca="false">IF($G1258="",0,IFERROR(INDEX(Einstellungen!$G$5:$G$11,MATCH($G1258,Einstellungen!$E$5:$E$11,0)),0))</f>
        <v>0</v>
      </c>
      <c r="I1258" s="35" t="str">
        <f aca="false">IF($G1258="","-",IFERROR(INDEX(Einstellungen!$H$5:$H$11,MATCH($G1258,Einstellungen!$E$5:$E$11,0)),"-"))</f>
        <v>-</v>
      </c>
      <c r="J1258" s="35" t="str">
        <f aca="false">IF(AND(Einstellungen!$B$8="Ja",Einstellungen!$B$9="Effektiv"),$I1258,"-")</f>
        <v>-</v>
      </c>
      <c r="K1258" s="31" t="n">
        <f aca="false">IF(OR($F1258="",$J1258="-"),0,ROUND($F1258-$F1258/(1+$H1258),2))</f>
        <v>0</v>
      </c>
      <c r="L1258" s="31" t="n">
        <f aca="false">IF($F1258="",0,$F1258-$K1258)</f>
        <v>0</v>
      </c>
      <c r="M1258" s="31" t="n">
        <f aca="false">IF($F1258="",0,IF($J1258="V",$L1258,$F1258))</f>
        <v>0</v>
      </c>
      <c r="N1258" s="31" t="n">
        <f aca="false">IF($F1258="",0,IF($J1258="U",$L1258,$F1258))</f>
        <v>0</v>
      </c>
      <c r="O1258" s="35" t="str">
        <f aca="false">IF($A1258="","",MONTH($A1258))</f>
        <v/>
      </c>
      <c r="P1258" s="35" t="str">
        <f aca="false">IF($A1258="","",ROUNDUP(MONTH($A1258)/3,0))</f>
        <v/>
      </c>
      <c r="Q1258" s="35" t="str">
        <f aca="false">IF($A1258="","",IF(MONTH($A1258)&lt;=6,1,2))</f>
        <v/>
      </c>
      <c r="R1258" s="35" t="str">
        <f aca="false">IF($E1258="","",IFERROR(INDEX(Kontenplan!$F$5:$F$90,MATCH($E1258,Kontenplan!$A$5:$A$90,0)),""))</f>
        <v/>
      </c>
      <c r="S1258" s="35" t="str">
        <f aca="false">IF($D1258="","",IFERROR(INDEX(Kontenplan!$F$5:$F$90,MATCH($D1258,Kontenplan!$A$5:$A$90,0)),""))</f>
        <v/>
      </c>
      <c r="T1258" s="35" t="str">
        <f aca="false">IF($D1258="","",IFERROR(INDEX(Kontenplan!$C$5:$C$90,MATCH($D1258,Kontenplan!$A$5:$A$90,0)),"?"))</f>
        <v/>
      </c>
      <c r="U1258" s="35" t="str">
        <f aca="false">IF($E1258="","",IFERROR(INDEX(Kontenplan!$C$5:$C$90,MATCH($E1258,Kontenplan!$A$5:$A$90,0)),"?"))</f>
        <v/>
      </c>
      <c r="V1258" s="35" t="str">
        <f aca="false">IF($F1258="","",IF(OR($D1258="",$E1258="",$T1258="?",$U1258="?"),"Konto prüfen!",IF($A1258="","Datum fehlt",IF(YEAR($A1258)&lt;&gt;Einstellungen!$B$7,"anderes Jahr!",IF($G1258="","MWST-Code fehlt","OK")))))</f>
        <v/>
      </c>
      <c r="W1258" s="35" t="str">
        <f aca="false">IF($F1258="","",IF(OR($D1258=Kontoauszug!$C$4,$E1258=Kontoauszug!$C$4),MAX(W$4:W1257)+1,""))</f>
        <v/>
      </c>
    </row>
    <row r="1259" customFormat="false" ht="15" hidden="false" customHeight="false" outlineLevel="0" collapsed="false">
      <c r="A1259" s="33"/>
      <c r="B1259" s="32"/>
      <c r="C1259" s="32"/>
      <c r="D1259" s="32"/>
      <c r="E1259" s="32"/>
      <c r="F1259" s="30"/>
      <c r="G1259" s="32"/>
      <c r="H1259" s="34" t="n">
        <f aca="false">IF($G1259="",0,IFERROR(INDEX(Einstellungen!$G$5:$G$11,MATCH($G1259,Einstellungen!$E$5:$E$11,0)),0))</f>
        <v>0</v>
      </c>
      <c r="I1259" s="35" t="str">
        <f aca="false">IF($G1259="","-",IFERROR(INDEX(Einstellungen!$H$5:$H$11,MATCH($G1259,Einstellungen!$E$5:$E$11,0)),"-"))</f>
        <v>-</v>
      </c>
      <c r="J1259" s="35" t="str">
        <f aca="false">IF(AND(Einstellungen!$B$8="Ja",Einstellungen!$B$9="Effektiv"),$I1259,"-")</f>
        <v>-</v>
      </c>
      <c r="K1259" s="31" t="n">
        <f aca="false">IF(OR($F1259="",$J1259="-"),0,ROUND($F1259-$F1259/(1+$H1259),2))</f>
        <v>0</v>
      </c>
      <c r="L1259" s="31" t="n">
        <f aca="false">IF($F1259="",0,$F1259-$K1259)</f>
        <v>0</v>
      </c>
      <c r="M1259" s="31" t="n">
        <f aca="false">IF($F1259="",0,IF($J1259="V",$L1259,$F1259))</f>
        <v>0</v>
      </c>
      <c r="N1259" s="31" t="n">
        <f aca="false">IF($F1259="",0,IF($J1259="U",$L1259,$F1259))</f>
        <v>0</v>
      </c>
      <c r="O1259" s="35" t="str">
        <f aca="false">IF($A1259="","",MONTH($A1259))</f>
        <v/>
      </c>
      <c r="P1259" s="35" t="str">
        <f aca="false">IF($A1259="","",ROUNDUP(MONTH($A1259)/3,0))</f>
        <v/>
      </c>
      <c r="Q1259" s="35" t="str">
        <f aca="false">IF($A1259="","",IF(MONTH($A1259)&lt;=6,1,2))</f>
        <v/>
      </c>
      <c r="R1259" s="35" t="str">
        <f aca="false">IF($E1259="","",IFERROR(INDEX(Kontenplan!$F$5:$F$90,MATCH($E1259,Kontenplan!$A$5:$A$90,0)),""))</f>
        <v/>
      </c>
      <c r="S1259" s="35" t="str">
        <f aca="false">IF($D1259="","",IFERROR(INDEX(Kontenplan!$F$5:$F$90,MATCH($D1259,Kontenplan!$A$5:$A$90,0)),""))</f>
        <v/>
      </c>
      <c r="T1259" s="35" t="str">
        <f aca="false">IF($D1259="","",IFERROR(INDEX(Kontenplan!$C$5:$C$90,MATCH($D1259,Kontenplan!$A$5:$A$90,0)),"?"))</f>
        <v/>
      </c>
      <c r="U1259" s="35" t="str">
        <f aca="false">IF($E1259="","",IFERROR(INDEX(Kontenplan!$C$5:$C$90,MATCH($E1259,Kontenplan!$A$5:$A$90,0)),"?"))</f>
        <v/>
      </c>
      <c r="V1259" s="35" t="str">
        <f aca="false">IF($F1259="","",IF(OR($D1259="",$E1259="",$T1259="?",$U1259="?"),"Konto prüfen!",IF($A1259="","Datum fehlt",IF(YEAR($A1259)&lt;&gt;Einstellungen!$B$7,"anderes Jahr!",IF($G1259="","MWST-Code fehlt","OK")))))</f>
        <v/>
      </c>
      <c r="W1259" s="35" t="str">
        <f aca="false">IF($F1259="","",IF(OR($D1259=Kontoauszug!$C$4,$E1259=Kontoauszug!$C$4),MAX(W$4:W1258)+1,""))</f>
        <v/>
      </c>
    </row>
    <row r="1260" customFormat="false" ht="15" hidden="false" customHeight="false" outlineLevel="0" collapsed="false">
      <c r="A1260" s="33"/>
      <c r="B1260" s="32"/>
      <c r="C1260" s="32"/>
      <c r="D1260" s="32"/>
      <c r="E1260" s="32"/>
      <c r="F1260" s="30"/>
      <c r="G1260" s="32"/>
      <c r="H1260" s="34" t="n">
        <f aca="false">IF($G1260="",0,IFERROR(INDEX(Einstellungen!$G$5:$G$11,MATCH($G1260,Einstellungen!$E$5:$E$11,0)),0))</f>
        <v>0</v>
      </c>
      <c r="I1260" s="35" t="str">
        <f aca="false">IF($G1260="","-",IFERROR(INDEX(Einstellungen!$H$5:$H$11,MATCH($G1260,Einstellungen!$E$5:$E$11,0)),"-"))</f>
        <v>-</v>
      </c>
      <c r="J1260" s="35" t="str">
        <f aca="false">IF(AND(Einstellungen!$B$8="Ja",Einstellungen!$B$9="Effektiv"),$I1260,"-")</f>
        <v>-</v>
      </c>
      <c r="K1260" s="31" t="n">
        <f aca="false">IF(OR($F1260="",$J1260="-"),0,ROUND($F1260-$F1260/(1+$H1260),2))</f>
        <v>0</v>
      </c>
      <c r="L1260" s="31" t="n">
        <f aca="false">IF($F1260="",0,$F1260-$K1260)</f>
        <v>0</v>
      </c>
      <c r="M1260" s="31" t="n">
        <f aca="false">IF($F1260="",0,IF($J1260="V",$L1260,$F1260))</f>
        <v>0</v>
      </c>
      <c r="N1260" s="31" t="n">
        <f aca="false">IF($F1260="",0,IF($J1260="U",$L1260,$F1260))</f>
        <v>0</v>
      </c>
      <c r="O1260" s="35" t="str">
        <f aca="false">IF($A1260="","",MONTH($A1260))</f>
        <v/>
      </c>
      <c r="P1260" s="35" t="str">
        <f aca="false">IF($A1260="","",ROUNDUP(MONTH($A1260)/3,0))</f>
        <v/>
      </c>
      <c r="Q1260" s="35" t="str">
        <f aca="false">IF($A1260="","",IF(MONTH($A1260)&lt;=6,1,2))</f>
        <v/>
      </c>
      <c r="R1260" s="35" t="str">
        <f aca="false">IF($E1260="","",IFERROR(INDEX(Kontenplan!$F$5:$F$90,MATCH($E1260,Kontenplan!$A$5:$A$90,0)),""))</f>
        <v/>
      </c>
      <c r="S1260" s="35" t="str">
        <f aca="false">IF($D1260="","",IFERROR(INDEX(Kontenplan!$F$5:$F$90,MATCH($D1260,Kontenplan!$A$5:$A$90,0)),""))</f>
        <v/>
      </c>
      <c r="T1260" s="35" t="str">
        <f aca="false">IF($D1260="","",IFERROR(INDEX(Kontenplan!$C$5:$C$90,MATCH($D1260,Kontenplan!$A$5:$A$90,0)),"?"))</f>
        <v/>
      </c>
      <c r="U1260" s="35" t="str">
        <f aca="false">IF($E1260="","",IFERROR(INDEX(Kontenplan!$C$5:$C$90,MATCH($E1260,Kontenplan!$A$5:$A$90,0)),"?"))</f>
        <v/>
      </c>
      <c r="V1260" s="35" t="str">
        <f aca="false">IF($F1260="","",IF(OR($D1260="",$E1260="",$T1260="?",$U1260="?"),"Konto prüfen!",IF($A1260="","Datum fehlt",IF(YEAR($A1260)&lt;&gt;Einstellungen!$B$7,"anderes Jahr!",IF($G1260="","MWST-Code fehlt","OK")))))</f>
        <v/>
      </c>
      <c r="W1260" s="35" t="str">
        <f aca="false">IF($F1260="","",IF(OR($D1260=Kontoauszug!$C$4,$E1260=Kontoauszug!$C$4),MAX(W$4:W1259)+1,""))</f>
        <v/>
      </c>
    </row>
    <row r="1261" customFormat="false" ht="15" hidden="false" customHeight="false" outlineLevel="0" collapsed="false">
      <c r="A1261" s="33"/>
      <c r="B1261" s="32"/>
      <c r="C1261" s="32"/>
      <c r="D1261" s="32"/>
      <c r="E1261" s="32"/>
      <c r="F1261" s="30"/>
      <c r="G1261" s="32"/>
      <c r="H1261" s="34" t="n">
        <f aca="false">IF($G1261="",0,IFERROR(INDEX(Einstellungen!$G$5:$G$11,MATCH($G1261,Einstellungen!$E$5:$E$11,0)),0))</f>
        <v>0</v>
      </c>
      <c r="I1261" s="35" t="str">
        <f aca="false">IF($G1261="","-",IFERROR(INDEX(Einstellungen!$H$5:$H$11,MATCH($G1261,Einstellungen!$E$5:$E$11,0)),"-"))</f>
        <v>-</v>
      </c>
      <c r="J1261" s="35" t="str">
        <f aca="false">IF(AND(Einstellungen!$B$8="Ja",Einstellungen!$B$9="Effektiv"),$I1261,"-")</f>
        <v>-</v>
      </c>
      <c r="K1261" s="31" t="n">
        <f aca="false">IF(OR($F1261="",$J1261="-"),0,ROUND($F1261-$F1261/(1+$H1261),2))</f>
        <v>0</v>
      </c>
      <c r="L1261" s="31" t="n">
        <f aca="false">IF($F1261="",0,$F1261-$K1261)</f>
        <v>0</v>
      </c>
      <c r="M1261" s="31" t="n">
        <f aca="false">IF($F1261="",0,IF($J1261="V",$L1261,$F1261))</f>
        <v>0</v>
      </c>
      <c r="N1261" s="31" t="n">
        <f aca="false">IF($F1261="",0,IF($J1261="U",$L1261,$F1261))</f>
        <v>0</v>
      </c>
      <c r="O1261" s="35" t="str">
        <f aca="false">IF($A1261="","",MONTH($A1261))</f>
        <v/>
      </c>
      <c r="P1261" s="35" t="str">
        <f aca="false">IF($A1261="","",ROUNDUP(MONTH($A1261)/3,0))</f>
        <v/>
      </c>
      <c r="Q1261" s="35" t="str">
        <f aca="false">IF($A1261="","",IF(MONTH($A1261)&lt;=6,1,2))</f>
        <v/>
      </c>
      <c r="R1261" s="35" t="str">
        <f aca="false">IF($E1261="","",IFERROR(INDEX(Kontenplan!$F$5:$F$90,MATCH($E1261,Kontenplan!$A$5:$A$90,0)),""))</f>
        <v/>
      </c>
      <c r="S1261" s="35" t="str">
        <f aca="false">IF($D1261="","",IFERROR(INDEX(Kontenplan!$F$5:$F$90,MATCH($D1261,Kontenplan!$A$5:$A$90,0)),""))</f>
        <v/>
      </c>
      <c r="T1261" s="35" t="str">
        <f aca="false">IF($D1261="","",IFERROR(INDEX(Kontenplan!$C$5:$C$90,MATCH($D1261,Kontenplan!$A$5:$A$90,0)),"?"))</f>
        <v/>
      </c>
      <c r="U1261" s="35" t="str">
        <f aca="false">IF($E1261="","",IFERROR(INDEX(Kontenplan!$C$5:$C$90,MATCH($E1261,Kontenplan!$A$5:$A$90,0)),"?"))</f>
        <v/>
      </c>
      <c r="V1261" s="35" t="str">
        <f aca="false">IF($F1261="","",IF(OR($D1261="",$E1261="",$T1261="?",$U1261="?"),"Konto prüfen!",IF($A1261="","Datum fehlt",IF(YEAR($A1261)&lt;&gt;Einstellungen!$B$7,"anderes Jahr!",IF($G1261="","MWST-Code fehlt","OK")))))</f>
        <v/>
      </c>
      <c r="W1261" s="35" t="str">
        <f aca="false">IF($F1261="","",IF(OR($D1261=Kontoauszug!$C$4,$E1261=Kontoauszug!$C$4),MAX(W$4:W1260)+1,""))</f>
        <v/>
      </c>
    </row>
    <row r="1262" customFormat="false" ht="15" hidden="false" customHeight="false" outlineLevel="0" collapsed="false">
      <c r="A1262" s="33"/>
      <c r="B1262" s="32"/>
      <c r="C1262" s="32"/>
      <c r="D1262" s="32"/>
      <c r="E1262" s="32"/>
      <c r="F1262" s="30"/>
      <c r="G1262" s="32"/>
      <c r="H1262" s="34" t="n">
        <f aca="false">IF($G1262="",0,IFERROR(INDEX(Einstellungen!$G$5:$G$11,MATCH($G1262,Einstellungen!$E$5:$E$11,0)),0))</f>
        <v>0</v>
      </c>
      <c r="I1262" s="35" t="str">
        <f aca="false">IF($G1262="","-",IFERROR(INDEX(Einstellungen!$H$5:$H$11,MATCH($G1262,Einstellungen!$E$5:$E$11,0)),"-"))</f>
        <v>-</v>
      </c>
      <c r="J1262" s="35" t="str">
        <f aca="false">IF(AND(Einstellungen!$B$8="Ja",Einstellungen!$B$9="Effektiv"),$I1262,"-")</f>
        <v>-</v>
      </c>
      <c r="K1262" s="31" t="n">
        <f aca="false">IF(OR($F1262="",$J1262="-"),0,ROUND($F1262-$F1262/(1+$H1262),2))</f>
        <v>0</v>
      </c>
      <c r="L1262" s="31" t="n">
        <f aca="false">IF($F1262="",0,$F1262-$K1262)</f>
        <v>0</v>
      </c>
      <c r="M1262" s="31" t="n">
        <f aca="false">IF($F1262="",0,IF($J1262="V",$L1262,$F1262))</f>
        <v>0</v>
      </c>
      <c r="N1262" s="31" t="n">
        <f aca="false">IF($F1262="",0,IF($J1262="U",$L1262,$F1262))</f>
        <v>0</v>
      </c>
      <c r="O1262" s="35" t="str">
        <f aca="false">IF($A1262="","",MONTH($A1262))</f>
        <v/>
      </c>
      <c r="P1262" s="35" t="str">
        <f aca="false">IF($A1262="","",ROUNDUP(MONTH($A1262)/3,0))</f>
        <v/>
      </c>
      <c r="Q1262" s="35" t="str">
        <f aca="false">IF($A1262="","",IF(MONTH($A1262)&lt;=6,1,2))</f>
        <v/>
      </c>
      <c r="R1262" s="35" t="str">
        <f aca="false">IF($E1262="","",IFERROR(INDEX(Kontenplan!$F$5:$F$90,MATCH($E1262,Kontenplan!$A$5:$A$90,0)),""))</f>
        <v/>
      </c>
      <c r="S1262" s="35" t="str">
        <f aca="false">IF($D1262="","",IFERROR(INDEX(Kontenplan!$F$5:$F$90,MATCH($D1262,Kontenplan!$A$5:$A$90,0)),""))</f>
        <v/>
      </c>
      <c r="T1262" s="35" t="str">
        <f aca="false">IF($D1262="","",IFERROR(INDEX(Kontenplan!$C$5:$C$90,MATCH($D1262,Kontenplan!$A$5:$A$90,0)),"?"))</f>
        <v/>
      </c>
      <c r="U1262" s="35" t="str">
        <f aca="false">IF($E1262="","",IFERROR(INDEX(Kontenplan!$C$5:$C$90,MATCH($E1262,Kontenplan!$A$5:$A$90,0)),"?"))</f>
        <v/>
      </c>
      <c r="V1262" s="35" t="str">
        <f aca="false">IF($F1262="","",IF(OR($D1262="",$E1262="",$T1262="?",$U1262="?"),"Konto prüfen!",IF($A1262="","Datum fehlt",IF(YEAR($A1262)&lt;&gt;Einstellungen!$B$7,"anderes Jahr!",IF($G1262="","MWST-Code fehlt","OK")))))</f>
        <v/>
      </c>
      <c r="W1262" s="35" t="str">
        <f aca="false">IF($F1262="","",IF(OR($D1262=Kontoauszug!$C$4,$E1262=Kontoauszug!$C$4),MAX(W$4:W1261)+1,""))</f>
        <v/>
      </c>
    </row>
    <row r="1263" customFormat="false" ht="15" hidden="false" customHeight="false" outlineLevel="0" collapsed="false">
      <c r="A1263" s="33"/>
      <c r="B1263" s="32"/>
      <c r="C1263" s="32"/>
      <c r="D1263" s="32"/>
      <c r="E1263" s="32"/>
      <c r="F1263" s="30"/>
      <c r="G1263" s="32"/>
      <c r="H1263" s="34" t="n">
        <f aca="false">IF($G1263="",0,IFERROR(INDEX(Einstellungen!$G$5:$G$11,MATCH($G1263,Einstellungen!$E$5:$E$11,0)),0))</f>
        <v>0</v>
      </c>
      <c r="I1263" s="35" t="str">
        <f aca="false">IF($G1263="","-",IFERROR(INDEX(Einstellungen!$H$5:$H$11,MATCH($G1263,Einstellungen!$E$5:$E$11,0)),"-"))</f>
        <v>-</v>
      </c>
      <c r="J1263" s="35" t="str">
        <f aca="false">IF(AND(Einstellungen!$B$8="Ja",Einstellungen!$B$9="Effektiv"),$I1263,"-")</f>
        <v>-</v>
      </c>
      <c r="K1263" s="31" t="n">
        <f aca="false">IF(OR($F1263="",$J1263="-"),0,ROUND($F1263-$F1263/(1+$H1263),2))</f>
        <v>0</v>
      </c>
      <c r="L1263" s="31" t="n">
        <f aca="false">IF($F1263="",0,$F1263-$K1263)</f>
        <v>0</v>
      </c>
      <c r="M1263" s="31" t="n">
        <f aca="false">IF($F1263="",0,IF($J1263="V",$L1263,$F1263))</f>
        <v>0</v>
      </c>
      <c r="N1263" s="31" t="n">
        <f aca="false">IF($F1263="",0,IF($J1263="U",$L1263,$F1263))</f>
        <v>0</v>
      </c>
      <c r="O1263" s="35" t="str">
        <f aca="false">IF($A1263="","",MONTH($A1263))</f>
        <v/>
      </c>
      <c r="P1263" s="35" t="str">
        <f aca="false">IF($A1263="","",ROUNDUP(MONTH($A1263)/3,0))</f>
        <v/>
      </c>
      <c r="Q1263" s="35" t="str">
        <f aca="false">IF($A1263="","",IF(MONTH($A1263)&lt;=6,1,2))</f>
        <v/>
      </c>
      <c r="R1263" s="35" t="str">
        <f aca="false">IF($E1263="","",IFERROR(INDEX(Kontenplan!$F$5:$F$90,MATCH($E1263,Kontenplan!$A$5:$A$90,0)),""))</f>
        <v/>
      </c>
      <c r="S1263" s="35" t="str">
        <f aca="false">IF($D1263="","",IFERROR(INDEX(Kontenplan!$F$5:$F$90,MATCH($D1263,Kontenplan!$A$5:$A$90,0)),""))</f>
        <v/>
      </c>
      <c r="T1263" s="35" t="str">
        <f aca="false">IF($D1263="","",IFERROR(INDEX(Kontenplan!$C$5:$C$90,MATCH($D1263,Kontenplan!$A$5:$A$90,0)),"?"))</f>
        <v/>
      </c>
      <c r="U1263" s="35" t="str">
        <f aca="false">IF($E1263="","",IFERROR(INDEX(Kontenplan!$C$5:$C$90,MATCH($E1263,Kontenplan!$A$5:$A$90,0)),"?"))</f>
        <v/>
      </c>
      <c r="V1263" s="35" t="str">
        <f aca="false">IF($F1263="","",IF(OR($D1263="",$E1263="",$T1263="?",$U1263="?"),"Konto prüfen!",IF($A1263="","Datum fehlt",IF(YEAR($A1263)&lt;&gt;Einstellungen!$B$7,"anderes Jahr!",IF($G1263="","MWST-Code fehlt","OK")))))</f>
        <v/>
      </c>
      <c r="W1263" s="35" t="str">
        <f aca="false">IF($F1263="","",IF(OR($D1263=Kontoauszug!$C$4,$E1263=Kontoauszug!$C$4),MAX(W$4:W1262)+1,""))</f>
        <v/>
      </c>
    </row>
    <row r="1264" customFormat="false" ht="15" hidden="false" customHeight="false" outlineLevel="0" collapsed="false">
      <c r="A1264" s="33"/>
      <c r="B1264" s="32"/>
      <c r="C1264" s="32"/>
      <c r="D1264" s="32"/>
      <c r="E1264" s="32"/>
      <c r="F1264" s="30"/>
      <c r="G1264" s="32"/>
      <c r="H1264" s="34" t="n">
        <f aca="false">IF($G1264="",0,IFERROR(INDEX(Einstellungen!$G$5:$G$11,MATCH($G1264,Einstellungen!$E$5:$E$11,0)),0))</f>
        <v>0</v>
      </c>
      <c r="I1264" s="35" t="str">
        <f aca="false">IF($G1264="","-",IFERROR(INDEX(Einstellungen!$H$5:$H$11,MATCH($G1264,Einstellungen!$E$5:$E$11,0)),"-"))</f>
        <v>-</v>
      </c>
      <c r="J1264" s="35" t="str">
        <f aca="false">IF(AND(Einstellungen!$B$8="Ja",Einstellungen!$B$9="Effektiv"),$I1264,"-")</f>
        <v>-</v>
      </c>
      <c r="K1264" s="31" t="n">
        <f aca="false">IF(OR($F1264="",$J1264="-"),0,ROUND($F1264-$F1264/(1+$H1264),2))</f>
        <v>0</v>
      </c>
      <c r="L1264" s="31" t="n">
        <f aca="false">IF($F1264="",0,$F1264-$K1264)</f>
        <v>0</v>
      </c>
      <c r="M1264" s="31" t="n">
        <f aca="false">IF($F1264="",0,IF($J1264="V",$L1264,$F1264))</f>
        <v>0</v>
      </c>
      <c r="N1264" s="31" t="n">
        <f aca="false">IF($F1264="",0,IF($J1264="U",$L1264,$F1264))</f>
        <v>0</v>
      </c>
      <c r="O1264" s="35" t="str">
        <f aca="false">IF($A1264="","",MONTH($A1264))</f>
        <v/>
      </c>
      <c r="P1264" s="35" t="str">
        <f aca="false">IF($A1264="","",ROUNDUP(MONTH($A1264)/3,0))</f>
        <v/>
      </c>
      <c r="Q1264" s="35" t="str">
        <f aca="false">IF($A1264="","",IF(MONTH($A1264)&lt;=6,1,2))</f>
        <v/>
      </c>
      <c r="R1264" s="35" t="str">
        <f aca="false">IF($E1264="","",IFERROR(INDEX(Kontenplan!$F$5:$F$90,MATCH($E1264,Kontenplan!$A$5:$A$90,0)),""))</f>
        <v/>
      </c>
      <c r="S1264" s="35" t="str">
        <f aca="false">IF($D1264="","",IFERROR(INDEX(Kontenplan!$F$5:$F$90,MATCH($D1264,Kontenplan!$A$5:$A$90,0)),""))</f>
        <v/>
      </c>
      <c r="T1264" s="35" t="str">
        <f aca="false">IF($D1264="","",IFERROR(INDEX(Kontenplan!$C$5:$C$90,MATCH($D1264,Kontenplan!$A$5:$A$90,0)),"?"))</f>
        <v/>
      </c>
      <c r="U1264" s="35" t="str">
        <f aca="false">IF($E1264="","",IFERROR(INDEX(Kontenplan!$C$5:$C$90,MATCH($E1264,Kontenplan!$A$5:$A$90,0)),"?"))</f>
        <v/>
      </c>
      <c r="V1264" s="35" t="str">
        <f aca="false">IF($F1264="","",IF(OR($D1264="",$E1264="",$T1264="?",$U1264="?"),"Konto prüfen!",IF($A1264="","Datum fehlt",IF(YEAR($A1264)&lt;&gt;Einstellungen!$B$7,"anderes Jahr!",IF($G1264="","MWST-Code fehlt","OK")))))</f>
        <v/>
      </c>
      <c r="W1264" s="35" t="str">
        <f aca="false">IF($F1264="","",IF(OR($D1264=Kontoauszug!$C$4,$E1264=Kontoauszug!$C$4),MAX(W$4:W1263)+1,""))</f>
        <v/>
      </c>
    </row>
    <row r="1265" customFormat="false" ht="15" hidden="false" customHeight="false" outlineLevel="0" collapsed="false">
      <c r="A1265" s="33"/>
      <c r="B1265" s="32"/>
      <c r="C1265" s="32"/>
      <c r="D1265" s="32"/>
      <c r="E1265" s="32"/>
      <c r="F1265" s="30"/>
      <c r="G1265" s="32"/>
      <c r="H1265" s="34" t="n">
        <f aca="false">IF($G1265="",0,IFERROR(INDEX(Einstellungen!$G$5:$G$11,MATCH($G1265,Einstellungen!$E$5:$E$11,0)),0))</f>
        <v>0</v>
      </c>
      <c r="I1265" s="35" t="str">
        <f aca="false">IF($G1265="","-",IFERROR(INDEX(Einstellungen!$H$5:$H$11,MATCH($G1265,Einstellungen!$E$5:$E$11,0)),"-"))</f>
        <v>-</v>
      </c>
      <c r="J1265" s="35" t="str">
        <f aca="false">IF(AND(Einstellungen!$B$8="Ja",Einstellungen!$B$9="Effektiv"),$I1265,"-")</f>
        <v>-</v>
      </c>
      <c r="K1265" s="31" t="n">
        <f aca="false">IF(OR($F1265="",$J1265="-"),0,ROUND($F1265-$F1265/(1+$H1265),2))</f>
        <v>0</v>
      </c>
      <c r="L1265" s="31" t="n">
        <f aca="false">IF($F1265="",0,$F1265-$K1265)</f>
        <v>0</v>
      </c>
      <c r="M1265" s="31" t="n">
        <f aca="false">IF($F1265="",0,IF($J1265="V",$L1265,$F1265))</f>
        <v>0</v>
      </c>
      <c r="N1265" s="31" t="n">
        <f aca="false">IF($F1265="",0,IF($J1265="U",$L1265,$F1265))</f>
        <v>0</v>
      </c>
      <c r="O1265" s="35" t="str">
        <f aca="false">IF($A1265="","",MONTH($A1265))</f>
        <v/>
      </c>
      <c r="P1265" s="35" t="str">
        <f aca="false">IF($A1265="","",ROUNDUP(MONTH($A1265)/3,0))</f>
        <v/>
      </c>
      <c r="Q1265" s="35" t="str">
        <f aca="false">IF($A1265="","",IF(MONTH($A1265)&lt;=6,1,2))</f>
        <v/>
      </c>
      <c r="R1265" s="35" t="str">
        <f aca="false">IF($E1265="","",IFERROR(INDEX(Kontenplan!$F$5:$F$90,MATCH($E1265,Kontenplan!$A$5:$A$90,0)),""))</f>
        <v/>
      </c>
      <c r="S1265" s="35" t="str">
        <f aca="false">IF($D1265="","",IFERROR(INDEX(Kontenplan!$F$5:$F$90,MATCH($D1265,Kontenplan!$A$5:$A$90,0)),""))</f>
        <v/>
      </c>
      <c r="T1265" s="35" t="str">
        <f aca="false">IF($D1265="","",IFERROR(INDEX(Kontenplan!$C$5:$C$90,MATCH($D1265,Kontenplan!$A$5:$A$90,0)),"?"))</f>
        <v/>
      </c>
      <c r="U1265" s="35" t="str">
        <f aca="false">IF($E1265="","",IFERROR(INDEX(Kontenplan!$C$5:$C$90,MATCH($E1265,Kontenplan!$A$5:$A$90,0)),"?"))</f>
        <v/>
      </c>
      <c r="V1265" s="35" t="str">
        <f aca="false">IF($F1265="","",IF(OR($D1265="",$E1265="",$T1265="?",$U1265="?"),"Konto prüfen!",IF($A1265="","Datum fehlt",IF(YEAR($A1265)&lt;&gt;Einstellungen!$B$7,"anderes Jahr!",IF($G1265="","MWST-Code fehlt","OK")))))</f>
        <v/>
      </c>
      <c r="W1265" s="35" t="str">
        <f aca="false">IF($F1265="","",IF(OR($D1265=Kontoauszug!$C$4,$E1265=Kontoauszug!$C$4),MAX(W$4:W1264)+1,""))</f>
        <v/>
      </c>
    </row>
    <row r="1266" customFormat="false" ht="15" hidden="false" customHeight="false" outlineLevel="0" collapsed="false">
      <c r="A1266" s="33"/>
      <c r="B1266" s="32"/>
      <c r="C1266" s="32"/>
      <c r="D1266" s="32"/>
      <c r="E1266" s="32"/>
      <c r="F1266" s="30"/>
      <c r="G1266" s="32"/>
      <c r="H1266" s="34" t="n">
        <f aca="false">IF($G1266="",0,IFERROR(INDEX(Einstellungen!$G$5:$G$11,MATCH($G1266,Einstellungen!$E$5:$E$11,0)),0))</f>
        <v>0</v>
      </c>
      <c r="I1266" s="35" t="str">
        <f aca="false">IF($G1266="","-",IFERROR(INDEX(Einstellungen!$H$5:$H$11,MATCH($G1266,Einstellungen!$E$5:$E$11,0)),"-"))</f>
        <v>-</v>
      </c>
      <c r="J1266" s="35" t="str">
        <f aca="false">IF(AND(Einstellungen!$B$8="Ja",Einstellungen!$B$9="Effektiv"),$I1266,"-")</f>
        <v>-</v>
      </c>
      <c r="K1266" s="31" t="n">
        <f aca="false">IF(OR($F1266="",$J1266="-"),0,ROUND($F1266-$F1266/(1+$H1266),2))</f>
        <v>0</v>
      </c>
      <c r="L1266" s="31" t="n">
        <f aca="false">IF($F1266="",0,$F1266-$K1266)</f>
        <v>0</v>
      </c>
      <c r="M1266" s="31" t="n">
        <f aca="false">IF($F1266="",0,IF($J1266="V",$L1266,$F1266))</f>
        <v>0</v>
      </c>
      <c r="N1266" s="31" t="n">
        <f aca="false">IF($F1266="",0,IF($J1266="U",$L1266,$F1266))</f>
        <v>0</v>
      </c>
      <c r="O1266" s="35" t="str">
        <f aca="false">IF($A1266="","",MONTH($A1266))</f>
        <v/>
      </c>
      <c r="P1266" s="35" t="str">
        <f aca="false">IF($A1266="","",ROUNDUP(MONTH($A1266)/3,0))</f>
        <v/>
      </c>
      <c r="Q1266" s="35" t="str">
        <f aca="false">IF($A1266="","",IF(MONTH($A1266)&lt;=6,1,2))</f>
        <v/>
      </c>
      <c r="R1266" s="35" t="str">
        <f aca="false">IF($E1266="","",IFERROR(INDEX(Kontenplan!$F$5:$F$90,MATCH($E1266,Kontenplan!$A$5:$A$90,0)),""))</f>
        <v/>
      </c>
      <c r="S1266" s="35" t="str">
        <f aca="false">IF($D1266="","",IFERROR(INDEX(Kontenplan!$F$5:$F$90,MATCH($D1266,Kontenplan!$A$5:$A$90,0)),""))</f>
        <v/>
      </c>
      <c r="T1266" s="35" t="str">
        <f aca="false">IF($D1266="","",IFERROR(INDEX(Kontenplan!$C$5:$C$90,MATCH($D1266,Kontenplan!$A$5:$A$90,0)),"?"))</f>
        <v/>
      </c>
      <c r="U1266" s="35" t="str">
        <f aca="false">IF($E1266="","",IFERROR(INDEX(Kontenplan!$C$5:$C$90,MATCH($E1266,Kontenplan!$A$5:$A$90,0)),"?"))</f>
        <v/>
      </c>
      <c r="V1266" s="35" t="str">
        <f aca="false">IF($F1266="","",IF(OR($D1266="",$E1266="",$T1266="?",$U1266="?"),"Konto prüfen!",IF($A1266="","Datum fehlt",IF(YEAR($A1266)&lt;&gt;Einstellungen!$B$7,"anderes Jahr!",IF($G1266="","MWST-Code fehlt","OK")))))</f>
        <v/>
      </c>
      <c r="W1266" s="35" t="str">
        <f aca="false">IF($F1266="","",IF(OR($D1266=Kontoauszug!$C$4,$E1266=Kontoauszug!$C$4),MAX(W$4:W1265)+1,""))</f>
        <v/>
      </c>
    </row>
    <row r="1267" customFormat="false" ht="15" hidden="false" customHeight="false" outlineLevel="0" collapsed="false">
      <c r="A1267" s="33"/>
      <c r="B1267" s="32"/>
      <c r="C1267" s="32"/>
      <c r="D1267" s="32"/>
      <c r="E1267" s="32"/>
      <c r="F1267" s="30"/>
      <c r="G1267" s="32"/>
      <c r="H1267" s="34" t="n">
        <f aca="false">IF($G1267="",0,IFERROR(INDEX(Einstellungen!$G$5:$G$11,MATCH($G1267,Einstellungen!$E$5:$E$11,0)),0))</f>
        <v>0</v>
      </c>
      <c r="I1267" s="35" t="str">
        <f aca="false">IF($G1267="","-",IFERROR(INDEX(Einstellungen!$H$5:$H$11,MATCH($G1267,Einstellungen!$E$5:$E$11,0)),"-"))</f>
        <v>-</v>
      </c>
      <c r="J1267" s="35" t="str">
        <f aca="false">IF(AND(Einstellungen!$B$8="Ja",Einstellungen!$B$9="Effektiv"),$I1267,"-")</f>
        <v>-</v>
      </c>
      <c r="K1267" s="31" t="n">
        <f aca="false">IF(OR($F1267="",$J1267="-"),0,ROUND($F1267-$F1267/(1+$H1267),2))</f>
        <v>0</v>
      </c>
      <c r="L1267" s="31" t="n">
        <f aca="false">IF($F1267="",0,$F1267-$K1267)</f>
        <v>0</v>
      </c>
      <c r="M1267" s="31" t="n">
        <f aca="false">IF($F1267="",0,IF($J1267="V",$L1267,$F1267))</f>
        <v>0</v>
      </c>
      <c r="N1267" s="31" t="n">
        <f aca="false">IF($F1267="",0,IF($J1267="U",$L1267,$F1267))</f>
        <v>0</v>
      </c>
      <c r="O1267" s="35" t="str">
        <f aca="false">IF($A1267="","",MONTH($A1267))</f>
        <v/>
      </c>
      <c r="P1267" s="35" t="str">
        <f aca="false">IF($A1267="","",ROUNDUP(MONTH($A1267)/3,0))</f>
        <v/>
      </c>
      <c r="Q1267" s="35" t="str">
        <f aca="false">IF($A1267="","",IF(MONTH($A1267)&lt;=6,1,2))</f>
        <v/>
      </c>
      <c r="R1267" s="35" t="str">
        <f aca="false">IF($E1267="","",IFERROR(INDEX(Kontenplan!$F$5:$F$90,MATCH($E1267,Kontenplan!$A$5:$A$90,0)),""))</f>
        <v/>
      </c>
      <c r="S1267" s="35" t="str">
        <f aca="false">IF($D1267="","",IFERROR(INDEX(Kontenplan!$F$5:$F$90,MATCH($D1267,Kontenplan!$A$5:$A$90,0)),""))</f>
        <v/>
      </c>
      <c r="T1267" s="35" t="str">
        <f aca="false">IF($D1267="","",IFERROR(INDEX(Kontenplan!$C$5:$C$90,MATCH($D1267,Kontenplan!$A$5:$A$90,0)),"?"))</f>
        <v/>
      </c>
      <c r="U1267" s="35" t="str">
        <f aca="false">IF($E1267="","",IFERROR(INDEX(Kontenplan!$C$5:$C$90,MATCH($E1267,Kontenplan!$A$5:$A$90,0)),"?"))</f>
        <v/>
      </c>
      <c r="V1267" s="35" t="str">
        <f aca="false">IF($F1267="","",IF(OR($D1267="",$E1267="",$T1267="?",$U1267="?"),"Konto prüfen!",IF($A1267="","Datum fehlt",IF(YEAR($A1267)&lt;&gt;Einstellungen!$B$7,"anderes Jahr!",IF($G1267="","MWST-Code fehlt","OK")))))</f>
        <v/>
      </c>
      <c r="W1267" s="35" t="str">
        <f aca="false">IF($F1267="","",IF(OR($D1267=Kontoauszug!$C$4,$E1267=Kontoauszug!$C$4),MAX(W$4:W1266)+1,""))</f>
        <v/>
      </c>
    </row>
    <row r="1268" customFormat="false" ht="15" hidden="false" customHeight="false" outlineLevel="0" collapsed="false">
      <c r="A1268" s="33"/>
      <c r="B1268" s="32"/>
      <c r="C1268" s="32"/>
      <c r="D1268" s="32"/>
      <c r="E1268" s="32"/>
      <c r="F1268" s="30"/>
      <c r="G1268" s="32"/>
      <c r="H1268" s="34" t="n">
        <f aca="false">IF($G1268="",0,IFERROR(INDEX(Einstellungen!$G$5:$G$11,MATCH($G1268,Einstellungen!$E$5:$E$11,0)),0))</f>
        <v>0</v>
      </c>
      <c r="I1268" s="35" t="str">
        <f aca="false">IF($G1268="","-",IFERROR(INDEX(Einstellungen!$H$5:$H$11,MATCH($G1268,Einstellungen!$E$5:$E$11,0)),"-"))</f>
        <v>-</v>
      </c>
      <c r="J1268" s="35" t="str">
        <f aca="false">IF(AND(Einstellungen!$B$8="Ja",Einstellungen!$B$9="Effektiv"),$I1268,"-")</f>
        <v>-</v>
      </c>
      <c r="K1268" s="31" t="n">
        <f aca="false">IF(OR($F1268="",$J1268="-"),0,ROUND($F1268-$F1268/(1+$H1268),2))</f>
        <v>0</v>
      </c>
      <c r="L1268" s="31" t="n">
        <f aca="false">IF($F1268="",0,$F1268-$K1268)</f>
        <v>0</v>
      </c>
      <c r="M1268" s="31" t="n">
        <f aca="false">IF($F1268="",0,IF($J1268="V",$L1268,$F1268))</f>
        <v>0</v>
      </c>
      <c r="N1268" s="31" t="n">
        <f aca="false">IF($F1268="",0,IF($J1268="U",$L1268,$F1268))</f>
        <v>0</v>
      </c>
      <c r="O1268" s="35" t="str">
        <f aca="false">IF($A1268="","",MONTH($A1268))</f>
        <v/>
      </c>
      <c r="P1268" s="35" t="str">
        <f aca="false">IF($A1268="","",ROUNDUP(MONTH($A1268)/3,0))</f>
        <v/>
      </c>
      <c r="Q1268" s="35" t="str">
        <f aca="false">IF($A1268="","",IF(MONTH($A1268)&lt;=6,1,2))</f>
        <v/>
      </c>
      <c r="R1268" s="35" t="str">
        <f aca="false">IF($E1268="","",IFERROR(INDEX(Kontenplan!$F$5:$F$90,MATCH($E1268,Kontenplan!$A$5:$A$90,0)),""))</f>
        <v/>
      </c>
      <c r="S1268" s="35" t="str">
        <f aca="false">IF($D1268="","",IFERROR(INDEX(Kontenplan!$F$5:$F$90,MATCH($D1268,Kontenplan!$A$5:$A$90,0)),""))</f>
        <v/>
      </c>
      <c r="T1268" s="35" t="str">
        <f aca="false">IF($D1268="","",IFERROR(INDEX(Kontenplan!$C$5:$C$90,MATCH($D1268,Kontenplan!$A$5:$A$90,0)),"?"))</f>
        <v/>
      </c>
      <c r="U1268" s="35" t="str">
        <f aca="false">IF($E1268="","",IFERROR(INDEX(Kontenplan!$C$5:$C$90,MATCH($E1268,Kontenplan!$A$5:$A$90,0)),"?"))</f>
        <v/>
      </c>
      <c r="V1268" s="35" t="str">
        <f aca="false">IF($F1268="","",IF(OR($D1268="",$E1268="",$T1268="?",$U1268="?"),"Konto prüfen!",IF($A1268="","Datum fehlt",IF(YEAR($A1268)&lt;&gt;Einstellungen!$B$7,"anderes Jahr!",IF($G1268="","MWST-Code fehlt","OK")))))</f>
        <v/>
      </c>
      <c r="W1268" s="35" t="str">
        <f aca="false">IF($F1268="","",IF(OR($D1268=Kontoauszug!$C$4,$E1268=Kontoauszug!$C$4),MAX(W$4:W1267)+1,""))</f>
        <v/>
      </c>
    </row>
    <row r="1269" customFormat="false" ht="15" hidden="false" customHeight="false" outlineLevel="0" collapsed="false">
      <c r="A1269" s="33"/>
      <c r="B1269" s="32"/>
      <c r="C1269" s="32"/>
      <c r="D1269" s="32"/>
      <c r="E1269" s="32"/>
      <c r="F1269" s="30"/>
      <c r="G1269" s="32"/>
      <c r="H1269" s="34" t="n">
        <f aca="false">IF($G1269="",0,IFERROR(INDEX(Einstellungen!$G$5:$G$11,MATCH($G1269,Einstellungen!$E$5:$E$11,0)),0))</f>
        <v>0</v>
      </c>
      <c r="I1269" s="35" t="str">
        <f aca="false">IF($G1269="","-",IFERROR(INDEX(Einstellungen!$H$5:$H$11,MATCH($G1269,Einstellungen!$E$5:$E$11,0)),"-"))</f>
        <v>-</v>
      </c>
      <c r="J1269" s="35" t="str">
        <f aca="false">IF(AND(Einstellungen!$B$8="Ja",Einstellungen!$B$9="Effektiv"),$I1269,"-")</f>
        <v>-</v>
      </c>
      <c r="K1269" s="31" t="n">
        <f aca="false">IF(OR($F1269="",$J1269="-"),0,ROUND($F1269-$F1269/(1+$H1269),2))</f>
        <v>0</v>
      </c>
      <c r="L1269" s="31" t="n">
        <f aca="false">IF($F1269="",0,$F1269-$K1269)</f>
        <v>0</v>
      </c>
      <c r="M1269" s="31" t="n">
        <f aca="false">IF($F1269="",0,IF($J1269="V",$L1269,$F1269))</f>
        <v>0</v>
      </c>
      <c r="N1269" s="31" t="n">
        <f aca="false">IF($F1269="",0,IF($J1269="U",$L1269,$F1269))</f>
        <v>0</v>
      </c>
      <c r="O1269" s="35" t="str">
        <f aca="false">IF($A1269="","",MONTH($A1269))</f>
        <v/>
      </c>
      <c r="P1269" s="35" t="str">
        <f aca="false">IF($A1269="","",ROUNDUP(MONTH($A1269)/3,0))</f>
        <v/>
      </c>
      <c r="Q1269" s="35" t="str">
        <f aca="false">IF($A1269="","",IF(MONTH($A1269)&lt;=6,1,2))</f>
        <v/>
      </c>
      <c r="R1269" s="35" t="str">
        <f aca="false">IF($E1269="","",IFERROR(INDEX(Kontenplan!$F$5:$F$90,MATCH($E1269,Kontenplan!$A$5:$A$90,0)),""))</f>
        <v/>
      </c>
      <c r="S1269" s="35" t="str">
        <f aca="false">IF($D1269="","",IFERROR(INDEX(Kontenplan!$F$5:$F$90,MATCH($D1269,Kontenplan!$A$5:$A$90,0)),""))</f>
        <v/>
      </c>
      <c r="T1269" s="35" t="str">
        <f aca="false">IF($D1269="","",IFERROR(INDEX(Kontenplan!$C$5:$C$90,MATCH($D1269,Kontenplan!$A$5:$A$90,0)),"?"))</f>
        <v/>
      </c>
      <c r="U1269" s="35" t="str">
        <f aca="false">IF($E1269="","",IFERROR(INDEX(Kontenplan!$C$5:$C$90,MATCH($E1269,Kontenplan!$A$5:$A$90,0)),"?"))</f>
        <v/>
      </c>
      <c r="V1269" s="35" t="str">
        <f aca="false">IF($F1269="","",IF(OR($D1269="",$E1269="",$T1269="?",$U1269="?"),"Konto prüfen!",IF($A1269="","Datum fehlt",IF(YEAR($A1269)&lt;&gt;Einstellungen!$B$7,"anderes Jahr!",IF($G1269="","MWST-Code fehlt","OK")))))</f>
        <v/>
      </c>
      <c r="W1269" s="35" t="str">
        <f aca="false">IF($F1269="","",IF(OR($D1269=Kontoauszug!$C$4,$E1269=Kontoauszug!$C$4),MAX(W$4:W1268)+1,""))</f>
        <v/>
      </c>
    </row>
    <row r="1270" customFormat="false" ht="15" hidden="false" customHeight="false" outlineLevel="0" collapsed="false">
      <c r="A1270" s="33"/>
      <c r="B1270" s="32"/>
      <c r="C1270" s="32"/>
      <c r="D1270" s="32"/>
      <c r="E1270" s="32"/>
      <c r="F1270" s="30"/>
      <c r="G1270" s="32"/>
      <c r="H1270" s="34" t="n">
        <f aca="false">IF($G1270="",0,IFERROR(INDEX(Einstellungen!$G$5:$G$11,MATCH($G1270,Einstellungen!$E$5:$E$11,0)),0))</f>
        <v>0</v>
      </c>
      <c r="I1270" s="35" t="str">
        <f aca="false">IF($G1270="","-",IFERROR(INDEX(Einstellungen!$H$5:$H$11,MATCH($G1270,Einstellungen!$E$5:$E$11,0)),"-"))</f>
        <v>-</v>
      </c>
      <c r="J1270" s="35" t="str">
        <f aca="false">IF(AND(Einstellungen!$B$8="Ja",Einstellungen!$B$9="Effektiv"),$I1270,"-")</f>
        <v>-</v>
      </c>
      <c r="K1270" s="31" t="n">
        <f aca="false">IF(OR($F1270="",$J1270="-"),0,ROUND($F1270-$F1270/(1+$H1270),2))</f>
        <v>0</v>
      </c>
      <c r="L1270" s="31" t="n">
        <f aca="false">IF($F1270="",0,$F1270-$K1270)</f>
        <v>0</v>
      </c>
      <c r="M1270" s="31" t="n">
        <f aca="false">IF($F1270="",0,IF($J1270="V",$L1270,$F1270))</f>
        <v>0</v>
      </c>
      <c r="N1270" s="31" t="n">
        <f aca="false">IF($F1270="",0,IF($J1270="U",$L1270,$F1270))</f>
        <v>0</v>
      </c>
      <c r="O1270" s="35" t="str">
        <f aca="false">IF($A1270="","",MONTH($A1270))</f>
        <v/>
      </c>
      <c r="P1270" s="35" t="str">
        <f aca="false">IF($A1270="","",ROUNDUP(MONTH($A1270)/3,0))</f>
        <v/>
      </c>
      <c r="Q1270" s="35" t="str">
        <f aca="false">IF($A1270="","",IF(MONTH($A1270)&lt;=6,1,2))</f>
        <v/>
      </c>
      <c r="R1270" s="35" t="str">
        <f aca="false">IF($E1270="","",IFERROR(INDEX(Kontenplan!$F$5:$F$90,MATCH($E1270,Kontenplan!$A$5:$A$90,0)),""))</f>
        <v/>
      </c>
      <c r="S1270" s="35" t="str">
        <f aca="false">IF($D1270="","",IFERROR(INDEX(Kontenplan!$F$5:$F$90,MATCH($D1270,Kontenplan!$A$5:$A$90,0)),""))</f>
        <v/>
      </c>
      <c r="T1270" s="35" t="str">
        <f aca="false">IF($D1270="","",IFERROR(INDEX(Kontenplan!$C$5:$C$90,MATCH($D1270,Kontenplan!$A$5:$A$90,0)),"?"))</f>
        <v/>
      </c>
      <c r="U1270" s="35" t="str">
        <f aca="false">IF($E1270="","",IFERROR(INDEX(Kontenplan!$C$5:$C$90,MATCH($E1270,Kontenplan!$A$5:$A$90,0)),"?"))</f>
        <v/>
      </c>
      <c r="V1270" s="35" t="str">
        <f aca="false">IF($F1270="","",IF(OR($D1270="",$E1270="",$T1270="?",$U1270="?"),"Konto prüfen!",IF($A1270="","Datum fehlt",IF(YEAR($A1270)&lt;&gt;Einstellungen!$B$7,"anderes Jahr!",IF($G1270="","MWST-Code fehlt","OK")))))</f>
        <v/>
      </c>
      <c r="W1270" s="35" t="str">
        <f aca="false">IF($F1270="","",IF(OR($D1270=Kontoauszug!$C$4,$E1270=Kontoauszug!$C$4),MAX(W$4:W1269)+1,""))</f>
        <v/>
      </c>
    </row>
    <row r="1271" customFormat="false" ht="15" hidden="false" customHeight="false" outlineLevel="0" collapsed="false">
      <c r="A1271" s="33"/>
      <c r="B1271" s="32"/>
      <c r="C1271" s="32"/>
      <c r="D1271" s="32"/>
      <c r="E1271" s="32"/>
      <c r="F1271" s="30"/>
      <c r="G1271" s="32"/>
      <c r="H1271" s="34" t="n">
        <f aca="false">IF($G1271="",0,IFERROR(INDEX(Einstellungen!$G$5:$G$11,MATCH($G1271,Einstellungen!$E$5:$E$11,0)),0))</f>
        <v>0</v>
      </c>
      <c r="I1271" s="35" t="str">
        <f aca="false">IF($G1271="","-",IFERROR(INDEX(Einstellungen!$H$5:$H$11,MATCH($G1271,Einstellungen!$E$5:$E$11,0)),"-"))</f>
        <v>-</v>
      </c>
      <c r="J1271" s="35" t="str">
        <f aca="false">IF(AND(Einstellungen!$B$8="Ja",Einstellungen!$B$9="Effektiv"),$I1271,"-")</f>
        <v>-</v>
      </c>
      <c r="K1271" s="31" t="n">
        <f aca="false">IF(OR($F1271="",$J1271="-"),0,ROUND($F1271-$F1271/(1+$H1271),2))</f>
        <v>0</v>
      </c>
      <c r="L1271" s="31" t="n">
        <f aca="false">IF($F1271="",0,$F1271-$K1271)</f>
        <v>0</v>
      </c>
      <c r="M1271" s="31" t="n">
        <f aca="false">IF($F1271="",0,IF($J1271="V",$L1271,$F1271))</f>
        <v>0</v>
      </c>
      <c r="N1271" s="31" t="n">
        <f aca="false">IF($F1271="",0,IF($J1271="U",$L1271,$F1271))</f>
        <v>0</v>
      </c>
      <c r="O1271" s="35" t="str">
        <f aca="false">IF($A1271="","",MONTH($A1271))</f>
        <v/>
      </c>
      <c r="P1271" s="35" t="str">
        <f aca="false">IF($A1271="","",ROUNDUP(MONTH($A1271)/3,0))</f>
        <v/>
      </c>
      <c r="Q1271" s="35" t="str">
        <f aca="false">IF($A1271="","",IF(MONTH($A1271)&lt;=6,1,2))</f>
        <v/>
      </c>
      <c r="R1271" s="35" t="str">
        <f aca="false">IF($E1271="","",IFERROR(INDEX(Kontenplan!$F$5:$F$90,MATCH($E1271,Kontenplan!$A$5:$A$90,0)),""))</f>
        <v/>
      </c>
      <c r="S1271" s="35" t="str">
        <f aca="false">IF($D1271="","",IFERROR(INDEX(Kontenplan!$F$5:$F$90,MATCH($D1271,Kontenplan!$A$5:$A$90,0)),""))</f>
        <v/>
      </c>
      <c r="T1271" s="35" t="str">
        <f aca="false">IF($D1271="","",IFERROR(INDEX(Kontenplan!$C$5:$C$90,MATCH($D1271,Kontenplan!$A$5:$A$90,0)),"?"))</f>
        <v/>
      </c>
      <c r="U1271" s="35" t="str">
        <f aca="false">IF($E1271="","",IFERROR(INDEX(Kontenplan!$C$5:$C$90,MATCH($E1271,Kontenplan!$A$5:$A$90,0)),"?"))</f>
        <v/>
      </c>
      <c r="V1271" s="35" t="str">
        <f aca="false">IF($F1271="","",IF(OR($D1271="",$E1271="",$T1271="?",$U1271="?"),"Konto prüfen!",IF($A1271="","Datum fehlt",IF(YEAR($A1271)&lt;&gt;Einstellungen!$B$7,"anderes Jahr!",IF($G1271="","MWST-Code fehlt","OK")))))</f>
        <v/>
      </c>
      <c r="W1271" s="35" t="str">
        <f aca="false">IF($F1271="","",IF(OR($D1271=Kontoauszug!$C$4,$E1271=Kontoauszug!$C$4),MAX(W$4:W1270)+1,""))</f>
        <v/>
      </c>
    </row>
    <row r="1272" customFormat="false" ht="15" hidden="false" customHeight="false" outlineLevel="0" collapsed="false">
      <c r="A1272" s="33"/>
      <c r="B1272" s="32"/>
      <c r="C1272" s="32"/>
      <c r="D1272" s="32"/>
      <c r="E1272" s="32"/>
      <c r="F1272" s="30"/>
      <c r="G1272" s="32"/>
      <c r="H1272" s="34" t="n">
        <f aca="false">IF($G1272="",0,IFERROR(INDEX(Einstellungen!$G$5:$G$11,MATCH($G1272,Einstellungen!$E$5:$E$11,0)),0))</f>
        <v>0</v>
      </c>
      <c r="I1272" s="35" t="str">
        <f aca="false">IF($G1272="","-",IFERROR(INDEX(Einstellungen!$H$5:$H$11,MATCH($G1272,Einstellungen!$E$5:$E$11,0)),"-"))</f>
        <v>-</v>
      </c>
      <c r="J1272" s="35" t="str">
        <f aca="false">IF(AND(Einstellungen!$B$8="Ja",Einstellungen!$B$9="Effektiv"),$I1272,"-")</f>
        <v>-</v>
      </c>
      <c r="K1272" s="31" t="n">
        <f aca="false">IF(OR($F1272="",$J1272="-"),0,ROUND($F1272-$F1272/(1+$H1272),2))</f>
        <v>0</v>
      </c>
      <c r="L1272" s="31" t="n">
        <f aca="false">IF($F1272="",0,$F1272-$K1272)</f>
        <v>0</v>
      </c>
      <c r="M1272" s="31" t="n">
        <f aca="false">IF($F1272="",0,IF($J1272="V",$L1272,$F1272))</f>
        <v>0</v>
      </c>
      <c r="N1272" s="31" t="n">
        <f aca="false">IF($F1272="",0,IF($J1272="U",$L1272,$F1272))</f>
        <v>0</v>
      </c>
      <c r="O1272" s="35" t="str">
        <f aca="false">IF($A1272="","",MONTH($A1272))</f>
        <v/>
      </c>
      <c r="P1272" s="35" t="str">
        <f aca="false">IF($A1272="","",ROUNDUP(MONTH($A1272)/3,0))</f>
        <v/>
      </c>
      <c r="Q1272" s="35" t="str">
        <f aca="false">IF($A1272="","",IF(MONTH($A1272)&lt;=6,1,2))</f>
        <v/>
      </c>
      <c r="R1272" s="35" t="str">
        <f aca="false">IF($E1272="","",IFERROR(INDEX(Kontenplan!$F$5:$F$90,MATCH($E1272,Kontenplan!$A$5:$A$90,0)),""))</f>
        <v/>
      </c>
      <c r="S1272" s="35" t="str">
        <f aca="false">IF($D1272="","",IFERROR(INDEX(Kontenplan!$F$5:$F$90,MATCH($D1272,Kontenplan!$A$5:$A$90,0)),""))</f>
        <v/>
      </c>
      <c r="T1272" s="35" t="str">
        <f aca="false">IF($D1272="","",IFERROR(INDEX(Kontenplan!$C$5:$C$90,MATCH($D1272,Kontenplan!$A$5:$A$90,0)),"?"))</f>
        <v/>
      </c>
      <c r="U1272" s="35" t="str">
        <f aca="false">IF($E1272="","",IFERROR(INDEX(Kontenplan!$C$5:$C$90,MATCH($E1272,Kontenplan!$A$5:$A$90,0)),"?"))</f>
        <v/>
      </c>
      <c r="V1272" s="35" t="str">
        <f aca="false">IF($F1272="","",IF(OR($D1272="",$E1272="",$T1272="?",$U1272="?"),"Konto prüfen!",IF($A1272="","Datum fehlt",IF(YEAR($A1272)&lt;&gt;Einstellungen!$B$7,"anderes Jahr!",IF($G1272="","MWST-Code fehlt","OK")))))</f>
        <v/>
      </c>
      <c r="W1272" s="35" t="str">
        <f aca="false">IF($F1272="","",IF(OR($D1272=Kontoauszug!$C$4,$E1272=Kontoauszug!$C$4),MAX(W$4:W1271)+1,""))</f>
        <v/>
      </c>
    </row>
    <row r="1273" customFormat="false" ht="15" hidden="false" customHeight="false" outlineLevel="0" collapsed="false">
      <c r="A1273" s="33"/>
      <c r="B1273" s="32"/>
      <c r="C1273" s="32"/>
      <c r="D1273" s="32"/>
      <c r="E1273" s="32"/>
      <c r="F1273" s="30"/>
      <c r="G1273" s="32"/>
      <c r="H1273" s="34" t="n">
        <f aca="false">IF($G1273="",0,IFERROR(INDEX(Einstellungen!$G$5:$G$11,MATCH($G1273,Einstellungen!$E$5:$E$11,0)),0))</f>
        <v>0</v>
      </c>
      <c r="I1273" s="35" t="str">
        <f aca="false">IF($G1273="","-",IFERROR(INDEX(Einstellungen!$H$5:$H$11,MATCH($G1273,Einstellungen!$E$5:$E$11,0)),"-"))</f>
        <v>-</v>
      </c>
      <c r="J1273" s="35" t="str">
        <f aca="false">IF(AND(Einstellungen!$B$8="Ja",Einstellungen!$B$9="Effektiv"),$I1273,"-")</f>
        <v>-</v>
      </c>
      <c r="K1273" s="31" t="n">
        <f aca="false">IF(OR($F1273="",$J1273="-"),0,ROUND($F1273-$F1273/(1+$H1273),2))</f>
        <v>0</v>
      </c>
      <c r="L1273" s="31" t="n">
        <f aca="false">IF($F1273="",0,$F1273-$K1273)</f>
        <v>0</v>
      </c>
      <c r="M1273" s="31" t="n">
        <f aca="false">IF($F1273="",0,IF($J1273="V",$L1273,$F1273))</f>
        <v>0</v>
      </c>
      <c r="N1273" s="31" t="n">
        <f aca="false">IF($F1273="",0,IF($J1273="U",$L1273,$F1273))</f>
        <v>0</v>
      </c>
      <c r="O1273" s="35" t="str">
        <f aca="false">IF($A1273="","",MONTH($A1273))</f>
        <v/>
      </c>
      <c r="P1273" s="35" t="str">
        <f aca="false">IF($A1273="","",ROUNDUP(MONTH($A1273)/3,0))</f>
        <v/>
      </c>
      <c r="Q1273" s="35" t="str">
        <f aca="false">IF($A1273="","",IF(MONTH($A1273)&lt;=6,1,2))</f>
        <v/>
      </c>
      <c r="R1273" s="35" t="str">
        <f aca="false">IF($E1273="","",IFERROR(INDEX(Kontenplan!$F$5:$F$90,MATCH($E1273,Kontenplan!$A$5:$A$90,0)),""))</f>
        <v/>
      </c>
      <c r="S1273" s="35" t="str">
        <f aca="false">IF($D1273="","",IFERROR(INDEX(Kontenplan!$F$5:$F$90,MATCH($D1273,Kontenplan!$A$5:$A$90,0)),""))</f>
        <v/>
      </c>
      <c r="T1273" s="35" t="str">
        <f aca="false">IF($D1273="","",IFERROR(INDEX(Kontenplan!$C$5:$C$90,MATCH($D1273,Kontenplan!$A$5:$A$90,0)),"?"))</f>
        <v/>
      </c>
      <c r="U1273" s="35" t="str">
        <f aca="false">IF($E1273="","",IFERROR(INDEX(Kontenplan!$C$5:$C$90,MATCH($E1273,Kontenplan!$A$5:$A$90,0)),"?"))</f>
        <v/>
      </c>
      <c r="V1273" s="35" t="str">
        <f aca="false">IF($F1273="","",IF(OR($D1273="",$E1273="",$T1273="?",$U1273="?"),"Konto prüfen!",IF($A1273="","Datum fehlt",IF(YEAR($A1273)&lt;&gt;Einstellungen!$B$7,"anderes Jahr!",IF($G1273="","MWST-Code fehlt","OK")))))</f>
        <v/>
      </c>
      <c r="W1273" s="35" t="str">
        <f aca="false">IF($F1273="","",IF(OR($D1273=Kontoauszug!$C$4,$E1273=Kontoauszug!$C$4),MAX(W$4:W1272)+1,""))</f>
        <v/>
      </c>
    </row>
    <row r="1274" customFormat="false" ht="15" hidden="false" customHeight="false" outlineLevel="0" collapsed="false">
      <c r="A1274" s="33"/>
      <c r="B1274" s="32"/>
      <c r="C1274" s="32"/>
      <c r="D1274" s="32"/>
      <c r="E1274" s="32"/>
      <c r="F1274" s="30"/>
      <c r="G1274" s="32"/>
      <c r="H1274" s="34" t="n">
        <f aca="false">IF($G1274="",0,IFERROR(INDEX(Einstellungen!$G$5:$G$11,MATCH($G1274,Einstellungen!$E$5:$E$11,0)),0))</f>
        <v>0</v>
      </c>
      <c r="I1274" s="35" t="str">
        <f aca="false">IF($G1274="","-",IFERROR(INDEX(Einstellungen!$H$5:$H$11,MATCH($G1274,Einstellungen!$E$5:$E$11,0)),"-"))</f>
        <v>-</v>
      </c>
      <c r="J1274" s="35" t="str">
        <f aca="false">IF(AND(Einstellungen!$B$8="Ja",Einstellungen!$B$9="Effektiv"),$I1274,"-")</f>
        <v>-</v>
      </c>
      <c r="K1274" s="31" t="n">
        <f aca="false">IF(OR($F1274="",$J1274="-"),0,ROUND($F1274-$F1274/(1+$H1274),2))</f>
        <v>0</v>
      </c>
      <c r="L1274" s="31" t="n">
        <f aca="false">IF($F1274="",0,$F1274-$K1274)</f>
        <v>0</v>
      </c>
      <c r="M1274" s="31" t="n">
        <f aca="false">IF($F1274="",0,IF($J1274="V",$L1274,$F1274))</f>
        <v>0</v>
      </c>
      <c r="N1274" s="31" t="n">
        <f aca="false">IF($F1274="",0,IF($J1274="U",$L1274,$F1274))</f>
        <v>0</v>
      </c>
      <c r="O1274" s="35" t="str">
        <f aca="false">IF($A1274="","",MONTH($A1274))</f>
        <v/>
      </c>
      <c r="P1274" s="35" t="str">
        <f aca="false">IF($A1274="","",ROUNDUP(MONTH($A1274)/3,0))</f>
        <v/>
      </c>
      <c r="Q1274" s="35" t="str">
        <f aca="false">IF($A1274="","",IF(MONTH($A1274)&lt;=6,1,2))</f>
        <v/>
      </c>
      <c r="R1274" s="35" t="str">
        <f aca="false">IF($E1274="","",IFERROR(INDEX(Kontenplan!$F$5:$F$90,MATCH($E1274,Kontenplan!$A$5:$A$90,0)),""))</f>
        <v/>
      </c>
      <c r="S1274" s="35" t="str">
        <f aca="false">IF($D1274="","",IFERROR(INDEX(Kontenplan!$F$5:$F$90,MATCH($D1274,Kontenplan!$A$5:$A$90,0)),""))</f>
        <v/>
      </c>
      <c r="T1274" s="35" t="str">
        <f aca="false">IF($D1274="","",IFERROR(INDEX(Kontenplan!$C$5:$C$90,MATCH($D1274,Kontenplan!$A$5:$A$90,0)),"?"))</f>
        <v/>
      </c>
      <c r="U1274" s="35" t="str">
        <f aca="false">IF($E1274="","",IFERROR(INDEX(Kontenplan!$C$5:$C$90,MATCH($E1274,Kontenplan!$A$5:$A$90,0)),"?"))</f>
        <v/>
      </c>
      <c r="V1274" s="35" t="str">
        <f aca="false">IF($F1274="","",IF(OR($D1274="",$E1274="",$T1274="?",$U1274="?"),"Konto prüfen!",IF($A1274="","Datum fehlt",IF(YEAR($A1274)&lt;&gt;Einstellungen!$B$7,"anderes Jahr!",IF($G1274="","MWST-Code fehlt","OK")))))</f>
        <v/>
      </c>
      <c r="W1274" s="35" t="str">
        <f aca="false">IF($F1274="","",IF(OR($D1274=Kontoauszug!$C$4,$E1274=Kontoauszug!$C$4),MAX(W$4:W1273)+1,""))</f>
        <v/>
      </c>
    </row>
    <row r="1275" customFormat="false" ht="15" hidden="false" customHeight="false" outlineLevel="0" collapsed="false">
      <c r="A1275" s="33"/>
      <c r="B1275" s="32"/>
      <c r="C1275" s="32"/>
      <c r="D1275" s="32"/>
      <c r="E1275" s="32"/>
      <c r="F1275" s="30"/>
      <c r="G1275" s="32"/>
      <c r="H1275" s="34" t="n">
        <f aca="false">IF($G1275="",0,IFERROR(INDEX(Einstellungen!$G$5:$G$11,MATCH($G1275,Einstellungen!$E$5:$E$11,0)),0))</f>
        <v>0</v>
      </c>
      <c r="I1275" s="35" t="str">
        <f aca="false">IF($G1275="","-",IFERROR(INDEX(Einstellungen!$H$5:$H$11,MATCH($G1275,Einstellungen!$E$5:$E$11,0)),"-"))</f>
        <v>-</v>
      </c>
      <c r="J1275" s="35" t="str">
        <f aca="false">IF(AND(Einstellungen!$B$8="Ja",Einstellungen!$B$9="Effektiv"),$I1275,"-")</f>
        <v>-</v>
      </c>
      <c r="K1275" s="31" t="n">
        <f aca="false">IF(OR($F1275="",$J1275="-"),0,ROUND($F1275-$F1275/(1+$H1275),2))</f>
        <v>0</v>
      </c>
      <c r="L1275" s="31" t="n">
        <f aca="false">IF($F1275="",0,$F1275-$K1275)</f>
        <v>0</v>
      </c>
      <c r="M1275" s="31" t="n">
        <f aca="false">IF($F1275="",0,IF($J1275="V",$L1275,$F1275))</f>
        <v>0</v>
      </c>
      <c r="N1275" s="31" t="n">
        <f aca="false">IF($F1275="",0,IF($J1275="U",$L1275,$F1275))</f>
        <v>0</v>
      </c>
      <c r="O1275" s="35" t="str">
        <f aca="false">IF($A1275="","",MONTH($A1275))</f>
        <v/>
      </c>
      <c r="P1275" s="35" t="str">
        <f aca="false">IF($A1275="","",ROUNDUP(MONTH($A1275)/3,0))</f>
        <v/>
      </c>
      <c r="Q1275" s="35" t="str">
        <f aca="false">IF($A1275="","",IF(MONTH($A1275)&lt;=6,1,2))</f>
        <v/>
      </c>
      <c r="R1275" s="35" t="str">
        <f aca="false">IF($E1275="","",IFERROR(INDEX(Kontenplan!$F$5:$F$90,MATCH($E1275,Kontenplan!$A$5:$A$90,0)),""))</f>
        <v/>
      </c>
      <c r="S1275" s="35" t="str">
        <f aca="false">IF($D1275="","",IFERROR(INDEX(Kontenplan!$F$5:$F$90,MATCH($D1275,Kontenplan!$A$5:$A$90,0)),""))</f>
        <v/>
      </c>
      <c r="T1275" s="35" t="str">
        <f aca="false">IF($D1275="","",IFERROR(INDEX(Kontenplan!$C$5:$C$90,MATCH($D1275,Kontenplan!$A$5:$A$90,0)),"?"))</f>
        <v/>
      </c>
      <c r="U1275" s="35" t="str">
        <f aca="false">IF($E1275="","",IFERROR(INDEX(Kontenplan!$C$5:$C$90,MATCH($E1275,Kontenplan!$A$5:$A$90,0)),"?"))</f>
        <v/>
      </c>
      <c r="V1275" s="35" t="str">
        <f aca="false">IF($F1275="","",IF(OR($D1275="",$E1275="",$T1275="?",$U1275="?"),"Konto prüfen!",IF($A1275="","Datum fehlt",IF(YEAR($A1275)&lt;&gt;Einstellungen!$B$7,"anderes Jahr!",IF($G1275="","MWST-Code fehlt","OK")))))</f>
        <v/>
      </c>
      <c r="W1275" s="35" t="str">
        <f aca="false">IF($F1275="","",IF(OR($D1275=Kontoauszug!$C$4,$E1275=Kontoauszug!$C$4),MAX(W$4:W1274)+1,""))</f>
        <v/>
      </c>
    </row>
    <row r="1276" customFormat="false" ht="15" hidden="false" customHeight="false" outlineLevel="0" collapsed="false">
      <c r="A1276" s="33"/>
      <c r="B1276" s="32"/>
      <c r="C1276" s="32"/>
      <c r="D1276" s="32"/>
      <c r="E1276" s="32"/>
      <c r="F1276" s="30"/>
      <c r="G1276" s="32"/>
      <c r="H1276" s="34" t="n">
        <f aca="false">IF($G1276="",0,IFERROR(INDEX(Einstellungen!$G$5:$G$11,MATCH($G1276,Einstellungen!$E$5:$E$11,0)),0))</f>
        <v>0</v>
      </c>
      <c r="I1276" s="35" t="str">
        <f aca="false">IF($G1276="","-",IFERROR(INDEX(Einstellungen!$H$5:$H$11,MATCH($G1276,Einstellungen!$E$5:$E$11,0)),"-"))</f>
        <v>-</v>
      </c>
      <c r="J1276" s="35" t="str">
        <f aca="false">IF(AND(Einstellungen!$B$8="Ja",Einstellungen!$B$9="Effektiv"),$I1276,"-")</f>
        <v>-</v>
      </c>
      <c r="K1276" s="31" t="n">
        <f aca="false">IF(OR($F1276="",$J1276="-"),0,ROUND($F1276-$F1276/(1+$H1276),2))</f>
        <v>0</v>
      </c>
      <c r="L1276" s="31" t="n">
        <f aca="false">IF($F1276="",0,$F1276-$K1276)</f>
        <v>0</v>
      </c>
      <c r="M1276" s="31" t="n">
        <f aca="false">IF($F1276="",0,IF($J1276="V",$L1276,$F1276))</f>
        <v>0</v>
      </c>
      <c r="N1276" s="31" t="n">
        <f aca="false">IF($F1276="",0,IF($J1276="U",$L1276,$F1276))</f>
        <v>0</v>
      </c>
      <c r="O1276" s="35" t="str">
        <f aca="false">IF($A1276="","",MONTH($A1276))</f>
        <v/>
      </c>
      <c r="P1276" s="35" t="str">
        <f aca="false">IF($A1276="","",ROUNDUP(MONTH($A1276)/3,0))</f>
        <v/>
      </c>
      <c r="Q1276" s="35" t="str">
        <f aca="false">IF($A1276="","",IF(MONTH($A1276)&lt;=6,1,2))</f>
        <v/>
      </c>
      <c r="R1276" s="35" t="str">
        <f aca="false">IF($E1276="","",IFERROR(INDEX(Kontenplan!$F$5:$F$90,MATCH($E1276,Kontenplan!$A$5:$A$90,0)),""))</f>
        <v/>
      </c>
      <c r="S1276" s="35" t="str">
        <f aca="false">IF($D1276="","",IFERROR(INDEX(Kontenplan!$F$5:$F$90,MATCH($D1276,Kontenplan!$A$5:$A$90,0)),""))</f>
        <v/>
      </c>
      <c r="T1276" s="35" t="str">
        <f aca="false">IF($D1276="","",IFERROR(INDEX(Kontenplan!$C$5:$C$90,MATCH($D1276,Kontenplan!$A$5:$A$90,0)),"?"))</f>
        <v/>
      </c>
      <c r="U1276" s="35" t="str">
        <f aca="false">IF($E1276="","",IFERROR(INDEX(Kontenplan!$C$5:$C$90,MATCH($E1276,Kontenplan!$A$5:$A$90,0)),"?"))</f>
        <v/>
      </c>
      <c r="V1276" s="35" t="str">
        <f aca="false">IF($F1276="","",IF(OR($D1276="",$E1276="",$T1276="?",$U1276="?"),"Konto prüfen!",IF($A1276="","Datum fehlt",IF(YEAR($A1276)&lt;&gt;Einstellungen!$B$7,"anderes Jahr!",IF($G1276="","MWST-Code fehlt","OK")))))</f>
        <v/>
      </c>
      <c r="W1276" s="35" t="str">
        <f aca="false">IF($F1276="","",IF(OR($D1276=Kontoauszug!$C$4,$E1276=Kontoauszug!$C$4),MAX(W$4:W1275)+1,""))</f>
        <v/>
      </c>
    </row>
    <row r="1277" customFormat="false" ht="15" hidden="false" customHeight="false" outlineLevel="0" collapsed="false">
      <c r="A1277" s="33"/>
      <c r="B1277" s="32"/>
      <c r="C1277" s="32"/>
      <c r="D1277" s="32"/>
      <c r="E1277" s="32"/>
      <c r="F1277" s="30"/>
      <c r="G1277" s="32"/>
      <c r="H1277" s="34" t="n">
        <f aca="false">IF($G1277="",0,IFERROR(INDEX(Einstellungen!$G$5:$G$11,MATCH($G1277,Einstellungen!$E$5:$E$11,0)),0))</f>
        <v>0</v>
      </c>
      <c r="I1277" s="35" t="str">
        <f aca="false">IF($G1277="","-",IFERROR(INDEX(Einstellungen!$H$5:$H$11,MATCH($G1277,Einstellungen!$E$5:$E$11,0)),"-"))</f>
        <v>-</v>
      </c>
      <c r="J1277" s="35" t="str">
        <f aca="false">IF(AND(Einstellungen!$B$8="Ja",Einstellungen!$B$9="Effektiv"),$I1277,"-")</f>
        <v>-</v>
      </c>
      <c r="K1277" s="31" t="n">
        <f aca="false">IF(OR($F1277="",$J1277="-"),0,ROUND($F1277-$F1277/(1+$H1277),2))</f>
        <v>0</v>
      </c>
      <c r="L1277" s="31" t="n">
        <f aca="false">IF($F1277="",0,$F1277-$K1277)</f>
        <v>0</v>
      </c>
      <c r="M1277" s="31" t="n">
        <f aca="false">IF($F1277="",0,IF($J1277="V",$L1277,$F1277))</f>
        <v>0</v>
      </c>
      <c r="N1277" s="31" t="n">
        <f aca="false">IF($F1277="",0,IF($J1277="U",$L1277,$F1277))</f>
        <v>0</v>
      </c>
      <c r="O1277" s="35" t="str">
        <f aca="false">IF($A1277="","",MONTH($A1277))</f>
        <v/>
      </c>
      <c r="P1277" s="35" t="str">
        <f aca="false">IF($A1277="","",ROUNDUP(MONTH($A1277)/3,0))</f>
        <v/>
      </c>
      <c r="Q1277" s="35" t="str">
        <f aca="false">IF($A1277="","",IF(MONTH($A1277)&lt;=6,1,2))</f>
        <v/>
      </c>
      <c r="R1277" s="35" t="str">
        <f aca="false">IF($E1277="","",IFERROR(INDEX(Kontenplan!$F$5:$F$90,MATCH($E1277,Kontenplan!$A$5:$A$90,0)),""))</f>
        <v/>
      </c>
      <c r="S1277" s="35" t="str">
        <f aca="false">IF($D1277="","",IFERROR(INDEX(Kontenplan!$F$5:$F$90,MATCH($D1277,Kontenplan!$A$5:$A$90,0)),""))</f>
        <v/>
      </c>
      <c r="T1277" s="35" t="str">
        <f aca="false">IF($D1277="","",IFERROR(INDEX(Kontenplan!$C$5:$C$90,MATCH($D1277,Kontenplan!$A$5:$A$90,0)),"?"))</f>
        <v/>
      </c>
      <c r="U1277" s="35" t="str">
        <f aca="false">IF($E1277="","",IFERROR(INDEX(Kontenplan!$C$5:$C$90,MATCH($E1277,Kontenplan!$A$5:$A$90,0)),"?"))</f>
        <v/>
      </c>
      <c r="V1277" s="35" t="str">
        <f aca="false">IF($F1277="","",IF(OR($D1277="",$E1277="",$T1277="?",$U1277="?"),"Konto prüfen!",IF($A1277="","Datum fehlt",IF(YEAR($A1277)&lt;&gt;Einstellungen!$B$7,"anderes Jahr!",IF($G1277="","MWST-Code fehlt","OK")))))</f>
        <v/>
      </c>
      <c r="W1277" s="35" t="str">
        <f aca="false">IF($F1277="","",IF(OR($D1277=Kontoauszug!$C$4,$E1277=Kontoauszug!$C$4),MAX(W$4:W1276)+1,""))</f>
        <v/>
      </c>
    </row>
    <row r="1278" customFormat="false" ht="15" hidden="false" customHeight="false" outlineLevel="0" collapsed="false">
      <c r="A1278" s="33"/>
      <c r="B1278" s="32"/>
      <c r="C1278" s="32"/>
      <c r="D1278" s="32"/>
      <c r="E1278" s="32"/>
      <c r="F1278" s="30"/>
      <c r="G1278" s="32"/>
      <c r="H1278" s="34" t="n">
        <f aca="false">IF($G1278="",0,IFERROR(INDEX(Einstellungen!$G$5:$G$11,MATCH($G1278,Einstellungen!$E$5:$E$11,0)),0))</f>
        <v>0</v>
      </c>
      <c r="I1278" s="35" t="str">
        <f aca="false">IF($G1278="","-",IFERROR(INDEX(Einstellungen!$H$5:$H$11,MATCH($G1278,Einstellungen!$E$5:$E$11,0)),"-"))</f>
        <v>-</v>
      </c>
      <c r="J1278" s="35" t="str">
        <f aca="false">IF(AND(Einstellungen!$B$8="Ja",Einstellungen!$B$9="Effektiv"),$I1278,"-")</f>
        <v>-</v>
      </c>
      <c r="K1278" s="31" t="n">
        <f aca="false">IF(OR($F1278="",$J1278="-"),0,ROUND($F1278-$F1278/(1+$H1278),2))</f>
        <v>0</v>
      </c>
      <c r="L1278" s="31" t="n">
        <f aca="false">IF($F1278="",0,$F1278-$K1278)</f>
        <v>0</v>
      </c>
      <c r="M1278" s="31" t="n">
        <f aca="false">IF($F1278="",0,IF($J1278="V",$L1278,$F1278))</f>
        <v>0</v>
      </c>
      <c r="N1278" s="31" t="n">
        <f aca="false">IF($F1278="",0,IF($J1278="U",$L1278,$F1278))</f>
        <v>0</v>
      </c>
      <c r="O1278" s="35" t="str">
        <f aca="false">IF($A1278="","",MONTH($A1278))</f>
        <v/>
      </c>
      <c r="P1278" s="35" t="str">
        <f aca="false">IF($A1278="","",ROUNDUP(MONTH($A1278)/3,0))</f>
        <v/>
      </c>
      <c r="Q1278" s="35" t="str">
        <f aca="false">IF($A1278="","",IF(MONTH($A1278)&lt;=6,1,2))</f>
        <v/>
      </c>
      <c r="R1278" s="35" t="str">
        <f aca="false">IF($E1278="","",IFERROR(INDEX(Kontenplan!$F$5:$F$90,MATCH($E1278,Kontenplan!$A$5:$A$90,0)),""))</f>
        <v/>
      </c>
      <c r="S1278" s="35" t="str">
        <f aca="false">IF($D1278="","",IFERROR(INDEX(Kontenplan!$F$5:$F$90,MATCH($D1278,Kontenplan!$A$5:$A$90,0)),""))</f>
        <v/>
      </c>
      <c r="T1278" s="35" t="str">
        <f aca="false">IF($D1278="","",IFERROR(INDEX(Kontenplan!$C$5:$C$90,MATCH($D1278,Kontenplan!$A$5:$A$90,0)),"?"))</f>
        <v/>
      </c>
      <c r="U1278" s="35" t="str">
        <f aca="false">IF($E1278="","",IFERROR(INDEX(Kontenplan!$C$5:$C$90,MATCH($E1278,Kontenplan!$A$5:$A$90,0)),"?"))</f>
        <v/>
      </c>
      <c r="V1278" s="35" t="str">
        <f aca="false">IF($F1278="","",IF(OR($D1278="",$E1278="",$T1278="?",$U1278="?"),"Konto prüfen!",IF($A1278="","Datum fehlt",IF(YEAR($A1278)&lt;&gt;Einstellungen!$B$7,"anderes Jahr!",IF($G1278="","MWST-Code fehlt","OK")))))</f>
        <v/>
      </c>
      <c r="W1278" s="35" t="str">
        <f aca="false">IF($F1278="","",IF(OR($D1278=Kontoauszug!$C$4,$E1278=Kontoauszug!$C$4),MAX(W$4:W1277)+1,""))</f>
        <v/>
      </c>
    </row>
    <row r="1279" customFormat="false" ht="15" hidden="false" customHeight="false" outlineLevel="0" collapsed="false">
      <c r="A1279" s="33"/>
      <c r="B1279" s="32"/>
      <c r="C1279" s="32"/>
      <c r="D1279" s="32"/>
      <c r="E1279" s="32"/>
      <c r="F1279" s="30"/>
      <c r="G1279" s="32"/>
      <c r="H1279" s="34" t="n">
        <f aca="false">IF($G1279="",0,IFERROR(INDEX(Einstellungen!$G$5:$G$11,MATCH($G1279,Einstellungen!$E$5:$E$11,0)),0))</f>
        <v>0</v>
      </c>
      <c r="I1279" s="35" t="str">
        <f aca="false">IF($G1279="","-",IFERROR(INDEX(Einstellungen!$H$5:$H$11,MATCH($G1279,Einstellungen!$E$5:$E$11,0)),"-"))</f>
        <v>-</v>
      </c>
      <c r="J1279" s="35" t="str">
        <f aca="false">IF(AND(Einstellungen!$B$8="Ja",Einstellungen!$B$9="Effektiv"),$I1279,"-")</f>
        <v>-</v>
      </c>
      <c r="K1279" s="31" t="n">
        <f aca="false">IF(OR($F1279="",$J1279="-"),0,ROUND($F1279-$F1279/(1+$H1279),2))</f>
        <v>0</v>
      </c>
      <c r="L1279" s="31" t="n">
        <f aca="false">IF($F1279="",0,$F1279-$K1279)</f>
        <v>0</v>
      </c>
      <c r="M1279" s="31" t="n">
        <f aca="false">IF($F1279="",0,IF($J1279="V",$L1279,$F1279))</f>
        <v>0</v>
      </c>
      <c r="N1279" s="31" t="n">
        <f aca="false">IF($F1279="",0,IF($J1279="U",$L1279,$F1279))</f>
        <v>0</v>
      </c>
      <c r="O1279" s="35" t="str">
        <f aca="false">IF($A1279="","",MONTH($A1279))</f>
        <v/>
      </c>
      <c r="P1279" s="35" t="str">
        <f aca="false">IF($A1279="","",ROUNDUP(MONTH($A1279)/3,0))</f>
        <v/>
      </c>
      <c r="Q1279" s="35" t="str">
        <f aca="false">IF($A1279="","",IF(MONTH($A1279)&lt;=6,1,2))</f>
        <v/>
      </c>
      <c r="R1279" s="35" t="str">
        <f aca="false">IF($E1279="","",IFERROR(INDEX(Kontenplan!$F$5:$F$90,MATCH($E1279,Kontenplan!$A$5:$A$90,0)),""))</f>
        <v/>
      </c>
      <c r="S1279" s="35" t="str">
        <f aca="false">IF($D1279="","",IFERROR(INDEX(Kontenplan!$F$5:$F$90,MATCH($D1279,Kontenplan!$A$5:$A$90,0)),""))</f>
        <v/>
      </c>
      <c r="T1279" s="35" t="str">
        <f aca="false">IF($D1279="","",IFERROR(INDEX(Kontenplan!$C$5:$C$90,MATCH($D1279,Kontenplan!$A$5:$A$90,0)),"?"))</f>
        <v/>
      </c>
      <c r="U1279" s="35" t="str">
        <f aca="false">IF($E1279="","",IFERROR(INDEX(Kontenplan!$C$5:$C$90,MATCH($E1279,Kontenplan!$A$5:$A$90,0)),"?"))</f>
        <v/>
      </c>
      <c r="V1279" s="35" t="str">
        <f aca="false">IF($F1279="","",IF(OR($D1279="",$E1279="",$T1279="?",$U1279="?"),"Konto prüfen!",IF($A1279="","Datum fehlt",IF(YEAR($A1279)&lt;&gt;Einstellungen!$B$7,"anderes Jahr!",IF($G1279="","MWST-Code fehlt","OK")))))</f>
        <v/>
      </c>
      <c r="W1279" s="35" t="str">
        <f aca="false">IF($F1279="","",IF(OR($D1279=Kontoauszug!$C$4,$E1279=Kontoauszug!$C$4),MAX(W$4:W1278)+1,""))</f>
        <v/>
      </c>
    </row>
    <row r="1280" customFormat="false" ht="15" hidden="false" customHeight="false" outlineLevel="0" collapsed="false">
      <c r="A1280" s="33"/>
      <c r="B1280" s="32"/>
      <c r="C1280" s="32"/>
      <c r="D1280" s="32"/>
      <c r="E1280" s="32"/>
      <c r="F1280" s="30"/>
      <c r="G1280" s="32"/>
      <c r="H1280" s="34" t="n">
        <f aca="false">IF($G1280="",0,IFERROR(INDEX(Einstellungen!$G$5:$G$11,MATCH($G1280,Einstellungen!$E$5:$E$11,0)),0))</f>
        <v>0</v>
      </c>
      <c r="I1280" s="35" t="str">
        <f aca="false">IF($G1280="","-",IFERROR(INDEX(Einstellungen!$H$5:$H$11,MATCH($G1280,Einstellungen!$E$5:$E$11,0)),"-"))</f>
        <v>-</v>
      </c>
      <c r="J1280" s="35" t="str">
        <f aca="false">IF(AND(Einstellungen!$B$8="Ja",Einstellungen!$B$9="Effektiv"),$I1280,"-")</f>
        <v>-</v>
      </c>
      <c r="K1280" s="31" t="n">
        <f aca="false">IF(OR($F1280="",$J1280="-"),0,ROUND($F1280-$F1280/(1+$H1280),2))</f>
        <v>0</v>
      </c>
      <c r="L1280" s="31" t="n">
        <f aca="false">IF($F1280="",0,$F1280-$K1280)</f>
        <v>0</v>
      </c>
      <c r="M1280" s="31" t="n">
        <f aca="false">IF($F1280="",0,IF($J1280="V",$L1280,$F1280))</f>
        <v>0</v>
      </c>
      <c r="N1280" s="31" t="n">
        <f aca="false">IF($F1280="",0,IF($J1280="U",$L1280,$F1280))</f>
        <v>0</v>
      </c>
      <c r="O1280" s="35" t="str">
        <f aca="false">IF($A1280="","",MONTH($A1280))</f>
        <v/>
      </c>
      <c r="P1280" s="35" t="str">
        <f aca="false">IF($A1280="","",ROUNDUP(MONTH($A1280)/3,0))</f>
        <v/>
      </c>
      <c r="Q1280" s="35" t="str">
        <f aca="false">IF($A1280="","",IF(MONTH($A1280)&lt;=6,1,2))</f>
        <v/>
      </c>
      <c r="R1280" s="35" t="str">
        <f aca="false">IF($E1280="","",IFERROR(INDEX(Kontenplan!$F$5:$F$90,MATCH($E1280,Kontenplan!$A$5:$A$90,0)),""))</f>
        <v/>
      </c>
      <c r="S1280" s="35" t="str">
        <f aca="false">IF($D1280="","",IFERROR(INDEX(Kontenplan!$F$5:$F$90,MATCH($D1280,Kontenplan!$A$5:$A$90,0)),""))</f>
        <v/>
      </c>
      <c r="T1280" s="35" t="str">
        <f aca="false">IF($D1280="","",IFERROR(INDEX(Kontenplan!$C$5:$C$90,MATCH($D1280,Kontenplan!$A$5:$A$90,0)),"?"))</f>
        <v/>
      </c>
      <c r="U1280" s="35" t="str">
        <f aca="false">IF($E1280="","",IFERROR(INDEX(Kontenplan!$C$5:$C$90,MATCH($E1280,Kontenplan!$A$5:$A$90,0)),"?"))</f>
        <v/>
      </c>
      <c r="V1280" s="35" t="str">
        <f aca="false">IF($F1280="","",IF(OR($D1280="",$E1280="",$T1280="?",$U1280="?"),"Konto prüfen!",IF($A1280="","Datum fehlt",IF(YEAR($A1280)&lt;&gt;Einstellungen!$B$7,"anderes Jahr!",IF($G1280="","MWST-Code fehlt","OK")))))</f>
        <v/>
      </c>
      <c r="W1280" s="35" t="str">
        <f aca="false">IF($F1280="","",IF(OR($D1280=Kontoauszug!$C$4,$E1280=Kontoauszug!$C$4),MAX(W$4:W1279)+1,""))</f>
        <v/>
      </c>
    </row>
    <row r="1281" customFormat="false" ht="15" hidden="false" customHeight="false" outlineLevel="0" collapsed="false">
      <c r="A1281" s="33"/>
      <c r="B1281" s="32"/>
      <c r="C1281" s="32"/>
      <c r="D1281" s="32"/>
      <c r="E1281" s="32"/>
      <c r="F1281" s="30"/>
      <c r="G1281" s="32"/>
      <c r="H1281" s="34" t="n">
        <f aca="false">IF($G1281="",0,IFERROR(INDEX(Einstellungen!$G$5:$G$11,MATCH($G1281,Einstellungen!$E$5:$E$11,0)),0))</f>
        <v>0</v>
      </c>
      <c r="I1281" s="35" t="str">
        <f aca="false">IF($G1281="","-",IFERROR(INDEX(Einstellungen!$H$5:$H$11,MATCH($G1281,Einstellungen!$E$5:$E$11,0)),"-"))</f>
        <v>-</v>
      </c>
      <c r="J1281" s="35" t="str">
        <f aca="false">IF(AND(Einstellungen!$B$8="Ja",Einstellungen!$B$9="Effektiv"),$I1281,"-")</f>
        <v>-</v>
      </c>
      <c r="K1281" s="31" t="n">
        <f aca="false">IF(OR($F1281="",$J1281="-"),0,ROUND($F1281-$F1281/(1+$H1281),2))</f>
        <v>0</v>
      </c>
      <c r="L1281" s="31" t="n">
        <f aca="false">IF($F1281="",0,$F1281-$K1281)</f>
        <v>0</v>
      </c>
      <c r="M1281" s="31" t="n">
        <f aca="false">IF($F1281="",0,IF($J1281="V",$L1281,$F1281))</f>
        <v>0</v>
      </c>
      <c r="N1281" s="31" t="n">
        <f aca="false">IF($F1281="",0,IF($J1281="U",$L1281,$F1281))</f>
        <v>0</v>
      </c>
      <c r="O1281" s="35" t="str">
        <f aca="false">IF($A1281="","",MONTH($A1281))</f>
        <v/>
      </c>
      <c r="P1281" s="35" t="str">
        <f aca="false">IF($A1281="","",ROUNDUP(MONTH($A1281)/3,0))</f>
        <v/>
      </c>
      <c r="Q1281" s="35" t="str">
        <f aca="false">IF($A1281="","",IF(MONTH($A1281)&lt;=6,1,2))</f>
        <v/>
      </c>
      <c r="R1281" s="35" t="str">
        <f aca="false">IF($E1281="","",IFERROR(INDEX(Kontenplan!$F$5:$F$90,MATCH($E1281,Kontenplan!$A$5:$A$90,0)),""))</f>
        <v/>
      </c>
      <c r="S1281" s="35" t="str">
        <f aca="false">IF($D1281="","",IFERROR(INDEX(Kontenplan!$F$5:$F$90,MATCH($D1281,Kontenplan!$A$5:$A$90,0)),""))</f>
        <v/>
      </c>
      <c r="T1281" s="35" t="str">
        <f aca="false">IF($D1281="","",IFERROR(INDEX(Kontenplan!$C$5:$C$90,MATCH($D1281,Kontenplan!$A$5:$A$90,0)),"?"))</f>
        <v/>
      </c>
      <c r="U1281" s="35" t="str">
        <f aca="false">IF($E1281="","",IFERROR(INDEX(Kontenplan!$C$5:$C$90,MATCH($E1281,Kontenplan!$A$5:$A$90,0)),"?"))</f>
        <v/>
      </c>
      <c r="V1281" s="35" t="str">
        <f aca="false">IF($F1281="","",IF(OR($D1281="",$E1281="",$T1281="?",$U1281="?"),"Konto prüfen!",IF($A1281="","Datum fehlt",IF(YEAR($A1281)&lt;&gt;Einstellungen!$B$7,"anderes Jahr!",IF($G1281="","MWST-Code fehlt","OK")))))</f>
        <v/>
      </c>
      <c r="W1281" s="35" t="str">
        <f aca="false">IF($F1281="","",IF(OR($D1281=Kontoauszug!$C$4,$E1281=Kontoauszug!$C$4),MAX(W$4:W1280)+1,""))</f>
        <v/>
      </c>
    </row>
    <row r="1282" customFormat="false" ht="15" hidden="false" customHeight="false" outlineLevel="0" collapsed="false">
      <c r="A1282" s="33"/>
      <c r="B1282" s="32"/>
      <c r="C1282" s="32"/>
      <c r="D1282" s="32"/>
      <c r="E1282" s="32"/>
      <c r="F1282" s="30"/>
      <c r="G1282" s="32"/>
      <c r="H1282" s="34" t="n">
        <f aca="false">IF($G1282="",0,IFERROR(INDEX(Einstellungen!$G$5:$G$11,MATCH($G1282,Einstellungen!$E$5:$E$11,0)),0))</f>
        <v>0</v>
      </c>
      <c r="I1282" s="35" t="str">
        <f aca="false">IF($G1282="","-",IFERROR(INDEX(Einstellungen!$H$5:$H$11,MATCH($G1282,Einstellungen!$E$5:$E$11,0)),"-"))</f>
        <v>-</v>
      </c>
      <c r="J1282" s="35" t="str">
        <f aca="false">IF(AND(Einstellungen!$B$8="Ja",Einstellungen!$B$9="Effektiv"),$I1282,"-")</f>
        <v>-</v>
      </c>
      <c r="K1282" s="31" t="n">
        <f aca="false">IF(OR($F1282="",$J1282="-"),0,ROUND($F1282-$F1282/(1+$H1282),2))</f>
        <v>0</v>
      </c>
      <c r="L1282" s="31" t="n">
        <f aca="false">IF($F1282="",0,$F1282-$K1282)</f>
        <v>0</v>
      </c>
      <c r="M1282" s="31" t="n">
        <f aca="false">IF($F1282="",0,IF($J1282="V",$L1282,$F1282))</f>
        <v>0</v>
      </c>
      <c r="N1282" s="31" t="n">
        <f aca="false">IF($F1282="",0,IF($J1282="U",$L1282,$F1282))</f>
        <v>0</v>
      </c>
      <c r="O1282" s="35" t="str">
        <f aca="false">IF($A1282="","",MONTH($A1282))</f>
        <v/>
      </c>
      <c r="P1282" s="35" t="str">
        <f aca="false">IF($A1282="","",ROUNDUP(MONTH($A1282)/3,0))</f>
        <v/>
      </c>
      <c r="Q1282" s="35" t="str">
        <f aca="false">IF($A1282="","",IF(MONTH($A1282)&lt;=6,1,2))</f>
        <v/>
      </c>
      <c r="R1282" s="35" t="str">
        <f aca="false">IF($E1282="","",IFERROR(INDEX(Kontenplan!$F$5:$F$90,MATCH($E1282,Kontenplan!$A$5:$A$90,0)),""))</f>
        <v/>
      </c>
      <c r="S1282" s="35" t="str">
        <f aca="false">IF($D1282="","",IFERROR(INDEX(Kontenplan!$F$5:$F$90,MATCH($D1282,Kontenplan!$A$5:$A$90,0)),""))</f>
        <v/>
      </c>
      <c r="T1282" s="35" t="str">
        <f aca="false">IF($D1282="","",IFERROR(INDEX(Kontenplan!$C$5:$C$90,MATCH($D1282,Kontenplan!$A$5:$A$90,0)),"?"))</f>
        <v/>
      </c>
      <c r="U1282" s="35" t="str">
        <f aca="false">IF($E1282="","",IFERROR(INDEX(Kontenplan!$C$5:$C$90,MATCH($E1282,Kontenplan!$A$5:$A$90,0)),"?"))</f>
        <v/>
      </c>
      <c r="V1282" s="35" t="str">
        <f aca="false">IF($F1282="","",IF(OR($D1282="",$E1282="",$T1282="?",$U1282="?"),"Konto prüfen!",IF($A1282="","Datum fehlt",IF(YEAR($A1282)&lt;&gt;Einstellungen!$B$7,"anderes Jahr!",IF($G1282="","MWST-Code fehlt","OK")))))</f>
        <v/>
      </c>
      <c r="W1282" s="35" t="str">
        <f aca="false">IF($F1282="","",IF(OR($D1282=Kontoauszug!$C$4,$E1282=Kontoauszug!$C$4),MAX(W$4:W1281)+1,""))</f>
        <v/>
      </c>
    </row>
    <row r="1283" customFormat="false" ht="15" hidden="false" customHeight="false" outlineLevel="0" collapsed="false">
      <c r="A1283" s="33"/>
      <c r="B1283" s="32"/>
      <c r="C1283" s="32"/>
      <c r="D1283" s="32"/>
      <c r="E1283" s="32"/>
      <c r="F1283" s="30"/>
      <c r="G1283" s="32"/>
      <c r="H1283" s="34" t="n">
        <f aca="false">IF($G1283="",0,IFERROR(INDEX(Einstellungen!$G$5:$G$11,MATCH($G1283,Einstellungen!$E$5:$E$11,0)),0))</f>
        <v>0</v>
      </c>
      <c r="I1283" s="35" t="str">
        <f aca="false">IF($G1283="","-",IFERROR(INDEX(Einstellungen!$H$5:$H$11,MATCH($G1283,Einstellungen!$E$5:$E$11,0)),"-"))</f>
        <v>-</v>
      </c>
      <c r="J1283" s="35" t="str">
        <f aca="false">IF(AND(Einstellungen!$B$8="Ja",Einstellungen!$B$9="Effektiv"),$I1283,"-")</f>
        <v>-</v>
      </c>
      <c r="K1283" s="31" t="n">
        <f aca="false">IF(OR($F1283="",$J1283="-"),0,ROUND($F1283-$F1283/(1+$H1283),2))</f>
        <v>0</v>
      </c>
      <c r="L1283" s="31" t="n">
        <f aca="false">IF($F1283="",0,$F1283-$K1283)</f>
        <v>0</v>
      </c>
      <c r="M1283" s="31" t="n">
        <f aca="false">IF($F1283="",0,IF($J1283="V",$L1283,$F1283))</f>
        <v>0</v>
      </c>
      <c r="N1283" s="31" t="n">
        <f aca="false">IF($F1283="",0,IF($J1283="U",$L1283,$F1283))</f>
        <v>0</v>
      </c>
      <c r="O1283" s="35" t="str">
        <f aca="false">IF($A1283="","",MONTH($A1283))</f>
        <v/>
      </c>
      <c r="P1283" s="35" t="str">
        <f aca="false">IF($A1283="","",ROUNDUP(MONTH($A1283)/3,0))</f>
        <v/>
      </c>
      <c r="Q1283" s="35" t="str">
        <f aca="false">IF($A1283="","",IF(MONTH($A1283)&lt;=6,1,2))</f>
        <v/>
      </c>
      <c r="R1283" s="35" t="str">
        <f aca="false">IF($E1283="","",IFERROR(INDEX(Kontenplan!$F$5:$F$90,MATCH($E1283,Kontenplan!$A$5:$A$90,0)),""))</f>
        <v/>
      </c>
      <c r="S1283" s="35" t="str">
        <f aca="false">IF($D1283="","",IFERROR(INDEX(Kontenplan!$F$5:$F$90,MATCH($D1283,Kontenplan!$A$5:$A$90,0)),""))</f>
        <v/>
      </c>
      <c r="T1283" s="35" t="str">
        <f aca="false">IF($D1283="","",IFERROR(INDEX(Kontenplan!$C$5:$C$90,MATCH($D1283,Kontenplan!$A$5:$A$90,0)),"?"))</f>
        <v/>
      </c>
      <c r="U1283" s="35" t="str">
        <f aca="false">IF($E1283="","",IFERROR(INDEX(Kontenplan!$C$5:$C$90,MATCH($E1283,Kontenplan!$A$5:$A$90,0)),"?"))</f>
        <v/>
      </c>
      <c r="V1283" s="35" t="str">
        <f aca="false">IF($F1283="","",IF(OR($D1283="",$E1283="",$T1283="?",$U1283="?"),"Konto prüfen!",IF($A1283="","Datum fehlt",IF(YEAR($A1283)&lt;&gt;Einstellungen!$B$7,"anderes Jahr!",IF($G1283="","MWST-Code fehlt","OK")))))</f>
        <v/>
      </c>
      <c r="W1283" s="35" t="str">
        <f aca="false">IF($F1283="","",IF(OR($D1283=Kontoauszug!$C$4,$E1283=Kontoauszug!$C$4),MAX(W$4:W1282)+1,""))</f>
        <v/>
      </c>
    </row>
    <row r="1284" customFormat="false" ht="15" hidden="false" customHeight="false" outlineLevel="0" collapsed="false">
      <c r="A1284" s="33"/>
      <c r="B1284" s="32"/>
      <c r="C1284" s="32"/>
      <c r="D1284" s="32"/>
      <c r="E1284" s="32"/>
      <c r="F1284" s="30"/>
      <c r="G1284" s="32"/>
      <c r="H1284" s="34" t="n">
        <f aca="false">IF($G1284="",0,IFERROR(INDEX(Einstellungen!$G$5:$G$11,MATCH($G1284,Einstellungen!$E$5:$E$11,0)),0))</f>
        <v>0</v>
      </c>
      <c r="I1284" s="35" t="str">
        <f aca="false">IF($G1284="","-",IFERROR(INDEX(Einstellungen!$H$5:$H$11,MATCH($G1284,Einstellungen!$E$5:$E$11,0)),"-"))</f>
        <v>-</v>
      </c>
      <c r="J1284" s="35" t="str">
        <f aca="false">IF(AND(Einstellungen!$B$8="Ja",Einstellungen!$B$9="Effektiv"),$I1284,"-")</f>
        <v>-</v>
      </c>
      <c r="K1284" s="31" t="n">
        <f aca="false">IF(OR($F1284="",$J1284="-"),0,ROUND($F1284-$F1284/(1+$H1284),2))</f>
        <v>0</v>
      </c>
      <c r="L1284" s="31" t="n">
        <f aca="false">IF($F1284="",0,$F1284-$K1284)</f>
        <v>0</v>
      </c>
      <c r="M1284" s="31" t="n">
        <f aca="false">IF($F1284="",0,IF($J1284="V",$L1284,$F1284))</f>
        <v>0</v>
      </c>
      <c r="N1284" s="31" t="n">
        <f aca="false">IF($F1284="",0,IF($J1284="U",$L1284,$F1284))</f>
        <v>0</v>
      </c>
      <c r="O1284" s="35" t="str">
        <f aca="false">IF($A1284="","",MONTH($A1284))</f>
        <v/>
      </c>
      <c r="P1284" s="35" t="str">
        <f aca="false">IF($A1284="","",ROUNDUP(MONTH($A1284)/3,0))</f>
        <v/>
      </c>
      <c r="Q1284" s="35" t="str">
        <f aca="false">IF($A1284="","",IF(MONTH($A1284)&lt;=6,1,2))</f>
        <v/>
      </c>
      <c r="R1284" s="35" t="str">
        <f aca="false">IF($E1284="","",IFERROR(INDEX(Kontenplan!$F$5:$F$90,MATCH($E1284,Kontenplan!$A$5:$A$90,0)),""))</f>
        <v/>
      </c>
      <c r="S1284" s="35" t="str">
        <f aca="false">IF($D1284="","",IFERROR(INDEX(Kontenplan!$F$5:$F$90,MATCH($D1284,Kontenplan!$A$5:$A$90,0)),""))</f>
        <v/>
      </c>
      <c r="T1284" s="35" t="str">
        <f aca="false">IF($D1284="","",IFERROR(INDEX(Kontenplan!$C$5:$C$90,MATCH($D1284,Kontenplan!$A$5:$A$90,0)),"?"))</f>
        <v/>
      </c>
      <c r="U1284" s="35" t="str">
        <f aca="false">IF($E1284="","",IFERROR(INDEX(Kontenplan!$C$5:$C$90,MATCH($E1284,Kontenplan!$A$5:$A$90,0)),"?"))</f>
        <v/>
      </c>
      <c r="V1284" s="35" t="str">
        <f aca="false">IF($F1284="","",IF(OR($D1284="",$E1284="",$T1284="?",$U1284="?"),"Konto prüfen!",IF($A1284="","Datum fehlt",IF(YEAR($A1284)&lt;&gt;Einstellungen!$B$7,"anderes Jahr!",IF($G1284="","MWST-Code fehlt","OK")))))</f>
        <v/>
      </c>
      <c r="W1284" s="35" t="str">
        <f aca="false">IF($F1284="","",IF(OR($D1284=Kontoauszug!$C$4,$E1284=Kontoauszug!$C$4),MAX(W$4:W1283)+1,""))</f>
        <v/>
      </c>
    </row>
    <row r="1285" customFormat="false" ht="15" hidden="false" customHeight="false" outlineLevel="0" collapsed="false">
      <c r="A1285" s="33"/>
      <c r="B1285" s="32"/>
      <c r="C1285" s="32"/>
      <c r="D1285" s="32"/>
      <c r="E1285" s="32"/>
      <c r="F1285" s="30"/>
      <c r="G1285" s="32"/>
      <c r="H1285" s="34" t="n">
        <f aca="false">IF($G1285="",0,IFERROR(INDEX(Einstellungen!$G$5:$G$11,MATCH($G1285,Einstellungen!$E$5:$E$11,0)),0))</f>
        <v>0</v>
      </c>
      <c r="I1285" s="35" t="str">
        <f aca="false">IF($G1285="","-",IFERROR(INDEX(Einstellungen!$H$5:$H$11,MATCH($G1285,Einstellungen!$E$5:$E$11,0)),"-"))</f>
        <v>-</v>
      </c>
      <c r="J1285" s="35" t="str">
        <f aca="false">IF(AND(Einstellungen!$B$8="Ja",Einstellungen!$B$9="Effektiv"),$I1285,"-")</f>
        <v>-</v>
      </c>
      <c r="K1285" s="31" t="n">
        <f aca="false">IF(OR($F1285="",$J1285="-"),0,ROUND($F1285-$F1285/(1+$H1285),2))</f>
        <v>0</v>
      </c>
      <c r="L1285" s="31" t="n">
        <f aca="false">IF($F1285="",0,$F1285-$K1285)</f>
        <v>0</v>
      </c>
      <c r="M1285" s="31" t="n">
        <f aca="false">IF($F1285="",0,IF($J1285="V",$L1285,$F1285))</f>
        <v>0</v>
      </c>
      <c r="N1285" s="31" t="n">
        <f aca="false">IF($F1285="",0,IF($J1285="U",$L1285,$F1285))</f>
        <v>0</v>
      </c>
      <c r="O1285" s="35" t="str">
        <f aca="false">IF($A1285="","",MONTH($A1285))</f>
        <v/>
      </c>
      <c r="P1285" s="35" t="str">
        <f aca="false">IF($A1285="","",ROUNDUP(MONTH($A1285)/3,0))</f>
        <v/>
      </c>
      <c r="Q1285" s="35" t="str">
        <f aca="false">IF($A1285="","",IF(MONTH($A1285)&lt;=6,1,2))</f>
        <v/>
      </c>
      <c r="R1285" s="35" t="str">
        <f aca="false">IF($E1285="","",IFERROR(INDEX(Kontenplan!$F$5:$F$90,MATCH($E1285,Kontenplan!$A$5:$A$90,0)),""))</f>
        <v/>
      </c>
      <c r="S1285" s="35" t="str">
        <f aca="false">IF($D1285="","",IFERROR(INDEX(Kontenplan!$F$5:$F$90,MATCH($D1285,Kontenplan!$A$5:$A$90,0)),""))</f>
        <v/>
      </c>
      <c r="T1285" s="35" t="str">
        <f aca="false">IF($D1285="","",IFERROR(INDEX(Kontenplan!$C$5:$C$90,MATCH($D1285,Kontenplan!$A$5:$A$90,0)),"?"))</f>
        <v/>
      </c>
      <c r="U1285" s="35" t="str">
        <f aca="false">IF($E1285="","",IFERROR(INDEX(Kontenplan!$C$5:$C$90,MATCH($E1285,Kontenplan!$A$5:$A$90,0)),"?"))</f>
        <v/>
      </c>
      <c r="V1285" s="35" t="str">
        <f aca="false">IF($F1285="","",IF(OR($D1285="",$E1285="",$T1285="?",$U1285="?"),"Konto prüfen!",IF($A1285="","Datum fehlt",IF(YEAR($A1285)&lt;&gt;Einstellungen!$B$7,"anderes Jahr!",IF($G1285="","MWST-Code fehlt","OK")))))</f>
        <v/>
      </c>
      <c r="W1285" s="35" t="str">
        <f aca="false">IF($F1285="","",IF(OR($D1285=Kontoauszug!$C$4,$E1285=Kontoauszug!$C$4),MAX(W$4:W1284)+1,""))</f>
        <v/>
      </c>
    </row>
    <row r="1286" customFormat="false" ht="15" hidden="false" customHeight="false" outlineLevel="0" collapsed="false">
      <c r="A1286" s="33"/>
      <c r="B1286" s="32"/>
      <c r="C1286" s="32"/>
      <c r="D1286" s="32"/>
      <c r="E1286" s="32"/>
      <c r="F1286" s="30"/>
      <c r="G1286" s="32"/>
      <c r="H1286" s="34" t="n">
        <f aca="false">IF($G1286="",0,IFERROR(INDEX(Einstellungen!$G$5:$G$11,MATCH($G1286,Einstellungen!$E$5:$E$11,0)),0))</f>
        <v>0</v>
      </c>
      <c r="I1286" s="35" t="str">
        <f aca="false">IF($G1286="","-",IFERROR(INDEX(Einstellungen!$H$5:$H$11,MATCH($G1286,Einstellungen!$E$5:$E$11,0)),"-"))</f>
        <v>-</v>
      </c>
      <c r="J1286" s="35" t="str">
        <f aca="false">IF(AND(Einstellungen!$B$8="Ja",Einstellungen!$B$9="Effektiv"),$I1286,"-")</f>
        <v>-</v>
      </c>
      <c r="K1286" s="31" t="n">
        <f aca="false">IF(OR($F1286="",$J1286="-"),0,ROUND($F1286-$F1286/(1+$H1286),2))</f>
        <v>0</v>
      </c>
      <c r="L1286" s="31" t="n">
        <f aca="false">IF($F1286="",0,$F1286-$K1286)</f>
        <v>0</v>
      </c>
      <c r="M1286" s="31" t="n">
        <f aca="false">IF($F1286="",0,IF($J1286="V",$L1286,$F1286))</f>
        <v>0</v>
      </c>
      <c r="N1286" s="31" t="n">
        <f aca="false">IF($F1286="",0,IF($J1286="U",$L1286,$F1286))</f>
        <v>0</v>
      </c>
      <c r="O1286" s="35" t="str">
        <f aca="false">IF($A1286="","",MONTH($A1286))</f>
        <v/>
      </c>
      <c r="P1286" s="35" t="str">
        <f aca="false">IF($A1286="","",ROUNDUP(MONTH($A1286)/3,0))</f>
        <v/>
      </c>
      <c r="Q1286" s="35" t="str">
        <f aca="false">IF($A1286="","",IF(MONTH($A1286)&lt;=6,1,2))</f>
        <v/>
      </c>
      <c r="R1286" s="35" t="str">
        <f aca="false">IF($E1286="","",IFERROR(INDEX(Kontenplan!$F$5:$F$90,MATCH($E1286,Kontenplan!$A$5:$A$90,0)),""))</f>
        <v/>
      </c>
      <c r="S1286" s="35" t="str">
        <f aca="false">IF($D1286="","",IFERROR(INDEX(Kontenplan!$F$5:$F$90,MATCH($D1286,Kontenplan!$A$5:$A$90,0)),""))</f>
        <v/>
      </c>
      <c r="T1286" s="35" t="str">
        <f aca="false">IF($D1286="","",IFERROR(INDEX(Kontenplan!$C$5:$C$90,MATCH($D1286,Kontenplan!$A$5:$A$90,0)),"?"))</f>
        <v/>
      </c>
      <c r="U1286" s="35" t="str">
        <f aca="false">IF($E1286="","",IFERROR(INDEX(Kontenplan!$C$5:$C$90,MATCH($E1286,Kontenplan!$A$5:$A$90,0)),"?"))</f>
        <v/>
      </c>
      <c r="V1286" s="35" t="str">
        <f aca="false">IF($F1286="","",IF(OR($D1286="",$E1286="",$T1286="?",$U1286="?"),"Konto prüfen!",IF($A1286="","Datum fehlt",IF(YEAR($A1286)&lt;&gt;Einstellungen!$B$7,"anderes Jahr!",IF($G1286="","MWST-Code fehlt","OK")))))</f>
        <v/>
      </c>
      <c r="W1286" s="35" t="str">
        <f aca="false">IF($F1286="","",IF(OR($D1286=Kontoauszug!$C$4,$E1286=Kontoauszug!$C$4),MAX(W$4:W1285)+1,""))</f>
        <v/>
      </c>
    </row>
    <row r="1287" customFormat="false" ht="15" hidden="false" customHeight="false" outlineLevel="0" collapsed="false">
      <c r="A1287" s="33"/>
      <c r="B1287" s="32"/>
      <c r="C1287" s="32"/>
      <c r="D1287" s="32"/>
      <c r="E1287" s="32"/>
      <c r="F1287" s="30"/>
      <c r="G1287" s="32"/>
      <c r="H1287" s="34" t="n">
        <f aca="false">IF($G1287="",0,IFERROR(INDEX(Einstellungen!$G$5:$G$11,MATCH($G1287,Einstellungen!$E$5:$E$11,0)),0))</f>
        <v>0</v>
      </c>
      <c r="I1287" s="35" t="str">
        <f aca="false">IF($G1287="","-",IFERROR(INDEX(Einstellungen!$H$5:$H$11,MATCH($G1287,Einstellungen!$E$5:$E$11,0)),"-"))</f>
        <v>-</v>
      </c>
      <c r="J1287" s="35" t="str">
        <f aca="false">IF(AND(Einstellungen!$B$8="Ja",Einstellungen!$B$9="Effektiv"),$I1287,"-")</f>
        <v>-</v>
      </c>
      <c r="K1287" s="31" t="n">
        <f aca="false">IF(OR($F1287="",$J1287="-"),0,ROUND($F1287-$F1287/(1+$H1287),2))</f>
        <v>0</v>
      </c>
      <c r="L1287" s="31" t="n">
        <f aca="false">IF($F1287="",0,$F1287-$K1287)</f>
        <v>0</v>
      </c>
      <c r="M1287" s="31" t="n">
        <f aca="false">IF($F1287="",0,IF($J1287="V",$L1287,$F1287))</f>
        <v>0</v>
      </c>
      <c r="N1287" s="31" t="n">
        <f aca="false">IF($F1287="",0,IF($J1287="U",$L1287,$F1287))</f>
        <v>0</v>
      </c>
      <c r="O1287" s="35" t="str">
        <f aca="false">IF($A1287="","",MONTH($A1287))</f>
        <v/>
      </c>
      <c r="P1287" s="35" t="str">
        <f aca="false">IF($A1287="","",ROUNDUP(MONTH($A1287)/3,0))</f>
        <v/>
      </c>
      <c r="Q1287" s="35" t="str">
        <f aca="false">IF($A1287="","",IF(MONTH($A1287)&lt;=6,1,2))</f>
        <v/>
      </c>
      <c r="R1287" s="35" t="str">
        <f aca="false">IF($E1287="","",IFERROR(INDEX(Kontenplan!$F$5:$F$90,MATCH($E1287,Kontenplan!$A$5:$A$90,0)),""))</f>
        <v/>
      </c>
      <c r="S1287" s="35" t="str">
        <f aca="false">IF($D1287="","",IFERROR(INDEX(Kontenplan!$F$5:$F$90,MATCH($D1287,Kontenplan!$A$5:$A$90,0)),""))</f>
        <v/>
      </c>
      <c r="T1287" s="35" t="str">
        <f aca="false">IF($D1287="","",IFERROR(INDEX(Kontenplan!$C$5:$C$90,MATCH($D1287,Kontenplan!$A$5:$A$90,0)),"?"))</f>
        <v/>
      </c>
      <c r="U1287" s="35" t="str">
        <f aca="false">IF($E1287="","",IFERROR(INDEX(Kontenplan!$C$5:$C$90,MATCH($E1287,Kontenplan!$A$5:$A$90,0)),"?"))</f>
        <v/>
      </c>
      <c r="V1287" s="35" t="str">
        <f aca="false">IF($F1287="","",IF(OR($D1287="",$E1287="",$T1287="?",$U1287="?"),"Konto prüfen!",IF($A1287="","Datum fehlt",IF(YEAR($A1287)&lt;&gt;Einstellungen!$B$7,"anderes Jahr!",IF($G1287="","MWST-Code fehlt","OK")))))</f>
        <v/>
      </c>
      <c r="W1287" s="35" t="str">
        <f aca="false">IF($F1287="","",IF(OR($D1287=Kontoauszug!$C$4,$E1287=Kontoauszug!$C$4),MAX(W$4:W1286)+1,""))</f>
        <v/>
      </c>
    </row>
    <row r="1288" customFormat="false" ht="15" hidden="false" customHeight="false" outlineLevel="0" collapsed="false">
      <c r="A1288" s="33"/>
      <c r="B1288" s="32"/>
      <c r="C1288" s="32"/>
      <c r="D1288" s="32"/>
      <c r="E1288" s="32"/>
      <c r="F1288" s="30"/>
      <c r="G1288" s="32"/>
      <c r="H1288" s="34" t="n">
        <f aca="false">IF($G1288="",0,IFERROR(INDEX(Einstellungen!$G$5:$G$11,MATCH($G1288,Einstellungen!$E$5:$E$11,0)),0))</f>
        <v>0</v>
      </c>
      <c r="I1288" s="35" t="str">
        <f aca="false">IF($G1288="","-",IFERROR(INDEX(Einstellungen!$H$5:$H$11,MATCH($G1288,Einstellungen!$E$5:$E$11,0)),"-"))</f>
        <v>-</v>
      </c>
      <c r="J1288" s="35" t="str">
        <f aca="false">IF(AND(Einstellungen!$B$8="Ja",Einstellungen!$B$9="Effektiv"),$I1288,"-")</f>
        <v>-</v>
      </c>
      <c r="K1288" s="31" t="n">
        <f aca="false">IF(OR($F1288="",$J1288="-"),0,ROUND($F1288-$F1288/(1+$H1288),2))</f>
        <v>0</v>
      </c>
      <c r="L1288" s="31" t="n">
        <f aca="false">IF($F1288="",0,$F1288-$K1288)</f>
        <v>0</v>
      </c>
      <c r="M1288" s="31" t="n">
        <f aca="false">IF($F1288="",0,IF($J1288="V",$L1288,$F1288))</f>
        <v>0</v>
      </c>
      <c r="N1288" s="31" t="n">
        <f aca="false">IF($F1288="",0,IF($J1288="U",$L1288,$F1288))</f>
        <v>0</v>
      </c>
      <c r="O1288" s="35" t="str">
        <f aca="false">IF($A1288="","",MONTH($A1288))</f>
        <v/>
      </c>
      <c r="P1288" s="35" t="str">
        <f aca="false">IF($A1288="","",ROUNDUP(MONTH($A1288)/3,0))</f>
        <v/>
      </c>
      <c r="Q1288" s="35" t="str">
        <f aca="false">IF($A1288="","",IF(MONTH($A1288)&lt;=6,1,2))</f>
        <v/>
      </c>
      <c r="R1288" s="35" t="str">
        <f aca="false">IF($E1288="","",IFERROR(INDEX(Kontenplan!$F$5:$F$90,MATCH($E1288,Kontenplan!$A$5:$A$90,0)),""))</f>
        <v/>
      </c>
      <c r="S1288" s="35" t="str">
        <f aca="false">IF($D1288="","",IFERROR(INDEX(Kontenplan!$F$5:$F$90,MATCH($D1288,Kontenplan!$A$5:$A$90,0)),""))</f>
        <v/>
      </c>
      <c r="T1288" s="35" t="str">
        <f aca="false">IF($D1288="","",IFERROR(INDEX(Kontenplan!$C$5:$C$90,MATCH($D1288,Kontenplan!$A$5:$A$90,0)),"?"))</f>
        <v/>
      </c>
      <c r="U1288" s="35" t="str">
        <f aca="false">IF($E1288="","",IFERROR(INDEX(Kontenplan!$C$5:$C$90,MATCH($E1288,Kontenplan!$A$5:$A$90,0)),"?"))</f>
        <v/>
      </c>
      <c r="V1288" s="35" t="str">
        <f aca="false">IF($F1288="","",IF(OR($D1288="",$E1288="",$T1288="?",$U1288="?"),"Konto prüfen!",IF($A1288="","Datum fehlt",IF(YEAR($A1288)&lt;&gt;Einstellungen!$B$7,"anderes Jahr!",IF($G1288="","MWST-Code fehlt","OK")))))</f>
        <v/>
      </c>
      <c r="W1288" s="35" t="str">
        <f aca="false">IF($F1288="","",IF(OR($D1288=Kontoauszug!$C$4,$E1288=Kontoauszug!$C$4),MAX(W$4:W1287)+1,""))</f>
        <v/>
      </c>
    </row>
    <row r="1289" customFormat="false" ht="15" hidden="false" customHeight="false" outlineLevel="0" collapsed="false">
      <c r="A1289" s="33"/>
      <c r="B1289" s="32"/>
      <c r="C1289" s="32"/>
      <c r="D1289" s="32"/>
      <c r="E1289" s="32"/>
      <c r="F1289" s="30"/>
      <c r="G1289" s="32"/>
      <c r="H1289" s="34" t="n">
        <f aca="false">IF($G1289="",0,IFERROR(INDEX(Einstellungen!$G$5:$G$11,MATCH($G1289,Einstellungen!$E$5:$E$11,0)),0))</f>
        <v>0</v>
      </c>
      <c r="I1289" s="35" t="str">
        <f aca="false">IF($G1289="","-",IFERROR(INDEX(Einstellungen!$H$5:$H$11,MATCH($G1289,Einstellungen!$E$5:$E$11,0)),"-"))</f>
        <v>-</v>
      </c>
      <c r="J1289" s="35" t="str">
        <f aca="false">IF(AND(Einstellungen!$B$8="Ja",Einstellungen!$B$9="Effektiv"),$I1289,"-")</f>
        <v>-</v>
      </c>
      <c r="K1289" s="31" t="n">
        <f aca="false">IF(OR($F1289="",$J1289="-"),0,ROUND($F1289-$F1289/(1+$H1289),2))</f>
        <v>0</v>
      </c>
      <c r="L1289" s="31" t="n">
        <f aca="false">IF($F1289="",0,$F1289-$K1289)</f>
        <v>0</v>
      </c>
      <c r="M1289" s="31" t="n">
        <f aca="false">IF($F1289="",0,IF($J1289="V",$L1289,$F1289))</f>
        <v>0</v>
      </c>
      <c r="N1289" s="31" t="n">
        <f aca="false">IF($F1289="",0,IF($J1289="U",$L1289,$F1289))</f>
        <v>0</v>
      </c>
      <c r="O1289" s="35" t="str">
        <f aca="false">IF($A1289="","",MONTH($A1289))</f>
        <v/>
      </c>
      <c r="P1289" s="35" t="str">
        <f aca="false">IF($A1289="","",ROUNDUP(MONTH($A1289)/3,0))</f>
        <v/>
      </c>
      <c r="Q1289" s="35" t="str">
        <f aca="false">IF($A1289="","",IF(MONTH($A1289)&lt;=6,1,2))</f>
        <v/>
      </c>
      <c r="R1289" s="35" t="str">
        <f aca="false">IF($E1289="","",IFERROR(INDEX(Kontenplan!$F$5:$F$90,MATCH($E1289,Kontenplan!$A$5:$A$90,0)),""))</f>
        <v/>
      </c>
      <c r="S1289" s="35" t="str">
        <f aca="false">IF($D1289="","",IFERROR(INDEX(Kontenplan!$F$5:$F$90,MATCH($D1289,Kontenplan!$A$5:$A$90,0)),""))</f>
        <v/>
      </c>
      <c r="T1289" s="35" t="str">
        <f aca="false">IF($D1289="","",IFERROR(INDEX(Kontenplan!$C$5:$C$90,MATCH($D1289,Kontenplan!$A$5:$A$90,0)),"?"))</f>
        <v/>
      </c>
      <c r="U1289" s="35" t="str">
        <f aca="false">IF($E1289="","",IFERROR(INDEX(Kontenplan!$C$5:$C$90,MATCH($E1289,Kontenplan!$A$5:$A$90,0)),"?"))</f>
        <v/>
      </c>
      <c r="V1289" s="35" t="str">
        <f aca="false">IF($F1289="","",IF(OR($D1289="",$E1289="",$T1289="?",$U1289="?"),"Konto prüfen!",IF($A1289="","Datum fehlt",IF(YEAR($A1289)&lt;&gt;Einstellungen!$B$7,"anderes Jahr!",IF($G1289="","MWST-Code fehlt","OK")))))</f>
        <v/>
      </c>
      <c r="W1289" s="35" t="str">
        <f aca="false">IF($F1289="","",IF(OR($D1289=Kontoauszug!$C$4,$E1289=Kontoauszug!$C$4),MAX(W$4:W1288)+1,""))</f>
        <v/>
      </c>
    </row>
    <row r="1290" customFormat="false" ht="15" hidden="false" customHeight="false" outlineLevel="0" collapsed="false">
      <c r="A1290" s="33"/>
      <c r="B1290" s="32"/>
      <c r="C1290" s="32"/>
      <c r="D1290" s="32"/>
      <c r="E1290" s="32"/>
      <c r="F1290" s="30"/>
      <c r="G1290" s="32"/>
      <c r="H1290" s="34" t="n">
        <f aca="false">IF($G1290="",0,IFERROR(INDEX(Einstellungen!$G$5:$G$11,MATCH($G1290,Einstellungen!$E$5:$E$11,0)),0))</f>
        <v>0</v>
      </c>
      <c r="I1290" s="35" t="str">
        <f aca="false">IF($G1290="","-",IFERROR(INDEX(Einstellungen!$H$5:$H$11,MATCH($G1290,Einstellungen!$E$5:$E$11,0)),"-"))</f>
        <v>-</v>
      </c>
      <c r="J1290" s="35" t="str">
        <f aca="false">IF(AND(Einstellungen!$B$8="Ja",Einstellungen!$B$9="Effektiv"),$I1290,"-")</f>
        <v>-</v>
      </c>
      <c r="K1290" s="31" t="n">
        <f aca="false">IF(OR($F1290="",$J1290="-"),0,ROUND($F1290-$F1290/(1+$H1290),2))</f>
        <v>0</v>
      </c>
      <c r="L1290" s="31" t="n">
        <f aca="false">IF($F1290="",0,$F1290-$K1290)</f>
        <v>0</v>
      </c>
      <c r="M1290" s="31" t="n">
        <f aca="false">IF($F1290="",0,IF($J1290="V",$L1290,$F1290))</f>
        <v>0</v>
      </c>
      <c r="N1290" s="31" t="n">
        <f aca="false">IF($F1290="",0,IF($J1290="U",$L1290,$F1290))</f>
        <v>0</v>
      </c>
      <c r="O1290" s="35" t="str">
        <f aca="false">IF($A1290="","",MONTH($A1290))</f>
        <v/>
      </c>
      <c r="P1290" s="35" t="str">
        <f aca="false">IF($A1290="","",ROUNDUP(MONTH($A1290)/3,0))</f>
        <v/>
      </c>
      <c r="Q1290" s="35" t="str">
        <f aca="false">IF($A1290="","",IF(MONTH($A1290)&lt;=6,1,2))</f>
        <v/>
      </c>
      <c r="R1290" s="35" t="str">
        <f aca="false">IF($E1290="","",IFERROR(INDEX(Kontenplan!$F$5:$F$90,MATCH($E1290,Kontenplan!$A$5:$A$90,0)),""))</f>
        <v/>
      </c>
      <c r="S1290" s="35" t="str">
        <f aca="false">IF($D1290="","",IFERROR(INDEX(Kontenplan!$F$5:$F$90,MATCH($D1290,Kontenplan!$A$5:$A$90,0)),""))</f>
        <v/>
      </c>
      <c r="T1290" s="35" t="str">
        <f aca="false">IF($D1290="","",IFERROR(INDEX(Kontenplan!$C$5:$C$90,MATCH($D1290,Kontenplan!$A$5:$A$90,0)),"?"))</f>
        <v/>
      </c>
      <c r="U1290" s="35" t="str">
        <f aca="false">IF($E1290="","",IFERROR(INDEX(Kontenplan!$C$5:$C$90,MATCH($E1290,Kontenplan!$A$5:$A$90,0)),"?"))</f>
        <v/>
      </c>
      <c r="V1290" s="35" t="str">
        <f aca="false">IF($F1290="","",IF(OR($D1290="",$E1290="",$T1290="?",$U1290="?"),"Konto prüfen!",IF($A1290="","Datum fehlt",IF(YEAR($A1290)&lt;&gt;Einstellungen!$B$7,"anderes Jahr!",IF($G1290="","MWST-Code fehlt","OK")))))</f>
        <v/>
      </c>
      <c r="W1290" s="35" t="str">
        <f aca="false">IF($F1290="","",IF(OR($D1290=Kontoauszug!$C$4,$E1290=Kontoauszug!$C$4),MAX(W$4:W1289)+1,""))</f>
        <v/>
      </c>
    </row>
    <row r="1291" customFormat="false" ht="15" hidden="false" customHeight="false" outlineLevel="0" collapsed="false">
      <c r="A1291" s="33"/>
      <c r="B1291" s="32"/>
      <c r="C1291" s="32"/>
      <c r="D1291" s="32"/>
      <c r="E1291" s="32"/>
      <c r="F1291" s="30"/>
      <c r="G1291" s="32"/>
      <c r="H1291" s="34" t="n">
        <f aca="false">IF($G1291="",0,IFERROR(INDEX(Einstellungen!$G$5:$G$11,MATCH($G1291,Einstellungen!$E$5:$E$11,0)),0))</f>
        <v>0</v>
      </c>
      <c r="I1291" s="35" t="str">
        <f aca="false">IF($G1291="","-",IFERROR(INDEX(Einstellungen!$H$5:$H$11,MATCH($G1291,Einstellungen!$E$5:$E$11,0)),"-"))</f>
        <v>-</v>
      </c>
      <c r="J1291" s="35" t="str">
        <f aca="false">IF(AND(Einstellungen!$B$8="Ja",Einstellungen!$B$9="Effektiv"),$I1291,"-")</f>
        <v>-</v>
      </c>
      <c r="K1291" s="31" t="n">
        <f aca="false">IF(OR($F1291="",$J1291="-"),0,ROUND($F1291-$F1291/(1+$H1291),2))</f>
        <v>0</v>
      </c>
      <c r="L1291" s="31" t="n">
        <f aca="false">IF($F1291="",0,$F1291-$K1291)</f>
        <v>0</v>
      </c>
      <c r="M1291" s="31" t="n">
        <f aca="false">IF($F1291="",0,IF($J1291="V",$L1291,$F1291))</f>
        <v>0</v>
      </c>
      <c r="N1291" s="31" t="n">
        <f aca="false">IF($F1291="",0,IF($J1291="U",$L1291,$F1291))</f>
        <v>0</v>
      </c>
      <c r="O1291" s="35" t="str">
        <f aca="false">IF($A1291="","",MONTH($A1291))</f>
        <v/>
      </c>
      <c r="P1291" s="35" t="str">
        <f aca="false">IF($A1291="","",ROUNDUP(MONTH($A1291)/3,0))</f>
        <v/>
      </c>
      <c r="Q1291" s="35" t="str">
        <f aca="false">IF($A1291="","",IF(MONTH($A1291)&lt;=6,1,2))</f>
        <v/>
      </c>
      <c r="R1291" s="35" t="str">
        <f aca="false">IF($E1291="","",IFERROR(INDEX(Kontenplan!$F$5:$F$90,MATCH($E1291,Kontenplan!$A$5:$A$90,0)),""))</f>
        <v/>
      </c>
      <c r="S1291" s="35" t="str">
        <f aca="false">IF($D1291="","",IFERROR(INDEX(Kontenplan!$F$5:$F$90,MATCH($D1291,Kontenplan!$A$5:$A$90,0)),""))</f>
        <v/>
      </c>
      <c r="T1291" s="35" t="str">
        <f aca="false">IF($D1291="","",IFERROR(INDEX(Kontenplan!$C$5:$C$90,MATCH($D1291,Kontenplan!$A$5:$A$90,0)),"?"))</f>
        <v/>
      </c>
      <c r="U1291" s="35" t="str">
        <f aca="false">IF($E1291="","",IFERROR(INDEX(Kontenplan!$C$5:$C$90,MATCH($E1291,Kontenplan!$A$5:$A$90,0)),"?"))</f>
        <v/>
      </c>
      <c r="V1291" s="35" t="str">
        <f aca="false">IF($F1291="","",IF(OR($D1291="",$E1291="",$T1291="?",$U1291="?"),"Konto prüfen!",IF($A1291="","Datum fehlt",IF(YEAR($A1291)&lt;&gt;Einstellungen!$B$7,"anderes Jahr!",IF($G1291="","MWST-Code fehlt","OK")))))</f>
        <v/>
      </c>
      <c r="W1291" s="35" t="str">
        <f aca="false">IF($F1291="","",IF(OR($D1291=Kontoauszug!$C$4,$E1291=Kontoauszug!$C$4),MAX(W$4:W1290)+1,""))</f>
        <v/>
      </c>
    </row>
    <row r="1292" customFormat="false" ht="15" hidden="false" customHeight="false" outlineLevel="0" collapsed="false">
      <c r="A1292" s="33"/>
      <c r="B1292" s="32"/>
      <c r="C1292" s="32"/>
      <c r="D1292" s="32"/>
      <c r="E1292" s="32"/>
      <c r="F1292" s="30"/>
      <c r="G1292" s="32"/>
      <c r="H1292" s="34" t="n">
        <f aca="false">IF($G1292="",0,IFERROR(INDEX(Einstellungen!$G$5:$G$11,MATCH($G1292,Einstellungen!$E$5:$E$11,0)),0))</f>
        <v>0</v>
      </c>
      <c r="I1292" s="35" t="str">
        <f aca="false">IF($G1292="","-",IFERROR(INDEX(Einstellungen!$H$5:$H$11,MATCH($G1292,Einstellungen!$E$5:$E$11,0)),"-"))</f>
        <v>-</v>
      </c>
      <c r="J1292" s="35" t="str">
        <f aca="false">IF(AND(Einstellungen!$B$8="Ja",Einstellungen!$B$9="Effektiv"),$I1292,"-")</f>
        <v>-</v>
      </c>
      <c r="K1292" s="31" t="n">
        <f aca="false">IF(OR($F1292="",$J1292="-"),0,ROUND($F1292-$F1292/(1+$H1292),2))</f>
        <v>0</v>
      </c>
      <c r="L1292" s="31" t="n">
        <f aca="false">IF($F1292="",0,$F1292-$K1292)</f>
        <v>0</v>
      </c>
      <c r="M1292" s="31" t="n">
        <f aca="false">IF($F1292="",0,IF($J1292="V",$L1292,$F1292))</f>
        <v>0</v>
      </c>
      <c r="N1292" s="31" t="n">
        <f aca="false">IF($F1292="",0,IF($J1292="U",$L1292,$F1292))</f>
        <v>0</v>
      </c>
      <c r="O1292" s="35" t="str">
        <f aca="false">IF($A1292="","",MONTH($A1292))</f>
        <v/>
      </c>
      <c r="P1292" s="35" t="str">
        <f aca="false">IF($A1292="","",ROUNDUP(MONTH($A1292)/3,0))</f>
        <v/>
      </c>
      <c r="Q1292" s="35" t="str">
        <f aca="false">IF($A1292="","",IF(MONTH($A1292)&lt;=6,1,2))</f>
        <v/>
      </c>
      <c r="R1292" s="35" t="str">
        <f aca="false">IF($E1292="","",IFERROR(INDEX(Kontenplan!$F$5:$F$90,MATCH($E1292,Kontenplan!$A$5:$A$90,0)),""))</f>
        <v/>
      </c>
      <c r="S1292" s="35" t="str">
        <f aca="false">IF($D1292="","",IFERROR(INDEX(Kontenplan!$F$5:$F$90,MATCH($D1292,Kontenplan!$A$5:$A$90,0)),""))</f>
        <v/>
      </c>
      <c r="T1292" s="35" t="str">
        <f aca="false">IF($D1292="","",IFERROR(INDEX(Kontenplan!$C$5:$C$90,MATCH($D1292,Kontenplan!$A$5:$A$90,0)),"?"))</f>
        <v/>
      </c>
      <c r="U1292" s="35" t="str">
        <f aca="false">IF($E1292="","",IFERROR(INDEX(Kontenplan!$C$5:$C$90,MATCH($E1292,Kontenplan!$A$5:$A$90,0)),"?"))</f>
        <v/>
      </c>
      <c r="V1292" s="35" t="str">
        <f aca="false">IF($F1292="","",IF(OR($D1292="",$E1292="",$T1292="?",$U1292="?"),"Konto prüfen!",IF($A1292="","Datum fehlt",IF(YEAR($A1292)&lt;&gt;Einstellungen!$B$7,"anderes Jahr!",IF($G1292="","MWST-Code fehlt","OK")))))</f>
        <v/>
      </c>
      <c r="W1292" s="35" t="str">
        <f aca="false">IF($F1292="","",IF(OR($D1292=Kontoauszug!$C$4,$E1292=Kontoauszug!$C$4),MAX(W$4:W1291)+1,""))</f>
        <v/>
      </c>
    </row>
    <row r="1293" customFormat="false" ht="15" hidden="false" customHeight="false" outlineLevel="0" collapsed="false">
      <c r="A1293" s="33"/>
      <c r="B1293" s="32"/>
      <c r="C1293" s="32"/>
      <c r="D1293" s="32"/>
      <c r="E1293" s="32"/>
      <c r="F1293" s="30"/>
      <c r="G1293" s="32"/>
      <c r="H1293" s="34" t="n">
        <f aca="false">IF($G1293="",0,IFERROR(INDEX(Einstellungen!$G$5:$G$11,MATCH($G1293,Einstellungen!$E$5:$E$11,0)),0))</f>
        <v>0</v>
      </c>
      <c r="I1293" s="35" t="str">
        <f aca="false">IF($G1293="","-",IFERROR(INDEX(Einstellungen!$H$5:$H$11,MATCH($G1293,Einstellungen!$E$5:$E$11,0)),"-"))</f>
        <v>-</v>
      </c>
      <c r="J1293" s="35" t="str">
        <f aca="false">IF(AND(Einstellungen!$B$8="Ja",Einstellungen!$B$9="Effektiv"),$I1293,"-")</f>
        <v>-</v>
      </c>
      <c r="K1293" s="31" t="n">
        <f aca="false">IF(OR($F1293="",$J1293="-"),0,ROUND($F1293-$F1293/(1+$H1293),2))</f>
        <v>0</v>
      </c>
      <c r="L1293" s="31" t="n">
        <f aca="false">IF($F1293="",0,$F1293-$K1293)</f>
        <v>0</v>
      </c>
      <c r="M1293" s="31" t="n">
        <f aca="false">IF($F1293="",0,IF($J1293="V",$L1293,$F1293))</f>
        <v>0</v>
      </c>
      <c r="N1293" s="31" t="n">
        <f aca="false">IF($F1293="",0,IF($J1293="U",$L1293,$F1293))</f>
        <v>0</v>
      </c>
      <c r="O1293" s="35" t="str">
        <f aca="false">IF($A1293="","",MONTH($A1293))</f>
        <v/>
      </c>
      <c r="P1293" s="35" t="str">
        <f aca="false">IF($A1293="","",ROUNDUP(MONTH($A1293)/3,0))</f>
        <v/>
      </c>
      <c r="Q1293" s="35" t="str">
        <f aca="false">IF($A1293="","",IF(MONTH($A1293)&lt;=6,1,2))</f>
        <v/>
      </c>
      <c r="R1293" s="35" t="str">
        <f aca="false">IF($E1293="","",IFERROR(INDEX(Kontenplan!$F$5:$F$90,MATCH($E1293,Kontenplan!$A$5:$A$90,0)),""))</f>
        <v/>
      </c>
      <c r="S1293" s="35" t="str">
        <f aca="false">IF($D1293="","",IFERROR(INDEX(Kontenplan!$F$5:$F$90,MATCH($D1293,Kontenplan!$A$5:$A$90,0)),""))</f>
        <v/>
      </c>
      <c r="T1293" s="35" t="str">
        <f aca="false">IF($D1293="","",IFERROR(INDEX(Kontenplan!$C$5:$C$90,MATCH($D1293,Kontenplan!$A$5:$A$90,0)),"?"))</f>
        <v/>
      </c>
      <c r="U1293" s="35" t="str">
        <f aca="false">IF($E1293="","",IFERROR(INDEX(Kontenplan!$C$5:$C$90,MATCH($E1293,Kontenplan!$A$5:$A$90,0)),"?"))</f>
        <v/>
      </c>
      <c r="V1293" s="35" t="str">
        <f aca="false">IF($F1293="","",IF(OR($D1293="",$E1293="",$T1293="?",$U1293="?"),"Konto prüfen!",IF($A1293="","Datum fehlt",IF(YEAR($A1293)&lt;&gt;Einstellungen!$B$7,"anderes Jahr!",IF($G1293="","MWST-Code fehlt","OK")))))</f>
        <v/>
      </c>
      <c r="W1293" s="35" t="str">
        <f aca="false">IF($F1293="","",IF(OR($D1293=Kontoauszug!$C$4,$E1293=Kontoauszug!$C$4),MAX(W$4:W1292)+1,""))</f>
        <v/>
      </c>
    </row>
    <row r="1294" customFormat="false" ht="15" hidden="false" customHeight="false" outlineLevel="0" collapsed="false">
      <c r="A1294" s="33"/>
      <c r="B1294" s="32"/>
      <c r="C1294" s="32"/>
      <c r="D1294" s="32"/>
      <c r="E1294" s="32"/>
      <c r="F1294" s="30"/>
      <c r="G1294" s="32"/>
      <c r="H1294" s="34" t="n">
        <f aca="false">IF($G1294="",0,IFERROR(INDEX(Einstellungen!$G$5:$G$11,MATCH($G1294,Einstellungen!$E$5:$E$11,0)),0))</f>
        <v>0</v>
      </c>
      <c r="I1294" s="35" t="str">
        <f aca="false">IF($G1294="","-",IFERROR(INDEX(Einstellungen!$H$5:$H$11,MATCH($G1294,Einstellungen!$E$5:$E$11,0)),"-"))</f>
        <v>-</v>
      </c>
      <c r="J1294" s="35" t="str">
        <f aca="false">IF(AND(Einstellungen!$B$8="Ja",Einstellungen!$B$9="Effektiv"),$I1294,"-")</f>
        <v>-</v>
      </c>
      <c r="K1294" s="31" t="n">
        <f aca="false">IF(OR($F1294="",$J1294="-"),0,ROUND($F1294-$F1294/(1+$H1294),2))</f>
        <v>0</v>
      </c>
      <c r="L1294" s="31" t="n">
        <f aca="false">IF($F1294="",0,$F1294-$K1294)</f>
        <v>0</v>
      </c>
      <c r="M1294" s="31" t="n">
        <f aca="false">IF($F1294="",0,IF($J1294="V",$L1294,$F1294))</f>
        <v>0</v>
      </c>
      <c r="N1294" s="31" t="n">
        <f aca="false">IF($F1294="",0,IF($J1294="U",$L1294,$F1294))</f>
        <v>0</v>
      </c>
      <c r="O1294" s="35" t="str">
        <f aca="false">IF($A1294="","",MONTH($A1294))</f>
        <v/>
      </c>
      <c r="P1294" s="35" t="str">
        <f aca="false">IF($A1294="","",ROUNDUP(MONTH($A1294)/3,0))</f>
        <v/>
      </c>
      <c r="Q1294" s="35" t="str">
        <f aca="false">IF($A1294="","",IF(MONTH($A1294)&lt;=6,1,2))</f>
        <v/>
      </c>
      <c r="R1294" s="35" t="str">
        <f aca="false">IF($E1294="","",IFERROR(INDEX(Kontenplan!$F$5:$F$90,MATCH($E1294,Kontenplan!$A$5:$A$90,0)),""))</f>
        <v/>
      </c>
      <c r="S1294" s="35" t="str">
        <f aca="false">IF($D1294="","",IFERROR(INDEX(Kontenplan!$F$5:$F$90,MATCH($D1294,Kontenplan!$A$5:$A$90,0)),""))</f>
        <v/>
      </c>
      <c r="T1294" s="35" t="str">
        <f aca="false">IF($D1294="","",IFERROR(INDEX(Kontenplan!$C$5:$C$90,MATCH($D1294,Kontenplan!$A$5:$A$90,0)),"?"))</f>
        <v/>
      </c>
      <c r="U1294" s="35" t="str">
        <f aca="false">IF($E1294="","",IFERROR(INDEX(Kontenplan!$C$5:$C$90,MATCH($E1294,Kontenplan!$A$5:$A$90,0)),"?"))</f>
        <v/>
      </c>
      <c r="V1294" s="35" t="str">
        <f aca="false">IF($F1294="","",IF(OR($D1294="",$E1294="",$T1294="?",$U1294="?"),"Konto prüfen!",IF($A1294="","Datum fehlt",IF(YEAR($A1294)&lt;&gt;Einstellungen!$B$7,"anderes Jahr!",IF($G1294="","MWST-Code fehlt","OK")))))</f>
        <v/>
      </c>
      <c r="W1294" s="35" t="str">
        <f aca="false">IF($F1294="","",IF(OR($D1294=Kontoauszug!$C$4,$E1294=Kontoauszug!$C$4),MAX(W$4:W1293)+1,""))</f>
        <v/>
      </c>
    </row>
    <row r="1295" customFormat="false" ht="15" hidden="false" customHeight="false" outlineLevel="0" collapsed="false">
      <c r="A1295" s="33"/>
      <c r="B1295" s="32"/>
      <c r="C1295" s="32"/>
      <c r="D1295" s="32"/>
      <c r="E1295" s="32"/>
      <c r="F1295" s="30"/>
      <c r="G1295" s="32"/>
      <c r="H1295" s="34" t="n">
        <f aca="false">IF($G1295="",0,IFERROR(INDEX(Einstellungen!$G$5:$G$11,MATCH($G1295,Einstellungen!$E$5:$E$11,0)),0))</f>
        <v>0</v>
      </c>
      <c r="I1295" s="35" t="str">
        <f aca="false">IF($G1295="","-",IFERROR(INDEX(Einstellungen!$H$5:$H$11,MATCH($G1295,Einstellungen!$E$5:$E$11,0)),"-"))</f>
        <v>-</v>
      </c>
      <c r="J1295" s="35" t="str">
        <f aca="false">IF(AND(Einstellungen!$B$8="Ja",Einstellungen!$B$9="Effektiv"),$I1295,"-")</f>
        <v>-</v>
      </c>
      <c r="K1295" s="31" t="n">
        <f aca="false">IF(OR($F1295="",$J1295="-"),0,ROUND($F1295-$F1295/(1+$H1295),2))</f>
        <v>0</v>
      </c>
      <c r="L1295" s="31" t="n">
        <f aca="false">IF($F1295="",0,$F1295-$K1295)</f>
        <v>0</v>
      </c>
      <c r="M1295" s="31" t="n">
        <f aca="false">IF($F1295="",0,IF($J1295="V",$L1295,$F1295))</f>
        <v>0</v>
      </c>
      <c r="N1295" s="31" t="n">
        <f aca="false">IF($F1295="",0,IF($J1295="U",$L1295,$F1295))</f>
        <v>0</v>
      </c>
      <c r="O1295" s="35" t="str">
        <f aca="false">IF($A1295="","",MONTH($A1295))</f>
        <v/>
      </c>
      <c r="P1295" s="35" t="str">
        <f aca="false">IF($A1295="","",ROUNDUP(MONTH($A1295)/3,0))</f>
        <v/>
      </c>
      <c r="Q1295" s="35" t="str">
        <f aca="false">IF($A1295="","",IF(MONTH($A1295)&lt;=6,1,2))</f>
        <v/>
      </c>
      <c r="R1295" s="35" t="str">
        <f aca="false">IF($E1295="","",IFERROR(INDEX(Kontenplan!$F$5:$F$90,MATCH($E1295,Kontenplan!$A$5:$A$90,0)),""))</f>
        <v/>
      </c>
      <c r="S1295" s="35" t="str">
        <f aca="false">IF($D1295="","",IFERROR(INDEX(Kontenplan!$F$5:$F$90,MATCH($D1295,Kontenplan!$A$5:$A$90,0)),""))</f>
        <v/>
      </c>
      <c r="T1295" s="35" t="str">
        <f aca="false">IF($D1295="","",IFERROR(INDEX(Kontenplan!$C$5:$C$90,MATCH($D1295,Kontenplan!$A$5:$A$90,0)),"?"))</f>
        <v/>
      </c>
      <c r="U1295" s="35" t="str">
        <f aca="false">IF($E1295="","",IFERROR(INDEX(Kontenplan!$C$5:$C$90,MATCH($E1295,Kontenplan!$A$5:$A$90,0)),"?"))</f>
        <v/>
      </c>
      <c r="V1295" s="35" t="str">
        <f aca="false">IF($F1295="","",IF(OR($D1295="",$E1295="",$T1295="?",$U1295="?"),"Konto prüfen!",IF($A1295="","Datum fehlt",IF(YEAR($A1295)&lt;&gt;Einstellungen!$B$7,"anderes Jahr!",IF($G1295="","MWST-Code fehlt","OK")))))</f>
        <v/>
      </c>
      <c r="W1295" s="35" t="str">
        <f aca="false">IF($F1295="","",IF(OR($D1295=Kontoauszug!$C$4,$E1295=Kontoauszug!$C$4),MAX(W$4:W1294)+1,""))</f>
        <v/>
      </c>
    </row>
    <row r="1296" customFormat="false" ht="15" hidden="false" customHeight="false" outlineLevel="0" collapsed="false">
      <c r="A1296" s="33"/>
      <c r="B1296" s="32"/>
      <c r="C1296" s="32"/>
      <c r="D1296" s="32"/>
      <c r="E1296" s="32"/>
      <c r="F1296" s="30"/>
      <c r="G1296" s="32"/>
      <c r="H1296" s="34" t="n">
        <f aca="false">IF($G1296="",0,IFERROR(INDEX(Einstellungen!$G$5:$G$11,MATCH($G1296,Einstellungen!$E$5:$E$11,0)),0))</f>
        <v>0</v>
      </c>
      <c r="I1296" s="35" t="str">
        <f aca="false">IF($G1296="","-",IFERROR(INDEX(Einstellungen!$H$5:$H$11,MATCH($G1296,Einstellungen!$E$5:$E$11,0)),"-"))</f>
        <v>-</v>
      </c>
      <c r="J1296" s="35" t="str">
        <f aca="false">IF(AND(Einstellungen!$B$8="Ja",Einstellungen!$B$9="Effektiv"),$I1296,"-")</f>
        <v>-</v>
      </c>
      <c r="K1296" s="31" t="n">
        <f aca="false">IF(OR($F1296="",$J1296="-"),0,ROUND($F1296-$F1296/(1+$H1296),2))</f>
        <v>0</v>
      </c>
      <c r="L1296" s="31" t="n">
        <f aca="false">IF($F1296="",0,$F1296-$K1296)</f>
        <v>0</v>
      </c>
      <c r="M1296" s="31" t="n">
        <f aca="false">IF($F1296="",0,IF($J1296="V",$L1296,$F1296))</f>
        <v>0</v>
      </c>
      <c r="N1296" s="31" t="n">
        <f aca="false">IF($F1296="",0,IF($J1296="U",$L1296,$F1296))</f>
        <v>0</v>
      </c>
      <c r="O1296" s="35" t="str">
        <f aca="false">IF($A1296="","",MONTH($A1296))</f>
        <v/>
      </c>
      <c r="P1296" s="35" t="str">
        <f aca="false">IF($A1296="","",ROUNDUP(MONTH($A1296)/3,0))</f>
        <v/>
      </c>
      <c r="Q1296" s="35" t="str">
        <f aca="false">IF($A1296="","",IF(MONTH($A1296)&lt;=6,1,2))</f>
        <v/>
      </c>
      <c r="R1296" s="35" t="str">
        <f aca="false">IF($E1296="","",IFERROR(INDEX(Kontenplan!$F$5:$F$90,MATCH($E1296,Kontenplan!$A$5:$A$90,0)),""))</f>
        <v/>
      </c>
      <c r="S1296" s="35" t="str">
        <f aca="false">IF($D1296="","",IFERROR(INDEX(Kontenplan!$F$5:$F$90,MATCH($D1296,Kontenplan!$A$5:$A$90,0)),""))</f>
        <v/>
      </c>
      <c r="T1296" s="35" t="str">
        <f aca="false">IF($D1296="","",IFERROR(INDEX(Kontenplan!$C$5:$C$90,MATCH($D1296,Kontenplan!$A$5:$A$90,0)),"?"))</f>
        <v/>
      </c>
      <c r="U1296" s="35" t="str">
        <f aca="false">IF($E1296="","",IFERROR(INDEX(Kontenplan!$C$5:$C$90,MATCH($E1296,Kontenplan!$A$5:$A$90,0)),"?"))</f>
        <v/>
      </c>
      <c r="V1296" s="35" t="str">
        <f aca="false">IF($F1296="","",IF(OR($D1296="",$E1296="",$T1296="?",$U1296="?"),"Konto prüfen!",IF($A1296="","Datum fehlt",IF(YEAR($A1296)&lt;&gt;Einstellungen!$B$7,"anderes Jahr!",IF($G1296="","MWST-Code fehlt","OK")))))</f>
        <v/>
      </c>
      <c r="W1296" s="35" t="str">
        <f aca="false">IF($F1296="","",IF(OR($D1296=Kontoauszug!$C$4,$E1296=Kontoauszug!$C$4),MAX(W$4:W1295)+1,""))</f>
        <v/>
      </c>
    </row>
    <row r="1297" customFormat="false" ht="15" hidden="false" customHeight="false" outlineLevel="0" collapsed="false">
      <c r="A1297" s="33"/>
      <c r="B1297" s="32"/>
      <c r="C1297" s="32"/>
      <c r="D1297" s="32"/>
      <c r="E1297" s="32"/>
      <c r="F1297" s="30"/>
      <c r="G1297" s="32"/>
      <c r="H1297" s="34" t="n">
        <f aca="false">IF($G1297="",0,IFERROR(INDEX(Einstellungen!$G$5:$G$11,MATCH($G1297,Einstellungen!$E$5:$E$11,0)),0))</f>
        <v>0</v>
      </c>
      <c r="I1297" s="35" t="str">
        <f aca="false">IF($G1297="","-",IFERROR(INDEX(Einstellungen!$H$5:$H$11,MATCH($G1297,Einstellungen!$E$5:$E$11,0)),"-"))</f>
        <v>-</v>
      </c>
      <c r="J1297" s="35" t="str">
        <f aca="false">IF(AND(Einstellungen!$B$8="Ja",Einstellungen!$B$9="Effektiv"),$I1297,"-")</f>
        <v>-</v>
      </c>
      <c r="K1297" s="31" t="n">
        <f aca="false">IF(OR($F1297="",$J1297="-"),0,ROUND($F1297-$F1297/(1+$H1297),2))</f>
        <v>0</v>
      </c>
      <c r="L1297" s="31" t="n">
        <f aca="false">IF($F1297="",0,$F1297-$K1297)</f>
        <v>0</v>
      </c>
      <c r="M1297" s="31" t="n">
        <f aca="false">IF($F1297="",0,IF($J1297="V",$L1297,$F1297))</f>
        <v>0</v>
      </c>
      <c r="N1297" s="31" t="n">
        <f aca="false">IF($F1297="",0,IF($J1297="U",$L1297,$F1297))</f>
        <v>0</v>
      </c>
      <c r="O1297" s="35" t="str">
        <f aca="false">IF($A1297="","",MONTH($A1297))</f>
        <v/>
      </c>
      <c r="P1297" s="35" t="str">
        <f aca="false">IF($A1297="","",ROUNDUP(MONTH($A1297)/3,0))</f>
        <v/>
      </c>
      <c r="Q1297" s="35" t="str">
        <f aca="false">IF($A1297="","",IF(MONTH($A1297)&lt;=6,1,2))</f>
        <v/>
      </c>
      <c r="R1297" s="35" t="str">
        <f aca="false">IF($E1297="","",IFERROR(INDEX(Kontenplan!$F$5:$F$90,MATCH($E1297,Kontenplan!$A$5:$A$90,0)),""))</f>
        <v/>
      </c>
      <c r="S1297" s="35" t="str">
        <f aca="false">IF($D1297="","",IFERROR(INDEX(Kontenplan!$F$5:$F$90,MATCH($D1297,Kontenplan!$A$5:$A$90,0)),""))</f>
        <v/>
      </c>
      <c r="T1297" s="35" t="str">
        <f aca="false">IF($D1297="","",IFERROR(INDEX(Kontenplan!$C$5:$C$90,MATCH($D1297,Kontenplan!$A$5:$A$90,0)),"?"))</f>
        <v/>
      </c>
      <c r="U1297" s="35" t="str">
        <f aca="false">IF($E1297="","",IFERROR(INDEX(Kontenplan!$C$5:$C$90,MATCH($E1297,Kontenplan!$A$5:$A$90,0)),"?"))</f>
        <v/>
      </c>
      <c r="V1297" s="35" t="str">
        <f aca="false">IF($F1297="","",IF(OR($D1297="",$E1297="",$T1297="?",$U1297="?"),"Konto prüfen!",IF($A1297="","Datum fehlt",IF(YEAR($A1297)&lt;&gt;Einstellungen!$B$7,"anderes Jahr!",IF($G1297="","MWST-Code fehlt","OK")))))</f>
        <v/>
      </c>
      <c r="W1297" s="35" t="str">
        <f aca="false">IF($F1297="","",IF(OR($D1297=Kontoauszug!$C$4,$E1297=Kontoauszug!$C$4),MAX(W$4:W1296)+1,""))</f>
        <v/>
      </c>
    </row>
    <row r="1298" customFormat="false" ht="15" hidden="false" customHeight="false" outlineLevel="0" collapsed="false">
      <c r="A1298" s="33"/>
      <c r="B1298" s="32"/>
      <c r="C1298" s="32"/>
      <c r="D1298" s="32"/>
      <c r="E1298" s="32"/>
      <c r="F1298" s="30"/>
      <c r="G1298" s="32"/>
      <c r="H1298" s="34" t="n">
        <f aca="false">IF($G1298="",0,IFERROR(INDEX(Einstellungen!$G$5:$G$11,MATCH($G1298,Einstellungen!$E$5:$E$11,0)),0))</f>
        <v>0</v>
      </c>
      <c r="I1298" s="35" t="str">
        <f aca="false">IF($G1298="","-",IFERROR(INDEX(Einstellungen!$H$5:$H$11,MATCH($G1298,Einstellungen!$E$5:$E$11,0)),"-"))</f>
        <v>-</v>
      </c>
      <c r="J1298" s="35" t="str">
        <f aca="false">IF(AND(Einstellungen!$B$8="Ja",Einstellungen!$B$9="Effektiv"),$I1298,"-")</f>
        <v>-</v>
      </c>
      <c r="K1298" s="31" t="n">
        <f aca="false">IF(OR($F1298="",$J1298="-"),0,ROUND($F1298-$F1298/(1+$H1298),2))</f>
        <v>0</v>
      </c>
      <c r="L1298" s="31" t="n">
        <f aca="false">IF($F1298="",0,$F1298-$K1298)</f>
        <v>0</v>
      </c>
      <c r="M1298" s="31" t="n">
        <f aca="false">IF($F1298="",0,IF($J1298="V",$L1298,$F1298))</f>
        <v>0</v>
      </c>
      <c r="N1298" s="31" t="n">
        <f aca="false">IF($F1298="",0,IF($J1298="U",$L1298,$F1298))</f>
        <v>0</v>
      </c>
      <c r="O1298" s="35" t="str">
        <f aca="false">IF($A1298="","",MONTH($A1298))</f>
        <v/>
      </c>
      <c r="P1298" s="35" t="str">
        <f aca="false">IF($A1298="","",ROUNDUP(MONTH($A1298)/3,0))</f>
        <v/>
      </c>
      <c r="Q1298" s="35" t="str">
        <f aca="false">IF($A1298="","",IF(MONTH($A1298)&lt;=6,1,2))</f>
        <v/>
      </c>
      <c r="R1298" s="35" t="str">
        <f aca="false">IF($E1298="","",IFERROR(INDEX(Kontenplan!$F$5:$F$90,MATCH($E1298,Kontenplan!$A$5:$A$90,0)),""))</f>
        <v/>
      </c>
      <c r="S1298" s="35" t="str">
        <f aca="false">IF($D1298="","",IFERROR(INDEX(Kontenplan!$F$5:$F$90,MATCH($D1298,Kontenplan!$A$5:$A$90,0)),""))</f>
        <v/>
      </c>
      <c r="T1298" s="35" t="str">
        <f aca="false">IF($D1298="","",IFERROR(INDEX(Kontenplan!$C$5:$C$90,MATCH($D1298,Kontenplan!$A$5:$A$90,0)),"?"))</f>
        <v/>
      </c>
      <c r="U1298" s="35" t="str">
        <f aca="false">IF($E1298="","",IFERROR(INDEX(Kontenplan!$C$5:$C$90,MATCH($E1298,Kontenplan!$A$5:$A$90,0)),"?"))</f>
        <v/>
      </c>
      <c r="V1298" s="35" t="str">
        <f aca="false">IF($F1298="","",IF(OR($D1298="",$E1298="",$T1298="?",$U1298="?"),"Konto prüfen!",IF($A1298="","Datum fehlt",IF(YEAR($A1298)&lt;&gt;Einstellungen!$B$7,"anderes Jahr!",IF($G1298="","MWST-Code fehlt","OK")))))</f>
        <v/>
      </c>
      <c r="W1298" s="35" t="str">
        <f aca="false">IF($F1298="","",IF(OR($D1298=Kontoauszug!$C$4,$E1298=Kontoauszug!$C$4),MAX(W$4:W1297)+1,""))</f>
        <v/>
      </c>
    </row>
    <row r="1299" customFormat="false" ht="15" hidden="false" customHeight="false" outlineLevel="0" collapsed="false">
      <c r="A1299" s="33"/>
      <c r="B1299" s="32"/>
      <c r="C1299" s="32"/>
      <c r="D1299" s="32"/>
      <c r="E1299" s="32"/>
      <c r="F1299" s="30"/>
      <c r="G1299" s="32"/>
      <c r="H1299" s="34" t="n">
        <f aca="false">IF($G1299="",0,IFERROR(INDEX(Einstellungen!$G$5:$G$11,MATCH($G1299,Einstellungen!$E$5:$E$11,0)),0))</f>
        <v>0</v>
      </c>
      <c r="I1299" s="35" t="str">
        <f aca="false">IF($G1299="","-",IFERROR(INDEX(Einstellungen!$H$5:$H$11,MATCH($G1299,Einstellungen!$E$5:$E$11,0)),"-"))</f>
        <v>-</v>
      </c>
      <c r="J1299" s="35" t="str">
        <f aca="false">IF(AND(Einstellungen!$B$8="Ja",Einstellungen!$B$9="Effektiv"),$I1299,"-")</f>
        <v>-</v>
      </c>
      <c r="K1299" s="31" t="n">
        <f aca="false">IF(OR($F1299="",$J1299="-"),0,ROUND($F1299-$F1299/(1+$H1299),2))</f>
        <v>0</v>
      </c>
      <c r="L1299" s="31" t="n">
        <f aca="false">IF($F1299="",0,$F1299-$K1299)</f>
        <v>0</v>
      </c>
      <c r="M1299" s="31" t="n">
        <f aca="false">IF($F1299="",0,IF($J1299="V",$L1299,$F1299))</f>
        <v>0</v>
      </c>
      <c r="N1299" s="31" t="n">
        <f aca="false">IF($F1299="",0,IF($J1299="U",$L1299,$F1299))</f>
        <v>0</v>
      </c>
      <c r="O1299" s="35" t="str">
        <f aca="false">IF($A1299="","",MONTH($A1299))</f>
        <v/>
      </c>
      <c r="P1299" s="35" t="str">
        <f aca="false">IF($A1299="","",ROUNDUP(MONTH($A1299)/3,0))</f>
        <v/>
      </c>
      <c r="Q1299" s="35" t="str">
        <f aca="false">IF($A1299="","",IF(MONTH($A1299)&lt;=6,1,2))</f>
        <v/>
      </c>
      <c r="R1299" s="35" t="str">
        <f aca="false">IF($E1299="","",IFERROR(INDEX(Kontenplan!$F$5:$F$90,MATCH($E1299,Kontenplan!$A$5:$A$90,0)),""))</f>
        <v/>
      </c>
      <c r="S1299" s="35" t="str">
        <f aca="false">IF($D1299="","",IFERROR(INDEX(Kontenplan!$F$5:$F$90,MATCH($D1299,Kontenplan!$A$5:$A$90,0)),""))</f>
        <v/>
      </c>
      <c r="T1299" s="35" t="str">
        <f aca="false">IF($D1299="","",IFERROR(INDEX(Kontenplan!$C$5:$C$90,MATCH($D1299,Kontenplan!$A$5:$A$90,0)),"?"))</f>
        <v/>
      </c>
      <c r="U1299" s="35" t="str">
        <f aca="false">IF($E1299="","",IFERROR(INDEX(Kontenplan!$C$5:$C$90,MATCH($E1299,Kontenplan!$A$5:$A$90,0)),"?"))</f>
        <v/>
      </c>
      <c r="V1299" s="35" t="str">
        <f aca="false">IF($F1299="","",IF(OR($D1299="",$E1299="",$T1299="?",$U1299="?"),"Konto prüfen!",IF($A1299="","Datum fehlt",IF(YEAR($A1299)&lt;&gt;Einstellungen!$B$7,"anderes Jahr!",IF($G1299="","MWST-Code fehlt","OK")))))</f>
        <v/>
      </c>
      <c r="W1299" s="35" t="str">
        <f aca="false">IF($F1299="","",IF(OR($D1299=Kontoauszug!$C$4,$E1299=Kontoauszug!$C$4),MAX(W$4:W1298)+1,""))</f>
        <v/>
      </c>
    </row>
    <row r="1300" customFormat="false" ht="15" hidden="false" customHeight="false" outlineLevel="0" collapsed="false">
      <c r="A1300" s="33"/>
      <c r="B1300" s="32"/>
      <c r="C1300" s="32"/>
      <c r="D1300" s="32"/>
      <c r="E1300" s="32"/>
      <c r="F1300" s="30"/>
      <c r="G1300" s="32"/>
      <c r="H1300" s="34" t="n">
        <f aca="false">IF($G1300="",0,IFERROR(INDEX(Einstellungen!$G$5:$G$11,MATCH($G1300,Einstellungen!$E$5:$E$11,0)),0))</f>
        <v>0</v>
      </c>
      <c r="I1300" s="35" t="str">
        <f aca="false">IF($G1300="","-",IFERROR(INDEX(Einstellungen!$H$5:$H$11,MATCH($G1300,Einstellungen!$E$5:$E$11,0)),"-"))</f>
        <v>-</v>
      </c>
      <c r="J1300" s="35" t="str">
        <f aca="false">IF(AND(Einstellungen!$B$8="Ja",Einstellungen!$B$9="Effektiv"),$I1300,"-")</f>
        <v>-</v>
      </c>
      <c r="K1300" s="31" t="n">
        <f aca="false">IF(OR($F1300="",$J1300="-"),0,ROUND($F1300-$F1300/(1+$H1300),2))</f>
        <v>0</v>
      </c>
      <c r="L1300" s="31" t="n">
        <f aca="false">IF($F1300="",0,$F1300-$K1300)</f>
        <v>0</v>
      </c>
      <c r="M1300" s="31" t="n">
        <f aca="false">IF($F1300="",0,IF($J1300="V",$L1300,$F1300))</f>
        <v>0</v>
      </c>
      <c r="N1300" s="31" t="n">
        <f aca="false">IF($F1300="",0,IF($J1300="U",$L1300,$F1300))</f>
        <v>0</v>
      </c>
      <c r="O1300" s="35" t="str">
        <f aca="false">IF($A1300="","",MONTH($A1300))</f>
        <v/>
      </c>
      <c r="P1300" s="35" t="str">
        <f aca="false">IF($A1300="","",ROUNDUP(MONTH($A1300)/3,0))</f>
        <v/>
      </c>
      <c r="Q1300" s="35" t="str">
        <f aca="false">IF($A1300="","",IF(MONTH($A1300)&lt;=6,1,2))</f>
        <v/>
      </c>
      <c r="R1300" s="35" t="str">
        <f aca="false">IF($E1300="","",IFERROR(INDEX(Kontenplan!$F$5:$F$90,MATCH($E1300,Kontenplan!$A$5:$A$90,0)),""))</f>
        <v/>
      </c>
      <c r="S1300" s="35" t="str">
        <f aca="false">IF($D1300="","",IFERROR(INDEX(Kontenplan!$F$5:$F$90,MATCH($D1300,Kontenplan!$A$5:$A$90,0)),""))</f>
        <v/>
      </c>
      <c r="T1300" s="35" t="str">
        <f aca="false">IF($D1300="","",IFERROR(INDEX(Kontenplan!$C$5:$C$90,MATCH($D1300,Kontenplan!$A$5:$A$90,0)),"?"))</f>
        <v/>
      </c>
      <c r="U1300" s="35" t="str">
        <f aca="false">IF($E1300="","",IFERROR(INDEX(Kontenplan!$C$5:$C$90,MATCH($E1300,Kontenplan!$A$5:$A$90,0)),"?"))</f>
        <v/>
      </c>
      <c r="V1300" s="35" t="str">
        <f aca="false">IF($F1300="","",IF(OR($D1300="",$E1300="",$T1300="?",$U1300="?"),"Konto prüfen!",IF($A1300="","Datum fehlt",IF(YEAR($A1300)&lt;&gt;Einstellungen!$B$7,"anderes Jahr!",IF($G1300="","MWST-Code fehlt","OK")))))</f>
        <v/>
      </c>
      <c r="W1300" s="35" t="str">
        <f aca="false">IF($F1300="","",IF(OR($D1300=Kontoauszug!$C$4,$E1300=Kontoauszug!$C$4),MAX(W$4:W1299)+1,""))</f>
        <v/>
      </c>
    </row>
    <row r="1301" customFormat="false" ht="15" hidden="false" customHeight="false" outlineLevel="0" collapsed="false">
      <c r="A1301" s="33"/>
      <c r="B1301" s="32"/>
      <c r="C1301" s="32"/>
      <c r="D1301" s="32"/>
      <c r="E1301" s="32"/>
      <c r="F1301" s="30"/>
      <c r="G1301" s="32"/>
      <c r="H1301" s="34" t="n">
        <f aca="false">IF($G1301="",0,IFERROR(INDEX(Einstellungen!$G$5:$G$11,MATCH($G1301,Einstellungen!$E$5:$E$11,0)),0))</f>
        <v>0</v>
      </c>
      <c r="I1301" s="35" t="str">
        <f aca="false">IF($G1301="","-",IFERROR(INDEX(Einstellungen!$H$5:$H$11,MATCH($G1301,Einstellungen!$E$5:$E$11,0)),"-"))</f>
        <v>-</v>
      </c>
      <c r="J1301" s="35" t="str">
        <f aca="false">IF(AND(Einstellungen!$B$8="Ja",Einstellungen!$B$9="Effektiv"),$I1301,"-")</f>
        <v>-</v>
      </c>
      <c r="K1301" s="31" t="n">
        <f aca="false">IF(OR($F1301="",$J1301="-"),0,ROUND($F1301-$F1301/(1+$H1301),2))</f>
        <v>0</v>
      </c>
      <c r="L1301" s="31" t="n">
        <f aca="false">IF($F1301="",0,$F1301-$K1301)</f>
        <v>0</v>
      </c>
      <c r="M1301" s="31" t="n">
        <f aca="false">IF($F1301="",0,IF($J1301="V",$L1301,$F1301))</f>
        <v>0</v>
      </c>
      <c r="N1301" s="31" t="n">
        <f aca="false">IF($F1301="",0,IF($J1301="U",$L1301,$F1301))</f>
        <v>0</v>
      </c>
      <c r="O1301" s="35" t="str">
        <f aca="false">IF($A1301="","",MONTH($A1301))</f>
        <v/>
      </c>
      <c r="P1301" s="35" t="str">
        <f aca="false">IF($A1301="","",ROUNDUP(MONTH($A1301)/3,0))</f>
        <v/>
      </c>
      <c r="Q1301" s="35" t="str">
        <f aca="false">IF($A1301="","",IF(MONTH($A1301)&lt;=6,1,2))</f>
        <v/>
      </c>
      <c r="R1301" s="35" t="str">
        <f aca="false">IF($E1301="","",IFERROR(INDEX(Kontenplan!$F$5:$F$90,MATCH($E1301,Kontenplan!$A$5:$A$90,0)),""))</f>
        <v/>
      </c>
      <c r="S1301" s="35" t="str">
        <f aca="false">IF($D1301="","",IFERROR(INDEX(Kontenplan!$F$5:$F$90,MATCH($D1301,Kontenplan!$A$5:$A$90,0)),""))</f>
        <v/>
      </c>
      <c r="T1301" s="35" t="str">
        <f aca="false">IF($D1301="","",IFERROR(INDEX(Kontenplan!$C$5:$C$90,MATCH($D1301,Kontenplan!$A$5:$A$90,0)),"?"))</f>
        <v/>
      </c>
      <c r="U1301" s="35" t="str">
        <f aca="false">IF($E1301="","",IFERROR(INDEX(Kontenplan!$C$5:$C$90,MATCH($E1301,Kontenplan!$A$5:$A$90,0)),"?"))</f>
        <v/>
      </c>
      <c r="V1301" s="35" t="str">
        <f aca="false">IF($F1301="","",IF(OR($D1301="",$E1301="",$T1301="?",$U1301="?"),"Konto prüfen!",IF($A1301="","Datum fehlt",IF(YEAR($A1301)&lt;&gt;Einstellungen!$B$7,"anderes Jahr!",IF($G1301="","MWST-Code fehlt","OK")))))</f>
        <v/>
      </c>
      <c r="W1301" s="35" t="str">
        <f aca="false">IF($F1301="","",IF(OR($D1301=Kontoauszug!$C$4,$E1301=Kontoauszug!$C$4),MAX(W$4:W1300)+1,""))</f>
        <v/>
      </c>
    </row>
    <row r="1302" customFormat="false" ht="15" hidden="false" customHeight="false" outlineLevel="0" collapsed="false">
      <c r="A1302" s="33"/>
      <c r="B1302" s="32"/>
      <c r="C1302" s="32"/>
      <c r="D1302" s="32"/>
      <c r="E1302" s="32"/>
      <c r="F1302" s="30"/>
      <c r="G1302" s="32"/>
      <c r="H1302" s="34" t="n">
        <f aca="false">IF($G1302="",0,IFERROR(INDEX(Einstellungen!$G$5:$G$11,MATCH($G1302,Einstellungen!$E$5:$E$11,0)),0))</f>
        <v>0</v>
      </c>
      <c r="I1302" s="35" t="str">
        <f aca="false">IF($G1302="","-",IFERROR(INDEX(Einstellungen!$H$5:$H$11,MATCH($G1302,Einstellungen!$E$5:$E$11,0)),"-"))</f>
        <v>-</v>
      </c>
      <c r="J1302" s="35" t="str">
        <f aca="false">IF(AND(Einstellungen!$B$8="Ja",Einstellungen!$B$9="Effektiv"),$I1302,"-")</f>
        <v>-</v>
      </c>
      <c r="K1302" s="31" t="n">
        <f aca="false">IF(OR($F1302="",$J1302="-"),0,ROUND($F1302-$F1302/(1+$H1302),2))</f>
        <v>0</v>
      </c>
      <c r="L1302" s="31" t="n">
        <f aca="false">IF($F1302="",0,$F1302-$K1302)</f>
        <v>0</v>
      </c>
      <c r="M1302" s="31" t="n">
        <f aca="false">IF($F1302="",0,IF($J1302="V",$L1302,$F1302))</f>
        <v>0</v>
      </c>
      <c r="N1302" s="31" t="n">
        <f aca="false">IF($F1302="",0,IF($J1302="U",$L1302,$F1302))</f>
        <v>0</v>
      </c>
      <c r="O1302" s="35" t="str">
        <f aca="false">IF($A1302="","",MONTH($A1302))</f>
        <v/>
      </c>
      <c r="P1302" s="35" t="str">
        <f aca="false">IF($A1302="","",ROUNDUP(MONTH($A1302)/3,0))</f>
        <v/>
      </c>
      <c r="Q1302" s="35" t="str">
        <f aca="false">IF($A1302="","",IF(MONTH($A1302)&lt;=6,1,2))</f>
        <v/>
      </c>
      <c r="R1302" s="35" t="str">
        <f aca="false">IF($E1302="","",IFERROR(INDEX(Kontenplan!$F$5:$F$90,MATCH($E1302,Kontenplan!$A$5:$A$90,0)),""))</f>
        <v/>
      </c>
      <c r="S1302" s="35" t="str">
        <f aca="false">IF($D1302="","",IFERROR(INDEX(Kontenplan!$F$5:$F$90,MATCH($D1302,Kontenplan!$A$5:$A$90,0)),""))</f>
        <v/>
      </c>
      <c r="T1302" s="35" t="str">
        <f aca="false">IF($D1302="","",IFERROR(INDEX(Kontenplan!$C$5:$C$90,MATCH($D1302,Kontenplan!$A$5:$A$90,0)),"?"))</f>
        <v/>
      </c>
      <c r="U1302" s="35" t="str">
        <f aca="false">IF($E1302="","",IFERROR(INDEX(Kontenplan!$C$5:$C$90,MATCH($E1302,Kontenplan!$A$5:$A$90,0)),"?"))</f>
        <v/>
      </c>
      <c r="V1302" s="35" t="str">
        <f aca="false">IF($F1302="","",IF(OR($D1302="",$E1302="",$T1302="?",$U1302="?"),"Konto prüfen!",IF($A1302="","Datum fehlt",IF(YEAR($A1302)&lt;&gt;Einstellungen!$B$7,"anderes Jahr!",IF($G1302="","MWST-Code fehlt","OK")))))</f>
        <v/>
      </c>
      <c r="W1302" s="35" t="str">
        <f aca="false">IF($F1302="","",IF(OR($D1302=Kontoauszug!$C$4,$E1302=Kontoauszug!$C$4),MAX(W$4:W1301)+1,""))</f>
        <v/>
      </c>
    </row>
    <row r="1303" customFormat="false" ht="15" hidden="false" customHeight="false" outlineLevel="0" collapsed="false">
      <c r="A1303" s="33"/>
      <c r="B1303" s="32"/>
      <c r="C1303" s="32"/>
      <c r="D1303" s="32"/>
      <c r="E1303" s="32"/>
      <c r="F1303" s="30"/>
      <c r="G1303" s="32"/>
      <c r="H1303" s="34" t="n">
        <f aca="false">IF($G1303="",0,IFERROR(INDEX(Einstellungen!$G$5:$G$11,MATCH($G1303,Einstellungen!$E$5:$E$11,0)),0))</f>
        <v>0</v>
      </c>
      <c r="I1303" s="35" t="str">
        <f aca="false">IF($G1303="","-",IFERROR(INDEX(Einstellungen!$H$5:$H$11,MATCH($G1303,Einstellungen!$E$5:$E$11,0)),"-"))</f>
        <v>-</v>
      </c>
      <c r="J1303" s="35" t="str">
        <f aca="false">IF(AND(Einstellungen!$B$8="Ja",Einstellungen!$B$9="Effektiv"),$I1303,"-")</f>
        <v>-</v>
      </c>
      <c r="K1303" s="31" t="n">
        <f aca="false">IF(OR($F1303="",$J1303="-"),0,ROUND($F1303-$F1303/(1+$H1303),2))</f>
        <v>0</v>
      </c>
      <c r="L1303" s="31" t="n">
        <f aca="false">IF($F1303="",0,$F1303-$K1303)</f>
        <v>0</v>
      </c>
      <c r="M1303" s="31" t="n">
        <f aca="false">IF($F1303="",0,IF($J1303="V",$L1303,$F1303))</f>
        <v>0</v>
      </c>
      <c r="N1303" s="31" t="n">
        <f aca="false">IF($F1303="",0,IF($J1303="U",$L1303,$F1303))</f>
        <v>0</v>
      </c>
      <c r="O1303" s="35" t="str">
        <f aca="false">IF($A1303="","",MONTH($A1303))</f>
        <v/>
      </c>
      <c r="P1303" s="35" t="str">
        <f aca="false">IF($A1303="","",ROUNDUP(MONTH($A1303)/3,0))</f>
        <v/>
      </c>
      <c r="Q1303" s="35" t="str">
        <f aca="false">IF($A1303="","",IF(MONTH($A1303)&lt;=6,1,2))</f>
        <v/>
      </c>
      <c r="R1303" s="35" t="str">
        <f aca="false">IF($E1303="","",IFERROR(INDEX(Kontenplan!$F$5:$F$90,MATCH($E1303,Kontenplan!$A$5:$A$90,0)),""))</f>
        <v/>
      </c>
      <c r="S1303" s="35" t="str">
        <f aca="false">IF($D1303="","",IFERROR(INDEX(Kontenplan!$F$5:$F$90,MATCH($D1303,Kontenplan!$A$5:$A$90,0)),""))</f>
        <v/>
      </c>
      <c r="T1303" s="35" t="str">
        <f aca="false">IF($D1303="","",IFERROR(INDEX(Kontenplan!$C$5:$C$90,MATCH($D1303,Kontenplan!$A$5:$A$90,0)),"?"))</f>
        <v/>
      </c>
      <c r="U1303" s="35" t="str">
        <f aca="false">IF($E1303="","",IFERROR(INDEX(Kontenplan!$C$5:$C$90,MATCH($E1303,Kontenplan!$A$5:$A$90,0)),"?"))</f>
        <v/>
      </c>
      <c r="V1303" s="35" t="str">
        <f aca="false">IF($F1303="","",IF(OR($D1303="",$E1303="",$T1303="?",$U1303="?"),"Konto prüfen!",IF($A1303="","Datum fehlt",IF(YEAR($A1303)&lt;&gt;Einstellungen!$B$7,"anderes Jahr!",IF($G1303="","MWST-Code fehlt","OK")))))</f>
        <v/>
      </c>
      <c r="W1303" s="35" t="str">
        <f aca="false">IF($F1303="","",IF(OR($D1303=Kontoauszug!$C$4,$E1303=Kontoauszug!$C$4),MAX(W$4:W1302)+1,""))</f>
        <v/>
      </c>
    </row>
    <row r="1304" customFormat="false" ht="15" hidden="false" customHeight="false" outlineLevel="0" collapsed="false">
      <c r="A1304" s="33"/>
      <c r="B1304" s="32"/>
      <c r="C1304" s="32"/>
      <c r="D1304" s="32"/>
      <c r="E1304" s="32"/>
      <c r="F1304" s="30"/>
      <c r="G1304" s="32"/>
      <c r="H1304" s="34" t="n">
        <f aca="false">IF($G1304="",0,IFERROR(INDEX(Einstellungen!$G$5:$G$11,MATCH($G1304,Einstellungen!$E$5:$E$11,0)),0))</f>
        <v>0</v>
      </c>
      <c r="I1304" s="35" t="str">
        <f aca="false">IF($G1304="","-",IFERROR(INDEX(Einstellungen!$H$5:$H$11,MATCH($G1304,Einstellungen!$E$5:$E$11,0)),"-"))</f>
        <v>-</v>
      </c>
      <c r="J1304" s="35" t="str">
        <f aca="false">IF(AND(Einstellungen!$B$8="Ja",Einstellungen!$B$9="Effektiv"),$I1304,"-")</f>
        <v>-</v>
      </c>
      <c r="K1304" s="31" t="n">
        <f aca="false">IF(OR($F1304="",$J1304="-"),0,ROUND($F1304-$F1304/(1+$H1304),2))</f>
        <v>0</v>
      </c>
      <c r="L1304" s="31" t="n">
        <f aca="false">IF($F1304="",0,$F1304-$K1304)</f>
        <v>0</v>
      </c>
      <c r="M1304" s="31" t="n">
        <f aca="false">IF($F1304="",0,IF($J1304="V",$L1304,$F1304))</f>
        <v>0</v>
      </c>
      <c r="N1304" s="31" t="n">
        <f aca="false">IF($F1304="",0,IF($J1304="U",$L1304,$F1304))</f>
        <v>0</v>
      </c>
      <c r="O1304" s="35" t="str">
        <f aca="false">IF($A1304="","",MONTH($A1304))</f>
        <v/>
      </c>
      <c r="P1304" s="35" t="str">
        <f aca="false">IF($A1304="","",ROUNDUP(MONTH($A1304)/3,0))</f>
        <v/>
      </c>
      <c r="Q1304" s="35" t="str">
        <f aca="false">IF($A1304="","",IF(MONTH($A1304)&lt;=6,1,2))</f>
        <v/>
      </c>
      <c r="R1304" s="35" t="str">
        <f aca="false">IF($E1304="","",IFERROR(INDEX(Kontenplan!$F$5:$F$90,MATCH($E1304,Kontenplan!$A$5:$A$90,0)),""))</f>
        <v/>
      </c>
      <c r="S1304" s="35" t="str">
        <f aca="false">IF($D1304="","",IFERROR(INDEX(Kontenplan!$F$5:$F$90,MATCH($D1304,Kontenplan!$A$5:$A$90,0)),""))</f>
        <v/>
      </c>
      <c r="T1304" s="35" t="str">
        <f aca="false">IF($D1304="","",IFERROR(INDEX(Kontenplan!$C$5:$C$90,MATCH($D1304,Kontenplan!$A$5:$A$90,0)),"?"))</f>
        <v/>
      </c>
      <c r="U1304" s="35" t="str">
        <f aca="false">IF($E1304="","",IFERROR(INDEX(Kontenplan!$C$5:$C$90,MATCH($E1304,Kontenplan!$A$5:$A$90,0)),"?"))</f>
        <v/>
      </c>
      <c r="V1304" s="35" t="str">
        <f aca="false">IF($F1304="","",IF(OR($D1304="",$E1304="",$T1304="?",$U1304="?"),"Konto prüfen!",IF($A1304="","Datum fehlt",IF(YEAR($A1304)&lt;&gt;Einstellungen!$B$7,"anderes Jahr!",IF($G1304="","MWST-Code fehlt","OK")))))</f>
        <v/>
      </c>
      <c r="W1304" s="35" t="str">
        <f aca="false">IF($F1304="","",IF(OR($D1304=Kontoauszug!$C$4,$E1304=Kontoauszug!$C$4),MAX(W$4:W1303)+1,""))</f>
        <v/>
      </c>
    </row>
    <row r="1305" customFormat="false" ht="15" hidden="false" customHeight="false" outlineLevel="0" collapsed="false">
      <c r="A1305" s="33"/>
      <c r="B1305" s="32"/>
      <c r="C1305" s="32"/>
      <c r="D1305" s="32"/>
      <c r="E1305" s="32"/>
      <c r="F1305" s="30"/>
      <c r="G1305" s="32"/>
      <c r="H1305" s="34" t="n">
        <f aca="false">IF($G1305="",0,IFERROR(INDEX(Einstellungen!$G$5:$G$11,MATCH($G1305,Einstellungen!$E$5:$E$11,0)),0))</f>
        <v>0</v>
      </c>
      <c r="I1305" s="35" t="str">
        <f aca="false">IF($G1305="","-",IFERROR(INDEX(Einstellungen!$H$5:$H$11,MATCH($G1305,Einstellungen!$E$5:$E$11,0)),"-"))</f>
        <v>-</v>
      </c>
      <c r="J1305" s="35" t="str">
        <f aca="false">IF(AND(Einstellungen!$B$8="Ja",Einstellungen!$B$9="Effektiv"),$I1305,"-")</f>
        <v>-</v>
      </c>
      <c r="K1305" s="31" t="n">
        <f aca="false">IF(OR($F1305="",$J1305="-"),0,ROUND($F1305-$F1305/(1+$H1305),2))</f>
        <v>0</v>
      </c>
      <c r="L1305" s="31" t="n">
        <f aca="false">IF($F1305="",0,$F1305-$K1305)</f>
        <v>0</v>
      </c>
      <c r="M1305" s="31" t="n">
        <f aca="false">IF($F1305="",0,IF($J1305="V",$L1305,$F1305))</f>
        <v>0</v>
      </c>
      <c r="N1305" s="31" t="n">
        <f aca="false">IF($F1305="",0,IF($J1305="U",$L1305,$F1305))</f>
        <v>0</v>
      </c>
      <c r="O1305" s="35" t="str">
        <f aca="false">IF($A1305="","",MONTH($A1305))</f>
        <v/>
      </c>
      <c r="P1305" s="35" t="str">
        <f aca="false">IF($A1305="","",ROUNDUP(MONTH($A1305)/3,0))</f>
        <v/>
      </c>
      <c r="Q1305" s="35" t="str">
        <f aca="false">IF($A1305="","",IF(MONTH($A1305)&lt;=6,1,2))</f>
        <v/>
      </c>
      <c r="R1305" s="35" t="str">
        <f aca="false">IF($E1305="","",IFERROR(INDEX(Kontenplan!$F$5:$F$90,MATCH($E1305,Kontenplan!$A$5:$A$90,0)),""))</f>
        <v/>
      </c>
      <c r="S1305" s="35" t="str">
        <f aca="false">IF($D1305="","",IFERROR(INDEX(Kontenplan!$F$5:$F$90,MATCH($D1305,Kontenplan!$A$5:$A$90,0)),""))</f>
        <v/>
      </c>
      <c r="T1305" s="35" t="str">
        <f aca="false">IF($D1305="","",IFERROR(INDEX(Kontenplan!$C$5:$C$90,MATCH($D1305,Kontenplan!$A$5:$A$90,0)),"?"))</f>
        <v/>
      </c>
      <c r="U1305" s="35" t="str">
        <f aca="false">IF($E1305="","",IFERROR(INDEX(Kontenplan!$C$5:$C$90,MATCH($E1305,Kontenplan!$A$5:$A$90,0)),"?"))</f>
        <v/>
      </c>
      <c r="V1305" s="35" t="str">
        <f aca="false">IF($F1305="","",IF(OR($D1305="",$E1305="",$T1305="?",$U1305="?"),"Konto prüfen!",IF($A1305="","Datum fehlt",IF(YEAR($A1305)&lt;&gt;Einstellungen!$B$7,"anderes Jahr!",IF($G1305="","MWST-Code fehlt","OK")))))</f>
        <v/>
      </c>
      <c r="W1305" s="35" t="str">
        <f aca="false">IF($F1305="","",IF(OR($D1305=Kontoauszug!$C$4,$E1305=Kontoauszug!$C$4),MAX(W$4:W1304)+1,""))</f>
        <v/>
      </c>
    </row>
    <row r="1306" customFormat="false" ht="15" hidden="false" customHeight="false" outlineLevel="0" collapsed="false">
      <c r="A1306" s="33"/>
      <c r="B1306" s="32"/>
      <c r="C1306" s="32"/>
      <c r="D1306" s="32"/>
      <c r="E1306" s="32"/>
      <c r="F1306" s="30"/>
      <c r="G1306" s="32"/>
      <c r="H1306" s="34" t="n">
        <f aca="false">IF($G1306="",0,IFERROR(INDEX(Einstellungen!$G$5:$G$11,MATCH($G1306,Einstellungen!$E$5:$E$11,0)),0))</f>
        <v>0</v>
      </c>
      <c r="I1306" s="35" t="str">
        <f aca="false">IF($G1306="","-",IFERROR(INDEX(Einstellungen!$H$5:$H$11,MATCH($G1306,Einstellungen!$E$5:$E$11,0)),"-"))</f>
        <v>-</v>
      </c>
      <c r="J1306" s="35" t="str">
        <f aca="false">IF(AND(Einstellungen!$B$8="Ja",Einstellungen!$B$9="Effektiv"),$I1306,"-")</f>
        <v>-</v>
      </c>
      <c r="K1306" s="31" t="n">
        <f aca="false">IF(OR($F1306="",$J1306="-"),0,ROUND($F1306-$F1306/(1+$H1306),2))</f>
        <v>0</v>
      </c>
      <c r="L1306" s="31" t="n">
        <f aca="false">IF($F1306="",0,$F1306-$K1306)</f>
        <v>0</v>
      </c>
      <c r="M1306" s="31" t="n">
        <f aca="false">IF($F1306="",0,IF($J1306="V",$L1306,$F1306))</f>
        <v>0</v>
      </c>
      <c r="N1306" s="31" t="n">
        <f aca="false">IF($F1306="",0,IF($J1306="U",$L1306,$F1306))</f>
        <v>0</v>
      </c>
      <c r="O1306" s="35" t="str">
        <f aca="false">IF($A1306="","",MONTH($A1306))</f>
        <v/>
      </c>
      <c r="P1306" s="35" t="str">
        <f aca="false">IF($A1306="","",ROUNDUP(MONTH($A1306)/3,0))</f>
        <v/>
      </c>
      <c r="Q1306" s="35" t="str">
        <f aca="false">IF($A1306="","",IF(MONTH($A1306)&lt;=6,1,2))</f>
        <v/>
      </c>
      <c r="R1306" s="35" t="str">
        <f aca="false">IF($E1306="","",IFERROR(INDEX(Kontenplan!$F$5:$F$90,MATCH($E1306,Kontenplan!$A$5:$A$90,0)),""))</f>
        <v/>
      </c>
      <c r="S1306" s="35" t="str">
        <f aca="false">IF($D1306="","",IFERROR(INDEX(Kontenplan!$F$5:$F$90,MATCH($D1306,Kontenplan!$A$5:$A$90,0)),""))</f>
        <v/>
      </c>
      <c r="T1306" s="35" t="str">
        <f aca="false">IF($D1306="","",IFERROR(INDEX(Kontenplan!$C$5:$C$90,MATCH($D1306,Kontenplan!$A$5:$A$90,0)),"?"))</f>
        <v/>
      </c>
      <c r="U1306" s="35" t="str">
        <f aca="false">IF($E1306="","",IFERROR(INDEX(Kontenplan!$C$5:$C$90,MATCH($E1306,Kontenplan!$A$5:$A$90,0)),"?"))</f>
        <v/>
      </c>
      <c r="V1306" s="35" t="str">
        <f aca="false">IF($F1306="","",IF(OR($D1306="",$E1306="",$T1306="?",$U1306="?"),"Konto prüfen!",IF($A1306="","Datum fehlt",IF(YEAR($A1306)&lt;&gt;Einstellungen!$B$7,"anderes Jahr!",IF($G1306="","MWST-Code fehlt","OK")))))</f>
        <v/>
      </c>
      <c r="W1306" s="35" t="str">
        <f aca="false">IF($F1306="","",IF(OR($D1306=Kontoauszug!$C$4,$E1306=Kontoauszug!$C$4),MAX(W$4:W1305)+1,""))</f>
        <v/>
      </c>
    </row>
    <row r="1307" customFormat="false" ht="15" hidden="false" customHeight="false" outlineLevel="0" collapsed="false">
      <c r="A1307" s="33"/>
      <c r="B1307" s="32"/>
      <c r="C1307" s="32"/>
      <c r="D1307" s="32"/>
      <c r="E1307" s="32"/>
      <c r="F1307" s="30"/>
      <c r="G1307" s="32"/>
      <c r="H1307" s="34" t="n">
        <f aca="false">IF($G1307="",0,IFERROR(INDEX(Einstellungen!$G$5:$G$11,MATCH($G1307,Einstellungen!$E$5:$E$11,0)),0))</f>
        <v>0</v>
      </c>
      <c r="I1307" s="35" t="str">
        <f aca="false">IF($G1307="","-",IFERROR(INDEX(Einstellungen!$H$5:$H$11,MATCH($G1307,Einstellungen!$E$5:$E$11,0)),"-"))</f>
        <v>-</v>
      </c>
      <c r="J1307" s="35" t="str">
        <f aca="false">IF(AND(Einstellungen!$B$8="Ja",Einstellungen!$B$9="Effektiv"),$I1307,"-")</f>
        <v>-</v>
      </c>
      <c r="K1307" s="31" t="n">
        <f aca="false">IF(OR($F1307="",$J1307="-"),0,ROUND($F1307-$F1307/(1+$H1307),2))</f>
        <v>0</v>
      </c>
      <c r="L1307" s="31" t="n">
        <f aca="false">IF($F1307="",0,$F1307-$K1307)</f>
        <v>0</v>
      </c>
      <c r="M1307" s="31" t="n">
        <f aca="false">IF($F1307="",0,IF($J1307="V",$L1307,$F1307))</f>
        <v>0</v>
      </c>
      <c r="N1307" s="31" t="n">
        <f aca="false">IF($F1307="",0,IF($J1307="U",$L1307,$F1307))</f>
        <v>0</v>
      </c>
      <c r="O1307" s="35" t="str">
        <f aca="false">IF($A1307="","",MONTH($A1307))</f>
        <v/>
      </c>
      <c r="P1307" s="35" t="str">
        <f aca="false">IF($A1307="","",ROUNDUP(MONTH($A1307)/3,0))</f>
        <v/>
      </c>
      <c r="Q1307" s="35" t="str">
        <f aca="false">IF($A1307="","",IF(MONTH($A1307)&lt;=6,1,2))</f>
        <v/>
      </c>
      <c r="R1307" s="35" t="str">
        <f aca="false">IF($E1307="","",IFERROR(INDEX(Kontenplan!$F$5:$F$90,MATCH($E1307,Kontenplan!$A$5:$A$90,0)),""))</f>
        <v/>
      </c>
      <c r="S1307" s="35" t="str">
        <f aca="false">IF($D1307="","",IFERROR(INDEX(Kontenplan!$F$5:$F$90,MATCH($D1307,Kontenplan!$A$5:$A$90,0)),""))</f>
        <v/>
      </c>
      <c r="T1307" s="35" t="str">
        <f aca="false">IF($D1307="","",IFERROR(INDEX(Kontenplan!$C$5:$C$90,MATCH($D1307,Kontenplan!$A$5:$A$90,0)),"?"))</f>
        <v/>
      </c>
      <c r="U1307" s="35" t="str">
        <f aca="false">IF($E1307="","",IFERROR(INDEX(Kontenplan!$C$5:$C$90,MATCH($E1307,Kontenplan!$A$5:$A$90,0)),"?"))</f>
        <v/>
      </c>
      <c r="V1307" s="35" t="str">
        <f aca="false">IF($F1307="","",IF(OR($D1307="",$E1307="",$T1307="?",$U1307="?"),"Konto prüfen!",IF($A1307="","Datum fehlt",IF(YEAR($A1307)&lt;&gt;Einstellungen!$B$7,"anderes Jahr!",IF($G1307="","MWST-Code fehlt","OK")))))</f>
        <v/>
      </c>
      <c r="W1307" s="35" t="str">
        <f aca="false">IF($F1307="","",IF(OR($D1307=Kontoauszug!$C$4,$E1307=Kontoauszug!$C$4),MAX(W$4:W1306)+1,""))</f>
        <v/>
      </c>
    </row>
    <row r="1308" customFormat="false" ht="15" hidden="false" customHeight="false" outlineLevel="0" collapsed="false">
      <c r="A1308" s="33"/>
      <c r="B1308" s="32"/>
      <c r="C1308" s="32"/>
      <c r="D1308" s="32"/>
      <c r="E1308" s="32"/>
      <c r="F1308" s="30"/>
      <c r="G1308" s="32"/>
      <c r="H1308" s="34" t="n">
        <f aca="false">IF($G1308="",0,IFERROR(INDEX(Einstellungen!$G$5:$G$11,MATCH($G1308,Einstellungen!$E$5:$E$11,0)),0))</f>
        <v>0</v>
      </c>
      <c r="I1308" s="35" t="str">
        <f aca="false">IF($G1308="","-",IFERROR(INDEX(Einstellungen!$H$5:$H$11,MATCH($G1308,Einstellungen!$E$5:$E$11,0)),"-"))</f>
        <v>-</v>
      </c>
      <c r="J1308" s="35" t="str">
        <f aca="false">IF(AND(Einstellungen!$B$8="Ja",Einstellungen!$B$9="Effektiv"),$I1308,"-")</f>
        <v>-</v>
      </c>
      <c r="K1308" s="31" t="n">
        <f aca="false">IF(OR($F1308="",$J1308="-"),0,ROUND($F1308-$F1308/(1+$H1308),2))</f>
        <v>0</v>
      </c>
      <c r="L1308" s="31" t="n">
        <f aca="false">IF($F1308="",0,$F1308-$K1308)</f>
        <v>0</v>
      </c>
      <c r="M1308" s="31" t="n">
        <f aca="false">IF($F1308="",0,IF($J1308="V",$L1308,$F1308))</f>
        <v>0</v>
      </c>
      <c r="N1308" s="31" t="n">
        <f aca="false">IF($F1308="",0,IF($J1308="U",$L1308,$F1308))</f>
        <v>0</v>
      </c>
      <c r="O1308" s="35" t="str">
        <f aca="false">IF($A1308="","",MONTH($A1308))</f>
        <v/>
      </c>
      <c r="P1308" s="35" t="str">
        <f aca="false">IF($A1308="","",ROUNDUP(MONTH($A1308)/3,0))</f>
        <v/>
      </c>
      <c r="Q1308" s="35" t="str">
        <f aca="false">IF($A1308="","",IF(MONTH($A1308)&lt;=6,1,2))</f>
        <v/>
      </c>
      <c r="R1308" s="35" t="str">
        <f aca="false">IF($E1308="","",IFERROR(INDEX(Kontenplan!$F$5:$F$90,MATCH($E1308,Kontenplan!$A$5:$A$90,0)),""))</f>
        <v/>
      </c>
      <c r="S1308" s="35" t="str">
        <f aca="false">IF($D1308="","",IFERROR(INDEX(Kontenplan!$F$5:$F$90,MATCH($D1308,Kontenplan!$A$5:$A$90,0)),""))</f>
        <v/>
      </c>
      <c r="T1308" s="35" t="str">
        <f aca="false">IF($D1308="","",IFERROR(INDEX(Kontenplan!$C$5:$C$90,MATCH($D1308,Kontenplan!$A$5:$A$90,0)),"?"))</f>
        <v/>
      </c>
      <c r="U1308" s="35" t="str">
        <f aca="false">IF($E1308="","",IFERROR(INDEX(Kontenplan!$C$5:$C$90,MATCH($E1308,Kontenplan!$A$5:$A$90,0)),"?"))</f>
        <v/>
      </c>
      <c r="V1308" s="35" t="str">
        <f aca="false">IF($F1308="","",IF(OR($D1308="",$E1308="",$T1308="?",$U1308="?"),"Konto prüfen!",IF($A1308="","Datum fehlt",IF(YEAR($A1308)&lt;&gt;Einstellungen!$B$7,"anderes Jahr!",IF($G1308="","MWST-Code fehlt","OK")))))</f>
        <v/>
      </c>
      <c r="W1308" s="35" t="str">
        <f aca="false">IF($F1308="","",IF(OR($D1308=Kontoauszug!$C$4,$E1308=Kontoauszug!$C$4),MAX(W$4:W1307)+1,""))</f>
        <v/>
      </c>
    </row>
    <row r="1309" customFormat="false" ht="15" hidden="false" customHeight="false" outlineLevel="0" collapsed="false">
      <c r="A1309" s="33"/>
      <c r="B1309" s="32"/>
      <c r="C1309" s="32"/>
      <c r="D1309" s="32"/>
      <c r="E1309" s="32"/>
      <c r="F1309" s="30"/>
      <c r="G1309" s="32"/>
      <c r="H1309" s="34" t="n">
        <f aca="false">IF($G1309="",0,IFERROR(INDEX(Einstellungen!$G$5:$G$11,MATCH($G1309,Einstellungen!$E$5:$E$11,0)),0))</f>
        <v>0</v>
      </c>
      <c r="I1309" s="35" t="str">
        <f aca="false">IF($G1309="","-",IFERROR(INDEX(Einstellungen!$H$5:$H$11,MATCH($G1309,Einstellungen!$E$5:$E$11,0)),"-"))</f>
        <v>-</v>
      </c>
      <c r="J1309" s="35" t="str">
        <f aca="false">IF(AND(Einstellungen!$B$8="Ja",Einstellungen!$B$9="Effektiv"),$I1309,"-")</f>
        <v>-</v>
      </c>
      <c r="K1309" s="31" t="n">
        <f aca="false">IF(OR($F1309="",$J1309="-"),0,ROUND($F1309-$F1309/(1+$H1309),2))</f>
        <v>0</v>
      </c>
      <c r="L1309" s="31" t="n">
        <f aca="false">IF($F1309="",0,$F1309-$K1309)</f>
        <v>0</v>
      </c>
      <c r="M1309" s="31" t="n">
        <f aca="false">IF($F1309="",0,IF($J1309="V",$L1309,$F1309))</f>
        <v>0</v>
      </c>
      <c r="N1309" s="31" t="n">
        <f aca="false">IF($F1309="",0,IF($J1309="U",$L1309,$F1309))</f>
        <v>0</v>
      </c>
      <c r="O1309" s="35" t="str">
        <f aca="false">IF($A1309="","",MONTH($A1309))</f>
        <v/>
      </c>
      <c r="P1309" s="35" t="str">
        <f aca="false">IF($A1309="","",ROUNDUP(MONTH($A1309)/3,0))</f>
        <v/>
      </c>
      <c r="Q1309" s="35" t="str">
        <f aca="false">IF($A1309="","",IF(MONTH($A1309)&lt;=6,1,2))</f>
        <v/>
      </c>
      <c r="R1309" s="35" t="str">
        <f aca="false">IF($E1309="","",IFERROR(INDEX(Kontenplan!$F$5:$F$90,MATCH($E1309,Kontenplan!$A$5:$A$90,0)),""))</f>
        <v/>
      </c>
      <c r="S1309" s="35" t="str">
        <f aca="false">IF($D1309="","",IFERROR(INDEX(Kontenplan!$F$5:$F$90,MATCH($D1309,Kontenplan!$A$5:$A$90,0)),""))</f>
        <v/>
      </c>
      <c r="T1309" s="35" t="str">
        <f aca="false">IF($D1309="","",IFERROR(INDEX(Kontenplan!$C$5:$C$90,MATCH($D1309,Kontenplan!$A$5:$A$90,0)),"?"))</f>
        <v/>
      </c>
      <c r="U1309" s="35" t="str">
        <f aca="false">IF($E1309="","",IFERROR(INDEX(Kontenplan!$C$5:$C$90,MATCH($E1309,Kontenplan!$A$5:$A$90,0)),"?"))</f>
        <v/>
      </c>
      <c r="V1309" s="35" t="str">
        <f aca="false">IF($F1309="","",IF(OR($D1309="",$E1309="",$T1309="?",$U1309="?"),"Konto prüfen!",IF($A1309="","Datum fehlt",IF(YEAR($A1309)&lt;&gt;Einstellungen!$B$7,"anderes Jahr!",IF($G1309="","MWST-Code fehlt","OK")))))</f>
        <v/>
      </c>
      <c r="W1309" s="35" t="str">
        <f aca="false">IF($F1309="","",IF(OR($D1309=Kontoauszug!$C$4,$E1309=Kontoauszug!$C$4),MAX(W$4:W1308)+1,""))</f>
        <v/>
      </c>
    </row>
    <row r="1310" customFormat="false" ht="15" hidden="false" customHeight="false" outlineLevel="0" collapsed="false">
      <c r="A1310" s="33"/>
      <c r="B1310" s="32"/>
      <c r="C1310" s="32"/>
      <c r="D1310" s="32"/>
      <c r="E1310" s="32"/>
      <c r="F1310" s="30"/>
      <c r="G1310" s="32"/>
      <c r="H1310" s="34" t="n">
        <f aca="false">IF($G1310="",0,IFERROR(INDEX(Einstellungen!$G$5:$G$11,MATCH($G1310,Einstellungen!$E$5:$E$11,0)),0))</f>
        <v>0</v>
      </c>
      <c r="I1310" s="35" t="str">
        <f aca="false">IF($G1310="","-",IFERROR(INDEX(Einstellungen!$H$5:$H$11,MATCH($G1310,Einstellungen!$E$5:$E$11,0)),"-"))</f>
        <v>-</v>
      </c>
      <c r="J1310" s="35" t="str">
        <f aca="false">IF(AND(Einstellungen!$B$8="Ja",Einstellungen!$B$9="Effektiv"),$I1310,"-")</f>
        <v>-</v>
      </c>
      <c r="K1310" s="31" t="n">
        <f aca="false">IF(OR($F1310="",$J1310="-"),0,ROUND($F1310-$F1310/(1+$H1310),2))</f>
        <v>0</v>
      </c>
      <c r="L1310" s="31" t="n">
        <f aca="false">IF($F1310="",0,$F1310-$K1310)</f>
        <v>0</v>
      </c>
      <c r="M1310" s="31" t="n">
        <f aca="false">IF($F1310="",0,IF($J1310="V",$L1310,$F1310))</f>
        <v>0</v>
      </c>
      <c r="N1310" s="31" t="n">
        <f aca="false">IF($F1310="",0,IF($J1310="U",$L1310,$F1310))</f>
        <v>0</v>
      </c>
      <c r="O1310" s="35" t="str">
        <f aca="false">IF($A1310="","",MONTH($A1310))</f>
        <v/>
      </c>
      <c r="P1310" s="35" t="str">
        <f aca="false">IF($A1310="","",ROUNDUP(MONTH($A1310)/3,0))</f>
        <v/>
      </c>
      <c r="Q1310" s="35" t="str">
        <f aca="false">IF($A1310="","",IF(MONTH($A1310)&lt;=6,1,2))</f>
        <v/>
      </c>
      <c r="R1310" s="35" t="str">
        <f aca="false">IF($E1310="","",IFERROR(INDEX(Kontenplan!$F$5:$F$90,MATCH($E1310,Kontenplan!$A$5:$A$90,0)),""))</f>
        <v/>
      </c>
      <c r="S1310" s="35" t="str">
        <f aca="false">IF($D1310="","",IFERROR(INDEX(Kontenplan!$F$5:$F$90,MATCH($D1310,Kontenplan!$A$5:$A$90,0)),""))</f>
        <v/>
      </c>
      <c r="T1310" s="35" t="str">
        <f aca="false">IF($D1310="","",IFERROR(INDEX(Kontenplan!$C$5:$C$90,MATCH($D1310,Kontenplan!$A$5:$A$90,0)),"?"))</f>
        <v/>
      </c>
      <c r="U1310" s="35" t="str">
        <f aca="false">IF($E1310="","",IFERROR(INDEX(Kontenplan!$C$5:$C$90,MATCH($E1310,Kontenplan!$A$5:$A$90,0)),"?"))</f>
        <v/>
      </c>
      <c r="V1310" s="35" t="str">
        <f aca="false">IF($F1310="","",IF(OR($D1310="",$E1310="",$T1310="?",$U1310="?"),"Konto prüfen!",IF($A1310="","Datum fehlt",IF(YEAR($A1310)&lt;&gt;Einstellungen!$B$7,"anderes Jahr!",IF($G1310="","MWST-Code fehlt","OK")))))</f>
        <v/>
      </c>
      <c r="W1310" s="35" t="str">
        <f aca="false">IF($F1310="","",IF(OR($D1310=Kontoauszug!$C$4,$E1310=Kontoauszug!$C$4),MAX(W$4:W1309)+1,""))</f>
        <v/>
      </c>
    </row>
    <row r="1311" customFormat="false" ht="15" hidden="false" customHeight="false" outlineLevel="0" collapsed="false">
      <c r="A1311" s="33"/>
      <c r="B1311" s="32"/>
      <c r="C1311" s="32"/>
      <c r="D1311" s="32"/>
      <c r="E1311" s="32"/>
      <c r="F1311" s="30"/>
      <c r="G1311" s="32"/>
      <c r="H1311" s="34" t="n">
        <f aca="false">IF($G1311="",0,IFERROR(INDEX(Einstellungen!$G$5:$G$11,MATCH($G1311,Einstellungen!$E$5:$E$11,0)),0))</f>
        <v>0</v>
      </c>
      <c r="I1311" s="35" t="str">
        <f aca="false">IF($G1311="","-",IFERROR(INDEX(Einstellungen!$H$5:$H$11,MATCH($G1311,Einstellungen!$E$5:$E$11,0)),"-"))</f>
        <v>-</v>
      </c>
      <c r="J1311" s="35" t="str">
        <f aca="false">IF(AND(Einstellungen!$B$8="Ja",Einstellungen!$B$9="Effektiv"),$I1311,"-")</f>
        <v>-</v>
      </c>
      <c r="K1311" s="31" t="n">
        <f aca="false">IF(OR($F1311="",$J1311="-"),0,ROUND($F1311-$F1311/(1+$H1311),2))</f>
        <v>0</v>
      </c>
      <c r="L1311" s="31" t="n">
        <f aca="false">IF($F1311="",0,$F1311-$K1311)</f>
        <v>0</v>
      </c>
      <c r="M1311" s="31" t="n">
        <f aca="false">IF($F1311="",0,IF($J1311="V",$L1311,$F1311))</f>
        <v>0</v>
      </c>
      <c r="N1311" s="31" t="n">
        <f aca="false">IF($F1311="",0,IF($J1311="U",$L1311,$F1311))</f>
        <v>0</v>
      </c>
      <c r="O1311" s="35" t="str">
        <f aca="false">IF($A1311="","",MONTH($A1311))</f>
        <v/>
      </c>
      <c r="P1311" s="35" t="str">
        <f aca="false">IF($A1311="","",ROUNDUP(MONTH($A1311)/3,0))</f>
        <v/>
      </c>
      <c r="Q1311" s="35" t="str">
        <f aca="false">IF($A1311="","",IF(MONTH($A1311)&lt;=6,1,2))</f>
        <v/>
      </c>
      <c r="R1311" s="35" t="str">
        <f aca="false">IF($E1311="","",IFERROR(INDEX(Kontenplan!$F$5:$F$90,MATCH($E1311,Kontenplan!$A$5:$A$90,0)),""))</f>
        <v/>
      </c>
      <c r="S1311" s="35" t="str">
        <f aca="false">IF($D1311="","",IFERROR(INDEX(Kontenplan!$F$5:$F$90,MATCH($D1311,Kontenplan!$A$5:$A$90,0)),""))</f>
        <v/>
      </c>
      <c r="T1311" s="35" t="str">
        <f aca="false">IF($D1311="","",IFERROR(INDEX(Kontenplan!$C$5:$C$90,MATCH($D1311,Kontenplan!$A$5:$A$90,0)),"?"))</f>
        <v/>
      </c>
      <c r="U1311" s="35" t="str">
        <f aca="false">IF($E1311="","",IFERROR(INDEX(Kontenplan!$C$5:$C$90,MATCH($E1311,Kontenplan!$A$5:$A$90,0)),"?"))</f>
        <v/>
      </c>
      <c r="V1311" s="35" t="str">
        <f aca="false">IF($F1311="","",IF(OR($D1311="",$E1311="",$T1311="?",$U1311="?"),"Konto prüfen!",IF($A1311="","Datum fehlt",IF(YEAR($A1311)&lt;&gt;Einstellungen!$B$7,"anderes Jahr!",IF($G1311="","MWST-Code fehlt","OK")))))</f>
        <v/>
      </c>
      <c r="W1311" s="35" t="str">
        <f aca="false">IF($F1311="","",IF(OR($D1311=Kontoauszug!$C$4,$E1311=Kontoauszug!$C$4),MAX(W$4:W1310)+1,""))</f>
        <v/>
      </c>
    </row>
    <row r="1312" customFormat="false" ht="15" hidden="false" customHeight="false" outlineLevel="0" collapsed="false">
      <c r="A1312" s="33"/>
      <c r="B1312" s="32"/>
      <c r="C1312" s="32"/>
      <c r="D1312" s="32"/>
      <c r="E1312" s="32"/>
      <c r="F1312" s="30"/>
      <c r="G1312" s="32"/>
      <c r="H1312" s="34" t="n">
        <f aca="false">IF($G1312="",0,IFERROR(INDEX(Einstellungen!$G$5:$G$11,MATCH($G1312,Einstellungen!$E$5:$E$11,0)),0))</f>
        <v>0</v>
      </c>
      <c r="I1312" s="35" t="str">
        <f aca="false">IF($G1312="","-",IFERROR(INDEX(Einstellungen!$H$5:$H$11,MATCH($G1312,Einstellungen!$E$5:$E$11,0)),"-"))</f>
        <v>-</v>
      </c>
      <c r="J1312" s="35" t="str">
        <f aca="false">IF(AND(Einstellungen!$B$8="Ja",Einstellungen!$B$9="Effektiv"),$I1312,"-")</f>
        <v>-</v>
      </c>
      <c r="K1312" s="31" t="n">
        <f aca="false">IF(OR($F1312="",$J1312="-"),0,ROUND($F1312-$F1312/(1+$H1312),2))</f>
        <v>0</v>
      </c>
      <c r="L1312" s="31" t="n">
        <f aca="false">IF($F1312="",0,$F1312-$K1312)</f>
        <v>0</v>
      </c>
      <c r="M1312" s="31" t="n">
        <f aca="false">IF($F1312="",0,IF($J1312="V",$L1312,$F1312))</f>
        <v>0</v>
      </c>
      <c r="N1312" s="31" t="n">
        <f aca="false">IF($F1312="",0,IF($J1312="U",$L1312,$F1312))</f>
        <v>0</v>
      </c>
      <c r="O1312" s="35" t="str">
        <f aca="false">IF($A1312="","",MONTH($A1312))</f>
        <v/>
      </c>
      <c r="P1312" s="35" t="str">
        <f aca="false">IF($A1312="","",ROUNDUP(MONTH($A1312)/3,0))</f>
        <v/>
      </c>
      <c r="Q1312" s="35" t="str">
        <f aca="false">IF($A1312="","",IF(MONTH($A1312)&lt;=6,1,2))</f>
        <v/>
      </c>
      <c r="R1312" s="35" t="str">
        <f aca="false">IF($E1312="","",IFERROR(INDEX(Kontenplan!$F$5:$F$90,MATCH($E1312,Kontenplan!$A$5:$A$90,0)),""))</f>
        <v/>
      </c>
      <c r="S1312" s="35" t="str">
        <f aca="false">IF($D1312="","",IFERROR(INDEX(Kontenplan!$F$5:$F$90,MATCH($D1312,Kontenplan!$A$5:$A$90,0)),""))</f>
        <v/>
      </c>
      <c r="T1312" s="35" t="str">
        <f aca="false">IF($D1312="","",IFERROR(INDEX(Kontenplan!$C$5:$C$90,MATCH($D1312,Kontenplan!$A$5:$A$90,0)),"?"))</f>
        <v/>
      </c>
      <c r="U1312" s="35" t="str">
        <f aca="false">IF($E1312="","",IFERROR(INDEX(Kontenplan!$C$5:$C$90,MATCH($E1312,Kontenplan!$A$5:$A$90,0)),"?"))</f>
        <v/>
      </c>
      <c r="V1312" s="35" t="str">
        <f aca="false">IF($F1312="","",IF(OR($D1312="",$E1312="",$T1312="?",$U1312="?"),"Konto prüfen!",IF($A1312="","Datum fehlt",IF(YEAR($A1312)&lt;&gt;Einstellungen!$B$7,"anderes Jahr!",IF($G1312="","MWST-Code fehlt","OK")))))</f>
        <v/>
      </c>
      <c r="W1312" s="35" t="str">
        <f aca="false">IF($F1312="","",IF(OR($D1312=Kontoauszug!$C$4,$E1312=Kontoauszug!$C$4),MAX(W$4:W1311)+1,""))</f>
        <v/>
      </c>
    </row>
    <row r="1313" customFormat="false" ht="15" hidden="false" customHeight="false" outlineLevel="0" collapsed="false">
      <c r="A1313" s="33"/>
      <c r="B1313" s="32"/>
      <c r="C1313" s="32"/>
      <c r="D1313" s="32"/>
      <c r="E1313" s="32"/>
      <c r="F1313" s="30"/>
      <c r="G1313" s="32"/>
      <c r="H1313" s="34" t="n">
        <f aca="false">IF($G1313="",0,IFERROR(INDEX(Einstellungen!$G$5:$G$11,MATCH($G1313,Einstellungen!$E$5:$E$11,0)),0))</f>
        <v>0</v>
      </c>
      <c r="I1313" s="35" t="str">
        <f aca="false">IF($G1313="","-",IFERROR(INDEX(Einstellungen!$H$5:$H$11,MATCH($G1313,Einstellungen!$E$5:$E$11,0)),"-"))</f>
        <v>-</v>
      </c>
      <c r="J1313" s="35" t="str">
        <f aca="false">IF(AND(Einstellungen!$B$8="Ja",Einstellungen!$B$9="Effektiv"),$I1313,"-")</f>
        <v>-</v>
      </c>
      <c r="K1313" s="31" t="n">
        <f aca="false">IF(OR($F1313="",$J1313="-"),0,ROUND($F1313-$F1313/(1+$H1313),2))</f>
        <v>0</v>
      </c>
      <c r="L1313" s="31" t="n">
        <f aca="false">IF($F1313="",0,$F1313-$K1313)</f>
        <v>0</v>
      </c>
      <c r="M1313" s="31" t="n">
        <f aca="false">IF($F1313="",0,IF($J1313="V",$L1313,$F1313))</f>
        <v>0</v>
      </c>
      <c r="N1313" s="31" t="n">
        <f aca="false">IF($F1313="",0,IF($J1313="U",$L1313,$F1313))</f>
        <v>0</v>
      </c>
      <c r="O1313" s="35" t="str">
        <f aca="false">IF($A1313="","",MONTH($A1313))</f>
        <v/>
      </c>
      <c r="P1313" s="35" t="str">
        <f aca="false">IF($A1313="","",ROUNDUP(MONTH($A1313)/3,0))</f>
        <v/>
      </c>
      <c r="Q1313" s="35" t="str">
        <f aca="false">IF($A1313="","",IF(MONTH($A1313)&lt;=6,1,2))</f>
        <v/>
      </c>
      <c r="R1313" s="35" t="str">
        <f aca="false">IF($E1313="","",IFERROR(INDEX(Kontenplan!$F$5:$F$90,MATCH($E1313,Kontenplan!$A$5:$A$90,0)),""))</f>
        <v/>
      </c>
      <c r="S1313" s="35" t="str">
        <f aca="false">IF($D1313="","",IFERROR(INDEX(Kontenplan!$F$5:$F$90,MATCH($D1313,Kontenplan!$A$5:$A$90,0)),""))</f>
        <v/>
      </c>
      <c r="T1313" s="35" t="str">
        <f aca="false">IF($D1313="","",IFERROR(INDEX(Kontenplan!$C$5:$C$90,MATCH($D1313,Kontenplan!$A$5:$A$90,0)),"?"))</f>
        <v/>
      </c>
      <c r="U1313" s="35" t="str">
        <f aca="false">IF($E1313="","",IFERROR(INDEX(Kontenplan!$C$5:$C$90,MATCH($E1313,Kontenplan!$A$5:$A$90,0)),"?"))</f>
        <v/>
      </c>
      <c r="V1313" s="35" t="str">
        <f aca="false">IF($F1313="","",IF(OR($D1313="",$E1313="",$T1313="?",$U1313="?"),"Konto prüfen!",IF($A1313="","Datum fehlt",IF(YEAR($A1313)&lt;&gt;Einstellungen!$B$7,"anderes Jahr!",IF($G1313="","MWST-Code fehlt","OK")))))</f>
        <v/>
      </c>
      <c r="W1313" s="35" t="str">
        <f aca="false">IF($F1313="","",IF(OR($D1313=Kontoauszug!$C$4,$E1313=Kontoauszug!$C$4),MAX(W$4:W1312)+1,""))</f>
        <v/>
      </c>
    </row>
    <row r="1314" customFormat="false" ht="15" hidden="false" customHeight="false" outlineLevel="0" collapsed="false">
      <c r="A1314" s="33"/>
      <c r="B1314" s="32"/>
      <c r="C1314" s="32"/>
      <c r="D1314" s="32"/>
      <c r="E1314" s="32"/>
      <c r="F1314" s="30"/>
      <c r="G1314" s="32"/>
      <c r="H1314" s="34" t="n">
        <f aca="false">IF($G1314="",0,IFERROR(INDEX(Einstellungen!$G$5:$G$11,MATCH($G1314,Einstellungen!$E$5:$E$11,0)),0))</f>
        <v>0</v>
      </c>
      <c r="I1314" s="35" t="str">
        <f aca="false">IF($G1314="","-",IFERROR(INDEX(Einstellungen!$H$5:$H$11,MATCH($G1314,Einstellungen!$E$5:$E$11,0)),"-"))</f>
        <v>-</v>
      </c>
      <c r="J1314" s="35" t="str">
        <f aca="false">IF(AND(Einstellungen!$B$8="Ja",Einstellungen!$B$9="Effektiv"),$I1314,"-")</f>
        <v>-</v>
      </c>
      <c r="K1314" s="31" t="n">
        <f aca="false">IF(OR($F1314="",$J1314="-"),0,ROUND($F1314-$F1314/(1+$H1314),2))</f>
        <v>0</v>
      </c>
      <c r="L1314" s="31" t="n">
        <f aca="false">IF($F1314="",0,$F1314-$K1314)</f>
        <v>0</v>
      </c>
      <c r="M1314" s="31" t="n">
        <f aca="false">IF($F1314="",0,IF($J1314="V",$L1314,$F1314))</f>
        <v>0</v>
      </c>
      <c r="N1314" s="31" t="n">
        <f aca="false">IF($F1314="",0,IF($J1314="U",$L1314,$F1314))</f>
        <v>0</v>
      </c>
      <c r="O1314" s="35" t="str">
        <f aca="false">IF($A1314="","",MONTH($A1314))</f>
        <v/>
      </c>
      <c r="P1314" s="35" t="str">
        <f aca="false">IF($A1314="","",ROUNDUP(MONTH($A1314)/3,0))</f>
        <v/>
      </c>
      <c r="Q1314" s="35" t="str">
        <f aca="false">IF($A1314="","",IF(MONTH($A1314)&lt;=6,1,2))</f>
        <v/>
      </c>
      <c r="R1314" s="35" t="str">
        <f aca="false">IF($E1314="","",IFERROR(INDEX(Kontenplan!$F$5:$F$90,MATCH($E1314,Kontenplan!$A$5:$A$90,0)),""))</f>
        <v/>
      </c>
      <c r="S1314" s="35" t="str">
        <f aca="false">IF($D1314="","",IFERROR(INDEX(Kontenplan!$F$5:$F$90,MATCH($D1314,Kontenplan!$A$5:$A$90,0)),""))</f>
        <v/>
      </c>
      <c r="T1314" s="35" t="str">
        <f aca="false">IF($D1314="","",IFERROR(INDEX(Kontenplan!$C$5:$C$90,MATCH($D1314,Kontenplan!$A$5:$A$90,0)),"?"))</f>
        <v/>
      </c>
      <c r="U1314" s="35" t="str">
        <f aca="false">IF($E1314="","",IFERROR(INDEX(Kontenplan!$C$5:$C$90,MATCH($E1314,Kontenplan!$A$5:$A$90,0)),"?"))</f>
        <v/>
      </c>
      <c r="V1314" s="35" t="str">
        <f aca="false">IF($F1314="","",IF(OR($D1314="",$E1314="",$T1314="?",$U1314="?"),"Konto prüfen!",IF($A1314="","Datum fehlt",IF(YEAR($A1314)&lt;&gt;Einstellungen!$B$7,"anderes Jahr!",IF($G1314="","MWST-Code fehlt","OK")))))</f>
        <v/>
      </c>
      <c r="W1314" s="35" t="str">
        <f aca="false">IF($F1314="","",IF(OR($D1314=Kontoauszug!$C$4,$E1314=Kontoauszug!$C$4),MAX(W$4:W1313)+1,""))</f>
        <v/>
      </c>
    </row>
    <row r="1315" customFormat="false" ht="15" hidden="false" customHeight="false" outlineLevel="0" collapsed="false">
      <c r="A1315" s="33"/>
      <c r="B1315" s="32"/>
      <c r="C1315" s="32"/>
      <c r="D1315" s="32"/>
      <c r="E1315" s="32"/>
      <c r="F1315" s="30"/>
      <c r="G1315" s="32"/>
      <c r="H1315" s="34" t="n">
        <f aca="false">IF($G1315="",0,IFERROR(INDEX(Einstellungen!$G$5:$G$11,MATCH($G1315,Einstellungen!$E$5:$E$11,0)),0))</f>
        <v>0</v>
      </c>
      <c r="I1315" s="35" t="str">
        <f aca="false">IF($G1315="","-",IFERROR(INDEX(Einstellungen!$H$5:$H$11,MATCH($G1315,Einstellungen!$E$5:$E$11,0)),"-"))</f>
        <v>-</v>
      </c>
      <c r="J1315" s="35" t="str">
        <f aca="false">IF(AND(Einstellungen!$B$8="Ja",Einstellungen!$B$9="Effektiv"),$I1315,"-")</f>
        <v>-</v>
      </c>
      <c r="K1315" s="31" t="n">
        <f aca="false">IF(OR($F1315="",$J1315="-"),0,ROUND($F1315-$F1315/(1+$H1315),2))</f>
        <v>0</v>
      </c>
      <c r="L1315" s="31" t="n">
        <f aca="false">IF($F1315="",0,$F1315-$K1315)</f>
        <v>0</v>
      </c>
      <c r="M1315" s="31" t="n">
        <f aca="false">IF($F1315="",0,IF($J1315="V",$L1315,$F1315))</f>
        <v>0</v>
      </c>
      <c r="N1315" s="31" t="n">
        <f aca="false">IF($F1315="",0,IF($J1315="U",$L1315,$F1315))</f>
        <v>0</v>
      </c>
      <c r="O1315" s="35" t="str">
        <f aca="false">IF($A1315="","",MONTH($A1315))</f>
        <v/>
      </c>
      <c r="P1315" s="35" t="str">
        <f aca="false">IF($A1315="","",ROUNDUP(MONTH($A1315)/3,0))</f>
        <v/>
      </c>
      <c r="Q1315" s="35" t="str">
        <f aca="false">IF($A1315="","",IF(MONTH($A1315)&lt;=6,1,2))</f>
        <v/>
      </c>
      <c r="R1315" s="35" t="str">
        <f aca="false">IF($E1315="","",IFERROR(INDEX(Kontenplan!$F$5:$F$90,MATCH($E1315,Kontenplan!$A$5:$A$90,0)),""))</f>
        <v/>
      </c>
      <c r="S1315" s="35" t="str">
        <f aca="false">IF($D1315="","",IFERROR(INDEX(Kontenplan!$F$5:$F$90,MATCH($D1315,Kontenplan!$A$5:$A$90,0)),""))</f>
        <v/>
      </c>
      <c r="T1315" s="35" t="str">
        <f aca="false">IF($D1315="","",IFERROR(INDEX(Kontenplan!$C$5:$C$90,MATCH($D1315,Kontenplan!$A$5:$A$90,0)),"?"))</f>
        <v/>
      </c>
      <c r="U1315" s="35" t="str">
        <f aca="false">IF($E1315="","",IFERROR(INDEX(Kontenplan!$C$5:$C$90,MATCH($E1315,Kontenplan!$A$5:$A$90,0)),"?"))</f>
        <v/>
      </c>
      <c r="V1315" s="35" t="str">
        <f aca="false">IF($F1315="","",IF(OR($D1315="",$E1315="",$T1315="?",$U1315="?"),"Konto prüfen!",IF($A1315="","Datum fehlt",IF(YEAR($A1315)&lt;&gt;Einstellungen!$B$7,"anderes Jahr!",IF($G1315="","MWST-Code fehlt","OK")))))</f>
        <v/>
      </c>
      <c r="W1315" s="35" t="str">
        <f aca="false">IF($F1315="","",IF(OR($D1315=Kontoauszug!$C$4,$E1315=Kontoauszug!$C$4),MAX(W$4:W1314)+1,""))</f>
        <v/>
      </c>
    </row>
    <row r="1316" customFormat="false" ht="15" hidden="false" customHeight="false" outlineLevel="0" collapsed="false">
      <c r="A1316" s="33"/>
      <c r="B1316" s="32"/>
      <c r="C1316" s="32"/>
      <c r="D1316" s="32"/>
      <c r="E1316" s="32"/>
      <c r="F1316" s="30"/>
      <c r="G1316" s="32"/>
      <c r="H1316" s="34" t="n">
        <f aca="false">IF($G1316="",0,IFERROR(INDEX(Einstellungen!$G$5:$G$11,MATCH($G1316,Einstellungen!$E$5:$E$11,0)),0))</f>
        <v>0</v>
      </c>
      <c r="I1316" s="35" t="str">
        <f aca="false">IF($G1316="","-",IFERROR(INDEX(Einstellungen!$H$5:$H$11,MATCH($G1316,Einstellungen!$E$5:$E$11,0)),"-"))</f>
        <v>-</v>
      </c>
      <c r="J1316" s="35" t="str">
        <f aca="false">IF(AND(Einstellungen!$B$8="Ja",Einstellungen!$B$9="Effektiv"),$I1316,"-")</f>
        <v>-</v>
      </c>
      <c r="K1316" s="31" t="n">
        <f aca="false">IF(OR($F1316="",$J1316="-"),0,ROUND($F1316-$F1316/(1+$H1316),2))</f>
        <v>0</v>
      </c>
      <c r="L1316" s="31" t="n">
        <f aca="false">IF($F1316="",0,$F1316-$K1316)</f>
        <v>0</v>
      </c>
      <c r="M1316" s="31" t="n">
        <f aca="false">IF($F1316="",0,IF($J1316="V",$L1316,$F1316))</f>
        <v>0</v>
      </c>
      <c r="N1316" s="31" t="n">
        <f aca="false">IF($F1316="",0,IF($J1316="U",$L1316,$F1316))</f>
        <v>0</v>
      </c>
      <c r="O1316" s="35" t="str">
        <f aca="false">IF($A1316="","",MONTH($A1316))</f>
        <v/>
      </c>
      <c r="P1316" s="35" t="str">
        <f aca="false">IF($A1316="","",ROUNDUP(MONTH($A1316)/3,0))</f>
        <v/>
      </c>
      <c r="Q1316" s="35" t="str">
        <f aca="false">IF($A1316="","",IF(MONTH($A1316)&lt;=6,1,2))</f>
        <v/>
      </c>
      <c r="R1316" s="35" t="str">
        <f aca="false">IF($E1316="","",IFERROR(INDEX(Kontenplan!$F$5:$F$90,MATCH($E1316,Kontenplan!$A$5:$A$90,0)),""))</f>
        <v/>
      </c>
      <c r="S1316" s="35" t="str">
        <f aca="false">IF($D1316="","",IFERROR(INDEX(Kontenplan!$F$5:$F$90,MATCH($D1316,Kontenplan!$A$5:$A$90,0)),""))</f>
        <v/>
      </c>
      <c r="T1316" s="35" t="str">
        <f aca="false">IF($D1316="","",IFERROR(INDEX(Kontenplan!$C$5:$C$90,MATCH($D1316,Kontenplan!$A$5:$A$90,0)),"?"))</f>
        <v/>
      </c>
      <c r="U1316" s="35" t="str">
        <f aca="false">IF($E1316="","",IFERROR(INDEX(Kontenplan!$C$5:$C$90,MATCH($E1316,Kontenplan!$A$5:$A$90,0)),"?"))</f>
        <v/>
      </c>
      <c r="V1316" s="35" t="str">
        <f aca="false">IF($F1316="","",IF(OR($D1316="",$E1316="",$T1316="?",$U1316="?"),"Konto prüfen!",IF($A1316="","Datum fehlt",IF(YEAR($A1316)&lt;&gt;Einstellungen!$B$7,"anderes Jahr!",IF($G1316="","MWST-Code fehlt","OK")))))</f>
        <v/>
      </c>
      <c r="W1316" s="35" t="str">
        <f aca="false">IF($F1316="","",IF(OR($D1316=Kontoauszug!$C$4,$E1316=Kontoauszug!$C$4),MAX(W$4:W1315)+1,""))</f>
        <v/>
      </c>
    </row>
    <row r="1317" customFormat="false" ht="15" hidden="false" customHeight="false" outlineLevel="0" collapsed="false">
      <c r="A1317" s="33"/>
      <c r="B1317" s="32"/>
      <c r="C1317" s="32"/>
      <c r="D1317" s="32"/>
      <c r="E1317" s="32"/>
      <c r="F1317" s="30"/>
      <c r="G1317" s="32"/>
      <c r="H1317" s="34" t="n">
        <f aca="false">IF($G1317="",0,IFERROR(INDEX(Einstellungen!$G$5:$G$11,MATCH($G1317,Einstellungen!$E$5:$E$11,0)),0))</f>
        <v>0</v>
      </c>
      <c r="I1317" s="35" t="str">
        <f aca="false">IF($G1317="","-",IFERROR(INDEX(Einstellungen!$H$5:$H$11,MATCH($G1317,Einstellungen!$E$5:$E$11,0)),"-"))</f>
        <v>-</v>
      </c>
      <c r="J1317" s="35" t="str">
        <f aca="false">IF(AND(Einstellungen!$B$8="Ja",Einstellungen!$B$9="Effektiv"),$I1317,"-")</f>
        <v>-</v>
      </c>
      <c r="K1317" s="31" t="n">
        <f aca="false">IF(OR($F1317="",$J1317="-"),0,ROUND($F1317-$F1317/(1+$H1317),2))</f>
        <v>0</v>
      </c>
      <c r="L1317" s="31" t="n">
        <f aca="false">IF($F1317="",0,$F1317-$K1317)</f>
        <v>0</v>
      </c>
      <c r="M1317" s="31" t="n">
        <f aca="false">IF($F1317="",0,IF($J1317="V",$L1317,$F1317))</f>
        <v>0</v>
      </c>
      <c r="N1317" s="31" t="n">
        <f aca="false">IF($F1317="",0,IF($J1317="U",$L1317,$F1317))</f>
        <v>0</v>
      </c>
      <c r="O1317" s="35" t="str">
        <f aca="false">IF($A1317="","",MONTH($A1317))</f>
        <v/>
      </c>
      <c r="P1317" s="35" t="str">
        <f aca="false">IF($A1317="","",ROUNDUP(MONTH($A1317)/3,0))</f>
        <v/>
      </c>
      <c r="Q1317" s="35" t="str">
        <f aca="false">IF($A1317="","",IF(MONTH($A1317)&lt;=6,1,2))</f>
        <v/>
      </c>
      <c r="R1317" s="35" t="str">
        <f aca="false">IF($E1317="","",IFERROR(INDEX(Kontenplan!$F$5:$F$90,MATCH($E1317,Kontenplan!$A$5:$A$90,0)),""))</f>
        <v/>
      </c>
      <c r="S1317" s="35" t="str">
        <f aca="false">IF($D1317="","",IFERROR(INDEX(Kontenplan!$F$5:$F$90,MATCH($D1317,Kontenplan!$A$5:$A$90,0)),""))</f>
        <v/>
      </c>
      <c r="T1317" s="35" t="str">
        <f aca="false">IF($D1317="","",IFERROR(INDEX(Kontenplan!$C$5:$C$90,MATCH($D1317,Kontenplan!$A$5:$A$90,0)),"?"))</f>
        <v/>
      </c>
      <c r="U1317" s="35" t="str">
        <f aca="false">IF($E1317="","",IFERROR(INDEX(Kontenplan!$C$5:$C$90,MATCH($E1317,Kontenplan!$A$5:$A$90,0)),"?"))</f>
        <v/>
      </c>
      <c r="V1317" s="35" t="str">
        <f aca="false">IF($F1317="","",IF(OR($D1317="",$E1317="",$T1317="?",$U1317="?"),"Konto prüfen!",IF($A1317="","Datum fehlt",IF(YEAR($A1317)&lt;&gt;Einstellungen!$B$7,"anderes Jahr!",IF($G1317="","MWST-Code fehlt","OK")))))</f>
        <v/>
      </c>
      <c r="W1317" s="35" t="str">
        <f aca="false">IF($F1317="","",IF(OR($D1317=Kontoauszug!$C$4,$E1317=Kontoauszug!$C$4),MAX(W$4:W1316)+1,""))</f>
        <v/>
      </c>
    </row>
    <row r="1318" customFormat="false" ht="15" hidden="false" customHeight="false" outlineLevel="0" collapsed="false">
      <c r="A1318" s="33"/>
      <c r="B1318" s="32"/>
      <c r="C1318" s="32"/>
      <c r="D1318" s="32"/>
      <c r="E1318" s="32"/>
      <c r="F1318" s="30"/>
      <c r="G1318" s="32"/>
      <c r="H1318" s="34" t="n">
        <f aca="false">IF($G1318="",0,IFERROR(INDEX(Einstellungen!$G$5:$G$11,MATCH($G1318,Einstellungen!$E$5:$E$11,0)),0))</f>
        <v>0</v>
      </c>
      <c r="I1318" s="35" t="str">
        <f aca="false">IF($G1318="","-",IFERROR(INDEX(Einstellungen!$H$5:$H$11,MATCH($G1318,Einstellungen!$E$5:$E$11,0)),"-"))</f>
        <v>-</v>
      </c>
      <c r="J1318" s="35" t="str">
        <f aca="false">IF(AND(Einstellungen!$B$8="Ja",Einstellungen!$B$9="Effektiv"),$I1318,"-")</f>
        <v>-</v>
      </c>
      <c r="K1318" s="31" t="n">
        <f aca="false">IF(OR($F1318="",$J1318="-"),0,ROUND($F1318-$F1318/(1+$H1318),2))</f>
        <v>0</v>
      </c>
      <c r="L1318" s="31" t="n">
        <f aca="false">IF($F1318="",0,$F1318-$K1318)</f>
        <v>0</v>
      </c>
      <c r="M1318" s="31" t="n">
        <f aca="false">IF($F1318="",0,IF($J1318="V",$L1318,$F1318))</f>
        <v>0</v>
      </c>
      <c r="N1318" s="31" t="n">
        <f aca="false">IF($F1318="",0,IF($J1318="U",$L1318,$F1318))</f>
        <v>0</v>
      </c>
      <c r="O1318" s="35" t="str">
        <f aca="false">IF($A1318="","",MONTH($A1318))</f>
        <v/>
      </c>
      <c r="P1318" s="35" t="str">
        <f aca="false">IF($A1318="","",ROUNDUP(MONTH($A1318)/3,0))</f>
        <v/>
      </c>
      <c r="Q1318" s="35" t="str">
        <f aca="false">IF($A1318="","",IF(MONTH($A1318)&lt;=6,1,2))</f>
        <v/>
      </c>
      <c r="R1318" s="35" t="str">
        <f aca="false">IF($E1318="","",IFERROR(INDEX(Kontenplan!$F$5:$F$90,MATCH($E1318,Kontenplan!$A$5:$A$90,0)),""))</f>
        <v/>
      </c>
      <c r="S1318" s="35" t="str">
        <f aca="false">IF($D1318="","",IFERROR(INDEX(Kontenplan!$F$5:$F$90,MATCH($D1318,Kontenplan!$A$5:$A$90,0)),""))</f>
        <v/>
      </c>
      <c r="T1318" s="35" t="str">
        <f aca="false">IF($D1318="","",IFERROR(INDEX(Kontenplan!$C$5:$C$90,MATCH($D1318,Kontenplan!$A$5:$A$90,0)),"?"))</f>
        <v/>
      </c>
      <c r="U1318" s="35" t="str">
        <f aca="false">IF($E1318="","",IFERROR(INDEX(Kontenplan!$C$5:$C$90,MATCH($E1318,Kontenplan!$A$5:$A$90,0)),"?"))</f>
        <v/>
      </c>
      <c r="V1318" s="35" t="str">
        <f aca="false">IF($F1318="","",IF(OR($D1318="",$E1318="",$T1318="?",$U1318="?"),"Konto prüfen!",IF($A1318="","Datum fehlt",IF(YEAR($A1318)&lt;&gt;Einstellungen!$B$7,"anderes Jahr!",IF($G1318="","MWST-Code fehlt","OK")))))</f>
        <v/>
      </c>
      <c r="W1318" s="35" t="str">
        <f aca="false">IF($F1318="","",IF(OR($D1318=Kontoauszug!$C$4,$E1318=Kontoauszug!$C$4),MAX(W$4:W1317)+1,""))</f>
        <v/>
      </c>
    </row>
    <row r="1319" customFormat="false" ht="15" hidden="false" customHeight="false" outlineLevel="0" collapsed="false">
      <c r="A1319" s="33"/>
      <c r="B1319" s="32"/>
      <c r="C1319" s="32"/>
      <c r="D1319" s="32"/>
      <c r="E1319" s="32"/>
      <c r="F1319" s="30"/>
      <c r="G1319" s="32"/>
      <c r="H1319" s="34" t="n">
        <f aca="false">IF($G1319="",0,IFERROR(INDEX(Einstellungen!$G$5:$G$11,MATCH($G1319,Einstellungen!$E$5:$E$11,0)),0))</f>
        <v>0</v>
      </c>
      <c r="I1319" s="35" t="str">
        <f aca="false">IF($G1319="","-",IFERROR(INDEX(Einstellungen!$H$5:$H$11,MATCH($G1319,Einstellungen!$E$5:$E$11,0)),"-"))</f>
        <v>-</v>
      </c>
      <c r="J1319" s="35" t="str">
        <f aca="false">IF(AND(Einstellungen!$B$8="Ja",Einstellungen!$B$9="Effektiv"),$I1319,"-")</f>
        <v>-</v>
      </c>
      <c r="K1319" s="31" t="n">
        <f aca="false">IF(OR($F1319="",$J1319="-"),0,ROUND($F1319-$F1319/(1+$H1319),2))</f>
        <v>0</v>
      </c>
      <c r="L1319" s="31" t="n">
        <f aca="false">IF($F1319="",0,$F1319-$K1319)</f>
        <v>0</v>
      </c>
      <c r="M1319" s="31" t="n">
        <f aca="false">IF($F1319="",0,IF($J1319="V",$L1319,$F1319))</f>
        <v>0</v>
      </c>
      <c r="N1319" s="31" t="n">
        <f aca="false">IF($F1319="",0,IF($J1319="U",$L1319,$F1319))</f>
        <v>0</v>
      </c>
      <c r="O1319" s="35" t="str">
        <f aca="false">IF($A1319="","",MONTH($A1319))</f>
        <v/>
      </c>
      <c r="P1319" s="35" t="str">
        <f aca="false">IF($A1319="","",ROUNDUP(MONTH($A1319)/3,0))</f>
        <v/>
      </c>
      <c r="Q1319" s="35" t="str">
        <f aca="false">IF($A1319="","",IF(MONTH($A1319)&lt;=6,1,2))</f>
        <v/>
      </c>
      <c r="R1319" s="35" t="str">
        <f aca="false">IF($E1319="","",IFERROR(INDEX(Kontenplan!$F$5:$F$90,MATCH($E1319,Kontenplan!$A$5:$A$90,0)),""))</f>
        <v/>
      </c>
      <c r="S1319" s="35" t="str">
        <f aca="false">IF($D1319="","",IFERROR(INDEX(Kontenplan!$F$5:$F$90,MATCH($D1319,Kontenplan!$A$5:$A$90,0)),""))</f>
        <v/>
      </c>
      <c r="T1319" s="35" t="str">
        <f aca="false">IF($D1319="","",IFERROR(INDEX(Kontenplan!$C$5:$C$90,MATCH($D1319,Kontenplan!$A$5:$A$90,0)),"?"))</f>
        <v/>
      </c>
      <c r="U1319" s="35" t="str">
        <f aca="false">IF($E1319="","",IFERROR(INDEX(Kontenplan!$C$5:$C$90,MATCH($E1319,Kontenplan!$A$5:$A$90,0)),"?"))</f>
        <v/>
      </c>
      <c r="V1319" s="35" t="str">
        <f aca="false">IF($F1319="","",IF(OR($D1319="",$E1319="",$T1319="?",$U1319="?"),"Konto prüfen!",IF($A1319="","Datum fehlt",IF(YEAR($A1319)&lt;&gt;Einstellungen!$B$7,"anderes Jahr!",IF($G1319="","MWST-Code fehlt","OK")))))</f>
        <v/>
      </c>
      <c r="W1319" s="35" t="str">
        <f aca="false">IF($F1319="","",IF(OR($D1319=Kontoauszug!$C$4,$E1319=Kontoauszug!$C$4),MAX(W$4:W1318)+1,""))</f>
        <v/>
      </c>
    </row>
    <row r="1320" customFormat="false" ht="15" hidden="false" customHeight="false" outlineLevel="0" collapsed="false">
      <c r="A1320" s="33"/>
      <c r="B1320" s="32"/>
      <c r="C1320" s="32"/>
      <c r="D1320" s="32"/>
      <c r="E1320" s="32"/>
      <c r="F1320" s="30"/>
      <c r="G1320" s="32"/>
      <c r="H1320" s="34" t="n">
        <f aca="false">IF($G1320="",0,IFERROR(INDEX(Einstellungen!$G$5:$G$11,MATCH($G1320,Einstellungen!$E$5:$E$11,0)),0))</f>
        <v>0</v>
      </c>
      <c r="I1320" s="35" t="str">
        <f aca="false">IF($G1320="","-",IFERROR(INDEX(Einstellungen!$H$5:$H$11,MATCH($G1320,Einstellungen!$E$5:$E$11,0)),"-"))</f>
        <v>-</v>
      </c>
      <c r="J1320" s="35" t="str">
        <f aca="false">IF(AND(Einstellungen!$B$8="Ja",Einstellungen!$B$9="Effektiv"),$I1320,"-")</f>
        <v>-</v>
      </c>
      <c r="K1320" s="31" t="n">
        <f aca="false">IF(OR($F1320="",$J1320="-"),0,ROUND($F1320-$F1320/(1+$H1320),2))</f>
        <v>0</v>
      </c>
      <c r="L1320" s="31" t="n">
        <f aca="false">IF($F1320="",0,$F1320-$K1320)</f>
        <v>0</v>
      </c>
      <c r="M1320" s="31" t="n">
        <f aca="false">IF($F1320="",0,IF($J1320="V",$L1320,$F1320))</f>
        <v>0</v>
      </c>
      <c r="N1320" s="31" t="n">
        <f aca="false">IF($F1320="",0,IF($J1320="U",$L1320,$F1320))</f>
        <v>0</v>
      </c>
      <c r="O1320" s="35" t="str">
        <f aca="false">IF($A1320="","",MONTH($A1320))</f>
        <v/>
      </c>
      <c r="P1320" s="35" t="str">
        <f aca="false">IF($A1320="","",ROUNDUP(MONTH($A1320)/3,0))</f>
        <v/>
      </c>
      <c r="Q1320" s="35" t="str">
        <f aca="false">IF($A1320="","",IF(MONTH($A1320)&lt;=6,1,2))</f>
        <v/>
      </c>
      <c r="R1320" s="35" t="str">
        <f aca="false">IF($E1320="","",IFERROR(INDEX(Kontenplan!$F$5:$F$90,MATCH($E1320,Kontenplan!$A$5:$A$90,0)),""))</f>
        <v/>
      </c>
      <c r="S1320" s="35" t="str">
        <f aca="false">IF($D1320="","",IFERROR(INDEX(Kontenplan!$F$5:$F$90,MATCH($D1320,Kontenplan!$A$5:$A$90,0)),""))</f>
        <v/>
      </c>
      <c r="T1320" s="35" t="str">
        <f aca="false">IF($D1320="","",IFERROR(INDEX(Kontenplan!$C$5:$C$90,MATCH($D1320,Kontenplan!$A$5:$A$90,0)),"?"))</f>
        <v/>
      </c>
      <c r="U1320" s="35" t="str">
        <f aca="false">IF($E1320="","",IFERROR(INDEX(Kontenplan!$C$5:$C$90,MATCH($E1320,Kontenplan!$A$5:$A$90,0)),"?"))</f>
        <v/>
      </c>
      <c r="V1320" s="35" t="str">
        <f aca="false">IF($F1320="","",IF(OR($D1320="",$E1320="",$T1320="?",$U1320="?"),"Konto prüfen!",IF($A1320="","Datum fehlt",IF(YEAR($A1320)&lt;&gt;Einstellungen!$B$7,"anderes Jahr!",IF($G1320="","MWST-Code fehlt","OK")))))</f>
        <v/>
      </c>
      <c r="W1320" s="35" t="str">
        <f aca="false">IF($F1320="","",IF(OR($D1320=Kontoauszug!$C$4,$E1320=Kontoauszug!$C$4),MAX(W$4:W1319)+1,""))</f>
        <v/>
      </c>
    </row>
    <row r="1321" customFormat="false" ht="15" hidden="false" customHeight="false" outlineLevel="0" collapsed="false">
      <c r="A1321" s="33"/>
      <c r="B1321" s="32"/>
      <c r="C1321" s="32"/>
      <c r="D1321" s="32"/>
      <c r="E1321" s="32"/>
      <c r="F1321" s="30"/>
      <c r="G1321" s="32"/>
      <c r="H1321" s="34" t="n">
        <f aca="false">IF($G1321="",0,IFERROR(INDEX(Einstellungen!$G$5:$G$11,MATCH($G1321,Einstellungen!$E$5:$E$11,0)),0))</f>
        <v>0</v>
      </c>
      <c r="I1321" s="35" t="str">
        <f aca="false">IF($G1321="","-",IFERROR(INDEX(Einstellungen!$H$5:$H$11,MATCH($G1321,Einstellungen!$E$5:$E$11,0)),"-"))</f>
        <v>-</v>
      </c>
      <c r="J1321" s="35" t="str">
        <f aca="false">IF(AND(Einstellungen!$B$8="Ja",Einstellungen!$B$9="Effektiv"),$I1321,"-")</f>
        <v>-</v>
      </c>
      <c r="K1321" s="31" t="n">
        <f aca="false">IF(OR($F1321="",$J1321="-"),0,ROUND($F1321-$F1321/(1+$H1321),2))</f>
        <v>0</v>
      </c>
      <c r="L1321" s="31" t="n">
        <f aca="false">IF($F1321="",0,$F1321-$K1321)</f>
        <v>0</v>
      </c>
      <c r="M1321" s="31" t="n">
        <f aca="false">IF($F1321="",0,IF($J1321="V",$L1321,$F1321))</f>
        <v>0</v>
      </c>
      <c r="N1321" s="31" t="n">
        <f aca="false">IF($F1321="",0,IF($J1321="U",$L1321,$F1321))</f>
        <v>0</v>
      </c>
      <c r="O1321" s="35" t="str">
        <f aca="false">IF($A1321="","",MONTH($A1321))</f>
        <v/>
      </c>
      <c r="P1321" s="35" t="str">
        <f aca="false">IF($A1321="","",ROUNDUP(MONTH($A1321)/3,0))</f>
        <v/>
      </c>
      <c r="Q1321" s="35" t="str">
        <f aca="false">IF($A1321="","",IF(MONTH($A1321)&lt;=6,1,2))</f>
        <v/>
      </c>
      <c r="R1321" s="35" t="str">
        <f aca="false">IF($E1321="","",IFERROR(INDEX(Kontenplan!$F$5:$F$90,MATCH($E1321,Kontenplan!$A$5:$A$90,0)),""))</f>
        <v/>
      </c>
      <c r="S1321" s="35" t="str">
        <f aca="false">IF($D1321="","",IFERROR(INDEX(Kontenplan!$F$5:$F$90,MATCH($D1321,Kontenplan!$A$5:$A$90,0)),""))</f>
        <v/>
      </c>
      <c r="T1321" s="35" t="str">
        <f aca="false">IF($D1321="","",IFERROR(INDEX(Kontenplan!$C$5:$C$90,MATCH($D1321,Kontenplan!$A$5:$A$90,0)),"?"))</f>
        <v/>
      </c>
      <c r="U1321" s="35" t="str">
        <f aca="false">IF($E1321="","",IFERROR(INDEX(Kontenplan!$C$5:$C$90,MATCH($E1321,Kontenplan!$A$5:$A$90,0)),"?"))</f>
        <v/>
      </c>
      <c r="V1321" s="35" t="str">
        <f aca="false">IF($F1321="","",IF(OR($D1321="",$E1321="",$T1321="?",$U1321="?"),"Konto prüfen!",IF($A1321="","Datum fehlt",IF(YEAR($A1321)&lt;&gt;Einstellungen!$B$7,"anderes Jahr!",IF($G1321="","MWST-Code fehlt","OK")))))</f>
        <v/>
      </c>
      <c r="W1321" s="35" t="str">
        <f aca="false">IF($F1321="","",IF(OR($D1321=Kontoauszug!$C$4,$E1321=Kontoauszug!$C$4),MAX(W$4:W1320)+1,""))</f>
        <v/>
      </c>
    </row>
    <row r="1322" customFormat="false" ht="15" hidden="false" customHeight="false" outlineLevel="0" collapsed="false">
      <c r="A1322" s="33"/>
      <c r="B1322" s="32"/>
      <c r="C1322" s="32"/>
      <c r="D1322" s="32"/>
      <c r="E1322" s="32"/>
      <c r="F1322" s="30"/>
      <c r="G1322" s="32"/>
      <c r="H1322" s="34" t="n">
        <f aca="false">IF($G1322="",0,IFERROR(INDEX(Einstellungen!$G$5:$G$11,MATCH($G1322,Einstellungen!$E$5:$E$11,0)),0))</f>
        <v>0</v>
      </c>
      <c r="I1322" s="35" t="str">
        <f aca="false">IF($G1322="","-",IFERROR(INDEX(Einstellungen!$H$5:$H$11,MATCH($G1322,Einstellungen!$E$5:$E$11,0)),"-"))</f>
        <v>-</v>
      </c>
      <c r="J1322" s="35" t="str">
        <f aca="false">IF(AND(Einstellungen!$B$8="Ja",Einstellungen!$B$9="Effektiv"),$I1322,"-")</f>
        <v>-</v>
      </c>
      <c r="K1322" s="31" t="n">
        <f aca="false">IF(OR($F1322="",$J1322="-"),0,ROUND($F1322-$F1322/(1+$H1322),2))</f>
        <v>0</v>
      </c>
      <c r="L1322" s="31" t="n">
        <f aca="false">IF($F1322="",0,$F1322-$K1322)</f>
        <v>0</v>
      </c>
      <c r="M1322" s="31" t="n">
        <f aca="false">IF($F1322="",0,IF($J1322="V",$L1322,$F1322))</f>
        <v>0</v>
      </c>
      <c r="N1322" s="31" t="n">
        <f aca="false">IF($F1322="",0,IF($J1322="U",$L1322,$F1322))</f>
        <v>0</v>
      </c>
      <c r="O1322" s="35" t="str">
        <f aca="false">IF($A1322="","",MONTH($A1322))</f>
        <v/>
      </c>
      <c r="P1322" s="35" t="str">
        <f aca="false">IF($A1322="","",ROUNDUP(MONTH($A1322)/3,0))</f>
        <v/>
      </c>
      <c r="Q1322" s="35" t="str">
        <f aca="false">IF($A1322="","",IF(MONTH($A1322)&lt;=6,1,2))</f>
        <v/>
      </c>
      <c r="R1322" s="35" t="str">
        <f aca="false">IF($E1322="","",IFERROR(INDEX(Kontenplan!$F$5:$F$90,MATCH($E1322,Kontenplan!$A$5:$A$90,0)),""))</f>
        <v/>
      </c>
      <c r="S1322" s="35" t="str">
        <f aca="false">IF($D1322="","",IFERROR(INDEX(Kontenplan!$F$5:$F$90,MATCH($D1322,Kontenplan!$A$5:$A$90,0)),""))</f>
        <v/>
      </c>
      <c r="T1322" s="35" t="str">
        <f aca="false">IF($D1322="","",IFERROR(INDEX(Kontenplan!$C$5:$C$90,MATCH($D1322,Kontenplan!$A$5:$A$90,0)),"?"))</f>
        <v/>
      </c>
      <c r="U1322" s="35" t="str">
        <f aca="false">IF($E1322="","",IFERROR(INDEX(Kontenplan!$C$5:$C$90,MATCH($E1322,Kontenplan!$A$5:$A$90,0)),"?"))</f>
        <v/>
      </c>
      <c r="V1322" s="35" t="str">
        <f aca="false">IF($F1322="","",IF(OR($D1322="",$E1322="",$T1322="?",$U1322="?"),"Konto prüfen!",IF($A1322="","Datum fehlt",IF(YEAR($A1322)&lt;&gt;Einstellungen!$B$7,"anderes Jahr!",IF($G1322="","MWST-Code fehlt","OK")))))</f>
        <v/>
      </c>
      <c r="W1322" s="35" t="str">
        <f aca="false">IF($F1322="","",IF(OR($D1322=Kontoauszug!$C$4,$E1322=Kontoauszug!$C$4),MAX(W$4:W1321)+1,""))</f>
        <v/>
      </c>
    </row>
    <row r="1323" customFormat="false" ht="15" hidden="false" customHeight="false" outlineLevel="0" collapsed="false">
      <c r="A1323" s="33"/>
      <c r="B1323" s="32"/>
      <c r="C1323" s="32"/>
      <c r="D1323" s="32"/>
      <c r="E1323" s="32"/>
      <c r="F1323" s="30"/>
      <c r="G1323" s="32"/>
      <c r="H1323" s="34" t="n">
        <f aca="false">IF($G1323="",0,IFERROR(INDEX(Einstellungen!$G$5:$G$11,MATCH($G1323,Einstellungen!$E$5:$E$11,0)),0))</f>
        <v>0</v>
      </c>
      <c r="I1323" s="35" t="str">
        <f aca="false">IF($G1323="","-",IFERROR(INDEX(Einstellungen!$H$5:$H$11,MATCH($G1323,Einstellungen!$E$5:$E$11,0)),"-"))</f>
        <v>-</v>
      </c>
      <c r="J1323" s="35" t="str">
        <f aca="false">IF(AND(Einstellungen!$B$8="Ja",Einstellungen!$B$9="Effektiv"),$I1323,"-")</f>
        <v>-</v>
      </c>
      <c r="K1323" s="31" t="n">
        <f aca="false">IF(OR($F1323="",$J1323="-"),0,ROUND($F1323-$F1323/(1+$H1323),2))</f>
        <v>0</v>
      </c>
      <c r="L1323" s="31" t="n">
        <f aca="false">IF($F1323="",0,$F1323-$K1323)</f>
        <v>0</v>
      </c>
      <c r="M1323" s="31" t="n">
        <f aca="false">IF($F1323="",0,IF($J1323="V",$L1323,$F1323))</f>
        <v>0</v>
      </c>
      <c r="N1323" s="31" t="n">
        <f aca="false">IF($F1323="",0,IF($J1323="U",$L1323,$F1323))</f>
        <v>0</v>
      </c>
      <c r="O1323" s="35" t="str">
        <f aca="false">IF($A1323="","",MONTH($A1323))</f>
        <v/>
      </c>
      <c r="P1323" s="35" t="str">
        <f aca="false">IF($A1323="","",ROUNDUP(MONTH($A1323)/3,0))</f>
        <v/>
      </c>
      <c r="Q1323" s="35" t="str">
        <f aca="false">IF($A1323="","",IF(MONTH($A1323)&lt;=6,1,2))</f>
        <v/>
      </c>
      <c r="R1323" s="35" t="str">
        <f aca="false">IF($E1323="","",IFERROR(INDEX(Kontenplan!$F$5:$F$90,MATCH($E1323,Kontenplan!$A$5:$A$90,0)),""))</f>
        <v/>
      </c>
      <c r="S1323" s="35" t="str">
        <f aca="false">IF($D1323="","",IFERROR(INDEX(Kontenplan!$F$5:$F$90,MATCH($D1323,Kontenplan!$A$5:$A$90,0)),""))</f>
        <v/>
      </c>
      <c r="T1323" s="35" t="str">
        <f aca="false">IF($D1323="","",IFERROR(INDEX(Kontenplan!$C$5:$C$90,MATCH($D1323,Kontenplan!$A$5:$A$90,0)),"?"))</f>
        <v/>
      </c>
      <c r="U1323" s="35" t="str">
        <f aca="false">IF($E1323="","",IFERROR(INDEX(Kontenplan!$C$5:$C$90,MATCH($E1323,Kontenplan!$A$5:$A$90,0)),"?"))</f>
        <v/>
      </c>
      <c r="V1323" s="35" t="str">
        <f aca="false">IF($F1323="","",IF(OR($D1323="",$E1323="",$T1323="?",$U1323="?"),"Konto prüfen!",IF($A1323="","Datum fehlt",IF(YEAR($A1323)&lt;&gt;Einstellungen!$B$7,"anderes Jahr!",IF($G1323="","MWST-Code fehlt","OK")))))</f>
        <v/>
      </c>
      <c r="W1323" s="35" t="str">
        <f aca="false">IF($F1323="","",IF(OR($D1323=Kontoauszug!$C$4,$E1323=Kontoauszug!$C$4),MAX(W$4:W1322)+1,""))</f>
        <v/>
      </c>
    </row>
    <row r="1324" customFormat="false" ht="15" hidden="false" customHeight="false" outlineLevel="0" collapsed="false">
      <c r="A1324" s="33"/>
      <c r="B1324" s="32"/>
      <c r="C1324" s="32"/>
      <c r="D1324" s="32"/>
      <c r="E1324" s="32"/>
      <c r="F1324" s="30"/>
      <c r="G1324" s="32"/>
      <c r="H1324" s="34" t="n">
        <f aca="false">IF($G1324="",0,IFERROR(INDEX(Einstellungen!$G$5:$G$11,MATCH($G1324,Einstellungen!$E$5:$E$11,0)),0))</f>
        <v>0</v>
      </c>
      <c r="I1324" s="35" t="str">
        <f aca="false">IF($G1324="","-",IFERROR(INDEX(Einstellungen!$H$5:$H$11,MATCH($G1324,Einstellungen!$E$5:$E$11,0)),"-"))</f>
        <v>-</v>
      </c>
      <c r="J1324" s="35" t="str">
        <f aca="false">IF(AND(Einstellungen!$B$8="Ja",Einstellungen!$B$9="Effektiv"),$I1324,"-")</f>
        <v>-</v>
      </c>
      <c r="K1324" s="31" t="n">
        <f aca="false">IF(OR($F1324="",$J1324="-"),0,ROUND($F1324-$F1324/(1+$H1324),2))</f>
        <v>0</v>
      </c>
      <c r="L1324" s="31" t="n">
        <f aca="false">IF($F1324="",0,$F1324-$K1324)</f>
        <v>0</v>
      </c>
      <c r="M1324" s="31" t="n">
        <f aca="false">IF($F1324="",0,IF($J1324="V",$L1324,$F1324))</f>
        <v>0</v>
      </c>
      <c r="N1324" s="31" t="n">
        <f aca="false">IF($F1324="",0,IF($J1324="U",$L1324,$F1324))</f>
        <v>0</v>
      </c>
      <c r="O1324" s="35" t="str">
        <f aca="false">IF($A1324="","",MONTH($A1324))</f>
        <v/>
      </c>
      <c r="P1324" s="35" t="str">
        <f aca="false">IF($A1324="","",ROUNDUP(MONTH($A1324)/3,0))</f>
        <v/>
      </c>
      <c r="Q1324" s="35" t="str">
        <f aca="false">IF($A1324="","",IF(MONTH($A1324)&lt;=6,1,2))</f>
        <v/>
      </c>
      <c r="R1324" s="35" t="str">
        <f aca="false">IF($E1324="","",IFERROR(INDEX(Kontenplan!$F$5:$F$90,MATCH($E1324,Kontenplan!$A$5:$A$90,0)),""))</f>
        <v/>
      </c>
      <c r="S1324" s="35" t="str">
        <f aca="false">IF($D1324="","",IFERROR(INDEX(Kontenplan!$F$5:$F$90,MATCH($D1324,Kontenplan!$A$5:$A$90,0)),""))</f>
        <v/>
      </c>
      <c r="T1324" s="35" t="str">
        <f aca="false">IF($D1324="","",IFERROR(INDEX(Kontenplan!$C$5:$C$90,MATCH($D1324,Kontenplan!$A$5:$A$90,0)),"?"))</f>
        <v/>
      </c>
      <c r="U1324" s="35" t="str">
        <f aca="false">IF($E1324="","",IFERROR(INDEX(Kontenplan!$C$5:$C$90,MATCH($E1324,Kontenplan!$A$5:$A$90,0)),"?"))</f>
        <v/>
      </c>
      <c r="V1324" s="35" t="str">
        <f aca="false">IF($F1324="","",IF(OR($D1324="",$E1324="",$T1324="?",$U1324="?"),"Konto prüfen!",IF($A1324="","Datum fehlt",IF(YEAR($A1324)&lt;&gt;Einstellungen!$B$7,"anderes Jahr!",IF($G1324="","MWST-Code fehlt","OK")))))</f>
        <v/>
      </c>
      <c r="W1324" s="35" t="str">
        <f aca="false">IF($F1324="","",IF(OR($D1324=Kontoauszug!$C$4,$E1324=Kontoauszug!$C$4),MAX(W$4:W1323)+1,""))</f>
        <v/>
      </c>
    </row>
    <row r="1325" customFormat="false" ht="15" hidden="false" customHeight="false" outlineLevel="0" collapsed="false">
      <c r="A1325" s="33"/>
      <c r="B1325" s="32"/>
      <c r="C1325" s="32"/>
      <c r="D1325" s="32"/>
      <c r="E1325" s="32"/>
      <c r="F1325" s="30"/>
      <c r="G1325" s="32"/>
      <c r="H1325" s="34" t="n">
        <f aca="false">IF($G1325="",0,IFERROR(INDEX(Einstellungen!$G$5:$G$11,MATCH($G1325,Einstellungen!$E$5:$E$11,0)),0))</f>
        <v>0</v>
      </c>
      <c r="I1325" s="35" t="str">
        <f aca="false">IF($G1325="","-",IFERROR(INDEX(Einstellungen!$H$5:$H$11,MATCH($G1325,Einstellungen!$E$5:$E$11,0)),"-"))</f>
        <v>-</v>
      </c>
      <c r="J1325" s="35" t="str">
        <f aca="false">IF(AND(Einstellungen!$B$8="Ja",Einstellungen!$B$9="Effektiv"),$I1325,"-")</f>
        <v>-</v>
      </c>
      <c r="K1325" s="31" t="n">
        <f aca="false">IF(OR($F1325="",$J1325="-"),0,ROUND($F1325-$F1325/(1+$H1325),2))</f>
        <v>0</v>
      </c>
      <c r="L1325" s="31" t="n">
        <f aca="false">IF($F1325="",0,$F1325-$K1325)</f>
        <v>0</v>
      </c>
      <c r="M1325" s="31" t="n">
        <f aca="false">IF($F1325="",0,IF($J1325="V",$L1325,$F1325))</f>
        <v>0</v>
      </c>
      <c r="N1325" s="31" t="n">
        <f aca="false">IF($F1325="",0,IF($J1325="U",$L1325,$F1325))</f>
        <v>0</v>
      </c>
      <c r="O1325" s="35" t="str">
        <f aca="false">IF($A1325="","",MONTH($A1325))</f>
        <v/>
      </c>
      <c r="P1325" s="35" t="str">
        <f aca="false">IF($A1325="","",ROUNDUP(MONTH($A1325)/3,0))</f>
        <v/>
      </c>
      <c r="Q1325" s="35" t="str">
        <f aca="false">IF($A1325="","",IF(MONTH($A1325)&lt;=6,1,2))</f>
        <v/>
      </c>
      <c r="R1325" s="35" t="str">
        <f aca="false">IF($E1325="","",IFERROR(INDEX(Kontenplan!$F$5:$F$90,MATCH($E1325,Kontenplan!$A$5:$A$90,0)),""))</f>
        <v/>
      </c>
      <c r="S1325" s="35" t="str">
        <f aca="false">IF($D1325="","",IFERROR(INDEX(Kontenplan!$F$5:$F$90,MATCH($D1325,Kontenplan!$A$5:$A$90,0)),""))</f>
        <v/>
      </c>
      <c r="T1325" s="35" t="str">
        <f aca="false">IF($D1325="","",IFERROR(INDEX(Kontenplan!$C$5:$C$90,MATCH($D1325,Kontenplan!$A$5:$A$90,0)),"?"))</f>
        <v/>
      </c>
      <c r="U1325" s="35" t="str">
        <f aca="false">IF($E1325="","",IFERROR(INDEX(Kontenplan!$C$5:$C$90,MATCH($E1325,Kontenplan!$A$5:$A$90,0)),"?"))</f>
        <v/>
      </c>
      <c r="V1325" s="35" t="str">
        <f aca="false">IF($F1325="","",IF(OR($D1325="",$E1325="",$T1325="?",$U1325="?"),"Konto prüfen!",IF($A1325="","Datum fehlt",IF(YEAR($A1325)&lt;&gt;Einstellungen!$B$7,"anderes Jahr!",IF($G1325="","MWST-Code fehlt","OK")))))</f>
        <v/>
      </c>
      <c r="W1325" s="35" t="str">
        <f aca="false">IF($F1325="","",IF(OR($D1325=Kontoauszug!$C$4,$E1325=Kontoauszug!$C$4),MAX(W$4:W1324)+1,""))</f>
        <v/>
      </c>
    </row>
    <row r="1326" customFormat="false" ht="15" hidden="false" customHeight="false" outlineLevel="0" collapsed="false">
      <c r="A1326" s="33"/>
      <c r="B1326" s="32"/>
      <c r="C1326" s="32"/>
      <c r="D1326" s="32"/>
      <c r="E1326" s="32"/>
      <c r="F1326" s="30"/>
      <c r="G1326" s="32"/>
      <c r="H1326" s="34" t="n">
        <f aca="false">IF($G1326="",0,IFERROR(INDEX(Einstellungen!$G$5:$G$11,MATCH($G1326,Einstellungen!$E$5:$E$11,0)),0))</f>
        <v>0</v>
      </c>
      <c r="I1326" s="35" t="str">
        <f aca="false">IF($G1326="","-",IFERROR(INDEX(Einstellungen!$H$5:$H$11,MATCH($G1326,Einstellungen!$E$5:$E$11,0)),"-"))</f>
        <v>-</v>
      </c>
      <c r="J1326" s="35" t="str">
        <f aca="false">IF(AND(Einstellungen!$B$8="Ja",Einstellungen!$B$9="Effektiv"),$I1326,"-")</f>
        <v>-</v>
      </c>
      <c r="K1326" s="31" t="n">
        <f aca="false">IF(OR($F1326="",$J1326="-"),0,ROUND($F1326-$F1326/(1+$H1326),2))</f>
        <v>0</v>
      </c>
      <c r="L1326" s="31" t="n">
        <f aca="false">IF($F1326="",0,$F1326-$K1326)</f>
        <v>0</v>
      </c>
      <c r="M1326" s="31" t="n">
        <f aca="false">IF($F1326="",0,IF($J1326="V",$L1326,$F1326))</f>
        <v>0</v>
      </c>
      <c r="N1326" s="31" t="n">
        <f aca="false">IF($F1326="",0,IF($J1326="U",$L1326,$F1326))</f>
        <v>0</v>
      </c>
      <c r="O1326" s="35" t="str">
        <f aca="false">IF($A1326="","",MONTH($A1326))</f>
        <v/>
      </c>
      <c r="P1326" s="35" t="str">
        <f aca="false">IF($A1326="","",ROUNDUP(MONTH($A1326)/3,0))</f>
        <v/>
      </c>
      <c r="Q1326" s="35" t="str">
        <f aca="false">IF($A1326="","",IF(MONTH($A1326)&lt;=6,1,2))</f>
        <v/>
      </c>
      <c r="R1326" s="35" t="str">
        <f aca="false">IF($E1326="","",IFERROR(INDEX(Kontenplan!$F$5:$F$90,MATCH($E1326,Kontenplan!$A$5:$A$90,0)),""))</f>
        <v/>
      </c>
      <c r="S1326" s="35" t="str">
        <f aca="false">IF($D1326="","",IFERROR(INDEX(Kontenplan!$F$5:$F$90,MATCH($D1326,Kontenplan!$A$5:$A$90,0)),""))</f>
        <v/>
      </c>
      <c r="T1326" s="35" t="str">
        <f aca="false">IF($D1326="","",IFERROR(INDEX(Kontenplan!$C$5:$C$90,MATCH($D1326,Kontenplan!$A$5:$A$90,0)),"?"))</f>
        <v/>
      </c>
      <c r="U1326" s="35" t="str">
        <f aca="false">IF($E1326="","",IFERROR(INDEX(Kontenplan!$C$5:$C$90,MATCH($E1326,Kontenplan!$A$5:$A$90,0)),"?"))</f>
        <v/>
      </c>
      <c r="V1326" s="35" t="str">
        <f aca="false">IF($F1326="","",IF(OR($D1326="",$E1326="",$T1326="?",$U1326="?"),"Konto prüfen!",IF($A1326="","Datum fehlt",IF(YEAR($A1326)&lt;&gt;Einstellungen!$B$7,"anderes Jahr!",IF($G1326="","MWST-Code fehlt","OK")))))</f>
        <v/>
      </c>
      <c r="W1326" s="35" t="str">
        <f aca="false">IF($F1326="","",IF(OR($D1326=Kontoauszug!$C$4,$E1326=Kontoauszug!$C$4),MAX(W$4:W1325)+1,""))</f>
        <v/>
      </c>
    </row>
    <row r="1327" customFormat="false" ht="15" hidden="false" customHeight="false" outlineLevel="0" collapsed="false">
      <c r="A1327" s="33"/>
      <c r="B1327" s="32"/>
      <c r="C1327" s="32"/>
      <c r="D1327" s="32"/>
      <c r="E1327" s="32"/>
      <c r="F1327" s="30"/>
      <c r="G1327" s="32"/>
      <c r="H1327" s="34" t="n">
        <f aca="false">IF($G1327="",0,IFERROR(INDEX(Einstellungen!$G$5:$G$11,MATCH($G1327,Einstellungen!$E$5:$E$11,0)),0))</f>
        <v>0</v>
      </c>
      <c r="I1327" s="35" t="str">
        <f aca="false">IF($G1327="","-",IFERROR(INDEX(Einstellungen!$H$5:$H$11,MATCH($G1327,Einstellungen!$E$5:$E$11,0)),"-"))</f>
        <v>-</v>
      </c>
      <c r="J1327" s="35" t="str">
        <f aca="false">IF(AND(Einstellungen!$B$8="Ja",Einstellungen!$B$9="Effektiv"),$I1327,"-")</f>
        <v>-</v>
      </c>
      <c r="K1327" s="31" t="n">
        <f aca="false">IF(OR($F1327="",$J1327="-"),0,ROUND($F1327-$F1327/(1+$H1327),2))</f>
        <v>0</v>
      </c>
      <c r="L1327" s="31" t="n">
        <f aca="false">IF($F1327="",0,$F1327-$K1327)</f>
        <v>0</v>
      </c>
      <c r="M1327" s="31" t="n">
        <f aca="false">IF($F1327="",0,IF($J1327="V",$L1327,$F1327))</f>
        <v>0</v>
      </c>
      <c r="N1327" s="31" t="n">
        <f aca="false">IF($F1327="",0,IF($J1327="U",$L1327,$F1327))</f>
        <v>0</v>
      </c>
      <c r="O1327" s="35" t="str">
        <f aca="false">IF($A1327="","",MONTH($A1327))</f>
        <v/>
      </c>
      <c r="P1327" s="35" t="str">
        <f aca="false">IF($A1327="","",ROUNDUP(MONTH($A1327)/3,0))</f>
        <v/>
      </c>
      <c r="Q1327" s="35" t="str">
        <f aca="false">IF($A1327="","",IF(MONTH($A1327)&lt;=6,1,2))</f>
        <v/>
      </c>
      <c r="R1327" s="35" t="str">
        <f aca="false">IF($E1327="","",IFERROR(INDEX(Kontenplan!$F$5:$F$90,MATCH($E1327,Kontenplan!$A$5:$A$90,0)),""))</f>
        <v/>
      </c>
      <c r="S1327" s="35" t="str">
        <f aca="false">IF($D1327="","",IFERROR(INDEX(Kontenplan!$F$5:$F$90,MATCH($D1327,Kontenplan!$A$5:$A$90,0)),""))</f>
        <v/>
      </c>
      <c r="T1327" s="35" t="str">
        <f aca="false">IF($D1327="","",IFERROR(INDEX(Kontenplan!$C$5:$C$90,MATCH($D1327,Kontenplan!$A$5:$A$90,0)),"?"))</f>
        <v/>
      </c>
      <c r="U1327" s="35" t="str">
        <f aca="false">IF($E1327="","",IFERROR(INDEX(Kontenplan!$C$5:$C$90,MATCH($E1327,Kontenplan!$A$5:$A$90,0)),"?"))</f>
        <v/>
      </c>
      <c r="V1327" s="35" t="str">
        <f aca="false">IF($F1327="","",IF(OR($D1327="",$E1327="",$T1327="?",$U1327="?"),"Konto prüfen!",IF($A1327="","Datum fehlt",IF(YEAR($A1327)&lt;&gt;Einstellungen!$B$7,"anderes Jahr!",IF($G1327="","MWST-Code fehlt","OK")))))</f>
        <v/>
      </c>
      <c r="W1327" s="35" t="str">
        <f aca="false">IF($F1327="","",IF(OR($D1327=Kontoauszug!$C$4,$E1327=Kontoauszug!$C$4),MAX(W$4:W1326)+1,""))</f>
        <v/>
      </c>
    </row>
    <row r="1328" customFormat="false" ht="15" hidden="false" customHeight="false" outlineLevel="0" collapsed="false">
      <c r="A1328" s="33"/>
      <c r="B1328" s="32"/>
      <c r="C1328" s="32"/>
      <c r="D1328" s="32"/>
      <c r="E1328" s="32"/>
      <c r="F1328" s="30"/>
      <c r="G1328" s="32"/>
      <c r="H1328" s="34" t="n">
        <f aca="false">IF($G1328="",0,IFERROR(INDEX(Einstellungen!$G$5:$G$11,MATCH($G1328,Einstellungen!$E$5:$E$11,0)),0))</f>
        <v>0</v>
      </c>
      <c r="I1328" s="35" t="str">
        <f aca="false">IF($G1328="","-",IFERROR(INDEX(Einstellungen!$H$5:$H$11,MATCH($G1328,Einstellungen!$E$5:$E$11,0)),"-"))</f>
        <v>-</v>
      </c>
      <c r="J1328" s="35" t="str">
        <f aca="false">IF(AND(Einstellungen!$B$8="Ja",Einstellungen!$B$9="Effektiv"),$I1328,"-")</f>
        <v>-</v>
      </c>
      <c r="K1328" s="31" t="n">
        <f aca="false">IF(OR($F1328="",$J1328="-"),0,ROUND($F1328-$F1328/(1+$H1328),2))</f>
        <v>0</v>
      </c>
      <c r="L1328" s="31" t="n">
        <f aca="false">IF($F1328="",0,$F1328-$K1328)</f>
        <v>0</v>
      </c>
      <c r="M1328" s="31" t="n">
        <f aca="false">IF($F1328="",0,IF($J1328="V",$L1328,$F1328))</f>
        <v>0</v>
      </c>
      <c r="N1328" s="31" t="n">
        <f aca="false">IF($F1328="",0,IF($J1328="U",$L1328,$F1328))</f>
        <v>0</v>
      </c>
      <c r="O1328" s="35" t="str">
        <f aca="false">IF($A1328="","",MONTH($A1328))</f>
        <v/>
      </c>
      <c r="P1328" s="35" t="str">
        <f aca="false">IF($A1328="","",ROUNDUP(MONTH($A1328)/3,0))</f>
        <v/>
      </c>
      <c r="Q1328" s="35" t="str">
        <f aca="false">IF($A1328="","",IF(MONTH($A1328)&lt;=6,1,2))</f>
        <v/>
      </c>
      <c r="R1328" s="35" t="str">
        <f aca="false">IF($E1328="","",IFERROR(INDEX(Kontenplan!$F$5:$F$90,MATCH($E1328,Kontenplan!$A$5:$A$90,0)),""))</f>
        <v/>
      </c>
      <c r="S1328" s="35" t="str">
        <f aca="false">IF($D1328="","",IFERROR(INDEX(Kontenplan!$F$5:$F$90,MATCH($D1328,Kontenplan!$A$5:$A$90,0)),""))</f>
        <v/>
      </c>
      <c r="T1328" s="35" t="str">
        <f aca="false">IF($D1328="","",IFERROR(INDEX(Kontenplan!$C$5:$C$90,MATCH($D1328,Kontenplan!$A$5:$A$90,0)),"?"))</f>
        <v/>
      </c>
      <c r="U1328" s="35" t="str">
        <f aca="false">IF($E1328="","",IFERROR(INDEX(Kontenplan!$C$5:$C$90,MATCH($E1328,Kontenplan!$A$5:$A$90,0)),"?"))</f>
        <v/>
      </c>
      <c r="V1328" s="35" t="str">
        <f aca="false">IF($F1328="","",IF(OR($D1328="",$E1328="",$T1328="?",$U1328="?"),"Konto prüfen!",IF($A1328="","Datum fehlt",IF(YEAR($A1328)&lt;&gt;Einstellungen!$B$7,"anderes Jahr!",IF($G1328="","MWST-Code fehlt","OK")))))</f>
        <v/>
      </c>
      <c r="W1328" s="35" t="str">
        <f aca="false">IF($F1328="","",IF(OR($D1328=Kontoauszug!$C$4,$E1328=Kontoauszug!$C$4),MAX(W$4:W1327)+1,""))</f>
        <v/>
      </c>
    </row>
    <row r="1329" customFormat="false" ht="15" hidden="false" customHeight="false" outlineLevel="0" collapsed="false">
      <c r="A1329" s="33"/>
      <c r="B1329" s="32"/>
      <c r="C1329" s="32"/>
      <c r="D1329" s="32"/>
      <c r="E1329" s="32"/>
      <c r="F1329" s="30"/>
      <c r="G1329" s="32"/>
      <c r="H1329" s="34" t="n">
        <f aca="false">IF($G1329="",0,IFERROR(INDEX(Einstellungen!$G$5:$G$11,MATCH($G1329,Einstellungen!$E$5:$E$11,0)),0))</f>
        <v>0</v>
      </c>
      <c r="I1329" s="35" t="str">
        <f aca="false">IF($G1329="","-",IFERROR(INDEX(Einstellungen!$H$5:$H$11,MATCH($G1329,Einstellungen!$E$5:$E$11,0)),"-"))</f>
        <v>-</v>
      </c>
      <c r="J1329" s="35" t="str">
        <f aca="false">IF(AND(Einstellungen!$B$8="Ja",Einstellungen!$B$9="Effektiv"),$I1329,"-")</f>
        <v>-</v>
      </c>
      <c r="K1329" s="31" t="n">
        <f aca="false">IF(OR($F1329="",$J1329="-"),0,ROUND($F1329-$F1329/(1+$H1329),2))</f>
        <v>0</v>
      </c>
      <c r="L1329" s="31" t="n">
        <f aca="false">IF($F1329="",0,$F1329-$K1329)</f>
        <v>0</v>
      </c>
      <c r="M1329" s="31" t="n">
        <f aca="false">IF($F1329="",0,IF($J1329="V",$L1329,$F1329))</f>
        <v>0</v>
      </c>
      <c r="N1329" s="31" t="n">
        <f aca="false">IF($F1329="",0,IF($J1329="U",$L1329,$F1329))</f>
        <v>0</v>
      </c>
      <c r="O1329" s="35" t="str">
        <f aca="false">IF($A1329="","",MONTH($A1329))</f>
        <v/>
      </c>
      <c r="P1329" s="35" t="str">
        <f aca="false">IF($A1329="","",ROUNDUP(MONTH($A1329)/3,0))</f>
        <v/>
      </c>
      <c r="Q1329" s="35" t="str">
        <f aca="false">IF($A1329="","",IF(MONTH($A1329)&lt;=6,1,2))</f>
        <v/>
      </c>
      <c r="R1329" s="35" t="str">
        <f aca="false">IF($E1329="","",IFERROR(INDEX(Kontenplan!$F$5:$F$90,MATCH($E1329,Kontenplan!$A$5:$A$90,0)),""))</f>
        <v/>
      </c>
      <c r="S1329" s="35" t="str">
        <f aca="false">IF($D1329="","",IFERROR(INDEX(Kontenplan!$F$5:$F$90,MATCH($D1329,Kontenplan!$A$5:$A$90,0)),""))</f>
        <v/>
      </c>
      <c r="T1329" s="35" t="str">
        <f aca="false">IF($D1329="","",IFERROR(INDEX(Kontenplan!$C$5:$C$90,MATCH($D1329,Kontenplan!$A$5:$A$90,0)),"?"))</f>
        <v/>
      </c>
      <c r="U1329" s="35" t="str">
        <f aca="false">IF($E1329="","",IFERROR(INDEX(Kontenplan!$C$5:$C$90,MATCH($E1329,Kontenplan!$A$5:$A$90,0)),"?"))</f>
        <v/>
      </c>
      <c r="V1329" s="35" t="str">
        <f aca="false">IF($F1329="","",IF(OR($D1329="",$E1329="",$T1329="?",$U1329="?"),"Konto prüfen!",IF($A1329="","Datum fehlt",IF(YEAR($A1329)&lt;&gt;Einstellungen!$B$7,"anderes Jahr!",IF($G1329="","MWST-Code fehlt","OK")))))</f>
        <v/>
      </c>
      <c r="W1329" s="35" t="str">
        <f aca="false">IF($F1329="","",IF(OR($D1329=Kontoauszug!$C$4,$E1329=Kontoauszug!$C$4),MAX(W$4:W1328)+1,""))</f>
        <v/>
      </c>
    </row>
    <row r="1330" customFormat="false" ht="15" hidden="false" customHeight="false" outlineLevel="0" collapsed="false">
      <c r="A1330" s="33"/>
      <c r="B1330" s="32"/>
      <c r="C1330" s="32"/>
      <c r="D1330" s="32"/>
      <c r="E1330" s="32"/>
      <c r="F1330" s="30"/>
      <c r="G1330" s="32"/>
      <c r="H1330" s="34" t="n">
        <f aca="false">IF($G1330="",0,IFERROR(INDEX(Einstellungen!$G$5:$G$11,MATCH($G1330,Einstellungen!$E$5:$E$11,0)),0))</f>
        <v>0</v>
      </c>
      <c r="I1330" s="35" t="str">
        <f aca="false">IF($G1330="","-",IFERROR(INDEX(Einstellungen!$H$5:$H$11,MATCH($G1330,Einstellungen!$E$5:$E$11,0)),"-"))</f>
        <v>-</v>
      </c>
      <c r="J1330" s="35" t="str">
        <f aca="false">IF(AND(Einstellungen!$B$8="Ja",Einstellungen!$B$9="Effektiv"),$I1330,"-")</f>
        <v>-</v>
      </c>
      <c r="K1330" s="31" t="n">
        <f aca="false">IF(OR($F1330="",$J1330="-"),0,ROUND($F1330-$F1330/(1+$H1330),2))</f>
        <v>0</v>
      </c>
      <c r="L1330" s="31" t="n">
        <f aca="false">IF($F1330="",0,$F1330-$K1330)</f>
        <v>0</v>
      </c>
      <c r="M1330" s="31" t="n">
        <f aca="false">IF($F1330="",0,IF($J1330="V",$L1330,$F1330))</f>
        <v>0</v>
      </c>
      <c r="N1330" s="31" t="n">
        <f aca="false">IF($F1330="",0,IF($J1330="U",$L1330,$F1330))</f>
        <v>0</v>
      </c>
      <c r="O1330" s="35" t="str">
        <f aca="false">IF($A1330="","",MONTH($A1330))</f>
        <v/>
      </c>
      <c r="P1330" s="35" t="str">
        <f aca="false">IF($A1330="","",ROUNDUP(MONTH($A1330)/3,0))</f>
        <v/>
      </c>
      <c r="Q1330" s="35" t="str">
        <f aca="false">IF($A1330="","",IF(MONTH($A1330)&lt;=6,1,2))</f>
        <v/>
      </c>
      <c r="R1330" s="35" t="str">
        <f aca="false">IF($E1330="","",IFERROR(INDEX(Kontenplan!$F$5:$F$90,MATCH($E1330,Kontenplan!$A$5:$A$90,0)),""))</f>
        <v/>
      </c>
      <c r="S1330" s="35" t="str">
        <f aca="false">IF($D1330="","",IFERROR(INDEX(Kontenplan!$F$5:$F$90,MATCH($D1330,Kontenplan!$A$5:$A$90,0)),""))</f>
        <v/>
      </c>
      <c r="T1330" s="35" t="str">
        <f aca="false">IF($D1330="","",IFERROR(INDEX(Kontenplan!$C$5:$C$90,MATCH($D1330,Kontenplan!$A$5:$A$90,0)),"?"))</f>
        <v/>
      </c>
      <c r="U1330" s="35" t="str">
        <f aca="false">IF($E1330="","",IFERROR(INDEX(Kontenplan!$C$5:$C$90,MATCH($E1330,Kontenplan!$A$5:$A$90,0)),"?"))</f>
        <v/>
      </c>
      <c r="V1330" s="35" t="str">
        <f aca="false">IF($F1330="","",IF(OR($D1330="",$E1330="",$T1330="?",$U1330="?"),"Konto prüfen!",IF($A1330="","Datum fehlt",IF(YEAR($A1330)&lt;&gt;Einstellungen!$B$7,"anderes Jahr!",IF($G1330="","MWST-Code fehlt","OK")))))</f>
        <v/>
      </c>
      <c r="W1330" s="35" t="str">
        <f aca="false">IF($F1330="","",IF(OR($D1330=Kontoauszug!$C$4,$E1330=Kontoauszug!$C$4),MAX(W$4:W1329)+1,""))</f>
        <v/>
      </c>
    </row>
    <row r="1331" customFormat="false" ht="15" hidden="false" customHeight="false" outlineLevel="0" collapsed="false">
      <c r="A1331" s="33"/>
      <c r="B1331" s="32"/>
      <c r="C1331" s="32"/>
      <c r="D1331" s="32"/>
      <c r="E1331" s="32"/>
      <c r="F1331" s="30"/>
      <c r="G1331" s="32"/>
      <c r="H1331" s="34" t="n">
        <f aca="false">IF($G1331="",0,IFERROR(INDEX(Einstellungen!$G$5:$G$11,MATCH($G1331,Einstellungen!$E$5:$E$11,0)),0))</f>
        <v>0</v>
      </c>
      <c r="I1331" s="35" t="str">
        <f aca="false">IF($G1331="","-",IFERROR(INDEX(Einstellungen!$H$5:$H$11,MATCH($G1331,Einstellungen!$E$5:$E$11,0)),"-"))</f>
        <v>-</v>
      </c>
      <c r="J1331" s="35" t="str">
        <f aca="false">IF(AND(Einstellungen!$B$8="Ja",Einstellungen!$B$9="Effektiv"),$I1331,"-")</f>
        <v>-</v>
      </c>
      <c r="K1331" s="31" t="n">
        <f aca="false">IF(OR($F1331="",$J1331="-"),0,ROUND($F1331-$F1331/(1+$H1331),2))</f>
        <v>0</v>
      </c>
      <c r="L1331" s="31" t="n">
        <f aca="false">IF($F1331="",0,$F1331-$K1331)</f>
        <v>0</v>
      </c>
      <c r="M1331" s="31" t="n">
        <f aca="false">IF($F1331="",0,IF($J1331="V",$L1331,$F1331))</f>
        <v>0</v>
      </c>
      <c r="N1331" s="31" t="n">
        <f aca="false">IF($F1331="",0,IF($J1331="U",$L1331,$F1331))</f>
        <v>0</v>
      </c>
      <c r="O1331" s="35" t="str">
        <f aca="false">IF($A1331="","",MONTH($A1331))</f>
        <v/>
      </c>
      <c r="P1331" s="35" t="str">
        <f aca="false">IF($A1331="","",ROUNDUP(MONTH($A1331)/3,0))</f>
        <v/>
      </c>
      <c r="Q1331" s="35" t="str">
        <f aca="false">IF($A1331="","",IF(MONTH($A1331)&lt;=6,1,2))</f>
        <v/>
      </c>
      <c r="R1331" s="35" t="str">
        <f aca="false">IF($E1331="","",IFERROR(INDEX(Kontenplan!$F$5:$F$90,MATCH($E1331,Kontenplan!$A$5:$A$90,0)),""))</f>
        <v/>
      </c>
      <c r="S1331" s="35" t="str">
        <f aca="false">IF($D1331="","",IFERROR(INDEX(Kontenplan!$F$5:$F$90,MATCH($D1331,Kontenplan!$A$5:$A$90,0)),""))</f>
        <v/>
      </c>
      <c r="T1331" s="35" t="str">
        <f aca="false">IF($D1331="","",IFERROR(INDEX(Kontenplan!$C$5:$C$90,MATCH($D1331,Kontenplan!$A$5:$A$90,0)),"?"))</f>
        <v/>
      </c>
      <c r="U1331" s="35" t="str">
        <f aca="false">IF($E1331="","",IFERROR(INDEX(Kontenplan!$C$5:$C$90,MATCH($E1331,Kontenplan!$A$5:$A$90,0)),"?"))</f>
        <v/>
      </c>
      <c r="V1331" s="35" t="str">
        <f aca="false">IF($F1331="","",IF(OR($D1331="",$E1331="",$T1331="?",$U1331="?"),"Konto prüfen!",IF($A1331="","Datum fehlt",IF(YEAR($A1331)&lt;&gt;Einstellungen!$B$7,"anderes Jahr!",IF($G1331="","MWST-Code fehlt","OK")))))</f>
        <v/>
      </c>
      <c r="W1331" s="35" t="str">
        <f aca="false">IF($F1331="","",IF(OR($D1331=Kontoauszug!$C$4,$E1331=Kontoauszug!$C$4),MAX(W$4:W1330)+1,""))</f>
        <v/>
      </c>
    </row>
    <row r="1332" customFormat="false" ht="15" hidden="false" customHeight="false" outlineLevel="0" collapsed="false">
      <c r="A1332" s="33"/>
      <c r="B1332" s="32"/>
      <c r="C1332" s="32"/>
      <c r="D1332" s="32"/>
      <c r="E1332" s="32"/>
      <c r="F1332" s="30"/>
      <c r="G1332" s="32"/>
      <c r="H1332" s="34" t="n">
        <f aca="false">IF($G1332="",0,IFERROR(INDEX(Einstellungen!$G$5:$G$11,MATCH($G1332,Einstellungen!$E$5:$E$11,0)),0))</f>
        <v>0</v>
      </c>
      <c r="I1332" s="35" t="str">
        <f aca="false">IF($G1332="","-",IFERROR(INDEX(Einstellungen!$H$5:$H$11,MATCH($G1332,Einstellungen!$E$5:$E$11,0)),"-"))</f>
        <v>-</v>
      </c>
      <c r="J1332" s="35" t="str">
        <f aca="false">IF(AND(Einstellungen!$B$8="Ja",Einstellungen!$B$9="Effektiv"),$I1332,"-")</f>
        <v>-</v>
      </c>
      <c r="K1332" s="31" t="n">
        <f aca="false">IF(OR($F1332="",$J1332="-"),0,ROUND($F1332-$F1332/(1+$H1332),2))</f>
        <v>0</v>
      </c>
      <c r="L1332" s="31" t="n">
        <f aca="false">IF($F1332="",0,$F1332-$K1332)</f>
        <v>0</v>
      </c>
      <c r="M1332" s="31" t="n">
        <f aca="false">IF($F1332="",0,IF($J1332="V",$L1332,$F1332))</f>
        <v>0</v>
      </c>
      <c r="N1332" s="31" t="n">
        <f aca="false">IF($F1332="",0,IF($J1332="U",$L1332,$F1332))</f>
        <v>0</v>
      </c>
      <c r="O1332" s="35" t="str">
        <f aca="false">IF($A1332="","",MONTH($A1332))</f>
        <v/>
      </c>
      <c r="P1332" s="35" t="str">
        <f aca="false">IF($A1332="","",ROUNDUP(MONTH($A1332)/3,0))</f>
        <v/>
      </c>
      <c r="Q1332" s="35" t="str">
        <f aca="false">IF($A1332="","",IF(MONTH($A1332)&lt;=6,1,2))</f>
        <v/>
      </c>
      <c r="R1332" s="35" t="str">
        <f aca="false">IF($E1332="","",IFERROR(INDEX(Kontenplan!$F$5:$F$90,MATCH($E1332,Kontenplan!$A$5:$A$90,0)),""))</f>
        <v/>
      </c>
      <c r="S1332" s="35" t="str">
        <f aca="false">IF($D1332="","",IFERROR(INDEX(Kontenplan!$F$5:$F$90,MATCH($D1332,Kontenplan!$A$5:$A$90,0)),""))</f>
        <v/>
      </c>
      <c r="T1332" s="35" t="str">
        <f aca="false">IF($D1332="","",IFERROR(INDEX(Kontenplan!$C$5:$C$90,MATCH($D1332,Kontenplan!$A$5:$A$90,0)),"?"))</f>
        <v/>
      </c>
      <c r="U1332" s="35" t="str">
        <f aca="false">IF($E1332="","",IFERROR(INDEX(Kontenplan!$C$5:$C$90,MATCH($E1332,Kontenplan!$A$5:$A$90,0)),"?"))</f>
        <v/>
      </c>
      <c r="V1332" s="35" t="str">
        <f aca="false">IF($F1332="","",IF(OR($D1332="",$E1332="",$T1332="?",$U1332="?"),"Konto prüfen!",IF($A1332="","Datum fehlt",IF(YEAR($A1332)&lt;&gt;Einstellungen!$B$7,"anderes Jahr!",IF($G1332="","MWST-Code fehlt","OK")))))</f>
        <v/>
      </c>
      <c r="W1332" s="35" t="str">
        <f aca="false">IF($F1332="","",IF(OR($D1332=Kontoauszug!$C$4,$E1332=Kontoauszug!$C$4),MAX(W$4:W1331)+1,""))</f>
        <v/>
      </c>
    </row>
    <row r="1333" customFormat="false" ht="15" hidden="false" customHeight="false" outlineLevel="0" collapsed="false">
      <c r="A1333" s="33"/>
      <c r="B1333" s="32"/>
      <c r="C1333" s="32"/>
      <c r="D1333" s="32"/>
      <c r="E1333" s="32"/>
      <c r="F1333" s="30"/>
      <c r="G1333" s="32"/>
      <c r="H1333" s="34" t="n">
        <f aca="false">IF($G1333="",0,IFERROR(INDEX(Einstellungen!$G$5:$G$11,MATCH($G1333,Einstellungen!$E$5:$E$11,0)),0))</f>
        <v>0</v>
      </c>
      <c r="I1333" s="35" t="str">
        <f aca="false">IF($G1333="","-",IFERROR(INDEX(Einstellungen!$H$5:$H$11,MATCH($G1333,Einstellungen!$E$5:$E$11,0)),"-"))</f>
        <v>-</v>
      </c>
      <c r="J1333" s="35" t="str">
        <f aca="false">IF(AND(Einstellungen!$B$8="Ja",Einstellungen!$B$9="Effektiv"),$I1333,"-")</f>
        <v>-</v>
      </c>
      <c r="K1333" s="31" t="n">
        <f aca="false">IF(OR($F1333="",$J1333="-"),0,ROUND($F1333-$F1333/(1+$H1333),2))</f>
        <v>0</v>
      </c>
      <c r="L1333" s="31" t="n">
        <f aca="false">IF($F1333="",0,$F1333-$K1333)</f>
        <v>0</v>
      </c>
      <c r="M1333" s="31" t="n">
        <f aca="false">IF($F1333="",0,IF($J1333="V",$L1333,$F1333))</f>
        <v>0</v>
      </c>
      <c r="N1333" s="31" t="n">
        <f aca="false">IF($F1333="",0,IF($J1333="U",$L1333,$F1333))</f>
        <v>0</v>
      </c>
      <c r="O1333" s="35" t="str">
        <f aca="false">IF($A1333="","",MONTH($A1333))</f>
        <v/>
      </c>
      <c r="P1333" s="35" t="str">
        <f aca="false">IF($A1333="","",ROUNDUP(MONTH($A1333)/3,0))</f>
        <v/>
      </c>
      <c r="Q1333" s="35" t="str">
        <f aca="false">IF($A1333="","",IF(MONTH($A1333)&lt;=6,1,2))</f>
        <v/>
      </c>
      <c r="R1333" s="35" t="str">
        <f aca="false">IF($E1333="","",IFERROR(INDEX(Kontenplan!$F$5:$F$90,MATCH($E1333,Kontenplan!$A$5:$A$90,0)),""))</f>
        <v/>
      </c>
      <c r="S1333" s="35" t="str">
        <f aca="false">IF($D1333="","",IFERROR(INDEX(Kontenplan!$F$5:$F$90,MATCH($D1333,Kontenplan!$A$5:$A$90,0)),""))</f>
        <v/>
      </c>
      <c r="T1333" s="35" t="str">
        <f aca="false">IF($D1333="","",IFERROR(INDEX(Kontenplan!$C$5:$C$90,MATCH($D1333,Kontenplan!$A$5:$A$90,0)),"?"))</f>
        <v/>
      </c>
      <c r="U1333" s="35" t="str">
        <f aca="false">IF($E1333="","",IFERROR(INDEX(Kontenplan!$C$5:$C$90,MATCH($E1333,Kontenplan!$A$5:$A$90,0)),"?"))</f>
        <v/>
      </c>
      <c r="V1333" s="35" t="str">
        <f aca="false">IF($F1333="","",IF(OR($D1333="",$E1333="",$T1333="?",$U1333="?"),"Konto prüfen!",IF($A1333="","Datum fehlt",IF(YEAR($A1333)&lt;&gt;Einstellungen!$B$7,"anderes Jahr!",IF($G1333="","MWST-Code fehlt","OK")))))</f>
        <v/>
      </c>
      <c r="W1333" s="35" t="str">
        <f aca="false">IF($F1333="","",IF(OR($D1333=Kontoauszug!$C$4,$E1333=Kontoauszug!$C$4),MAX(W$4:W1332)+1,""))</f>
        <v/>
      </c>
    </row>
    <row r="1334" customFormat="false" ht="15" hidden="false" customHeight="false" outlineLevel="0" collapsed="false">
      <c r="A1334" s="33"/>
      <c r="B1334" s="32"/>
      <c r="C1334" s="32"/>
      <c r="D1334" s="32"/>
      <c r="E1334" s="32"/>
      <c r="F1334" s="30"/>
      <c r="G1334" s="32"/>
      <c r="H1334" s="34" t="n">
        <f aca="false">IF($G1334="",0,IFERROR(INDEX(Einstellungen!$G$5:$G$11,MATCH($G1334,Einstellungen!$E$5:$E$11,0)),0))</f>
        <v>0</v>
      </c>
      <c r="I1334" s="35" t="str">
        <f aca="false">IF($G1334="","-",IFERROR(INDEX(Einstellungen!$H$5:$H$11,MATCH($G1334,Einstellungen!$E$5:$E$11,0)),"-"))</f>
        <v>-</v>
      </c>
      <c r="J1334" s="35" t="str">
        <f aca="false">IF(AND(Einstellungen!$B$8="Ja",Einstellungen!$B$9="Effektiv"),$I1334,"-")</f>
        <v>-</v>
      </c>
      <c r="K1334" s="31" t="n">
        <f aca="false">IF(OR($F1334="",$J1334="-"),0,ROUND($F1334-$F1334/(1+$H1334),2))</f>
        <v>0</v>
      </c>
      <c r="L1334" s="31" t="n">
        <f aca="false">IF($F1334="",0,$F1334-$K1334)</f>
        <v>0</v>
      </c>
      <c r="M1334" s="31" t="n">
        <f aca="false">IF($F1334="",0,IF($J1334="V",$L1334,$F1334))</f>
        <v>0</v>
      </c>
      <c r="N1334" s="31" t="n">
        <f aca="false">IF($F1334="",0,IF($J1334="U",$L1334,$F1334))</f>
        <v>0</v>
      </c>
      <c r="O1334" s="35" t="str">
        <f aca="false">IF($A1334="","",MONTH($A1334))</f>
        <v/>
      </c>
      <c r="P1334" s="35" t="str">
        <f aca="false">IF($A1334="","",ROUNDUP(MONTH($A1334)/3,0))</f>
        <v/>
      </c>
      <c r="Q1334" s="35" t="str">
        <f aca="false">IF($A1334="","",IF(MONTH($A1334)&lt;=6,1,2))</f>
        <v/>
      </c>
      <c r="R1334" s="35" t="str">
        <f aca="false">IF($E1334="","",IFERROR(INDEX(Kontenplan!$F$5:$F$90,MATCH($E1334,Kontenplan!$A$5:$A$90,0)),""))</f>
        <v/>
      </c>
      <c r="S1334" s="35" t="str">
        <f aca="false">IF($D1334="","",IFERROR(INDEX(Kontenplan!$F$5:$F$90,MATCH($D1334,Kontenplan!$A$5:$A$90,0)),""))</f>
        <v/>
      </c>
      <c r="T1334" s="35" t="str">
        <f aca="false">IF($D1334="","",IFERROR(INDEX(Kontenplan!$C$5:$C$90,MATCH($D1334,Kontenplan!$A$5:$A$90,0)),"?"))</f>
        <v/>
      </c>
      <c r="U1334" s="35" t="str">
        <f aca="false">IF($E1334="","",IFERROR(INDEX(Kontenplan!$C$5:$C$90,MATCH($E1334,Kontenplan!$A$5:$A$90,0)),"?"))</f>
        <v/>
      </c>
      <c r="V1334" s="35" t="str">
        <f aca="false">IF($F1334="","",IF(OR($D1334="",$E1334="",$T1334="?",$U1334="?"),"Konto prüfen!",IF($A1334="","Datum fehlt",IF(YEAR($A1334)&lt;&gt;Einstellungen!$B$7,"anderes Jahr!",IF($G1334="","MWST-Code fehlt","OK")))))</f>
        <v/>
      </c>
      <c r="W1334" s="35" t="str">
        <f aca="false">IF($F1334="","",IF(OR($D1334=Kontoauszug!$C$4,$E1334=Kontoauszug!$C$4),MAX(W$4:W1333)+1,""))</f>
        <v/>
      </c>
    </row>
    <row r="1335" customFormat="false" ht="15" hidden="false" customHeight="false" outlineLevel="0" collapsed="false">
      <c r="A1335" s="33"/>
      <c r="B1335" s="32"/>
      <c r="C1335" s="32"/>
      <c r="D1335" s="32"/>
      <c r="E1335" s="32"/>
      <c r="F1335" s="30"/>
      <c r="G1335" s="32"/>
      <c r="H1335" s="34" t="n">
        <f aca="false">IF($G1335="",0,IFERROR(INDEX(Einstellungen!$G$5:$G$11,MATCH($G1335,Einstellungen!$E$5:$E$11,0)),0))</f>
        <v>0</v>
      </c>
      <c r="I1335" s="35" t="str">
        <f aca="false">IF($G1335="","-",IFERROR(INDEX(Einstellungen!$H$5:$H$11,MATCH($G1335,Einstellungen!$E$5:$E$11,0)),"-"))</f>
        <v>-</v>
      </c>
      <c r="J1335" s="35" t="str">
        <f aca="false">IF(AND(Einstellungen!$B$8="Ja",Einstellungen!$B$9="Effektiv"),$I1335,"-")</f>
        <v>-</v>
      </c>
      <c r="K1335" s="31" t="n">
        <f aca="false">IF(OR($F1335="",$J1335="-"),0,ROUND($F1335-$F1335/(1+$H1335),2))</f>
        <v>0</v>
      </c>
      <c r="L1335" s="31" t="n">
        <f aca="false">IF($F1335="",0,$F1335-$K1335)</f>
        <v>0</v>
      </c>
      <c r="M1335" s="31" t="n">
        <f aca="false">IF($F1335="",0,IF($J1335="V",$L1335,$F1335))</f>
        <v>0</v>
      </c>
      <c r="N1335" s="31" t="n">
        <f aca="false">IF($F1335="",0,IF($J1335="U",$L1335,$F1335))</f>
        <v>0</v>
      </c>
      <c r="O1335" s="35" t="str">
        <f aca="false">IF($A1335="","",MONTH($A1335))</f>
        <v/>
      </c>
      <c r="P1335" s="35" t="str">
        <f aca="false">IF($A1335="","",ROUNDUP(MONTH($A1335)/3,0))</f>
        <v/>
      </c>
      <c r="Q1335" s="35" t="str">
        <f aca="false">IF($A1335="","",IF(MONTH($A1335)&lt;=6,1,2))</f>
        <v/>
      </c>
      <c r="R1335" s="35" t="str">
        <f aca="false">IF($E1335="","",IFERROR(INDEX(Kontenplan!$F$5:$F$90,MATCH($E1335,Kontenplan!$A$5:$A$90,0)),""))</f>
        <v/>
      </c>
      <c r="S1335" s="35" t="str">
        <f aca="false">IF($D1335="","",IFERROR(INDEX(Kontenplan!$F$5:$F$90,MATCH($D1335,Kontenplan!$A$5:$A$90,0)),""))</f>
        <v/>
      </c>
      <c r="T1335" s="35" t="str">
        <f aca="false">IF($D1335="","",IFERROR(INDEX(Kontenplan!$C$5:$C$90,MATCH($D1335,Kontenplan!$A$5:$A$90,0)),"?"))</f>
        <v/>
      </c>
      <c r="U1335" s="35" t="str">
        <f aca="false">IF($E1335="","",IFERROR(INDEX(Kontenplan!$C$5:$C$90,MATCH($E1335,Kontenplan!$A$5:$A$90,0)),"?"))</f>
        <v/>
      </c>
      <c r="V1335" s="35" t="str">
        <f aca="false">IF($F1335="","",IF(OR($D1335="",$E1335="",$T1335="?",$U1335="?"),"Konto prüfen!",IF($A1335="","Datum fehlt",IF(YEAR($A1335)&lt;&gt;Einstellungen!$B$7,"anderes Jahr!",IF($G1335="","MWST-Code fehlt","OK")))))</f>
        <v/>
      </c>
      <c r="W1335" s="35" t="str">
        <f aca="false">IF($F1335="","",IF(OR($D1335=Kontoauszug!$C$4,$E1335=Kontoauszug!$C$4),MAX(W$4:W1334)+1,""))</f>
        <v/>
      </c>
    </row>
    <row r="1336" customFormat="false" ht="15" hidden="false" customHeight="false" outlineLevel="0" collapsed="false">
      <c r="A1336" s="33"/>
      <c r="B1336" s="32"/>
      <c r="C1336" s="32"/>
      <c r="D1336" s="32"/>
      <c r="E1336" s="32"/>
      <c r="F1336" s="30"/>
      <c r="G1336" s="32"/>
      <c r="H1336" s="34" t="n">
        <f aca="false">IF($G1336="",0,IFERROR(INDEX(Einstellungen!$G$5:$G$11,MATCH($G1336,Einstellungen!$E$5:$E$11,0)),0))</f>
        <v>0</v>
      </c>
      <c r="I1336" s="35" t="str">
        <f aca="false">IF($G1336="","-",IFERROR(INDEX(Einstellungen!$H$5:$H$11,MATCH($G1336,Einstellungen!$E$5:$E$11,0)),"-"))</f>
        <v>-</v>
      </c>
      <c r="J1336" s="35" t="str">
        <f aca="false">IF(AND(Einstellungen!$B$8="Ja",Einstellungen!$B$9="Effektiv"),$I1336,"-")</f>
        <v>-</v>
      </c>
      <c r="K1336" s="31" t="n">
        <f aca="false">IF(OR($F1336="",$J1336="-"),0,ROUND($F1336-$F1336/(1+$H1336),2))</f>
        <v>0</v>
      </c>
      <c r="L1336" s="31" t="n">
        <f aca="false">IF($F1336="",0,$F1336-$K1336)</f>
        <v>0</v>
      </c>
      <c r="M1336" s="31" t="n">
        <f aca="false">IF($F1336="",0,IF($J1336="V",$L1336,$F1336))</f>
        <v>0</v>
      </c>
      <c r="N1336" s="31" t="n">
        <f aca="false">IF($F1336="",0,IF($J1336="U",$L1336,$F1336))</f>
        <v>0</v>
      </c>
      <c r="O1336" s="35" t="str">
        <f aca="false">IF($A1336="","",MONTH($A1336))</f>
        <v/>
      </c>
      <c r="P1336" s="35" t="str">
        <f aca="false">IF($A1336="","",ROUNDUP(MONTH($A1336)/3,0))</f>
        <v/>
      </c>
      <c r="Q1336" s="35" t="str">
        <f aca="false">IF($A1336="","",IF(MONTH($A1336)&lt;=6,1,2))</f>
        <v/>
      </c>
      <c r="R1336" s="35" t="str">
        <f aca="false">IF($E1336="","",IFERROR(INDEX(Kontenplan!$F$5:$F$90,MATCH($E1336,Kontenplan!$A$5:$A$90,0)),""))</f>
        <v/>
      </c>
      <c r="S1336" s="35" t="str">
        <f aca="false">IF($D1336="","",IFERROR(INDEX(Kontenplan!$F$5:$F$90,MATCH($D1336,Kontenplan!$A$5:$A$90,0)),""))</f>
        <v/>
      </c>
      <c r="T1336" s="35" t="str">
        <f aca="false">IF($D1336="","",IFERROR(INDEX(Kontenplan!$C$5:$C$90,MATCH($D1336,Kontenplan!$A$5:$A$90,0)),"?"))</f>
        <v/>
      </c>
      <c r="U1336" s="35" t="str">
        <f aca="false">IF($E1336="","",IFERROR(INDEX(Kontenplan!$C$5:$C$90,MATCH($E1336,Kontenplan!$A$5:$A$90,0)),"?"))</f>
        <v/>
      </c>
      <c r="V1336" s="35" t="str">
        <f aca="false">IF($F1336="","",IF(OR($D1336="",$E1336="",$T1336="?",$U1336="?"),"Konto prüfen!",IF($A1336="","Datum fehlt",IF(YEAR($A1336)&lt;&gt;Einstellungen!$B$7,"anderes Jahr!",IF($G1336="","MWST-Code fehlt","OK")))))</f>
        <v/>
      </c>
      <c r="W1336" s="35" t="str">
        <f aca="false">IF($F1336="","",IF(OR($D1336=Kontoauszug!$C$4,$E1336=Kontoauszug!$C$4),MAX(W$4:W1335)+1,""))</f>
        <v/>
      </c>
    </row>
    <row r="1337" customFormat="false" ht="15" hidden="false" customHeight="false" outlineLevel="0" collapsed="false">
      <c r="A1337" s="33"/>
      <c r="B1337" s="32"/>
      <c r="C1337" s="32"/>
      <c r="D1337" s="32"/>
      <c r="E1337" s="32"/>
      <c r="F1337" s="30"/>
      <c r="G1337" s="32"/>
      <c r="H1337" s="34" t="n">
        <f aca="false">IF($G1337="",0,IFERROR(INDEX(Einstellungen!$G$5:$G$11,MATCH($G1337,Einstellungen!$E$5:$E$11,0)),0))</f>
        <v>0</v>
      </c>
      <c r="I1337" s="35" t="str">
        <f aca="false">IF($G1337="","-",IFERROR(INDEX(Einstellungen!$H$5:$H$11,MATCH($G1337,Einstellungen!$E$5:$E$11,0)),"-"))</f>
        <v>-</v>
      </c>
      <c r="J1337" s="35" t="str">
        <f aca="false">IF(AND(Einstellungen!$B$8="Ja",Einstellungen!$B$9="Effektiv"),$I1337,"-")</f>
        <v>-</v>
      </c>
      <c r="K1337" s="31" t="n">
        <f aca="false">IF(OR($F1337="",$J1337="-"),0,ROUND($F1337-$F1337/(1+$H1337),2))</f>
        <v>0</v>
      </c>
      <c r="L1337" s="31" t="n">
        <f aca="false">IF($F1337="",0,$F1337-$K1337)</f>
        <v>0</v>
      </c>
      <c r="M1337" s="31" t="n">
        <f aca="false">IF($F1337="",0,IF($J1337="V",$L1337,$F1337))</f>
        <v>0</v>
      </c>
      <c r="N1337" s="31" t="n">
        <f aca="false">IF($F1337="",0,IF($J1337="U",$L1337,$F1337))</f>
        <v>0</v>
      </c>
      <c r="O1337" s="35" t="str">
        <f aca="false">IF($A1337="","",MONTH($A1337))</f>
        <v/>
      </c>
      <c r="P1337" s="35" t="str">
        <f aca="false">IF($A1337="","",ROUNDUP(MONTH($A1337)/3,0))</f>
        <v/>
      </c>
      <c r="Q1337" s="35" t="str">
        <f aca="false">IF($A1337="","",IF(MONTH($A1337)&lt;=6,1,2))</f>
        <v/>
      </c>
      <c r="R1337" s="35" t="str">
        <f aca="false">IF($E1337="","",IFERROR(INDEX(Kontenplan!$F$5:$F$90,MATCH($E1337,Kontenplan!$A$5:$A$90,0)),""))</f>
        <v/>
      </c>
      <c r="S1337" s="35" t="str">
        <f aca="false">IF($D1337="","",IFERROR(INDEX(Kontenplan!$F$5:$F$90,MATCH($D1337,Kontenplan!$A$5:$A$90,0)),""))</f>
        <v/>
      </c>
      <c r="T1337" s="35" t="str">
        <f aca="false">IF($D1337="","",IFERROR(INDEX(Kontenplan!$C$5:$C$90,MATCH($D1337,Kontenplan!$A$5:$A$90,0)),"?"))</f>
        <v/>
      </c>
      <c r="U1337" s="35" t="str">
        <f aca="false">IF($E1337="","",IFERROR(INDEX(Kontenplan!$C$5:$C$90,MATCH($E1337,Kontenplan!$A$5:$A$90,0)),"?"))</f>
        <v/>
      </c>
      <c r="V1337" s="35" t="str">
        <f aca="false">IF($F1337="","",IF(OR($D1337="",$E1337="",$T1337="?",$U1337="?"),"Konto prüfen!",IF($A1337="","Datum fehlt",IF(YEAR($A1337)&lt;&gt;Einstellungen!$B$7,"anderes Jahr!",IF($G1337="","MWST-Code fehlt","OK")))))</f>
        <v/>
      </c>
      <c r="W1337" s="35" t="str">
        <f aca="false">IF($F1337="","",IF(OR($D1337=Kontoauszug!$C$4,$E1337=Kontoauszug!$C$4),MAX(W$4:W1336)+1,""))</f>
        <v/>
      </c>
    </row>
    <row r="1338" customFormat="false" ht="15" hidden="false" customHeight="false" outlineLevel="0" collapsed="false">
      <c r="A1338" s="33"/>
      <c r="B1338" s="32"/>
      <c r="C1338" s="32"/>
      <c r="D1338" s="32"/>
      <c r="E1338" s="32"/>
      <c r="F1338" s="30"/>
      <c r="G1338" s="32"/>
      <c r="H1338" s="34" t="n">
        <f aca="false">IF($G1338="",0,IFERROR(INDEX(Einstellungen!$G$5:$G$11,MATCH($G1338,Einstellungen!$E$5:$E$11,0)),0))</f>
        <v>0</v>
      </c>
      <c r="I1338" s="35" t="str">
        <f aca="false">IF($G1338="","-",IFERROR(INDEX(Einstellungen!$H$5:$H$11,MATCH($G1338,Einstellungen!$E$5:$E$11,0)),"-"))</f>
        <v>-</v>
      </c>
      <c r="J1338" s="35" t="str">
        <f aca="false">IF(AND(Einstellungen!$B$8="Ja",Einstellungen!$B$9="Effektiv"),$I1338,"-")</f>
        <v>-</v>
      </c>
      <c r="K1338" s="31" t="n">
        <f aca="false">IF(OR($F1338="",$J1338="-"),0,ROUND($F1338-$F1338/(1+$H1338),2))</f>
        <v>0</v>
      </c>
      <c r="L1338" s="31" t="n">
        <f aca="false">IF($F1338="",0,$F1338-$K1338)</f>
        <v>0</v>
      </c>
      <c r="M1338" s="31" t="n">
        <f aca="false">IF($F1338="",0,IF($J1338="V",$L1338,$F1338))</f>
        <v>0</v>
      </c>
      <c r="N1338" s="31" t="n">
        <f aca="false">IF($F1338="",0,IF($J1338="U",$L1338,$F1338))</f>
        <v>0</v>
      </c>
      <c r="O1338" s="35" t="str">
        <f aca="false">IF($A1338="","",MONTH($A1338))</f>
        <v/>
      </c>
      <c r="P1338" s="35" t="str">
        <f aca="false">IF($A1338="","",ROUNDUP(MONTH($A1338)/3,0))</f>
        <v/>
      </c>
      <c r="Q1338" s="35" t="str">
        <f aca="false">IF($A1338="","",IF(MONTH($A1338)&lt;=6,1,2))</f>
        <v/>
      </c>
      <c r="R1338" s="35" t="str">
        <f aca="false">IF($E1338="","",IFERROR(INDEX(Kontenplan!$F$5:$F$90,MATCH($E1338,Kontenplan!$A$5:$A$90,0)),""))</f>
        <v/>
      </c>
      <c r="S1338" s="35" t="str">
        <f aca="false">IF($D1338="","",IFERROR(INDEX(Kontenplan!$F$5:$F$90,MATCH($D1338,Kontenplan!$A$5:$A$90,0)),""))</f>
        <v/>
      </c>
      <c r="T1338" s="35" t="str">
        <f aca="false">IF($D1338="","",IFERROR(INDEX(Kontenplan!$C$5:$C$90,MATCH($D1338,Kontenplan!$A$5:$A$90,0)),"?"))</f>
        <v/>
      </c>
      <c r="U1338" s="35" t="str">
        <f aca="false">IF($E1338="","",IFERROR(INDEX(Kontenplan!$C$5:$C$90,MATCH($E1338,Kontenplan!$A$5:$A$90,0)),"?"))</f>
        <v/>
      </c>
      <c r="V1338" s="35" t="str">
        <f aca="false">IF($F1338="","",IF(OR($D1338="",$E1338="",$T1338="?",$U1338="?"),"Konto prüfen!",IF($A1338="","Datum fehlt",IF(YEAR($A1338)&lt;&gt;Einstellungen!$B$7,"anderes Jahr!",IF($G1338="","MWST-Code fehlt","OK")))))</f>
        <v/>
      </c>
      <c r="W1338" s="35" t="str">
        <f aca="false">IF($F1338="","",IF(OR($D1338=Kontoauszug!$C$4,$E1338=Kontoauszug!$C$4),MAX(W$4:W1337)+1,""))</f>
        <v/>
      </c>
    </row>
    <row r="1339" customFormat="false" ht="15" hidden="false" customHeight="false" outlineLevel="0" collapsed="false">
      <c r="A1339" s="33"/>
      <c r="B1339" s="32"/>
      <c r="C1339" s="32"/>
      <c r="D1339" s="32"/>
      <c r="E1339" s="32"/>
      <c r="F1339" s="30"/>
      <c r="G1339" s="32"/>
      <c r="H1339" s="34" t="n">
        <f aca="false">IF($G1339="",0,IFERROR(INDEX(Einstellungen!$G$5:$G$11,MATCH($G1339,Einstellungen!$E$5:$E$11,0)),0))</f>
        <v>0</v>
      </c>
      <c r="I1339" s="35" t="str">
        <f aca="false">IF($G1339="","-",IFERROR(INDEX(Einstellungen!$H$5:$H$11,MATCH($G1339,Einstellungen!$E$5:$E$11,0)),"-"))</f>
        <v>-</v>
      </c>
      <c r="J1339" s="35" t="str">
        <f aca="false">IF(AND(Einstellungen!$B$8="Ja",Einstellungen!$B$9="Effektiv"),$I1339,"-")</f>
        <v>-</v>
      </c>
      <c r="K1339" s="31" t="n">
        <f aca="false">IF(OR($F1339="",$J1339="-"),0,ROUND($F1339-$F1339/(1+$H1339),2))</f>
        <v>0</v>
      </c>
      <c r="L1339" s="31" t="n">
        <f aca="false">IF($F1339="",0,$F1339-$K1339)</f>
        <v>0</v>
      </c>
      <c r="M1339" s="31" t="n">
        <f aca="false">IF($F1339="",0,IF($J1339="V",$L1339,$F1339))</f>
        <v>0</v>
      </c>
      <c r="N1339" s="31" t="n">
        <f aca="false">IF($F1339="",0,IF($J1339="U",$L1339,$F1339))</f>
        <v>0</v>
      </c>
      <c r="O1339" s="35" t="str">
        <f aca="false">IF($A1339="","",MONTH($A1339))</f>
        <v/>
      </c>
      <c r="P1339" s="35" t="str">
        <f aca="false">IF($A1339="","",ROUNDUP(MONTH($A1339)/3,0))</f>
        <v/>
      </c>
      <c r="Q1339" s="35" t="str">
        <f aca="false">IF($A1339="","",IF(MONTH($A1339)&lt;=6,1,2))</f>
        <v/>
      </c>
      <c r="R1339" s="35" t="str">
        <f aca="false">IF($E1339="","",IFERROR(INDEX(Kontenplan!$F$5:$F$90,MATCH($E1339,Kontenplan!$A$5:$A$90,0)),""))</f>
        <v/>
      </c>
      <c r="S1339" s="35" t="str">
        <f aca="false">IF($D1339="","",IFERROR(INDEX(Kontenplan!$F$5:$F$90,MATCH($D1339,Kontenplan!$A$5:$A$90,0)),""))</f>
        <v/>
      </c>
      <c r="T1339" s="35" t="str">
        <f aca="false">IF($D1339="","",IFERROR(INDEX(Kontenplan!$C$5:$C$90,MATCH($D1339,Kontenplan!$A$5:$A$90,0)),"?"))</f>
        <v/>
      </c>
      <c r="U1339" s="35" t="str">
        <f aca="false">IF($E1339="","",IFERROR(INDEX(Kontenplan!$C$5:$C$90,MATCH($E1339,Kontenplan!$A$5:$A$90,0)),"?"))</f>
        <v/>
      </c>
      <c r="V1339" s="35" t="str">
        <f aca="false">IF($F1339="","",IF(OR($D1339="",$E1339="",$T1339="?",$U1339="?"),"Konto prüfen!",IF($A1339="","Datum fehlt",IF(YEAR($A1339)&lt;&gt;Einstellungen!$B$7,"anderes Jahr!",IF($G1339="","MWST-Code fehlt","OK")))))</f>
        <v/>
      </c>
      <c r="W1339" s="35" t="str">
        <f aca="false">IF($F1339="","",IF(OR($D1339=Kontoauszug!$C$4,$E1339=Kontoauszug!$C$4),MAX(W$4:W1338)+1,""))</f>
        <v/>
      </c>
    </row>
    <row r="1340" customFormat="false" ht="15" hidden="false" customHeight="false" outlineLevel="0" collapsed="false">
      <c r="A1340" s="33"/>
      <c r="B1340" s="32"/>
      <c r="C1340" s="32"/>
      <c r="D1340" s="32"/>
      <c r="E1340" s="32"/>
      <c r="F1340" s="30"/>
      <c r="G1340" s="32"/>
      <c r="H1340" s="34" t="n">
        <f aca="false">IF($G1340="",0,IFERROR(INDEX(Einstellungen!$G$5:$G$11,MATCH($G1340,Einstellungen!$E$5:$E$11,0)),0))</f>
        <v>0</v>
      </c>
      <c r="I1340" s="35" t="str">
        <f aca="false">IF($G1340="","-",IFERROR(INDEX(Einstellungen!$H$5:$H$11,MATCH($G1340,Einstellungen!$E$5:$E$11,0)),"-"))</f>
        <v>-</v>
      </c>
      <c r="J1340" s="35" t="str">
        <f aca="false">IF(AND(Einstellungen!$B$8="Ja",Einstellungen!$B$9="Effektiv"),$I1340,"-")</f>
        <v>-</v>
      </c>
      <c r="K1340" s="31" t="n">
        <f aca="false">IF(OR($F1340="",$J1340="-"),0,ROUND($F1340-$F1340/(1+$H1340),2))</f>
        <v>0</v>
      </c>
      <c r="L1340" s="31" t="n">
        <f aca="false">IF($F1340="",0,$F1340-$K1340)</f>
        <v>0</v>
      </c>
      <c r="M1340" s="31" t="n">
        <f aca="false">IF($F1340="",0,IF($J1340="V",$L1340,$F1340))</f>
        <v>0</v>
      </c>
      <c r="N1340" s="31" t="n">
        <f aca="false">IF($F1340="",0,IF($J1340="U",$L1340,$F1340))</f>
        <v>0</v>
      </c>
      <c r="O1340" s="35" t="str">
        <f aca="false">IF($A1340="","",MONTH($A1340))</f>
        <v/>
      </c>
      <c r="P1340" s="35" t="str">
        <f aca="false">IF($A1340="","",ROUNDUP(MONTH($A1340)/3,0))</f>
        <v/>
      </c>
      <c r="Q1340" s="35" t="str">
        <f aca="false">IF($A1340="","",IF(MONTH($A1340)&lt;=6,1,2))</f>
        <v/>
      </c>
      <c r="R1340" s="35" t="str">
        <f aca="false">IF($E1340="","",IFERROR(INDEX(Kontenplan!$F$5:$F$90,MATCH($E1340,Kontenplan!$A$5:$A$90,0)),""))</f>
        <v/>
      </c>
      <c r="S1340" s="35" t="str">
        <f aca="false">IF($D1340="","",IFERROR(INDEX(Kontenplan!$F$5:$F$90,MATCH($D1340,Kontenplan!$A$5:$A$90,0)),""))</f>
        <v/>
      </c>
      <c r="T1340" s="35" t="str">
        <f aca="false">IF($D1340="","",IFERROR(INDEX(Kontenplan!$C$5:$C$90,MATCH($D1340,Kontenplan!$A$5:$A$90,0)),"?"))</f>
        <v/>
      </c>
      <c r="U1340" s="35" t="str">
        <f aca="false">IF($E1340="","",IFERROR(INDEX(Kontenplan!$C$5:$C$90,MATCH($E1340,Kontenplan!$A$5:$A$90,0)),"?"))</f>
        <v/>
      </c>
      <c r="V1340" s="35" t="str">
        <f aca="false">IF($F1340="","",IF(OR($D1340="",$E1340="",$T1340="?",$U1340="?"),"Konto prüfen!",IF($A1340="","Datum fehlt",IF(YEAR($A1340)&lt;&gt;Einstellungen!$B$7,"anderes Jahr!",IF($G1340="","MWST-Code fehlt","OK")))))</f>
        <v/>
      </c>
      <c r="W1340" s="35" t="str">
        <f aca="false">IF($F1340="","",IF(OR($D1340=Kontoauszug!$C$4,$E1340=Kontoauszug!$C$4),MAX(W$4:W1339)+1,""))</f>
        <v/>
      </c>
    </row>
    <row r="1341" customFormat="false" ht="15" hidden="false" customHeight="false" outlineLevel="0" collapsed="false">
      <c r="A1341" s="33"/>
      <c r="B1341" s="32"/>
      <c r="C1341" s="32"/>
      <c r="D1341" s="32"/>
      <c r="E1341" s="32"/>
      <c r="F1341" s="30"/>
      <c r="G1341" s="32"/>
      <c r="H1341" s="34" t="n">
        <f aca="false">IF($G1341="",0,IFERROR(INDEX(Einstellungen!$G$5:$G$11,MATCH($G1341,Einstellungen!$E$5:$E$11,0)),0))</f>
        <v>0</v>
      </c>
      <c r="I1341" s="35" t="str">
        <f aca="false">IF($G1341="","-",IFERROR(INDEX(Einstellungen!$H$5:$H$11,MATCH($G1341,Einstellungen!$E$5:$E$11,0)),"-"))</f>
        <v>-</v>
      </c>
      <c r="J1341" s="35" t="str">
        <f aca="false">IF(AND(Einstellungen!$B$8="Ja",Einstellungen!$B$9="Effektiv"),$I1341,"-")</f>
        <v>-</v>
      </c>
      <c r="K1341" s="31" t="n">
        <f aca="false">IF(OR($F1341="",$J1341="-"),0,ROUND($F1341-$F1341/(1+$H1341),2))</f>
        <v>0</v>
      </c>
      <c r="L1341" s="31" t="n">
        <f aca="false">IF($F1341="",0,$F1341-$K1341)</f>
        <v>0</v>
      </c>
      <c r="M1341" s="31" t="n">
        <f aca="false">IF($F1341="",0,IF($J1341="V",$L1341,$F1341))</f>
        <v>0</v>
      </c>
      <c r="N1341" s="31" t="n">
        <f aca="false">IF($F1341="",0,IF($J1341="U",$L1341,$F1341))</f>
        <v>0</v>
      </c>
      <c r="O1341" s="35" t="str">
        <f aca="false">IF($A1341="","",MONTH($A1341))</f>
        <v/>
      </c>
      <c r="P1341" s="35" t="str">
        <f aca="false">IF($A1341="","",ROUNDUP(MONTH($A1341)/3,0))</f>
        <v/>
      </c>
      <c r="Q1341" s="35" t="str">
        <f aca="false">IF($A1341="","",IF(MONTH($A1341)&lt;=6,1,2))</f>
        <v/>
      </c>
      <c r="R1341" s="35" t="str">
        <f aca="false">IF($E1341="","",IFERROR(INDEX(Kontenplan!$F$5:$F$90,MATCH($E1341,Kontenplan!$A$5:$A$90,0)),""))</f>
        <v/>
      </c>
      <c r="S1341" s="35" t="str">
        <f aca="false">IF($D1341="","",IFERROR(INDEX(Kontenplan!$F$5:$F$90,MATCH($D1341,Kontenplan!$A$5:$A$90,0)),""))</f>
        <v/>
      </c>
      <c r="T1341" s="35" t="str">
        <f aca="false">IF($D1341="","",IFERROR(INDEX(Kontenplan!$C$5:$C$90,MATCH($D1341,Kontenplan!$A$5:$A$90,0)),"?"))</f>
        <v/>
      </c>
      <c r="U1341" s="35" t="str">
        <f aca="false">IF($E1341="","",IFERROR(INDEX(Kontenplan!$C$5:$C$90,MATCH($E1341,Kontenplan!$A$5:$A$90,0)),"?"))</f>
        <v/>
      </c>
      <c r="V1341" s="35" t="str">
        <f aca="false">IF($F1341="","",IF(OR($D1341="",$E1341="",$T1341="?",$U1341="?"),"Konto prüfen!",IF($A1341="","Datum fehlt",IF(YEAR($A1341)&lt;&gt;Einstellungen!$B$7,"anderes Jahr!",IF($G1341="","MWST-Code fehlt","OK")))))</f>
        <v/>
      </c>
      <c r="W1341" s="35" t="str">
        <f aca="false">IF($F1341="","",IF(OR($D1341=Kontoauszug!$C$4,$E1341=Kontoauszug!$C$4),MAX(W$4:W1340)+1,""))</f>
        <v/>
      </c>
    </row>
    <row r="1342" customFormat="false" ht="15" hidden="false" customHeight="false" outlineLevel="0" collapsed="false">
      <c r="A1342" s="33"/>
      <c r="B1342" s="32"/>
      <c r="C1342" s="32"/>
      <c r="D1342" s="32"/>
      <c r="E1342" s="32"/>
      <c r="F1342" s="30"/>
      <c r="G1342" s="32"/>
      <c r="H1342" s="34" t="n">
        <f aca="false">IF($G1342="",0,IFERROR(INDEX(Einstellungen!$G$5:$G$11,MATCH($G1342,Einstellungen!$E$5:$E$11,0)),0))</f>
        <v>0</v>
      </c>
      <c r="I1342" s="35" t="str">
        <f aca="false">IF($G1342="","-",IFERROR(INDEX(Einstellungen!$H$5:$H$11,MATCH($G1342,Einstellungen!$E$5:$E$11,0)),"-"))</f>
        <v>-</v>
      </c>
      <c r="J1342" s="35" t="str">
        <f aca="false">IF(AND(Einstellungen!$B$8="Ja",Einstellungen!$B$9="Effektiv"),$I1342,"-")</f>
        <v>-</v>
      </c>
      <c r="K1342" s="31" t="n">
        <f aca="false">IF(OR($F1342="",$J1342="-"),0,ROUND($F1342-$F1342/(1+$H1342),2))</f>
        <v>0</v>
      </c>
      <c r="L1342" s="31" t="n">
        <f aca="false">IF($F1342="",0,$F1342-$K1342)</f>
        <v>0</v>
      </c>
      <c r="M1342" s="31" t="n">
        <f aca="false">IF($F1342="",0,IF($J1342="V",$L1342,$F1342))</f>
        <v>0</v>
      </c>
      <c r="N1342" s="31" t="n">
        <f aca="false">IF($F1342="",0,IF($J1342="U",$L1342,$F1342))</f>
        <v>0</v>
      </c>
      <c r="O1342" s="35" t="str">
        <f aca="false">IF($A1342="","",MONTH($A1342))</f>
        <v/>
      </c>
      <c r="P1342" s="35" t="str">
        <f aca="false">IF($A1342="","",ROUNDUP(MONTH($A1342)/3,0))</f>
        <v/>
      </c>
      <c r="Q1342" s="35" t="str">
        <f aca="false">IF($A1342="","",IF(MONTH($A1342)&lt;=6,1,2))</f>
        <v/>
      </c>
      <c r="R1342" s="35" t="str">
        <f aca="false">IF($E1342="","",IFERROR(INDEX(Kontenplan!$F$5:$F$90,MATCH($E1342,Kontenplan!$A$5:$A$90,0)),""))</f>
        <v/>
      </c>
      <c r="S1342" s="35" t="str">
        <f aca="false">IF($D1342="","",IFERROR(INDEX(Kontenplan!$F$5:$F$90,MATCH($D1342,Kontenplan!$A$5:$A$90,0)),""))</f>
        <v/>
      </c>
      <c r="T1342" s="35" t="str">
        <f aca="false">IF($D1342="","",IFERROR(INDEX(Kontenplan!$C$5:$C$90,MATCH($D1342,Kontenplan!$A$5:$A$90,0)),"?"))</f>
        <v/>
      </c>
      <c r="U1342" s="35" t="str">
        <f aca="false">IF($E1342="","",IFERROR(INDEX(Kontenplan!$C$5:$C$90,MATCH($E1342,Kontenplan!$A$5:$A$90,0)),"?"))</f>
        <v/>
      </c>
      <c r="V1342" s="35" t="str">
        <f aca="false">IF($F1342="","",IF(OR($D1342="",$E1342="",$T1342="?",$U1342="?"),"Konto prüfen!",IF($A1342="","Datum fehlt",IF(YEAR($A1342)&lt;&gt;Einstellungen!$B$7,"anderes Jahr!",IF($G1342="","MWST-Code fehlt","OK")))))</f>
        <v/>
      </c>
      <c r="W1342" s="35" t="str">
        <f aca="false">IF($F1342="","",IF(OR($D1342=Kontoauszug!$C$4,$E1342=Kontoauszug!$C$4),MAX(W$4:W1341)+1,""))</f>
        <v/>
      </c>
    </row>
    <row r="1343" customFormat="false" ht="15" hidden="false" customHeight="false" outlineLevel="0" collapsed="false">
      <c r="A1343" s="33"/>
      <c r="B1343" s="32"/>
      <c r="C1343" s="32"/>
      <c r="D1343" s="32"/>
      <c r="E1343" s="32"/>
      <c r="F1343" s="30"/>
      <c r="G1343" s="32"/>
      <c r="H1343" s="34" t="n">
        <f aca="false">IF($G1343="",0,IFERROR(INDEX(Einstellungen!$G$5:$G$11,MATCH($G1343,Einstellungen!$E$5:$E$11,0)),0))</f>
        <v>0</v>
      </c>
      <c r="I1343" s="35" t="str">
        <f aca="false">IF($G1343="","-",IFERROR(INDEX(Einstellungen!$H$5:$H$11,MATCH($G1343,Einstellungen!$E$5:$E$11,0)),"-"))</f>
        <v>-</v>
      </c>
      <c r="J1343" s="35" t="str">
        <f aca="false">IF(AND(Einstellungen!$B$8="Ja",Einstellungen!$B$9="Effektiv"),$I1343,"-")</f>
        <v>-</v>
      </c>
      <c r="K1343" s="31" t="n">
        <f aca="false">IF(OR($F1343="",$J1343="-"),0,ROUND($F1343-$F1343/(1+$H1343),2))</f>
        <v>0</v>
      </c>
      <c r="L1343" s="31" t="n">
        <f aca="false">IF($F1343="",0,$F1343-$K1343)</f>
        <v>0</v>
      </c>
      <c r="M1343" s="31" t="n">
        <f aca="false">IF($F1343="",0,IF($J1343="V",$L1343,$F1343))</f>
        <v>0</v>
      </c>
      <c r="N1343" s="31" t="n">
        <f aca="false">IF($F1343="",0,IF($J1343="U",$L1343,$F1343))</f>
        <v>0</v>
      </c>
      <c r="O1343" s="35" t="str">
        <f aca="false">IF($A1343="","",MONTH($A1343))</f>
        <v/>
      </c>
      <c r="P1343" s="35" t="str">
        <f aca="false">IF($A1343="","",ROUNDUP(MONTH($A1343)/3,0))</f>
        <v/>
      </c>
      <c r="Q1343" s="35" t="str">
        <f aca="false">IF($A1343="","",IF(MONTH($A1343)&lt;=6,1,2))</f>
        <v/>
      </c>
      <c r="R1343" s="35" t="str">
        <f aca="false">IF($E1343="","",IFERROR(INDEX(Kontenplan!$F$5:$F$90,MATCH($E1343,Kontenplan!$A$5:$A$90,0)),""))</f>
        <v/>
      </c>
      <c r="S1343" s="35" t="str">
        <f aca="false">IF($D1343="","",IFERROR(INDEX(Kontenplan!$F$5:$F$90,MATCH($D1343,Kontenplan!$A$5:$A$90,0)),""))</f>
        <v/>
      </c>
      <c r="T1343" s="35" t="str">
        <f aca="false">IF($D1343="","",IFERROR(INDEX(Kontenplan!$C$5:$C$90,MATCH($D1343,Kontenplan!$A$5:$A$90,0)),"?"))</f>
        <v/>
      </c>
      <c r="U1343" s="35" t="str">
        <f aca="false">IF($E1343="","",IFERROR(INDEX(Kontenplan!$C$5:$C$90,MATCH($E1343,Kontenplan!$A$5:$A$90,0)),"?"))</f>
        <v/>
      </c>
      <c r="V1343" s="35" t="str">
        <f aca="false">IF($F1343="","",IF(OR($D1343="",$E1343="",$T1343="?",$U1343="?"),"Konto prüfen!",IF($A1343="","Datum fehlt",IF(YEAR($A1343)&lt;&gt;Einstellungen!$B$7,"anderes Jahr!",IF($G1343="","MWST-Code fehlt","OK")))))</f>
        <v/>
      </c>
      <c r="W1343" s="35" t="str">
        <f aca="false">IF($F1343="","",IF(OR($D1343=Kontoauszug!$C$4,$E1343=Kontoauszug!$C$4),MAX(W$4:W1342)+1,""))</f>
        <v/>
      </c>
    </row>
    <row r="1344" customFormat="false" ht="15" hidden="false" customHeight="false" outlineLevel="0" collapsed="false">
      <c r="A1344" s="33"/>
      <c r="B1344" s="32"/>
      <c r="C1344" s="32"/>
      <c r="D1344" s="32"/>
      <c r="E1344" s="32"/>
      <c r="F1344" s="30"/>
      <c r="G1344" s="32"/>
      <c r="H1344" s="34" t="n">
        <f aca="false">IF($G1344="",0,IFERROR(INDEX(Einstellungen!$G$5:$G$11,MATCH($G1344,Einstellungen!$E$5:$E$11,0)),0))</f>
        <v>0</v>
      </c>
      <c r="I1344" s="35" t="str">
        <f aca="false">IF($G1344="","-",IFERROR(INDEX(Einstellungen!$H$5:$H$11,MATCH($G1344,Einstellungen!$E$5:$E$11,0)),"-"))</f>
        <v>-</v>
      </c>
      <c r="J1344" s="35" t="str">
        <f aca="false">IF(AND(Einstellungen!$B$8="Ja",Einstellungen!$B$9="Effektiv"),$I1344,"-")</f>
        <v>-</v>
      </c>
      <c r="K1344" s="31" t="n">
        <f aca="false">IF(OR($F1344="",$J1344="-"),0,ROUND($F1344-$F1344/(1+$H1344),2))</f>
        <v>0</v>
      </c>
      <c r="L1344" s="31" t="n">
        <f aca="false">IF($F1344="",0,$F1344-$K1344)</f>
        <v>0</v>
      </c>
      <c r="M1344" s="31" t="n">
        <f aca="false">IF($F1344="",0,IF($J1344="V",$L1344,$F1344))</f>
        <v>0</v>
      </c>
      <c r="N1344" s="31" t="n">
        <f aca="false">IF($F1344="",0,IF($J1344="U",$L1344,$F1344))</f>
        <v>0</v>
      </c>
      <c r="O1344" s="35" t="str">
        <f aca="false">IF($A1344="","",MONTH($A1344))</f>
        <v/>
      </c>
      <c r="P1344" s="35" t="str">
        <f aca="false">IF($A1344="","",ROUNDUP(MONTH($A1344)/3,0))</f>
        <v/>
      </c>
      <c r="Q1344" s="35" t="str">
        <f aca="false">IF($A1344="","",IF(MONTH($A1344)&lt;=6,1,2))</f>
        <v/>
      </c>
      <c r="R1344" s="35" t="str">
        <f aca="false">IF($E1344="","",IFERROR(INDEX(Kontenplan!$F$5:$F$90,MATCH($E1344,Kontenplan!$A$5:$A$90,0)),""))</f>
        <v/>
      </c>
      <c r="S1344" s="35" t="str">
        <f aca="false">IF($D1344="","",IFERROR(INDEX(Kontenplan!$F$5:$F$90,MATCH($D1344,Kontenplan!$A$5:$A$90,0)),""))</f>
        <v/>
      </c>
      <c r="T1344" s="35" t="str">
        <f aca="false">IF($D1344="","",IFERROR(INDEX(Kontenplan!$C$5:$C$90,MATCH($D1344,Kontenplan!$A$5:$A$90,0)),"?"))</f>
        <v/>
      </c>
      <c r="U1344" s="35" t="str">
        <f aca="false">IF($E1344="","",IFERROR(INDEX(Kontenplan!$C$5:$C$90,MATCH($E1344,Kontenplan!$A$5:$A$90,0)),"?"))</f>
        <v/>
      </c>
      <c r="V1344" s="35" t="str">
        <f aca="false">IF($F1344="","",IF(OR($D1344="",$E1344="",$T1344="?",$U1344="?"),"Konto prüfen!",IF($A1344="","Datum fehlt",IF(YEAR($A1344)&lt;&gt;Einstellungen!$B$7,"anderes Jahr!",IF($G1344="","MWST-Code fehlt","OK")))))</f>
        <v/>
      </c>
      <c r="W1344" s="35" t="str">
        <f aca="false">IF($F1344="","",IF(OR($D1344=Kontoauszug!$C$4,$E1344=Kontoauszug!$C$4),MAX(W$4:W1343)+1,""))</f>
        <v/>
      </c>
    </row>
    <row r="1345" customFormat="false" ht="15" hidden="false" customHeight="false" outlineLevel="0" collapsed="false">
      <c r="A1345" s="33"/>
      <c r="B1345" s="32"/>
      <c r="C1345" s="32"/>
      <c r="D1345" s="32"/>
      <c r="E1345" s="32"/>
      <c r="F1345" s="30"/>
      <c r="G1345" s="32"/>
      <c r="H1345" s="34" t="n">
        <f aca="false">IF($G1345="",0,IFERROR(INDEX(Einstellungen!$G$5:$G$11,MATCH($G1345,Einstellungen!$E$5:$E$11,0)),0))</f>
        <v>0</v>
      </c>
      <c r="I1345" s="35" t="str">
        <f aca="false">IF($G1345="","-",IFERROR(INDEX(Einstellungen!$H$5:$H$11,MATCH($G1345,Einstellungen!$E$5:$E$11,0)),"-"))</f>
        <v>-</v>
      </c>
      <c r="J1345" s="35" t="str">
        <f aca="false">IF(AND(Einstellungen!$B$8="Ja",Einstellungen!$B$9="Effektiv"),$I1345,"-")</f>
        <v>-</v>
      </c>
      <c r="K1345" s="31" t="n">
        <f aca="false">IF(OR($F1345="",$J1345="-"),0,ROUND($F1345-$F1345/(1+$H1345),2))</f>
        <v>0</v>
      </c>
      <c r="L1345" s="31" t="n">
        <f aca="false">IF($F1345="",0,$F1345-$K1345)</f>
        <v>0</v>
      </c>
      <c r="M1345" s="31" t="n">
        <f aca="false">IF($F1345="",0,IF($J1345="V",$L1345,$F1345))</f>
        <v>0</v>
      </c>
      <c r="N1345" s="31" t="n">
        <f aca="false">IF($F1345="",0,IF($J1345="U",$L1345,$F1345))</f>
        <v>0</v>
      </c>
      <c r="O1345" s="35" t="str">
        <f aca="false">IF($A1345="","",MONTH($A1345))</f>
        <v/>
      </c>
      <c r="P1345" s="35" t="str">
        <f aca="false">IF($A1345="","",ROUNDUP(MONTH($A1345)/3,0))</f>
        <v/>
      </c>
      <c r="Q1345" s="35" t="str">
        <f aca="false">IF($A1345="","",IF(MONTH($A1345)&lt;=6,1,2))</f>
        <v/>
      </c>
      <c r="R1345" s="35" t="str">
        <f aca="false">IF($E1345="","",IFERROR(INDEX(Kontenplan!$F$5:$F$90,MATCH($E1345,Kontenplan!$A$5:$A$90,0)),""))</f>
        <v/>
      </c>
      <c r="S1345" s="35" t="str">
        <f aca="false">IF($D1345="","",IFERROR(INDEX(Kontenplan!$F$5:$F$90,MATCH($D1345,Kontenplan!$A$5:$A$90,0)),""))</f>
        <v/>
      </c>
      <c r="T1345" s="35" t="str">
        <f aca="false">IF($D1345="","",IFERROR(INDEX(Kontenplan!$C$5:$C$90,MATCH($D1345,Kontenplan!$A$5:$A$90,0)),"?"))</f>
        <v/>
      </c>
      <c r="U1345" s="35" t="str">
        <f aca="false">IF($E1345="","",IFERROR(INDEX(Kontenplan!$C$5:$C$90,MATCH($E1345,Kontenplan!$A$5:$A$90,0)),"?"))</f>
        <v/>
      </c>
      <c r="V1345" s="35" t="str">
        <f aca="false">IF($F1345="","",IF(OR($D1345="",$E1345="",$T1345="?",$U1345="?"),"Konto prüfen!",IF($A1345="","Datum fehlt",IF(YEAR($A1345)&lt;&gt;Einstellungen!$B$7,"anderes Jahr!",IF($G1345="","MWST-Code fehlt","OK")))))</f>
        <v/>
      </c>
      <c r="W1345" s="35" t="str">
        <f aca="false">IF($F1345="","",IF(OR($D1345=Kontoauszug!$C$4,$E1345=Kontoauszug!$C$4),MAX(W$4:W1344)+1,""))</f>
        <v/>
      </c>
    </row>
    <row r="1346" customFormat="false" ht="15" hidden="false" customHeight="false" outlineLevel="0" collapsed="false">
      <c r="A1346" s="33"/>
      <c r="B1346" s="32"/>
      <c r="C1346" s="32"/>
      <c r="D1346" s="32"/>
      <c r="E1346" s="32"/>
      <c r="F1346" s="30"/>
      <c r="G1346" s="32"/>
      <c r="H1346" s="34" t="n">
        <f aca="false">IF($G1346="",0,IFERROR(INDEX(Einstellungen!$G$5:$G$11,MATCH($G1346,Einstellungen!$E$5:$E$11,0)),0))</f>
        <v>0</v>
      </c>
      <c r="I1346" s="35" t="str">
        <f aca="false">IF($G1346="","-",IFERROR(INDEX(Einstellungen!$H$5:$H$11,MATCH($G1346,Einstellungen!$E$5:$E$11,0)),"-"))</f>
        <v>-</v>
      </c>
      <c r="J1346" s="35" t="str">
        <f aca="false">IF(AND(Einstellungen!$B$8="Ja",Einstellungen!$B$9="Effektiv"),$I1346,"-")</f>
        <v>-</v>
      </c>
      <c r="K1346" s="31" t="n">
        <f aca="false">IF(OR($F1346="",$J1346="-"),0,ROUND($F1346-$F1346/(1+$H1346),2))</f>
        <v>0</v>
      </c>
      <c r="L1346" s="31" t="n">
        <f aca="false">IF($F1346="",0,$F1346-$K1346)</f>
        <v>0</v>
      </c>
      <c r="M1346" s="31" t="n">
        <f aca="false">IF($F1346="",0,IF($J1346="V",$L1346,$F1346))</f>
        <v>0</v>
      </c>
      <c r="N1346" s="31" t="n">
        <f aca="false">IF($F1346="",0,IF($J1346="U",$L1346,$F1346))</f>
        <v>0</v>
      </c>
      <c r="O1346" s="35" t="str">
        <f aca="false">IF($A1346="","",MONTH($A1346))</f>
        <v/>
      </c>
      <c r="P1346" s="35" t="str">
        <f aca="false">IF($A1346="","",ROUNDUP(MONTH($A1346)/3,0))</f>
        <v/>
      </c>
      <c r="Q1346" s="35" t="str">
        <f aca="false">IF($A1346="","",IF(MONTH($A1346)&lt;=6,1,2))</f>
        <v/>
      </c>
      <c r="R1346" s="35" t="str">
        <f aca="false">IF($E1346="","",IFERROR(INDEX(Kontenplan!$F$5:$F$90,MATCH($E1346,Kontenplan!$A$5:$A$90,0)),""))</f>
        <v/>
      </c>
      <c r="S1346" s="35" t="str">
        <f aca="false">IF($D1346="","",IFERROR(INDEX(Kontenplan!$F$5:$F$90,MATCH($D1346,Kontenplan!$A$5:$A$90,0)),""))</f>
        <v/>
      </c>
      <c r="T1346" s="35" t="str">
        <f aca="false">IF($D1346="","",IFERROR(INDEX(Kontenplan!$C$5:$C$90,MATCH($D1346,Kontenplan!$A$5:$A$90,0)),"?"))</f>
        <v/>
      </c>
      <c r="U1346" s="35" t="str">
        <f aca="false">IF($E1346="","",IFERROR(INDEX(Kontenplan!$C$5:$C$90,MATCH($E1346,Kontenplan!$A$5:$A$90,0)),"?"))</f>
        <v/>
      </c>
      <c r="V1346" s="35" t="str">
        <f aca="false">IF($F1346="","",IF(OR($D1346="",$E1346="",$T1346="?",$U1346="?"),"Konto prüfen!",IF($A1346="","Datum fehlt",IF(YEAR($A1346)&lt;&gt;Einstellungen!$B$7,"anderes Jahr!",IF($G1346="","MWST-Code fehlt","OK")))))</f>
        <v/>
      </c>
      <c r="W1346" s="35" t="str">
        <f aca="false">IF($F1346="","",IF(OR($D1346=Kontoauszug!$C$4,$E1346=Kontoauszug!$C$4),MAX(W$4:W1345)+1,""))</f>
        <v/>
      </c>
    </row>
    <row r="1347" customFormat="false" ht="15" hidden="false" customHeight="false" outlineLevel="0" collapsed="false">
      <c r="A1347" s="33"/>
      <c r="B1347" s="32"/>
      <c r="C1347" s="32"/>
      <c r="D1347" s="32"/>
      <c r="E1347" s="32"/>
      <c r="F1347" s="30"/>
      <c r="G1347" s="32"/>
      <c r="H1347" s="34" t="n">
        <f aca="false">IF($G1347="",0,IFERROR(INDEX(Einstellungen!$G$5:$G$11,MATCH($G1347,Einstellungen!$E$5:$E$11,0)),0))</f>
        <v>0</v>
      </c>
      <c r="I1347" s="35" t="str">
        <f aca="false">IF($G1347="","-",IFERROR(INDEX(Einstellungen!$H$5:$H$11,MATCH($G1347,Einstellungen!$E$5:$E$11,0)),"-"))</f>
        <v>-</v>
      </c>
      <c r="J1347" s="35" t="str">
        <f aca="false">IF(AND(Einstellungen!$B$8="Ja",Einstellungen!$B$9="Effektiv"),$I1347,"-")</f>
        <v>-</v>
      </c>
      <c r="K1347" s="31" t="n">
        <f aca="false">IF(OR($F1347="",$J1347="-"),0,ROUND($F1347-$F1347/(1+$H1347),2))</f>
        <v>0</v>
      </c>
      <c r="L1347" s="31" t="n">
        <f aca="false">IF($F1347="",0,$F1347-$K1347)</f>
        <v>0</v>
      </c>
      <c r="M1347" s="31" t="n">
        <f aca="false">IF($F1347="",0,IF($J1347="V",$L1347,$F1347))</f>
        <v>0</v>
      </c>
      <c r="N1347" s="31" t="n">
        <f aca="false">IF($F1347="",0,IF($J1347="U",$L1347,$F1347))</f>
        <v>0</v>
      </c>
      <c r="O1347" s="35" t="str">
        <f aca="false">IF($A1347="","",MONTH($A1347))</f>
        <v/>
      </c>
      <c r="P1347" s="35" t="str">
        <f aca="false">IF($A1347="","",ROUNDUP(MONTH($A1347)/3,0))</f>
        <v/>
      </c>
      <c r="Q1347" s="35" t="str">
        <f aca="false">IF($A1347="","",IF(MONTH($A1347)&lt;=6,1,2))</f>
        <v/>
      </c>
      <c r="R1347" s="35" t="str">
        <f aca="false">IF($E1347="","",IFERROR(INDEX(Kontenplan!$F$5:$F$90,MATCH($E1347,Kontenplan!$A$5:$A$90,0)),""))</f>
        <v/>
      </c>
      <c r="S1347" s="35" t="str">
        <f aca="false">IF($D1347="","",IFERROR(INDEX(Kontenplan!$F$5:$F$90,MATCH($D1347,Kontenplan!$A$5:$A$90,0)),""))</f>
        <v/>
      </c>
      <c r="T1347" s="35" t="str">
        <f aca="false">IF($D1347="","",IFERROR(INDEX(Kontenplan!$C$5:$C$90,MATCH($D1347,Kontenplan!$A$5:$A$90,0)),"?"))</f>
        <v/>
      </c>
      <c r="U1347" s="35" t="str">
        <f aca="false">IF($E1347="","",IFERROR(INDEX(Kontenplan!$C$5:$C$90,MATCH($E1347,Kontenplan!$A$5:$A$90,0)),"?"))</f>
        <v/>
      </c>
      <c r="V1347" s="35" t="str">
        <f aca="false">IF($F1347="","",IF(OR($D1347="",$E1347="",$T1347="?",$U1347="?"),"Konto prüfen!",IF($A1347="","Datum fehlt",IF(YEAR($A1347)&lt;&gt;Einstellungen!$B$7,"anderes Jahr!",IF($G1347="","MWST-Code fehlt","OK")))))</f>
        <v/>
      </c>
      <c r="W1347" s="35" t="str">
        <f aca="false">IF($F1347="","",IF(OR($D1347=Kontoauszug!$C$4,$E1347=Kontoauszug!$C$4),MAX(W$4:W1346)+1,""))</f>
        <v/>
      </c>
    </row>
    <row r="1348" customFormat="false" ht="15" hidden="false" customHeight="false" outlineLevel="0" collapsed="false">
      <c r="A1348" s="33"/>
      <c r="B1348" s="32"/>
      <c r="C1348" s="32"/>
      <c r="D1348" s="32"/>
      <c r="E1348" s="32"/>
      <c r="F1348" s="30"/>
      <c r="G1348" s="32"/>
      <c r="H1348" s="34" t="n">
        <f aca="false">IF($G1348="",0,IFERROR(INDEX(Einstellungen!$G$5:$G$11,MATCH($G1348,Einstellungen!$E$5:$E$11,0)),0))</f>
        <v>0</v>
      </c>
      <c r="I1348" s="35" t="str">
        <f aca="false">IF($G1348="","-",IFERROR(INDEX(Einstellungen!$H$5:$H$11,MATCH($G1348,Einstellungen!$E$5:$E$11,0)),"-"))</f>
        <v>-</v>
      </c>
      <c r="J1348" s="35" t="str">
        <f aca="false">IF(AND(Einstellungen!$B$8="Ja",Einstellungen!$B$9="Effektiv"),$I1348,"-")</f>
        <v>-</v>
      </c>
      <c r="K1348" s="31" t="n">
        <f aca="false">IF(OR($F1348="",$J1348="-"),0,ROUND($F1348-$F1348/(1+$H1348),2))</f>
        <v>0</v>
      </c>
      <c r="L1348" s="31" t="n">
        <f aca="false">IF($F1348="",0,$F1348-$K1348)</f>
        <v>0</v>
      </c>
      <c r="M1348" s="31" t="n">
        <f aca="false">IF($F1348="",0,IF($J1348="V",$L1348,$F1348))</f>
        <v>0</v>
      </c>
      <c r="N1348" s="31" t="n">
        <f aca="false">IF($F1348="",0,IF($J1348="U",$L1348,$F1348))</f>
        <v>0</v>
      </c>
      <c r="O1348" s="35" t="str">
        <f aca="false">IF($A1348="","",MONTH($A1348))</f>
        <v/>
      </c>
      <c r="P1348" s="35" t="str">
        <f aca="false">IF($A1348="","",ROUNDUP(MONTH($A1348)/3,0))</f>
        <v/>
      </c>
      <c r="Q1348" s="35" t="str">
        <f aca="false">IF($A1348="","",IF(MONTH($A1348)&lt;=6,1,2))</f>
        <v/>
      </c>
      <c r="R1348" s="35" t="str">
        <f aca="false">IF($E1348="","",IFERROR(INDEX(Kontenplan!$F$5:$F$90,MATCH($E1348,Kontenplan!$A$5:$A$90,0)),""))</f>
        <v/>
      </c>
      <c r="S1348" s="35" t="str">
        <f aca="false">IF($D1348="","",IFERROR(INDEX(Kontenplan!$F$5:$F$90,MATCH($D1348,Kontenplan!$A$5:$A$90,0)),""))</f>
        <v/>
      </c>
      <c r="T1348" s="35" t="str">
        <f aca="false">IF($D1348="","",IFERROR(INDEX(Kontenplan!$C$5:$C$90,MATCH($D1348,Kontenplan!$A$5:$A$90,0)),"?"))</f>
        <v/>
      </c>
      <c r="U1348" s="35" t="str">
        <f aca="false">IF($E1348="","",IFERROR(INDEX(Kontenplan!$C$5:$C$90,MATCH($E1348,Kontenplan!$A$5:$A$90,0)),"?"))</f>
        <v/>
      </c>
      <c r="V1348" s="35" t="str">
        <f aca="false">IF($F1348="","",IF(OR($D1348="",$E1348="",$T1348="?",$U1348="?"),"Konto prüfen!",IF($A1348="","Datum fehlt",IF(YEAR($A1348)&lt;&gt;Einstellungen!$B$7,"anderes Jahr!",IF($G1348="","MWST-Code fehlt","OK")))))</f>
        <v/>
      </c>
      <c r="W1348" s="35" t="str">
        <f aca="false">IF($F1348="","",IF(OR($D1348=Kontoauszug!$C$4,$E1348=Kontoauszug!$C$4),MAX(W$4:W1347)+1,""))</f>
        <v/>
      </c>
    </row>
    <row r="1349" customFormat="false" ht="15" hidden="false" customHeight="false" outlineLevel="0" collapsed="false">
      <c r="A1349" s="33"/>
      <c r="B1349" s="32"/>
      <c r="C1349" s="32"/>
      <c r="D1349" s="32"/>
      <c r="E1349" s="32"/>
      <c r="F1349" s="30"/>
      <c r="G1349" s="32"/>
      <c r="H1349" s="34" t="n">
        <f aca="false">IF($G1349="",0,IFERROR(INDEX(Einstellungen!$G$5:$G$11,MATCH($G1349,Einstellungen!$E$5:$E$11,0)),0))</f>
        <v>0</v>
      </c>
      <c r="I1349" s="35" t="str">
        <f aca="false">IF($G1349="","-",IFERROR(INDEX(Einstellungen!$H$5:$H$11,MATCH($G1349,Einstellungen!$E$5:$E$11,0)),"-"))</f>
        <v>-</v>
      </c>
      <c r="J1349" s="35" t="str">
        <f aca="false">IF(AND(Einstellungen!$B$8="Ja",Einstellungen!$B$9="Effektiv"),$I1349,"-")</f>
        <v>-</v>
      </c>
      <c r="K1349" s="31" t="n">
        <f aca="false">IF(OR($F1349="",$J1349="-"),0,ROUND($F1349-$F1349/(1+$H1349),2))</f>
        <v>0</v>
      </c>
      <c r="L1349" s="31" t="n">
        <f aca="false">IF($F1349="",0,$F1349-$K1349)</f>
        <v>0</v>
      </c>
      <c r="M1349" s="31" t="n">
        <f aca="false">IF($F1349="",0,IF($J1349="V",$L1349,$F1349))</f>
        <v>0</v>
      </c>
      <c r="N1349" s="31" t="n">
        <f aca="false">IF($F1349="",0,IF($J1349="U",$L1349,$F1349))</f>
        <v>0</v>
      </c>
      <c r="O1349" s="35" t="str">
        <f aca="false">IF($A1349="","",MONTH($A1349))</f>
        <v/>
      </c>
      <c r="P1349" s="35" t="str">
        <f aca="false">IF($A1349="","",ROUNDUP(MONTH($A1349)/3,0))</f>
        <v/>
      </c>
      <c r="Q1349" s="35" t="str">
        <f aca="false">IF($A1349="","",IF(MONTH($A1349)&lt;=6,1,2))</f>
        <v/>
      </c>
      <c r="R1349" s="35" t="str">
        <f aca="false">IF($E1349="","",IFERROR(INDEX(Kontenplan!$F$5:$F$90,MATCH($E1349,Kontenplan!$A$5:$A$90,0)),""))</f>
        <v/>
      </c>
      <c r="S1349" s="35" t="str">
        <f aca="false">IF($D1349="","",IFERROR(INDEX(Kontenplan!$F$5:$F$90,MATCH($D1349,Kontenplan!$A$5:$A$90,0)),""))</f>
        <v/>
      </c>
      <c r="T1349" s="35" t="str">
        <f aca="false">IF($D1349="","",IFERROR(INDEX(Kontenplan!$C$5:$C$90,MATCH($D1349,Kontenplan!$A$5:$A$90,0)),"?"))</f>
        <v/>
      </c>
      <c r="U1349" s="35" t="str">
        <f aca="false">IF($E1349="","",IFERROR(INDEX(Kontenplan!$C$5:$C$90,MATCH($E1349,Kontenplan!$A$5:$A$90,0)),"?"))</f>
        <v/>
      </c>
      <c r="V1349" s="35" t="str">
        <f aca="false">IF($F1349="","",IF(OR($D1349="",$E1349="",$T1349="?",$U1349="?"),"Konto prüfen!",IF($A1349="","Datum fehlt",IF(YEAR($A1349)&lt;&gt;Einstellungen!$B$7,"anderes Jahr!",IF($G1349="","MWST-Code fehlt","OK")))))</f>
        <v/>
      </c>
      <c r="W1349" s="35" t="str">
        <f aca="false">IF($F1349="","",IF(OR($D1349=Kontoauszug!$C$4,$E1349=Kontoauszug!$C$4),MAX(W$4:W1348)+1,""))</f>
        <v/>
      </c>
    </row>
    <row r="1350" customFormat="false" ht="15" hidden="false" customHeight="false" outlineLevel="0" collapsed="false">
      <c r="A1350" s="33"/>
      <c r="B1350" s="32"/>
      <c r="C1350" s="32"/>
      <c r="D1350" s="32"/>
      <c r="E1350" s="32"/>
      <c r="F1350" s="30"/>
      <c r="G1350" s="32"/>
      <c r="H1350" s="34" t="n">
        <f aca="false">IF($G1350="",0,IFERROR(INDEX(Einstellungen!$G$5:$G$11,MATCH($G1350,Einstellungen!$E$5:$E$11,0)),0))</f>
        <v>0</v>
      </c>
      <c r="I1350" s="35" t="str">
        <f aca="false">IF($G1350="","-",IFERROR(INDEX(Einstellungen!$H$5:$H$11,MATCH($G1350,Einstellungen!$E$5:$E$11,0)),"-"))</f>
        <v>-</v>
      </c>
      <c r="J1350" s="35" t="str">
        <f aca="false">IF(AND(Einstellungen!$B$8="Ja",Einstellungen!$B$9="Effektiv"),$I1350,"-")</f>
        <v>-</v>
      </c>
      <c r="K1350" s="31" t="n">
        <f aca="false">IF(OR($F1350="",$J1350="-"),0,ROUND($F1350-$F1350/(1+$H1350),2))</f>
        <v>0</v>
      </c>
      <c r="L1350" s="31" t="n">
        <f aca="false">IF($F1350="",0,$F1350-$K1350)</f>
        <v>0</v>
      </c>
      <c r="M1350" s="31" t="n">
        <f aca="false">IF($F1350="",0,IF($J1350="V",$L1350,$F1350))</f>
        <v>0</v>
      </c>
      <c r="N1350" s="31" t="n">
        <f aca="false">IF($F1350="",0,IF($J1350="U",$L1350,$F1350))</f>
        <v>0</v>
      </c>
      <c r="O1350" s="35" t="str">
        <f aca="false">IF($A1350="","",MONTH($A1350))</f>
        <v/>
      </c>
      <c r="P1350" s="35" t="str">
        <f aca="false">IF($A1350="","",ROUNDUP(MONTH($A1350)/3,0))</f>
        <v/>
      </c>
      <c r="Q1350" s="35" t="str">
        <f aca="false">IF($A1350="","",IF(MONTH($A1350)&lt;=6,1,2))</f>
        <v/>
      </c>
      <c r="R1350" s="35" t="str">
        <f aca="false">IF($E1350="","",IFERROR(INDEX(Kontenplan!$F$5:$F$90,MATCH($E1350,Kontenplan!$A$5:$A$90,0)),""))</f>
        <v/>
      </c>
      <c r="S1350" s="35" t="str">
        <f aca="false">IF($D1350="","",IFERROR(INDEX(Kontenplan!$F$5:$F$90,MATCH($D1350,Kontenplan!$A$5:$A$90,0)),""))</f>
        <v/>
      </c>
      <c r="T1350" s="35" t="str">
        <f aca="false">IF($D1350="","",IFERROR(INDEX(Kontenplan!$C$5:$C$90,MATCH($D1350,Kontenplan!$A$5:$A$90,0)),"?"))</f>
        <v/>
      </c>
      <c r="U1350" s="35" t="str">
        <f aca="false">IF($E1350="","",IFERROR(INDEX(Kontenplan!$C$5:$C$90,MATCH($E1350,Kontenplan!$A$5:$A$90,0)),"?"))</f>
        <v/>
      </c>
      <c r="V1350" s="35" t="str">
        <f aca="false">IF($F1350="","",IF(OR($D1350="",$E1350="",$T1350="?",$U1350="?"),"Konto prüfen!",IF($A1350="","Datum fehlt",IF(YEAR($A1350)&lt;&gt;Einstellungen!$B$7,"anderes Jahr!",IF($G1350="","MWST-Code fehlt","OK")))))</f>
        <v/>
      </c>
      <c r="W1350" s="35" t="str">
        <f aca="false">IF($F1350="","",IF(OR($D1350=Kontoauszug!$C$4,$E1350=Kontoauszug!$C$4),MAX(W$4:W1349)+1,""))</f>
        <v/>
      </c>
    </row>
    <row r="1351" customFormat="false" ht="15" hidden="false" customHeight="false" outlineLevel="0" collapsed="false">
      <c r="A1351" s="33"/>
      <c r="B1351" s="32"/>
      <c r="C1351" s="32"/>
      <c r="D1351" s="32"/>
      <c r="E1351" s="32"/>
      <c r="F1351" s="30"/>
      <c r="G1351" s="32"/>
      <c r="H1351" s="34" t="n">
        <f aca="false">IF($G1351="",0,IFERROR(INDEX(Einstellungen!$G$5:$G$11,MATCH($G1351,Einstellungen!$E$5:$E$11,0)),0))</f>
        <v>0</v>
      </c>
      <c r="I1351" s="35" t="str">
        <f aca="false">IF($G1351="","-",IFERROR(INDEX(Einstellungen!$H$5:$H$11,MATCH($G1351,Einstellungen!$E$5:$E$11,0)),"-"))</f>
        <v>-</v>
      </c>
      <c r="J1351" s="35" t="str">
        <f aca="false">IF(AND(Einstellungen!$B$8="Ja",Einstellungen!$B$9="Effektiv"),$I1351,"-")</f>
        <v>-</v>
      </c>
      <c r="K1351" s="31" t="n">
        <f aca="false">IF(OR($F1351="",$J1351="-"),0,ROUND($F1351-$F1351/(1+$H1351),2))</f>
        <v>0</v>
      </c>
      <c r="L1351" s="31" t="n">
        <f aca="false">IF($F1351="",0,$F1351-$K1351)</f>
        <v>0</v>
      </c>
      <c r="M1351" s="31" t="n">
        <f aca="false">IF($F1351="",0,IF($J1351="V",$L1351,$F1351))</f>
        <v>0</v>
      </c>
      <c r="N1351" s="31" t="n">
        <f aca="false">IF($F1351="",0,IF($J1351="U",$L1351,$F1351))</f>
        <v>0</v>
      </c>
      <c r="O1351" s="35" t="str">
        <f aca="false">IF($A1351="","",MONTH($A1351))</f>
        <v/>
      </c>
      <c r="P1351" s="35" t="str">
        <f aca="false">IF($A1351="","",ROUNDUP(MONTH($A1351)/3,0))</f>
        <v/>
      </c>
      <c r="Q1351" s="35" t="str">
        <f aca="false">IF($A1351="","",IF(MONTH($A1351)&lt;=6,1,2))</f>
        <v/>
      </c>
      <c r="R1351" s="35" t="str">
        <f aca="false">IF($E1351="","",IFERROR(INDEX(Kontenplan!$F$5:$F$90,MATCH($E1351,Kontenplan!$A$5:$A$90,0)),""))</f>
        <v/>
      </c>
      <c r="S1351" s="35" t="str">
        <f aca="false">IF($D1351="","",IFERROR(INDEX(Kontenplan!$F$5:$F$90,MATCH($D1351,Kontenplan!$A$5:$A$90,0)),""))</f>
        <v/>
      </c>
      <c r="T1351" s="35" t="str">
        <f aca="false">IF($D1351="","",IFERROR(INDEX(Kontenplan!$C$5:$C$90,MATCH($D1351,Kontenplan!$A$5:$A$90,0)),"?"))</f>
        <v/>
      </c>
      <c r="U1351" s="35" t="str">
        <f aca="false">IF($E1351="","",IFERROR(INDEX(Kontenplan!$C$5:$C$90,MATCH($E1351,Kontenplan!$A$5:$A$90,0)),"?"))</f>
        <v/>
      </c>
      <c r="V1351" s="35" t="str">
        <f aca="false">IF($F1351="","",IF(OR($D1351="",$E1351="",$T1351="?",$U1351="?"),"Konto prüfen!",IF($A1351="","Datum fehlt",IF(YEAR($A1351)&lt;&gt;Einstellungen!$B$7,"anderes Jahr!",IF($G1351="","MWST-Code fehlt","OK")))))</f>
        <v/>
      </c>
      <c r="W1351" s="35" t="str">
        <f aca="false">IF($F1351="","",IF(OR($D1351=Kontoauszug!$C$4,$E1351=Kontoauszug!$C$4),MAX(W$4:W1350)+1,""))</f>
        <v/>
      </c>
    </row>
    <row r="1352" customFormat="false" ht="15" hidden="false" customHeight="false" outlineLevel="0" collapsed="false">
      <c r="A1352" s="33"/>
      <c r="B1352" s="32"/>
      <c r="C1352" s="32"/>
      <c r="D1352" s="32"/>
      <c r="E1352" s="32"/>
      <c r="F1352" s="30"/>
      <c r="G1352" s="32"/>
      <c r="H1352" s="34" t="n">
        <f aca="false">IF($G1352="",0,IFERROR(INDEX(Einstellungen!$G$5:$G$11,MATCH($G1352,Einstellungen!$E$5:$E$11,0)),0))</f>
        <v>0</v>
      </c>
      <c r="I1352" s="35" t="str">
        <f aca="false">IF($G1352="","-",IFERROR(INDEX(Einstellungen!$H$5:$H$11,MATCH($G1352,Einstellungen!$E$5:$E$11,0)),"-"))</f>
        <v>-</v>
      </c>
      <c r="J1352" s="35" t="str">
        <f aca="false">IF(AND(Einstellungen!$B$8="Ja",Einstellungen!$B$9="Effektiv"),$I1352,"-")</f>
        <v>-</v>
      </c>
      <c r="K1352" s="31" t="n">
        <f aca="false">IF(OR($F1352="",$J1352="-"),0,ROUND($F1352-$F1352/(1+$H1352),2))</f>
        <v>0</v>
      </c>
      <c r="L1352" s="31" t="n">
        <f aca="false">IF($F1352="",0,$F1352-$K1352)</f>
        <v>0</v>
      </c>
      <c r="M1352" s="31" t="n">
        <f aca="false">IF($F1352="",0,IF($J1352="V",$L1352,$F1352))</f>
        <v>0</v>
      </c>
      <c r="N1352" s="31" t="n">
        <f aca="false">IF($F1352="",0,IF($J1352="U",$L1352,$F1352))</f>
        <v>0</v>
      </c>
      <c r="O1352" s="35" t="str">
        <f aca="false">IF($A1352="","",MONTH($A1352))</f>
        <v/>
      </c>
      <c r="P1352" s="35" t="str">
        <f aca="false">IF($A1352="","",ROUNDUP(MONTH($A1352)/3,0))</f>
        <v/>
      </c>
      <c r="Q1352" s="35" t="str">
        <f aca="false">IF($A1352="","",IF(MONTH($A1352)&lt;=6,1,2))</f>
        <v/>
      </c>
      <c r="R1352" s="35" t="str">
        <f aca="false">IF($E1352="","",IFERROR(INDEX(Kontenplan!$F$5:$F$90,MATCH($E1352,Kontenplan!$A$5:$A$90,0)),""))</f>
        <v/>
      </c>
      <c r="S1352" s="35" t="str">
        <f aca="false">IF($D1352="","",IFERROR(INDEX(Kontenplan!$F$5:$F$90,MATCH($D1352,Kontenplan!$A$5:$A$90,0)),""))</f>
        <v/>
      </c>
      <c r="T1352" s="35" t="str">
        <f aca="false">IF($D1352="","",IFERROR(INDEX(Kontenplan!$C$5:$C$90,MATCH($D1352,Kontenplan!$A$5:$A$90,0)),"?"))</f>
        <v/>
      </c>
      <c r="U1352" s="35" t="str">
        <f aca="false">IF($E1352="","",IFERROR(INDEX(Kontenplan!$C$5:$C$90,MATCH($E1352,Kontenplan!$A$5:$A$90,0)),"?"))</f>
        <v/>
      </c>
      <c r="V1352" s="35" t="str">
        <f aca="false">IF($F1352="","",IF(OR($D1352="",$E1352="",$T1352="?",$U1352="?"),"Konto prüfen!",IF($A1352="","Datum fehlt",IF(YEAR($A1352)&lt;&gt;Einstellungen!$B$7,"anderes Jahr!",IF($G1352="","MWST-Code fehlt","OK")))))</f>
        <v/>
      </c>
      <c r="W1352" s="35" t="str">
        <f aca="false">IF($F1352="","",IF(OR($D1352=Kontoauszug!$C$4,$E1352=Kontoauszug!$C$4),MAX(W$4:W1351)+1,""))</f>
        <v/>
      </c>
    </row>
    <row r="1353" customFormat="false" ht="15" hidden="false" customHeight="false" outlineLevel="0" collapsed="false">
      <c r="A1353" s="33"/>
      <c r="B1353" s="32"/>
      <c r="C1353" s="32"/>
      <c r="D1353" s="32"/>
      <c r="E1353" s="32"/>
      <c r="F1353" s="30"/>
      <c r="G1353" s="32"/>
      <c r="H1353" s="34" t="n">
        <f aca="false">IF($G1353="",0,IFERROR(INDEX(Einstellungen!$G$5:$G$11,MATCH($G1353,Einstellungen!$E$5:$E$11,0)),0))</f>
        <v>0</v>
      </c>
      <c r="I1353" s="35" t="str">
        <f aca="false">IF($G1353="","-",IFERROR(INDEX(Einstellungen!$H$5:$H$11,MATCH($G1353,Einstellungen!$E$5:$E$11,0)),"-"))</f>
        <v>-</v>
      </c>
      <c r="J1353" s="35" t="str">
        <f aca="false">IF(AND(Einstellungen!$B$8="Ja",Einstellungen!$B$9="Effektiv"),$I1353,"-")</f>
        <v>-</v>
      </c>
      <c r="K1353" s="31" t="n">
        <f aca="false">IF(OR($F1353="",$J1353="-"),0,ROUND($F1353-$F1353/(1+$H1353),2))</f>
        <v>0</v>
      </c>
      <c r="L1353" s="31" t="n">
        <f aca="false">IF($F1353="",0,$F1353-$K1353)</f>
        <v>0</v>
      </c>
      <c r="M1353" s="31" t="n">
        <f aca="false">IF($F1353="",0,IF($J1353="V",$L1353,$F1353))</f>
        <v>0</v>
      </c>
      <c r="N1353" s="31" t="n">
        <f aca="false">IF($F1353="",0,IF($J1353="U",$L1353,$F1353))</f>
        <v>0</v>
      </c>
      <c r="O1353" s="35" t="str">
        <f aca="false">IF($A1353="","",MONTH($A1353))</f>
        <v/>
      </c>
      <c r="P1353" s="35" t="str">
        <f aca="false">IF($A1353="","",ROUNDUP(MONTH($A1353)/3,0))</f>
        <v/>
      </c>
      <c r="Q1353" s="35" t="str">
        <f aca="false">IF($A1353="","",IF(MONTH($A1353)&lt;=6,1,2))</f>
        <v/>
      </c>
      <c r="R1353" s="35" t="str">
        <f aca="false">IF($E1353="","",IFERROR(INDEX(Kontenplan!$F$5:$F$90,MATCH($E1353,Kontenplan!$A$5:$A$90,0)),""))</f>
        <v/>
      </c>
      <c r="S1353" s="35" t="str">
        <f aca="false">IF($D1353="","",IFERROR(INDEX(Kontenplan!$F$5:$F$90,MATCH($D1353,Kontenplan!$A$5:$A$90,0)),""))</f>
        <v/>
      </c>
      <c r="T1353" s="35" t="str">
        <f aca="false">IF($D1353="","",IFERROR(INDEX(Kontenplan!$C$5:$C$90,MATCH($D1353,Kontenplan!$A$5:$A$90,0)),"?"))</f>
        <v/>
      </c>
      <c r="U1353" s="35" t="str">
        <f aca="false">IF($E1353="","",IFERROR(INDEX(Kontenplan!$C$5:$C$90,MATCH($E1353,Kontenplan!$A$5:$A$90,0)),"?"))</f>
        <v/>
      </c>
      <c r="V1353" s="35" t="str">
        <f aca="false">IF($F1353="","",IF(OR($D1353="",$E1353="",$T1353="?",$U1353="?"),"Konto prüfen!",IF($A1353="","Datum fehlt",IF(YEAR($A1353)&lt;&gt;Einstellungen!$B$7,"anderes Jahr!",IF($G1353="","MWST-Code fehlt","OK")))))</f>
        <v/>
      </c>
      <c r="W1353" s="35" t="str">
        <f aca="false">IF($F1353="","",IF(OR($D1353=Kontoauszug!$C$4,$E1353=Kontoauszug!$C$4),MAX(W$4:W1352)+1,""))</f>
        <v/>
      </c>
    </row>
    <row r="1354" customFormat="false" ht="15" hidden="false" customHeight="false" outlineLevel="0" collapsed="false">
      <c r="A1354" s="33"/>
      <c r="B1354" s="32"/>
      <c r="C1354" s="32"/>
      <c r="D1354" s="32"/>
      <c r="E1354" s="32"/>
      <c r="F1354" s="30"/>
      <c r="G1354" s="32"/>
      <c r="H1354" s="34" t="n">
        <f aca="false">IF($G1354="",0,IFERROR(INDEX(Einstellungen!$G$5:$G$11,MATCH($G1354,Einstellungen!$E$5:$E$11,0)),0))</f>
        <v>0</v>
      </c>
      <c r="I1354" s="35" t="str">
        <f aca="false">IF($G1354="","-",IFERROR(INDEX(Einstellungen!$H$5:$H$11,MATCH($G1354,Einstellungen!$E$5:$E$11,0)),"-"))</f>
        <v>-</v>
      </c>
      <c r="J1354" s="35" t="str">
        <f aca="false">IF(AND(Einstellungen!$B$8="Ja",Einstellungen!$B$9="Effektiv"),$I1354,"-")</f>
        <v>-</v>
      </c>
      <c r="K1354" s="31" t="n">
        <f aca="false">IF(OR($F1354="",$J1354="-"),0,ROUND($F1354-$F1354/(1+$H1354),2))</f>
        <v>0</v>
      </c>
      <c r="L1354" s="31" t="n">
        <f aca="false">IF($F1354="",0,$F1354-$K1354)</f>
        <v>0</v>
      </c>
      <c r="M1354" s="31" t="n">
        <f aca="false">IF($F1354="",0,IF($J1354="V",$L1354,$F1354))</f>
        <v>0</v>
      </c>
      <c r="N1354" s="31" t="n">
        <f aca="false">IF($F1354="",0,IF($J1354="U",$L1354,$F1354))</f>
        <v>0</v>
      </c>
      <c r="O1354" s="35" t="str">
        <f aca="false">IF($A1354="","",MONTH($A1354))</f>
        <v/>
      </c>
      <c r="P1354" s="35" t="str">
        <f aca="false">IF($A1354="","",ROUNDUP(MONTH($A1354)/3,0))</f>
        <v/>
      </c>
      <c r="Q1354" s="35" t="str">
        <f aca="false">IF($A1354="","",IF(MONTH($A1354)&lt;=6,1,2))</f>
        <v/>
      </c>
      <c r="R1354" s="35" t="str">
        <f aca="false">IF($E1354="","",IFERROR(INDEX(Kontenplan!$F$5:$F$90,MATCH($E1354,Kontenplan!$A$5:$A$90,0)),""))</f>
        <v/>
      </c>
      <c r="S1354" s="35" t="str">
        <f aca="false">IF($D1354="","",IFERROR(INDEX(Kontenplan!$F$5:$F$90,MATCH($D1354,Kontenplan!$A$5:$A$90,0)),""))</f>
        <v/>
      </c>
      <c r="T1354" s="35" t="str">
        <f aca="false">IF($D1354="","",IFERROR(INDEX(Kontenplan!$C$5:$C$90,MATCH($D1354,Kontenplan!$A$5:$A$90,0)),"?"))</f>
        <v/>
      </c>
      <c r="U1354" s="35" t="str">
        <f aca="false">IF($E1354="","",IFERROR(INDEX(Kontenplan!$C$5:$C$90,MATCH($E1354,Kontenplan!$A$5:$A$90,0)),"?"))</f>
        <v/>
      </c>
      <c r="V1354" s="35" t="str">
        <f aca="false">IF($F1354="","",IF(OR($D1354="",$E1354="",$T1354="?",$U1354="?"),"Konto prüfen!",IF($A1354="","Datum fehlt",IF(YEAR($A1354)&lt;&gt;Einstellungen!$B$7,"anderes Jahr!",IF($G1354="","MWST-Code fehlt","OK")))))</f>
        <v/>
      </c>
      <c r="W1354" s="35" t="str">
        <f aca="false">IF($F1354="","",IF(OR($D1354=Kontoauszug!$C$4,$E1354=Kontoauszug!$C$4),MAX(W$4:W1353)+1,""))</f>
        <v/>
      </c>
    </row>
    <row r="1355" customFormat="false" ht="15" hidden="false" customHeight="false" outlineLevel="0" collapsed="false">
      <c r="A1355" s="33"/>
      <c r="B1355" s="32"/>
      <c r="C1355" s="32"/>
      <c r="D1355" s="32"/>
      <c r="E1355" s="32"/>
      <c r="F1355" s="30"/>
      <c r="G1355" s="32"/>
      <c r="H1355" s="34" t="n">
        <f aca="false">IF($G1355="",0,IFERROR(INDEX(Einstellungen!$G$5:$G$11,MATCH($G1355,Einstellungen!$E$5:$E$11,0)),0))</f>
        <v>0</v>
      </c>
      <c r="I1355" s="35" t="str">
        <f aca="false">IF($G1355="","-",IFERROR(INDEX(Einstellungen!$H$5:$H$11,MATCH($G1355,Einstellungen!$E$5:$E$11,0)),"-"))</f>
        <v>-</v>
      </c>
      <c r="J1355" s="35" t="str">
        <f aca="false">IF(AND(Einstellungen!$B$8="Ja",Einstellungen!$B$9="Effektiv"),$I1355,"-")</f>
        <v>-</v>
      </c>
      <c r="K1355" s="31" t="n">
        <f aca="false">IF(OR($F1355="",$J1355="-"),0,ROUND($F1355-$F1355/(1+$H1355),2))</f>
        <v>0</v>
      </c>
      <c r="L1355" s="31" t="n">
        <f aca="false">IF($F1355="",0,$F1355-$K1355)</f>
        <v>0</v>
      </c>
      <c r="M1355" s="31" t="n">
        <f aca="false">IF($F1355="",0,IF($J1355="V",$L1355,$F1355))</f>
        <v>0</v>
      </c>
      <c r="N1355" s="31" t="n">
        <f aca="false">IF($F1355="",0,IF($J1355="U",$L1355,$F1355))</f>
        <v>0</v>
      </c>
      <c r="O1355" s="35" t="str">
        <f aca="false">IF($A1355="","",MONTH($A1355))</f>
        <v/>
      </c>
      <c r="P1355" s="35" t="str">
        <f aca="false">IF($A1355="","",ROUNDUP(MONTH($A1355)/3,0))</f>
        <v/>
      </c>
      <c r="Q1355" s="35" t="str">
        <f aca="false">IF($A1355="","",IF(MONTH($A1355)&lt;=6,1,2))</f>
        <v/>
      </c>
      <c r="R1355" s="35" t="str">
        <f aca="false">IF($E1355="","",IFERROR(INDEX(Kontenplan!$F$5:$F$90,MATCH($E1355,Kontenplan!$A$5:$A$90,0)),""))</f>
        <v/>
      </c>
      <c r="S1355" s="35" t="str">
        <f aca="false">IF($D1355="","",IFERROR(INDEX(Kontenplan!$F$5:$F$90,MATCH($D1355,Kontenplan!$A$5:$A$90,0)),""))</f>
        <v/>
      </c>
      <c r="T1355" s="35" t="str">
        <f aca="false">IF($D1355="","",IFERROR(INDEX(Kontenplan!$C$5:$C$90,MATCH($D1355,Kontenplan!$A$5:$A$90,0)),"?"))</f>
        <v/>
      </c>
      <c r="U1355" s="35" t="str">
        <f aca="false">IF($E1355="","",IFERROR(INDEX(Kontenplan!$C$5:$C$90,MATCH($E1355,Kontenplan!$A$5:$A$90,0)),"?"))</f>
        <v/>
      </c>
      <c r="V1355" s="35" t="str">
        <f aca="false">IF($F1355="","",IF(OR($D1355="",$E1355="",$T1355="?",$U1355="?"),"Konto prüfen!",IF($A1355="","Datum fehlt",IF(YEAR($A1355)&lt;&gt;Einstellungen!$B$7,"anderes Jahr!",IF($G1355="","MWST-Code fehlt","OK")))))</f>
        <v/>
      </c>
      <c r="W1355" s="35" t="str">
        <f aca="false">IF($F1355="","",IF(OR($D1355=Kontoauszug!$C$4,$E1355=Kontoauszug!$C$4),MAX(W$4:W1354)+1,""))</f>
        <v/>
      </c>
    </row>
    <row r="1356" customFormat="false" ht="15" hidden="false" customHeight="false" outlineLevel="0" collapsed="false">
      <c r="A1356" s="33"/>
      <c r="B1356" s="32"/>
      <c r="C1356" s="32"/>
      <c r="D1356" s="32"/>
      <c r="E1356" s="32"/>
      <c r="F1356" s="30"/>
      <c r="G1356" s="32"/>
      <c r="H1356" s="34" t="n">
        <f aca="false">IF($G1356="",0,IFERROR(INDEX(Einstellungen!$G$5:$G$11,MATCH($G1356,Einstellungen!$E$5:$E$11,0)),0))</f>
        <v>0</v>
      </c>
      <c r="I1356" s="35" t="str">
        <f aca="false">IF($G1356="","-",IFERROR(INDEX(Einstellungen!$H$5:$H$11,MATCH($G1356,Einstellungen!$E$5:$E$11,0)),"-"))</f>
        <v>-</v>
      </c>
      <c r="J1356" s="35" t="str">
        <f aca="false">IF(AND(Einstellungen!$B$8="Ja",Einstellungen!$B$9="Effektiv"),$I1356,"-")</f>
        <v>-</v>
      </c>
      <c r="K1356" s="31" t="n">
        <f aca="false">IF(OR($F1356="",$J1356="-"),0,ROUND($F1356-$F1356/(1+$H1356),2))</f>
        <v>0</v>
      </c>
      <c r="L1356" s="31" t="n">
        <f aca="false">IF($F1356="",0,$F1356-$K1356)</f>
        <v>0</v>
      </c>
      <c r="M1356" s="31" t="n">
        <f aca="false">IF($F1356="",0,IF($J1356="V",$L1356,$F1356))</f>
        <v>0</v>
      </c>
      <c r="N1356" s="31" t="n">
        <f aca="false">IF($F1356="",0,IF($J1356="U",$L1356,$F1356))</f>
        <v>0</v>
      </c>
      <c r="O1356" s="35" t="str">
        <f aca="false">IF($A1356="","",MONTH($A1356))</f>
        <v/>
      </c>
      <c r="P1356" s="35" t="str">
        <f aca="false">IF($A1356="","",ROUNDUP(MONTH($A1356)/3,0))</f>
        <v/>
      </c>
      <c r="Q1356" s="35" t="str">
        <f aca="false">IF($A1356="","",IF(MONTH($A1356)&lt;=6,1,2))</f>
        <v/>
      </c>
      <c r="R1356" s="35" t="str">
        <f aca="false">IF($E1356="","",IFERROR(INDEX(Kontenplan!$F$5:$F$90,MATCH($E1356,Kontenplan!$A$5:$A$90,0)),""))</f>
        <v/>
      </c>
      <c r="S1356" s="35" t="str">
        <f aca="false">IF($D1356="","",IFERROR(INDEX(Kontenplan!$F$5:$F$90,MATCH($D1356,Kontenplan!$A$5:$A$90,0)),""))</f>
        <v/>
      </c>
      <c r="T1356" s="35" t="str">
        <f aca="false">IF($D1356="","",IFERROR(INDEX(Kontenplan!$C$5:$C$90,MATCH($D1356,Kontenplan!$A$5:$A$90,0)),"?"))</f>
        <v/>
      </c>
      <c r="U1356" s="35" t="str">
        <f aca="false">IF($E1356="","",IFERROR(INDEX(Kontenplan!$C$5:$C$90,MATCH($E1356,Kontenplan!$A$5:$A$90,0)),"?"))</f>
        <v/>
      </c>
      <c r="V1356" s="35" t="str">
        <f aca="false">IF($F1356="","",IF(OR($D1356="",$E1356="",$T1356="?",$U1356="?"),"Konto prüfen!",IF($A1356="","Datum fehlt",IF(YEAR($A1356)&lt;&gt;Einstellungen!$B$7,"anderes Jahr!",IF($G1356="","MWST-Code fehlt","OK")))))</f>
        <v/>
      </c>
      <c r="W1356" s="35" t="str">
        <f aca="false">IF($F1356="","",IF(OR($D1356=Kontoauszug!$C$4,$E1356=Kontoauszug!$C$4),MAX(W$4:W1355)+1,""))</f>
        <v/>
      </c>
    </row>
    <row r="1357" customFormat="false" ht="15" hidden="false" customHeight="false" outlineLevel="0" collapsed="false">
      <c r="A1357" s="33"/>
      <c r="B1357" s="32"/>
      <c r="C1357" s="32"/>
      <c r="D1357" s="32"/>
      <c r="E1357" s="32"/>
      <c r="F1357" s="30"/>
      <c r="G1357" s="32"/>
      <c r="H1357" s="34" t="n">
        <f aca="false">IF($G1357="",0,IFERROR(INDEX(Einstellungen!$G$5:$G$11,MATCH($G1357,Einstellungen!$E$5:$E$11,0)),0))</f>
        <v>0</v>
      </c>
      <c r="I1357" s="35" t="str">
        <f aca="false">IF($G1357="","-",IFERROR(INDEX(Einstellungen!$H$5:$H$11,MATCH($G1357,Einstellungen!$E$5:$E$11,0)),"-"))</f>
        <v>-</v>
      </c>
      <c r="J1357" s="35" t="str">
        <f aca="false">IF(AND(Einstellungen!$B$8="Ja",Einstellungen!$B$9="Effektiv"),$I1357,"-")</f>
        <v>-</v>
      </c>
      <c r="K1357" s="31" t="n">
        <f aca="false">IF(OR($F1357="",$J1357="-"),0,ROUND($F1357-$F1357/(1+$H1357),2))</f>
        <v>0</v>
      </c>
      <c r="L1357" s="31" t="n">
        <f aca="false">IF($F1357="",0,$F1357-$K1357)</f>
        <v>0</v>
      </c>
      <c r="M1357" s="31" t="n">
        <f aca="false">IF($F1357="",0,IF($J1357="V",$L1357,$F1357))</f>
        <v>0</v>
      </c>
      <c r="N1357" s="31" t="n">
        <f aca="false">IF($F1357="",0,IF($J1357="U",$L1357,$F1357))</f>
        <v>0</v>
      </c>
      <c r="O1357" s="35" t="str">
        <f aca="false">IF($A1357="","",MONTH($A1357))</f>
        <v/>
      </c>
      <c r="P1357" s="35" t="str">
        <f aca="false">IF($A1357="","",ROUNDUP(MONTH($A1357)/3,0))</f>
        <v/>
      </c>
      <c r="Q1357" s="35" t="str">
        <f aca="false">IF($A1357="","",IF(MONTH($A1357)&lt;=6,1,2))</f>
        <v/>
      </c>
      <c r="R1357" s="35" t="str">
        <f aca="false">IF($E1357="","",IFERROR(INDEX(Kontenplan!$F$5:$F$90,MATCH($E1357,Kontenplan!$A$5:$A$90,0)),""))</f>
        <v/>
      </c>
      <c r="S1357" s="35" t="str">
        <f aca="false">IF($D1357="","",IFERROR(INDEX(Kontenplan!$F$5:$F$90,MATCH($D1357,Kontenplan!$A$5:$A$90,0)),""))</f>
        <v/>
      </c>
      <c r="T1357" s="35" t="str">
        <f aca="false">IF($D1357="","",IFERROR(INDEX(Kontenplan!$C$5:$C$90,MATCH($D1357,Kontenplan!$A$5:$A$90,0)),"?"))</f>
        <v/>
      </c>
      <c r="U1357" s="35" t="str">
        <f aca="false">IF($E1357="","",IFERROR(INDEX(Kontenplan!$C$5:$C$90,MATCH($E1357,Kontenplan!$A$5:$A$90,0)),"?"))</f>
        <v/>
      </c>
      <c r="V1357" s="35" t="str">
        <f aca="false">IF($F1357="","",IF(OR($D1357="",$E1357="",$T1357="?",$U1357="?"),"Konto prüfen!",IF($A1357="","Datum fehlt",IF(YEAR($A1357)&lt;&gt;Einstellungen!$B$7,"anderes Jahr!",IF($G1357="","MWST-Code fehlt","OK")))))</f>
        <v/>
      </c>
      <c r="W1357" s="35" t="str">
        <f aca="false">IF($F1357="","",IF(OR($D1357=Kontoauszug!$C$4,$E1357=Kontoauszug!$C$4),MAX(W$4:W1356)+1,""))</f>
        <v/>
      </c>
    </row>
    <row r="1358" customFormat="false" ht="15" hidden="false" customHeight="false" outlineLevel="0" collapsed="false">
      <c r="A1358" s="33"/>
      <c r="B1358" s="32"/>
      <c r="C1358" s="32"/>
      <c r="D1358" s="32"/>
      <c r="E1358" s="32"/>
      <c r="F1358" s="30"/>
      <c r="G1358" s="32"/>
      <c r="H1358" s="34" t="n">
        <f aca="false">IF($G1358="",0,IFERROR(INDEX(Einstellungen!$G$5:$G$11,MATCH($G1358,Einstellungen!$E$5:$E$11,0)),0))</f>
        <v>0</v>
      </c>
      <c r="I1358" s="35" t="str">
        <f aca="false">IF($G1358="","-",IFERROR(INDEX(Einstellungen!$H$5:$H$11,MATCH($G1358,Einstellungen!$E$5:$E$11,0)),"-"))</f>
        <v>-</v>
      </c>
      <c r="J1358" s="35" t="str">
        <f aca="false">IF(AND(Einstellungen!$B$8="Ja",Einstellungen!$B$9="Effektiv"),$I1358,"-")</f>
        <v>-</v>
      </c>
      <c r="K1358" s="31" t="n">
        <f aca="false">IF(OR($F1358="",$J1358="-"),0,ROUND($F1358-$F1358/(1+$H1358),2))</f>
        <v>0</v>
      </c>
      <c r="L1358" s="31" t="n">
        <f aca="false">IF($F1358="",0,$F1358-$K1358)</f>
        <v>0</v>
      </c>
      <c r="M1358" s="31" t="n">
        <f aca="false">IF($F1358="",0,IF($J1358="V",$L1358,$F1358))</f>
        <v>0</v>
      </c>
      <c r="N1358" s="31" t="n">
        <f aca="false">IF($F1358="",0,IF($J1358="U",$L1358,$F1358))</f>
        <v>0</v>
      </c>
      <c r="O1358" s="35" t="str">
        <f aca="false">IF($A1358="","",MONTH($A1358))</f>
        <v/>
      </c>
      <c r="P1358" s="35" t="str">
        <f aca="false">IF($A1358="","",ROUNDUP(MONTH($A1358)/3,0))</f>
        <v/>
      </c>
      <c r="Q1358" s="35" t="str">
        <f aca="false">IF($A1358="","",IF(MONTH($A1358)&lt;=6,1,2))</f>
        <v/>
      </c>
      <c r="R1358" s="35" t="str">
        <f aca="false">IF($E1358="","",IFERROR(INDEX(Kontenplan!$F$5:$F$90,MATCH($E1358,Kontenplan!$A$5:$A$90,0)),""))</f>
        <v/>
      </c>
      <c r="S1358" s="35" t="str">
        <f aca="false">IF($D1358="","",IFERROR(INDEX(Kontenplan!$F$5:$F$90,MATCH($D1358,Kontenplan!$A$5:$A$90,0)),""))</f>
        <v/>
      </c>
      <c r="T1358" s="35" t="str">
        <f aca="false">IF($D1358="","",IFERROR(INDEX(Kontenplan!$C$5:$C$90,MATCH($D1358,Kontenplan!$A$5:$A$90,0)),"?"))</f>
        <v/>
      </c>
      <c r="U1358" s="35" t="str">
        <f aca="false">IF($E1358="","",IFERROR(INDEX(Kontenplan!$C$5:$C$90,MATCH($E1358,Kontenplan!$A$5:$A$90,0)),"?"))</f>
        <v/>
      </c>
      <c r="V1358" s="35" t="str">
        <f aca="false">IF($F1358="","",IF(OR($D1358="",$E1358="",$T1358="?",$U1358="?"),"Konto prüfen!",IF($A1358="","Datum fehlt",IF(YEAR($A1358)&lt;&gt;Einstellungen!$B$7,"anderes Jahr!",IF($G1358="","MWST-Code fehlt","OK")))))</f>
        <v/>
      </c>
      <c r="W1358" s="35" t="str">
        <f aca="false">IF($F1358="","",IF(OR($D1358=Kontoauszug!$C$4,$E1358=Kontoauszug!$C$4),MAX(W$4:W1357)+1,""))</f>
        <v/>
      </c>
    </row>
    <row r="1359" customFormat="false" ht="15" hidden="false" customHeight="false" outlineLevel="0" collapsed="false">
      <c r="A1359" s="33"/>
      <c r="B1359" s="32"/>
      <c r="C1359" s="32"/>
      <c r="D1359" s="32"/>
      <c r="E1359" s="32"/>
      <c r="F1359" s="30"/>
      <c r="G1359" s="32"/>
      <c r="H1359" s="34" t="n">
        <f aca="false">IF($G1359="",0,IFERROR(INDEX(Einstellungen!$G$5:$G$11,MATCH($G1359,Einstellungen!$E$5:$E$11,0)),0))</f>
        <v>0</v>
      </c>
      <c r="I1359" s="35" t="str">
        <f aca="false">IF($G1359="","-",IFERROR(INDEX(Einstellungen!$H$5:$H$11,MATCH($G1359,Einstellungen!$E$5:$E$11,0)),"-"))</f>
        <v>-</v>
      </c>
      <c r="J1359" s="35" t="str">
        <f aca="false">IF(AND(Einstellungen!$B$8="Ja",Einstellungen!$B$9="Effektiv"),$I1359,"-")</f>
        <v>-</v>
      </c>
      <c r="K1359" s="31" t="n">
        <f aca="false">IF(OR($F1359="",$J1359="-"),0,ROUND($F1359-$F1359/(1+$H1359),2))</f>
        <v>0</v>
      </c>
      <c r="L1359" s="31" t="n">
        <f aca="false">IF($F1359="",0,$F1359-$K1359)</f>
        <v>0</v>
      </c>
      <c r="M1359" s="31" t="n">
        <f aca="false">IF($F1359="",0,IF($J1359="V",$L1359,$F1359))</f>
        <v>0</v>
      </c>
      <c r="N1359" s="31" t="n">
        <f aca="false">IF($F1359="",0,IF($J1359="U",$L1359,$F1359))</f>
        <v>0</v>
      </c>
      <c r="O1359" s="35" t="str">
        <f aca="false">IF($A1359="","",MONTH($A1359))</f>
        <v/>
      </c>
      <c r="P1359" s="35" t="str">
        <f aca="false">IF($A1359="","",ROUNDUP(MONTH($A1359)/3,0))</f>
        <v/>
      </c>
      <c r="Q1359" s="35" t="str">
        <f aca="false">IF($A1359="","",IF(MONTH($A1359)&lt;=6,1,2))</f>
        <v/>
      </c>
      <c r="R1359" s="35" t="str">
        <f aca="false">IF($E1359="","",IFERROR(INDEX(Kontenplan!$F$5:$F$90,MATCH($E1359,Kontenplan!$A$5:$A$90,0)),""))</f>
        <v/>
      </c>
      <c r="S1359" s="35" t="str">
        <f aca="false">IF($D1359="","",IFERROR(INDEX(Kontenplan!$F$5:$F$90,MATCH($D1359,Kontenplan!$A$5:$A$90,0)),""))</f>
        <v/>
      </c>
      <c r="T1359" s="35" t="str">
        <f aca="false">IF($D1359="","",IFERROR(INDEX(Kontenplan!$C$5:$C$90,MATCH($D1359,Kontenplan!$A$5:$A$90,0)),"?"))</f>
        <v/>
      </c>
      <c r="U1359" s="35" t="str">
        <f aca="false">IF($E1359="","",IFERROR(INDEX(Kontenplan!$C$5:$C$90,MATCH($E1359,Kontenplan!$A$5:$A$90,0)),"?"))</f>
        <v/>
      </c>
      <c r="V1359" s="35" t="str">
        <f aca="false">IF($F1359="","",IF(OR($D1359="",$E1359="",$T1359="?",$U1359="?"),"Konto prüfen!",IF($A1359="","Datum fehlt",IF(YEAR($A1359)&lt;&gt;Einstellungen!$B$7,"anderes Jahr!",IF($G1359="","MWST-Code fehlt","OK")))))</f>
        <v/>
      </c>
      <c r="W1359" s="35" t="str">
        <f aca="false">IF($F1359="","",IF(OR($D1359=Kontoauszug!$C$4,$E1359=Kontoauszug!$C$4),MAX(W$4:W1358)+1,""))</f>
        <v/>
      </c>
    </row>
    <row r="1360" customFormat="false" ht="15" hidden="false" customHeight="false" outlineLevel="0" collapsed="false">
      <c r="A1360" s="33"/>
      <c r="B1360" s="32"/>
      <c r="C1360" s="32"/>
      <c r="D1360" s="32"/>
      <c r="E1360" s="32"/>
      <c r="F1360" s="30"/>
      <c r="G1360" s="32"/>
      <c r="H1360" s="34" t="n">
        <f aca="false">IF($G1360="",0,IFERROR(INDEX(Einstellungen!$G$5:$G$11,MATCH($G1360,Einstellungen!$E$5:$E$11,0)),0))</f>
        <v>0</v>
      </c>
      <c r="I1360" s="35" t="str">
        <f aca="false">IF($G1360="","-",IFERROR(INDEX(Einstellungen!$H$5:$H$11,MATCH($G1360,Einstellungen!$E$5:$E$11,0)),"-"))</f>
        <v>-</v>
      </c>
      <c r="J1360" s="35" t="str">
        <f aca="false">IF(AND(Einstellungen!$B$8="Ja",Einstellungen!$B$9="Effektiv"),$I1360,"-")</f>
        <v>-</v>
      </c>
      <c r="K1360" s="31" t="n">
        <f aca="false">IF(OR($F1360="",$J1360="-"),0,ROUND($F1360-$F1360/(1+$H1360),2))</f>
        <v>0</v>
      </c>
      <c r="L1360" s="31" t="n">
        <f aca="false">IF($F1360="",0,$F1360-$K1360)</f>
        <v>0</v>
      </c>
      <c r="M1360" s="31" t="n">
        <f aca="false">IF($F1360="",0,IF($J1360="V",$L1360,$F1360))</f>
        <v>0</v>
      </c>
      <c r="N1360" s="31" t="n">
        <f aca="false">IF($F1360="",0,IF($J1360="U",$L1360,$F1360))</f>
        <v>0</v>
      </c>
      <c r="O1360" s="35" t="str">
        <f aca="false">IF($A1360="","",MONTH($A1360))</f>
        <v/>
      </c>
      <c r="P1360" s="35" t="str">
        <f aca="false">IF($A1360="","",ROUNDUP(MONTH($A1360)/3,0))</f>
        <v/>
      </c>
      <c r="Q1360" s="35" t="str">
        <f aca="false">IF($A1360="","",IF(MONTH($A1360)&lt;=6,1,2))</f>
        <v/>
      </c>
      <c r="R1360" s="35" t="str">
        <f aca="false">IF($E1360="","",IFERROR(INDEX(Kontenplan!$F$5:$F$90,MATCH($E1360,Kontenplan!$A$5:$A$90,0)),""))</f>
        <v/>
      </c>
      <c r="S1360" s="35" t="str">
        <f aca="false">IF($D1360="","",IFERROR(INDEX(Kontenplan!$F$5:$F$90,MATCH($D1360,Kontenplan!$A$5:$A$90,0)),""))</f>
        <v/>
      </c>
      <c r="T1360" s="35" t="str">
        <f aca="false">IF($D1360="","",IFERROR(INDEX(Kontenplan!$C$5:$C$90,MATCH($D1360,Kontenplan!$A$5:$A$90,0)),"?"))</f>
        <v/>
      </c>
      <c r="U1360" s="35" t="str">
        <f aca="false">IF($E1360="","",IFERROR(INDEX(Kontenplan!$C$5:$C$90,MATCH($E1360,Kontenplan!$A$5:$A$90,0)),"?"))</f>
        <v/>
      </c>
      <c r="V1360" s="35" t="str">
        <f aca="false">IF($F1360="","",IF(OR($D1360="",$E1360="",$T1360="?",$U1360="?"),"Konto prüfen!",IF($A1360="","Datum fehlt",IF(YEAR($A1360)&lt;&gt;Einstellungen!$B$7,"anderes Jahr!",IF($G1360="","MWST-Code fehlt","OK")))))</f>
        <v/>
      </c>
      <c r="W1360" s="35" t="str">
        <f aca="false">IF($F1360="","",IF(OR($D1360=Kontoauszug!$C$4,$E1360=Kontoauszug!$C$4),MAX(W$4:W1359)+1,""))</f>
        <v/>
      </c>
    </row>
    <row r="1361" customFormat="false" ht="15" hidden="false" customHeight="false" outlineLevel="0" collapsed="false">
      <c r="A1361" s="33"/>
      <c r="B1361" s="32"/>
      <c r="C1361" s="32"/>
      <c r="D1361" s="32"/>
      <c r="E1361" s="32"/>
      <c r="F1361" s="30"/>
      <c r="G1361" s="32"/>
      <c r="H1361" s="34" t="n">
        <f aca="false">IF($G1361="",0,IFERROR(INDEX(Einstellungen!$G$5:$G$11,MATCH($G1361,Einstellungen!$E$5:$E$11,0)),0))</f>
        <v>0</v>
      </c>
      <c r="I1361" s="35" t="str">
        <f aca="false">IF($G1361="","-",IFERROR(INDEX(Einstellungen!$H$5:$H$11,MATCH($G1361,Einstellungen!$E$5:$E$11,0)),"-"))</f>
        <v>-</v>
      </c>
      <c r="J1361" s="35" t="str">
        <f aca="false">IF(AND(Einstellungen!$B$8="Ja",Einstellungen!$B$9="Effektiv"),$I1361,"-")</f>
        <v>-</v>
      </c>
      <c r="K1361" s="31" t="n">
        <f aca="false">IF(OR($F1361="",$J1361="-"),0,ROUND($F1361-$F1361/(1+$H1361),2))</f>
        <v>0</v>
      </c>
      <c r="L1361" s="31" t="n">
        <f aca="false">IF($F1361="",0,$F1361-$K1361)</f>
        <v>0</v>
      </c>
      <c r="M1361" s="31" t="n">
        <f aca="false">IF($F1361="",0,IF($J1361="V",$L1361,$F1361))</f>
        <v>0</v>
      </c>
      <c r="N1361" s="31" t="n">
        <f aca="false">IF($F1361="",0,IF($J1361="U",$L1361,$F1361))</f>
        <v>0</v>
      </c>
      <c r="O1361" s="35" t="str">
        <f aca="false">IF($A1361="","",MONTH($A1361))</f>
        <v/>
      </c>
      <c r="P1361" s="35" t="str">
        <f aca="false">IF($A1361="","",ROUNDUP(MONTH($A1361)/3,0))</f>
        <v/>
      </c>
      <c r="Q1361" s="35" t="str">
        <f aca="false">IF($A1361="","",IF(MONTH($A1361)&lt;=6,1,2))</f>
        <v/>
      </c>
      <c r="R1361" s="35" t="str">
        <f aca="false">IF($E1361="","",IFERROR(INDEX(Kontenplan!$F$5:$F$90,MATCH($E1361,Kontenplan!$A$5:$A$90,0)),""))</f>
        <v/>
      </c>
      <c r="S1361" s="35" t="str">
        <f aca="false">IF($D1361="","",IFERROR(INDEX(Kontenplan!$F$5:$F$90,MATCH($D1361,Kontenplan!$A$5:$A$90,0)),""))</f>
        <v/>
      </c>
      <c r="T1361" s="35" t="str">
        <f aca="false">IF($D1361="","",IFERROR(INDEX(Kontenplan!$C$5:$C$90,MATCH($D1361,Kontenplan!$A$5:$A$90,0)),"?"))</f>
        <v/>
      </c>
      <c r="U1361" s="35" t="str">
        <f aca="false">IF($E1361="","",IFERROR(INDEX(Kontenplan!$C$5:$C$90,MATCH($E1361,Kontenplan!$A$5:$A$90,0)),"?"))</f>
        <v/>
      </c>
      <c r="V1361" s="35" t="str">
        <f aca="false">IF($F1361="","",IF(OR($D1361="",$E1361="",$T1361="?",$U1361="?"),"Konto prüfen!",IF($A1361="","Datum fehlt",IF(YEAR($A1361)&lt;&gt;Einstellungen!$B$7,"anderes Jahr!",IF($G1361="","MWST-Code fehlt","OK")))))</f>
        <v/>
      </c>
      <c r="W1361" s="35" t="str">
        <f aca="false">IF($F1361="","",IF(OR($D1361=Kontoauszug!$C$4,$E1361=Kontoauszug!$C$4),MAX(W$4:W1360)+1,""))</f>
        <v/>
      </c>
    </row>
    <row r="1362" customFormat="false" ht="15" hidden="false" customHeight="false" outlineLevel="0" collapsed="false">
      <c r="A1362" s="33"/>
      <c r="B1362" s="32"/>
      <c r="C1362" s="32"/>
      <c r="D1362" s="32"/>
      <c r="E1362" s="32"/>
      <c r="F1362" s="30"/>
      <c r="G1362" s="32"/>
      <c r="H1362" s="34" t="n">
        <f aca="false">IF($G1362="",0,IFERROR(INDEX(Einstellungen!$G$5:$G$11,MATCH($G1362,Einstellungen!$E$5:$E$11,0)),0))</f>
        <v>0</v>
      </c>
      <c r="I1362" s="35" t="str">
        <f aca="false">IF($G1362="","-",IFERROR(INDEX(Einstellungen!$H$5:$H$11,MATCH($G1362,Einstellungen!$E$5:$E$11,0)),"-"))</f>
        <v>-</v>
      </c>
      <c r="J1362" s="35" t="str">
        <f aca="false">IF(AND(Einstellungen!$B$8="Ja",Einstellungen!$B$9="Effektiv"),$I1362,"-")</f>
        <v>-</v>
      </c>
      <c r="K1362" s="31" t="n">
        <f aca="false">IF(OR($F1362="",$J1362="-"),0,ROUND($F1362-$F1362/(1+$H1362),2))</f>
        <v>0</v>
      </c>
      <c r="L1362" s="31" t="n">
        <f aca="false">IF($F1362="",0,$F1362-$K1362)</f>
        <v>0</v>
      </c>
      <c r="M1362" s="31" t="n">
        <f aca="false">IF($F1362="",0,IF($J1362="V",$L1362,$F1362))</f>
        <v>0</v>
      </c>
      <c r="N1362" s="31" t="n">
        <f aca="false">IF($F1362="",0,IF($J1362="U",$L1362,$F1362))</f>
        <v>0</v>
      </c>
      <c r="O1362" s="35" t="str">
        <f aca="false">IF($A1362="","",MONTH($A1362))</f>
        <v/>
      </c>
      <c r="P1362" s="35" t="str">
        <f aca="false">IF($A1362="","",ROUNDUP(MONTH($A1362)/3,0))</f>
        <v/>
      </c>
      <c r="Q1362" s="35" t="str">
        <f aca="false">IF($A1362="","",IF(MONTH($A1362)&lt;=6,1,2))</f>
        <v/>
      </c>
      <c r="R1362" s="35" t="str">
        <f aca="false">IF($E1362="","",IFERROR(INDEX(Kontenplan!$F$5:$F$90,MATCH($E1362,Kontenplan!$A$5:$A$90,0)),""))</f>
        <v/>
      </c>
      <c r="S1362" s="35" t="str">
        <f aca="false">IF($D1362="","",IFERROR(INDEX(Kontenplan!$F$5:$F$90,MATCH($D1362,Kontenplan!$A$5:$A$90,0)),""))</f>
        <v/>
      </c>
      <c r="T1362" s="35" t="str">
        <f aca="false">IF($D1362="","",IFERROR(INDEX(Kontenplan!$C$5:$C$90,MATCH($D1362,Kontenplan!$A$5:$A$90,0)),"?"))</f>
        <v/>
      </c>
      <c r="U1362" s="35" t="str">
        <f aca="false">IF($E1362="","",IFERROR(INDEX(Kontenplan!$C$5:$C$90,MATCH($E1362,Kontenplan!$A$5:$A$90,0)),"?"))</f>
        <v/>
      </c>
      <c r="V1362" s="35" t="str">
        <f aca="false">IF($F1362="","",IF(OR($D1362="",$E1362="",$T1362="?",$U1362="?"),"Konto prüfen!",IF($A1362="","Datum fehlt",IF(YEAR($A1362)&lt;&gt;Einstellungen!$B$7,"anderes Jahr!",IF($G1362="","MWST-Code fehlt","OK")))))</f>
        <v/>
      </c>
      <c r="W1362" s="35" t="str">
        <f aca="false">IF($F1362="","",IF(OR($D1362=Kontoauszug!$C$4,$E1362=Kontoauszug!$C$4),MAX(W$4:W1361)+1,""))</f>
        <v/>
      </c>
    </row>
    <row r="1363" customFormat="false" ht="15" hidden="false" customHeight="false" outlineLevel="0" collapsed="false">
      <c r="A1363" s="33"/>
      <c r="B1363" s="32"/>
      <c r="C1363" s="32"/>
      <c r="D1363" s="32"/>
      <c r="E1363" s="32"/>
      <c r="F1363" s="30"/>
      <c r="G1363" s="32"/>
      <c r="H1363" s="34" t="n">
        <f aca="false">IF($G1363="",0,IFERROR(INDEX(Einstellungen!$G$5:$G$11,MATCH($G1363,Einstellungen!$E$5:$E$11,0)),0))</f>
        <v>0</v>
      </c>
      <c r="I1363" s="35" t="str">
        <f aca="false">IF($G1363="","-",IFERROR(INDEX(Einstellungen!$H$5:$H$11,MATCH($G1363,Einstellungen!$E$5:$E$11,0)),"-"))</f>
        <v>-</v>
      </c>
      <c r="J1363" s="35" t="str">
        <f aca="false">IF(AND(Einstellungen!$B$8="Ja",Einstellungen!$B$9="Effektiv"),$I1363,"-")</f>
        <v>-</v>
      </c>
      <c r="K1363" s="31" t="n">
        <f aca="false">IF(OR($F1363="",$J1363="-"),0,ROUND($F1363-$F1363/(1+$H1363),2))</f>
        <v>0</v>
      </c>
      <c r="L1363" s="31" t="n">
        <f aca="false">IF($F1363="",0,$F1363-$K1363)</f>
        <v>0</v>
      </c>
      <c r="M1363" s="31" t="n">
        <f aca="false">IF($F1363="",0,IF($J1363="V",$L1363,$F1363))</f>
        <v>0</v>
      </c>
      <c r="N1363" s="31" t="n">
        <f aca="false">IF($F1363="",0,IF($J1363="U",$L1363,$F1363))</f>
        <v>0</v>
      </c>
      <c r="O1363" s="35" t="str">
        <f aca="false">IF($A1363="","",MONTH($A1363))</f>
        <v/>
      </c>
      <c r="P1363" s="35" t="str">
        <f aca="false">IF($A1363="","",ROUNDUP(MONTH($A1363)/3,0))</f>
        <v/>
      </c>
      <c r="Q1363" s="35" t="str">
        <f aca="false">IF($A1363="","",IF(MONTH($A1363)&lt;=6,1,2))</f>
        <v/>
      </c>
      <c r="R1363" s="35" t="str">
        <f aca="false">IF($E1363="","",IFERROR(INDEX(Kontenplan!$F$5:$F$90,MATCH($E1363,Kontenplan!$A$5:$A$90,0)),""))</f>
        <v/>
      </c>
      <c r="S1363" s="35" t="str">
        <f aca="false">IF($D1363="","",IFERROR(INDEX(Kontenplan!$F$5:$F$90,MATCH($D1363,Kontenplan!$A$5:$A$90,0)),""))</f>
        <v/>
      </c>
      <c r="T1363" s="35" t="str">
        <f aca="false">IF($D1363="","",IFERROR(INDEX(Kontenplan!$C$5:$C$90,MATCH($D1363,Kontenplan!$A$5:$A$90,0)),"?"))</f>
        <v/>
      </c>
      <c r="U1363" s="35" t="str">
        <f aca="false">IF($E1363="","",IFERROR(INDEX(Kontenplan!$C$5:$C$90,MATCH($E1363,Kontenplan!$A$5:$A$90,0)),"?"))</f>
        <v/>
      </c>
      <c r="V1363" s="35" t="str">
        <f aca="false">IF($F1363="","",IF(OR($D1363="",$E1363="",$T1363="?",$U1363="?"),"Konto prüfen!",IF($A1363="","Datum fehlt",IF(YEAR($A1363)&lt;&gt;Einstellungen!$B$7,"anderes Jahr!",IF($G1363="","MWST-Code fehlt","OK")))))</f>
        <v/>
      </c>
      <c r="W1363" s="35" t="str">
        <f aca="false">IF($F1363="","",IF(OR($D1363=Kontoauszug!$C$4,$E1363=Kontoauszug!$C$4),MAX(W$4:W1362)+1,""))</f>
        <v/>
      </c>
    </row>
    <row r="1364" customFormat="false" ht="15" hidden="false" customHeight="false" outlineLevel="0" collapsed="false">
      <c r="A1364" s="33"/>
      <c r="B1364" s="32"/>
      <c r="C1364" s="32"/>
      <c r="D1364" s="32"/>
      <c r="E1364" s="32"/>
      <c r="F1364" s="30"/>
      <c r="G1364" s="32"/>
      <c r="H1364" s="34" t="n">
        <f aca="false">IF($G1364="",0,IFERROR(INDEX(Einstellungen!$G$5:$G$11,MATCH($G1364,Einstellungen!$E$5:$E$11,0)),0))</f>
        <v>0</v>
      </c>
      <c r="I1364" s="35" t="str">
        <f aca="false">IF($G1364="","-",IFERROR(INDEX(Einstellungen!$H$5:$H$11,MATCH($G1364,Einstellungen!$E$5:$E$11,0)),"-"))</f>
        <v>-</v>
      </c>
      <c r="J1364" s="35" t="str">
        <f aca="false">IF(AND(Einstellungen!$B$8="Ja",Einstellungen!$B$9="Effektiv"),$I1364,"-")</f>
        <v>-</v>
      </c>
      <c r="K1364" s="31" t="n">
        <f aca="false">IF(OR($F1364="",$J1364="-"),0,ROUND($F1364-$F1364/(1+$H1364),2))</f>
        <v>0</v>
      </c>
      <c r="L1364" s="31" t="n">
        <f aca="false">IF($F1364="",0,$F1364-$K1364)</f>
        <v>0</v>
      </c>
      <c r="M1364" s="31" t="n">
        <f aca="false">IF($F1364="",0,IF($J1364="V",$L1364,$F1364))</f>
        <v>0</v>
      </c>
      <c r="N1364" s="31" t="n">
        <f aca="false">IF($F1364="",0,IF($J1364="U",$L1364,$F1364))</f>
        <v>0</v>
      </c>
      <c r="O1364" s="35" t="str">
        <f aca="false">IF($A1364="","",MONTH($A1364))</f>
        <v/>
      </c>
      <c r="P1364" s="35" t="str">
        <f aca="false">IF($A1364="","",ROUNDUP(MONTH($A1364)/3,0))</f>
        <v/>
      </c>
      <c r="Q1364" s="35" t="str">
        <f aca="false">IF($A1364="","",IF(MONTH($A1364)&lt;=6,1,2))</f>
        <v/>
      </c>
      <c r="R1364" s="35" t="str">
        <f aca="false">IF($E1364="","",IFERROR(INDEX(Kontenplan!$F$5:$F$90,MATCH($E1364,Kontenplan!$A$5:$A$90,0)),""))</f>
        <v/>
      </c>
      <c r="S1364" s="35" t="str">
        <f aca="false">IF($D1364="","",IFERROR(INDEX(Kontenplan!$F$5:$F$90,MATCH($D1364,Kontenplan!$A$5:$A$90,0)),""))</f>
        <v/>
      </c>
      <c r="T1364" s="35" t="str">
        <f aca="false">IF($D1364="","",IFERROR(INDEX(Kontenplan!$C$5:$C$90,MATCH($D1364,Kontenplan!$A$5:$A$90,0)),"?"))</f>
        <v/>
      </c>
      <c r="U1364" s="35" t="str">
        <f aca="false">IF($E1364="","",IFERROR(INDEX(Kontenplan!$C$5:$C$90,MATCH($E1364,Kontenplan!$A$5:$A$90,0)),"?"))</f>
        <v/>
      </c>
      <c r="V1364" s="35" t="str">
        <f aca="false">IF($F1364="","",IF(OR($D1364="",$E1364="",$T1364="?",$U1364="?"),"Konto prüfen!",IF($A1364="","Datum fehlt",IF(YEAR($A1364)&lt;&gt;Einstellungen!$B$7,"anderes Jahr!",IF($G1364="","MWST-Code fehlt","OK")))))</f>
        <v/>
      </c>
      <c r="W1364" s="35" t="str">
        <f aca="false">IF($F1364="","",IF(OR($D1364=Kontoauszug!$C$4,$E1364=Kontoauszug!$C$4),MAX(W$4:W1363)+1,""))</f>
        <v/>
      </c>
    </row>
    <row r="1365" customFormat="false" ht="15" hidden="false" customHeight="false" outlineLevel="0" collapsed="false">
      <c r="A1365" s="33"/>
      <c r="B1365" s="32"/>
      <c r="C1365" s="32"/>
      <c r="D1365" s="32"/>
      <c r="E1365" s="32"/>
      <c r="F1365" s="30"/>
      <c r="G1365" s="32"/>
      <c r="H1365" s="34" t="n">
        <f aca="false">IF($G1365="",0,IFERROR(INDEX(Einstellungen!$G$5:$G$11,MATCH($G1365,Einstellungen!$E$5:$E$11,0)),0))</f>
        <v>0</v>
      </c>
      <c r="I1365" s="35" t="str">
        <f aca="false">IF($G1365="","-",IFERROR(INDEX(Einstellungen!$H$5:$H$11,MATCH($G1365,Einstellungen!$E$5:$E$11,0)),"-"))</f>
        <v>-</v>
      </c>
      <c r="J1365" s="35" t="str">
        <f aca="false">IF(AND(Einstellungen!$B$8="Ja",Einstellungen!$B$9="Effektiv"),$I1365,"-")</f>
        <v>-</v>
      </c>
      <c r="K1365" s="31" t="n">
        <f aca="false">IF(OR($F1365="",$J1365="-"),0,ROUND($F1365-$F1365/(1+$H1365),2))</f>
        <v>0</v>
      </c>
      <c r="L1365" s="31" t="n">
        <f aca="false">IF($F1365="",0,$F1365-$K1365)</f>
        <v>0</v>
      </c>
      <c r="M1365" s="31" t="n">
        <f aca="false">IF($F1365="",0,IF($J1365="V",$L1365,$F1365))</f>
        <v>0</v>
      </c>
      <c r="N1365" s="31" t="n">
        <f aca="false">IF($F1365="",0,IF($J1365="U",$L1365,$F1365))</f>
        <v>0</v>
      </c>
      <c r="O1365" s="35" t="str">
        <f aca="false">IF($A1365="","",MONTH($A1365))</f>
        <v/>
      </c>
      <c r="P1365" s="35" t="str">
        <f aca="false">IF($A1365="","",ROUNDUP(MONTH($A1365)/3,0))</f>
        <v/>
      </c>
      <c r="Q1365" s="35" t="str">
        <f aca="false">IF($A1365="","",IF(MONTH($A1365)&lt;=6,1,2))</f>
        <v/>
      </c>
      <c r="R1365" s="35" t="str">
        <f aca="false">IF($E1365="","",IFERROR(INDEX(Kontenplan!$F$5:$F$90,MATCH($E1365,Kontenplan!$A$5:$A$90,0)),""))</f>
        <v/>
      </c>
      <c r="S1365" s="35" t="str">
        <f aca="false">IF($D1365="","",IFERROR(INDEX(Kontenplan!$F$5:$F$90,MATCH($D1365,Kontenplan!$A$5:$A$90,0)),""))</f>
        <v/>
      </c>
      <c r="T1365" s="35" t="str">
        <f aca="false">IF($D1365="","",IFERROR(INDEX(Kontenplan!$C$5:$C$90,MATCH($D1365,Kontenplan!$A$5:$A$90,0)),"?"))</f>
        <v/>
      </c>
      <c r="U1365" s="35" t="str">
        <f aca="false">IF($E1365="","",IFERROR(INDEX(Kontenplan!$C$5:$C$90,MATCH($E1365,Kontenplan!$A$5:$A$90,0)),"?"))</f>
        <v/>
      </c>
      <c r="V1365" s="35" t="str">
        <f aca="false">IF($F1365="","",IF(OR($D1365="",$E1365="",$T1365="?",$U1365="?"),"Konto prüfen!",IF($A1365="","Datum fehlt",IF(YEAR($A1365)&lt;&gt;Einstellungen!$B$7,"anderes Jahr!",IF($G1365="","MWST-Code fehlt","OK")))))</f>
        <v/>
      </c>
      <c r="W1365" s="35" t="str">
        <f aca="false">IF($F1365="","",IF(OR($D1365=Kontoauszug!$C$4,$E1365=Kontoauszug!$C$4),MAX(W$4:W1364)+1,""))</f>
        <v/>
      </c>
    </row>
    <row r="1366" customFormat="false" ht="15" hidden="false" customHeight="false" outlineLevel="0" collapsed="false">
      <c r="A1366" s="33"/>
      <c r="B1366" s="32"/>
      <c r="C1366" s="32"/>
      <c r="D1366" s="32"/>
      <c r="E1366" s="32"/>
      <c r="F1366" s="30"/>
      <c r="G1366" s="32"/>
      <c r="H1366" s="34" t="n">
        <f aca="false">IF($G1366="",0,IFERROR(INDEX(Einstellungen!$G$5:$G$11,MATCH($G1366,Einstellungen!$E$5:$E$11,0)),0))</f>
        <v>0</v>
      </c>
      <c r="I1366" s="35" t="str">
        <f aca="false">IF($G1366="","-",IFERROR(INDEX(Einstellungen!$H$5:$H$11,MATCH($G1366,Einstellungen!$E$5:$E$11,0)),"-"))</f>
        <v>-</v>
      </c>
      <c r="J1366" s="35" t="str">
        <f aca="false">IF(AND(Einstellungen!$B$8="Ja",Einstellungen!$B$9="Effektiv"),$I1366,"-")</f>
        <v>-</v>
      </c>
      <c r="K1366" s="31" t="n">
        <f aca="false">IF(OR($F1366="",$J1366="-"),0,ROUND($F1366-$F1366/(1+$H1366),2))</f>
        <v>0</v>
      </c>
      <c r="L1366" s="31" t="n">
        <f aca="false">IF($F1366="",0,$F1366-$K1366)</f>
        <v>0</v>
      </c>
      <c r="M1366" s="31" t="n">
        <f aca="false">IF($F1366="",0,IF($J1366="V",$L1366,$F1366))</f>
        <v>0</v>
      </c>
      <c r="N1366" s="31" t="n">
        <f aca="false">IF($F1366="",0,IF($J1366="U",$L1366,$F1366))</f>
        <v>0</v>
      </c>
      <c r="O1366" s="35" t="str">
        <f aca="false">IF($A1366="","",MONTH($A1366))</f>
        <v/>
      </c>
      <c r="P1366" s="35" t="str">
        <f aca="false">IF($A1366="","",ROUNDUP(MONTH($A1366)/3,0))</f>
        <v/>
      </c>
      <c r="Q1366" s="35" t="str">
        <f aca="false">IF($A1366="","",IF(MONTH($A1366)&lt;=6,1,2))</f>
        <v/>
      </c>
      <c r="R1366" s="35" t="str">
        <f aca="false">IF($E1366="","",IFERROR(INDEX(Kontenplan!$F$5:$F$90,MATCH($E1366,Kontenplan!$A$5:$A$90,0)),""))</f>
        <v/>
      </c>
      <c r="S1366" s="35" t="str">
        <f aca="false">IF($D1366="","",IFERROR(INDEX(Kontenplan!$F$5:$F$90,MATCH($D1366,Kontenplan!$A$5:$A$90,0)),""))</f>
        <v/>
      </c>
      <c r="T1366" s="35" t="str">
        <f aca="false">IF($D1366="","",IFERROR(INDEX(Kontenplan!$C$5:$C$90,MATCH($D1366,Kontenplan!$A$5:$A$90,0)),"?"))</f>
        <v/>
      </c>
      <c r="U1366" s="35" t="str">
        <f aca="false">IF($E1366="","",IFERROR(INDEX(Kontenplan!$C$5:$C$90,MATCH($E1366,Kontenplan!$A$5:$A$90,0)),"?"))</f>
        <v/>
      </c>
      <c r="V1366" s="35" t="str">
        <f aca="false">IF($F1366="","",IF(OR($D1366="",$E1366="",$T1366="?",$U1366="?"),"Konto prüfen!",IF($A1366="","Datum fehlt",IF(YEAR($A1366)&lt;&gt;Einstellungen!$B$7,"anderes Jahr!",IF($G1366="","MWST-Code fehlt","OK")))))</f>
        <v/>
      </c>
      <c r="W1366" s="35" t="str">
        <f aca="false">IF($F1366="","",IF(OR($D1366=Kontoauszug!$C$4,$E1366=Kontoauszug!$C$4),MAX(W$4:W1365)+1,""))</f>
        <v/>
      </c>
    </row>
    <row r="1367" customFormat="false" ht="15" hidden="false" customHeight="false" outlineLevel="0" collapsed="false">
      <c r="A1367" s="33"/>
      <c r="B1367" s="32"/>
      <c r="C1367" s="32"/>
      <c r="D1367" s="32"/>
      <c r="E1367" s="32"/>
      <c r="F1367" s="30"/>
      <c r="G1367" s="32"/>
      <c r="H1367" s="34" t="n">
        <f aca="false">IF($G1367="",0,IFERROR(INDEX(Einstellungen!$G$5:$G$11,MATCH($G1367,Einstellungen!$E$5:$E$11,0)),0))</f>
        <v>0</v>
      </c>
      <c r="I1367" s="35" t="str">
        <f aca="false">IF($G1367="","-",IFERROR(INDEX(Einstellungen!$H$5:$H$11,MATCH($G1367,Einstellungen!$E$5:$E$11,0)),"-"))</f>
        <v>-</v>
      </c>
      <c r="J1367" s="35" t="str">
        <f aca="false">IF(AND(Einstellungen!$B$8="Ja",Einstellungen!$B$9="Effektiv"),$I1367,"-")</f>
        <v>-</v>
      </c>
      <c r="K1367" s="31" t="n">
        <f aca="false">IF(OR($F1367="",$J1367="-"),0,ROUND($F1367-$F1367/(1+$H1367),2))</f>
        <v>0</v>
      </c>
      <c r="L1367" s="31" t="n">
        <f aca="false">IF($F1367="",0,$F1367-$K1367)</f>
        <v>0</v>
      </c>
      <c r="M1367" s="31" t="n">
        <f aca="false">IF($F1367="",0,IF($J1367="V",$L1367,$F1367))</f>
        <v>0</v>
      </c>
      <c r="N1367" s="31" t="n">
        <f aca="false">IF($F1367="",0,IF($J1367="U",$L1367,$F1367))</f>
        <v>0</v>
      </c>
      <c r="O1367" s="35" t="str">
        <f aca="false">IF($A1367="","",MONTH($A1367))</f>
        <v/>
      </c>
      <c r="P1367" s="35" t="str">
        <f aca="false">IF($A1367="","",ROUNDUP(MONTH($A1367)/3,0))</f>
        <v/>
      </c>
      <c r="Q1367" s="35" t="str">
        <f aca="false">IF($A1367="","",IF(MONTH($A1367)&lt;=6,1,2))</f>
        <v/>
      </c>
      <c r="R1367" s="35" t="str">
        <f aca="false">IF($E1367="","",IFERROR(INDEX(Kontenplan!$F$5:$F$90,MATCH($E1367,Kontenplan!$A$5:$A$90,0)),""))</f>
        <v/>
      </c>
      <c r="S1367" s="35" t="str">
        <f aca="false">IF($D1367="","",IFERROR(INDEX(Kontenplan!$F$5:$F$90,MATCH($D1367,Kontenplan!$A$5:$A$90,0)),""))</f>
        <v/>
      </c>
      <c r="T1367" s="35" t="str">
        <f aca="false">IF($D1367="","",IFERROR(INDEX(Kontenplan!$C$5:$C$90,MATCH($D1367,Kontenplan!$A$5:$A$90,0)),"?"))</f>
        <v/>
      </c>
      <c r="U1367" s="35" t="str">
        <f aca="false">IF($E1367="","",IFERROR(INDEX(Kontenplan!$C$5:$C$90,MATCH($E1367,Kontenplan!$A$5:$A$90,0)),"?"))</f>
        <v/>
      </c>
      <c r="V1367" s="35" t="str">
        <f aca="false">IF($F1367="","",IF(OR($D1367="",$E1367="",$T1367="?",$U1367="?"),"Konto prüfen!",IF($A1367="","Datum fehlt",IF(YEAR($A1367)&lt;&gt;Einstellungen!$B$7,"anderes Jahr!",IF($G1367="","MWST-Code fehlt","OK")))))</f>
        <v/>
      </c>
      <c r="W1367" s="35" t="str">
        <f aca="false">IF($F1367="","",IF(OR($D1367=Kontoauszug!$C$4,$E1367=Kontoauszug!$C$4),MAX(W$4:W1366)+1,""))</f>
        <v/>
      </c>
    </row>
    <row r="1368" customFormat="false" ht="15" hidden="false" customHeight="false" outlineLevel="0" collapsed="false">
      <c r="A1368" s="33"/>
      <c r="B1368" s="32"/>
      <c r="C1368" s="32"/>
      <c r="D1368" s="32"/>
      <c r="E1368" s="32"/>
      <c r="F1368" s="30"/>
      <c r="G1368" s="32"/>
      <c r="H1368" s="34" t="n">
        <f aca="false">IF($G1368="",0,IFERROR(INDEX(Einstellungen!$G$5:$G$11,MATCH($G1368,Einstellungen!$E$5:$E$11,0)),0))</f>
        <v>0</v>
      </c>
      <c r="I1368" s="35" t="str">
        <f aca="false">IF($G1368="","-",IFERROR(INDEX(Einstellungen!$H$5:$H$11,MATCH($G1368,Einstellungen!$E$5:$E$11,0)),"-"))</f>
        <v>-</v>
      </c>
      <c r="J1368" s="35" t="str">
        <f aca="false">IF(AND(Einstellungen!$B$8="Ja",Einstellungen!$B$9="Effektiv"),$I1368,"-")</f>
        <v>-</v>
      </c>
      <c r="K1368" s="31" t="n">
        <f aca="false">IF(OR($F1368="",$J1368="-"),0,ROUND($F1368-$F1368/(1+$H1368),2))</f>
        <v>0</v>
      </c>
      <c r="L1368" s="31" t="n">
        <f aca="false">IF($F1368="",0,$F1368-$K1368)</f>
        <v>0</v>
      </c>
      <c r="M1368" s="31" t="n">
        <f aca="false">IF($F1368="",0,IF($J1368="V",$L1368,$F1368))</f>
        <v>0</v>
      </c>
      <c r="N1368" s="31" t="n">
        <f aca="false">IF($F1368="",0,IF($J1368="U",$L1368,$F1368))</f>
        <v>0</v>
      </c>
      <c r="O1368" s="35" t="str">
        <f aca="false">IF($A1368="","",MONTH($A1368))</f>
        <v/>
      </c>
      <c r="P1368" s="35" t="str">
        <f aca="false">IF($A1368="","",ROUNDUP(MONTH($A1368)/3,0))</f>
        <v/>
      </c>
      <c r="Q1368" s="35" t="str">
        <f aca="false">IF($A1368="","",IF(MONTH($A1368)&lt;=6,1,2))</f>
        <v/>
      </c>
      <c r="R1368" s="35" t="str">
        <f aca="false">IF($E1368="","",IFERROR(INDEX(Kontenplan!$F$5:$F$90,MATCH($E1368,Kontenplan!$A$5:$A$90,0)),""))</f>
        <v/>
      </c>
      <c r="S1368" s="35" t="str">
        <f aca="false">IF($D1368="","",IFERROR(INDEX(Kontenplan!$F$5:$F$90,MATCH($D1368,Kontenplan!$A$5:$A$90,0)),""))</f>
        <v/>
      </c>
      <c r="T1368" s="35" t="str">
        <f aca="false">IF($D1368="","",IFERROR(INDEX(Kontenplan!$C$5:$C$90,MATCH($D1368,Kontenplan!$A$5:$A$90,0)),"?"))</f>
        <v/>
      </c>
      <c r="U1368" s="35" t="str">
        <f aca="false">IF($E1368="","",IFERROR(INDEX(Kontenplan!$C$5:$C$90,MATCH($E1368,Kontenplan!$A$5:$A$90,0)),"?"))</f>
        <v/>
      </c>
      <c r="V1368" s="35" t="str">
        <f aca="false">IF($F1368="","",IF(OR($D1368="",$E1368="",$T1368="?",$U1368="?"),"Konto prüfen!",IF($A1368="","Datum fehlt",IF(YEAR($A1368)&lt;&gt;Einstellungen!$B$7,"anderes Jahr!",IF($G1368="","MWST-Code fehlt","OK")))))</f>
        <v/>
      </c>
      <c r="W1368" s="35" t="str">
        <f aca="false">IF($F1368="","",IF(OR($D1368=Kontoauszug!$C$4,$E1368=Kontoauszug!$C$4),MAX(W$4:W1367)+1,""))</f>
        <v/>
      </c>
    </row>
    <row r="1369" customFormat="false" ht="15" hidden="false" customHeight="false" outlineLevel="0" collapsed="false">
      <c r="A1369" s="33"/>
      <c r="B1369" s="32"/>
      <c r="C1369" s="32"/>
      <c r="D1369" s="32"/>
      <c r="E1369" s="32"/>
      <c r="F1369" s="30"/>
      <c r="G1369" s="32"/>
      <c r="H1369" s="34" t="n">
        <f aca="false">IF($G1369="",0,IFERROR(INDEX(Einstellungen!$G$5:$G$11,MATCH($G1369,Einstellungen!$E$5:$E$11,0)),0))</f>
        <v>0</v>
      </c>
      <c r="I1369" s="35" t="str">
        <f aca="false">IF($G1369="","-",IFERROR(INDEX(Einstellungen!$H$5:$H$11,MATCH($G1369,Einstellungen!$E$5:$E$11,0)),"-"))</f>
        <v>-</v>
      </c>
      <c r="J1369" s="35" t="str">
        <f aca="false">IF(AND(Einstellungen!$B$8="Ja",Einstellungen!$B$9="Effektiv"),$I1369,"-")</f>
        <v>-</v>
      </c>
      <c r="K1369" s="31" t="n">
        <f aca="false">IF(OR($F1369="",$J1369="-"),0,ROUND($F1369-$F1369/(1+$H1369),2))</f>
        <v>0</v>
      </c>
      <c r="L1369" s="31" t="n">
        <f aca="false">IF($F1369="",0,$F1369-$K1369)</f>
        <v>0</v>
      </c>
      <c r="M1369" s="31" t="n">
        <f aca="false">IF($F1369="",0,IF($J1369="V",$L1369,$F1369))</f>
        <v>0</v>
      </c>
      <c r="N1369" s="31" t="n">
        <f aca="false">IF($F1369="",0,IF($J1369="U",$L1369,$F1369))</f>
        <v>0</v>
      </c>
      <c r="O1369" s="35" t="str">
        <f aca="false">IF($A1369="","",MONTH($A1369))</f>
        <v/>
      </c>
      <c r="P1369" s="35" t="str">
        <f aca="false">IF($A1369="","",ROUNDUP(MONTH($A1369)/3,0))</f>
        <v/>
      </c>
      <c r="Q1369" s="35" t="str">
        <f aca="false">IF($A1369="","",IF(MONTH($A1369)&lt;=6,1,2))</f>
        <v/>
      </c>
      <c r="R1369" s="35" t="str">
        <f aca="false">IF($E1369="","",IFERROR(INDEX(Kontenplan!$F$5:$F$90,MATCH($E1369,Kontenplan!$A$5:$A$90,0)),""))</f>
        <v/>
      </c>
      <c r="S1369" s="35" t="str">
        <f aca="false">IF($D1369="","",IFERROR(INDEX(Kontenplan!$F$5:$F$90,MATCH($D1369,Kontenplan!$A$5:$A$90,0)),""))</f>
        <v/>
      </c>
      <c r="T1369" s="35" t="str">
        <f aca="false">IF($D1369="","",IFERROR(INDEX(Kontenplan!$C$5:$C$90,MATCH($D1369,Kontenplan!$A$5:$A$90,0)),"?"))</f>
        <v/>
      </c>
      <c r="U1369" s="35" t="str">
        <f aca="false">IF($E1369="","",IFERROR(INDEX(Kontenplan!$C$5:$C$90,MATCH($E1369,Kontenplan!$A$5:$A$90,0)),"?"))</f>
        <v/>
      </c>
      <c r="V1369" s="35" t="str">
        <f aca="false">IF($F1369="","",IF(OR($D1369="",$E1369="",$T1369="?",$U1369="?"),"Konto prüfen!",IF($A1369="","Datum fehlt",IF(YEAR($A1369)&lt;&gt;Einstellungen!$B$7,"anderes Jahr!",IF($G1369="","MWST-Code fehlt","OK")))))</f>
        <v/>
      </c>
      <c r="W1369" s="35" t="str">
        <f aca="false">IF($F1369="","",IF(OR($D1369=Kontoauszug!$C$4,$E1369=Kontoauszug!$C$4),MAX(W$4:W1368)+1,""))</f>
        <v/>
      </c>
    </row>
    <row r="1370" customFormat="false" ht="15" hidden="false" customHeight="false" outlineLevel="0" collapsed="false">
      <c r="A1370" s="33"/>
      <c r="B1370" s="32"/>
      <c r="C1370" s="32"/>
      <c r="D1370" s="32"/>
      <c r="E1370" s="32"/>
      <c r="F1370" s="30"/>
      <c r="G1370" s="32"/>
      <c r="H1370" s="34" t="n">
        <f aca="false">IF($G1370="",0,IFERROR(INDEX(Einstellungen!$G$5:$G$11,MATCH($G1370,Einstellungen!$E$5:$E$11,0)),0))</f>
        <v>0</v>
      </c>
      <c r="I1370" s="35" t="str">
        <f aca="false">IF($G1370="","-",IFERROR(INDEX(Einstellungen!$H$5:$H$11,MATCH($G1370,Einstellungen!$E$5:$E$11,0)),"-"))</f>
        <v>-</v>
      </c>
      <c r="J1370" s="35" t="str">
        <f aca="false">IF(AND(Einstellungen!$B$8="Ja",Einstellungen!$B$9="Effektiv"),$I1370,"-")</f>
        <v>-</v>
      </c>
      <c r="K1370" s="31" t="n">
        <f aca="false">IF(OR($F1370="",$J1370="-"),0,ROUND($F1370-$F1370/(1+$H1370),2))</f>
        <v>0</v>
      </c>
      <c r="L1370" s="31" t="n">
        <f aca="false">IF($F1370="",0,$F1370-$K1370)</f>
        <v>0</v>
      </c>
      <c r="M1370" s="31" t="n">
        <f aca="false">IF($F1370="",0,IF($J1370="V",$L1370,$F1370))</f>
        <v>0</v>
      </c>
      <c r="N1370" s="31" t="n">
        <f aca="false">IF($F1370="",0,IF($J1370="U",$L1370,$F1370))</f>
        <v>0</v>
      </c>
      <c r="O1370" s="35" t="str">
        <f aca="false">IF($A1370="","",MONTH($A1370))</f>
        <v/>
      </c>
      <c r="P1370" s="35" t="str">
        <f aca="false">IF($A1370="","",ROUNDUP(MONTH($A1370)/3,0))</f>
        <v/>
      </c>
      <c r="Q1370" s="35" t="str">
        <f aca="false">IF($A1370="","",IF(MONTH($A1370)&lt;=6,1,2))</f>
        <v/>
      </c>
      <c r="R1370" s="35" t="str">
        <f aca="false">IF($E1370="","",IFERROR(INDEX(Kontenplan!$F$5:$F$90,MATCH($E1370,Kontenplan!$A$5:$A$90,0)),""))</f>
        <v/>
      </c>
      <c r="S1370" s="35" t="str">
        <f aca="false">IF($D1370="","",IFERROR(INDEX(Kontenplan!$F$5:$F$90,MATCH($D1370,Kontenplan!$A$5:$A$90,0)),""))</f>
        <v/>
      </c>
      <c r="T1370" s="35" t="str">
        <f aca="false">IF($D1370="","",IFERROR(INDEX(Kontenplan!$C$5:$C$90,MATCH($D1370,Kontenplan!$A$5:$A$90,0)),"?"))</f>
        <v/>
      </c>
      <c r="U1370" s="35" t="str">
        <f aca="false">IF($E1370="","",IFERROR(INDEX(Kontenplan!$C$5:$C$90,MATCH($E1370,Kontenplan!$A$5:$A$90,0)),"?"))</f>
        <v/>
      </c>
      <c r="V1370" s="35" t="str">
        <f aca="false">IF($F1370="","",IF(OR($D1370="",$E1370="",$T1370="?",$U1370="?"),"Konto prüfen!",IF($A1370="","Datum fehlt",IF(YEAR($A1370)&lt;&gt;Einstellungen!$B$7,"anderes Jahr!",IF($G1370="","MWST-Code fehlt","OK")))))</f>
        <v/>
      </c>
      <c r="W1370" s="35" t="str">
        <f aca="false">IF($F1370="","",IF(OR($D1370=Kontoauszug!$C$4,$E1370=Kontoauszug!$C$4),MAX(W$4:W1369)+1,""))</f>
        <v/>
      </c>
    </row>
    <row r="1371" customFormat="false" ht="15" hidden="false" customHeight="false" outlineLevel="0" collapsed="false">
      <c r="A1371" s="33"/>
      <c r="B1371" s="32"/>
      <c r="C1371" s="32"/>
      <c r="D1371" s="32"/>
      <c r="E1371" s="32"/>
      <c r="F1371" s="30"/>
      <c r="G1371" s="32"/>
      <c r="H1371" s="34" t="n">
        <f aca="false">IF($G1371="",0,IFERROR(INDEX(Einstellungen!$G$5:$G$11,MATCH($G1371,Einstellungen!$E$5:$E$11,0)),0))</f>
        <v>0</v>
      </c>
      <c r="I1371" s="35" t="str">
        <f aca="false">IF($G1371="","-",IFERROR(INDEX(Einstellungen!$H$5:$H$11,MATCH($G1371,Einstellungen!$E$5:$E$11,0)),"-"))</f>
        <v>-</v>
      </c>
      <c r="J1371" s="35" t="str">
        <f aca="false">IF(AND(Einstellungen!$B$8="Ja",Einstellungen!$B$9="Effektiv"),$I1371,"-")</f>
        <v>-</v>
      </c>
      <c r="K1371" s="31" t="n">
        <f aca="false">IF(OR($F1371="",$J1371="-"),0,ROUND($F1371-$F1371/(1+$H1371),2))</f>
        <v>0</v>
      </c>
      <c r="L1371" s="31" t="n">
        <f aca="false">IF($F1371="",0,$F1371-$K1371)</f>
        <v>0</v>
      </c>
      <c r="M1371" s="31" t="n">
        <f aca="false">IF($F1371="",0,IF($J1371="V",$L1371,$F1371))</f>
        <v>0</v>
      </c>
      <c r="N1371" s="31" t="n">
        <f aca="false">IF($F1371="",0,IF($J1371="U",$L1371,$F1371))</f>
        <v>0</v>
      </c>
      <c r="O1371" s="35" t="str">
        <f aca="false">IF($A1371="","",MONTH($A1371))</f>
        <v/>
      </c>
      <c r="P1371" s="35" t="str">
        <f aca="false">IF($A1371="","",ROUNDUP(MONTH($A1371)/3,0))</f>
        <v/>
      </c>
      <c r="Q1371" s="35" t="str">
        <f aca="false">IF($A1371="","",IF(MONTH($A1371)&lt;=6,1,2))</f>
        <v/>
      </c>
      <c r="R1371" s="35" t="str">
        <f aca="false">IF($E1371="","",IFERROR(INDEX(Kontenplan!$F$5:$F$90,MATCH($E1371,Kontenplan!$A$5:$A$90,0)),""))</f>
        <v/>
      </c>
      <c r="S1371" s="35" t="str">
        <f aca="false">IF($D1371="","",IFERROR(INDEX(Kontenplan!$F$5:$F$90,MATCH($D1371,Kontenplan!$A$5:$A$90,0)),""))</f>
        <v/>
      </c>
      <c r="T1371" s="35" t="str">
        <f aca="false">IF($D1371="","",IFERROR(INDEX(Kontenplan!$C$5:$C$90,MATCH($D1371,Kontenplan!$A$5:$A$90,0)),"?"))</f>
        <v/>
      </c>
      <c r="U1371" s="35" t="str">
        <f aca="false">IF($E1371="","",IFERROR(INDEX(Kontenplan!$C$5:$C$90,MATCH($E1371,Kontenplan!$A$5:$A$90,0)),"?"))</f>
        <v/>
      </c>
      <c r="V1371" s="35" t="str">
        <f aca="false">IF($F1371="","",IF(OR($D1371="",$E1371="",$T1371="?",$U1371="?"),"Konto prüfen!",IF($A1371="","Datum fehlt",IF(YEAR($A1371)&lt;&gt;Einstellungen!$B$7,"anderes Jahr!",IF($G1371="","MWST-Code fehlt","OK")))))</f>
        <v/>
      </c>
      <c r="W1371" s="35" t="str">
        <f aca="false">IF($F1371="","",IF(OR($D1371=Kontoauszug!$C$4,$E1371=Kontoauszug!$C$4),MAX(W$4:W1370)+1,""))</f>
        <v/>
      </c>
    </row>
    <row r="1372" customFormat="false" ht="15" hidden="false" customHeight="false" outlineLevel="0" collapsed="false">
      <c r="A1372" s="33"/>
      <c r="B1372" s="32"/>
      <c r="C1372" s="32"/>
      <c r="D1372" s="32"/>
      <c r="E1372" s="32"/>
      <c r="F1372" s="30"/>
      <c r="G1372" s="32"/>
      <c r="H1372" s="34" t="n">
        <f aca="false">IF($G1372="",0,IFERROR(INDEX(Einstellungen!$G$5:$G$11,MATCH($G1372,Einstellungen!$E$5:$E$11,0)),0))</f>
        <v>0</v>
      </c>
      <c r="I1372" s="35" t="str">
        <f aca="false">IF($G1372="","-",IFERROR(INDEX(Einstellungen!$H$5:$H$11,MATCH($G1372,Einstellungen!$E$5:$E$11,0)),"-"))</f>
        <v>-</v>
      </c>
      <c r="J1372" s="35" t="str">
        <f aca="false">IF(AND(Einstellungen!$B$8="Ja",Einstellungen!$B$9="Effektiv"),$I1372,"-")</f>
        <v>-</v>
      </c>
      <c r="K1372" s="31" t="n">
        <f aca="false">IF(OR($F1372="",$J1372="-"),0,ROUND($F1372-$F1372/(1+$H1372),2))</f>
        <v>0</v>
      </c>
      <c r="L1372" s="31" t="n">
        <f aca="false">IF($F1372="",0,$F1372-$K1372)</f>
        <v>0</v>
      </c>
      <c r="M1372" s="31" t="n">
        <f aca="false">IF($F1372="",0,IF($J1372="V",$L1372,$F1372))</f>
        <v>0</v>
      </c>
      <c r="N1372" s="31" t="n">
        <f aca="false">IF($F1372="",0,IF($J1372="U",$L1372,$F1372))</f>
        <v>0</v>
      </c>
      <c r="O1372" s="35" t="str">
        <f aca="false">IF($A1372="","",MONTH($A1372))</f>
        <v/>
      </c>
      <c r="P1372" s="35" t="str">
        <f aca="false">IF($A1372="","",ROUNDUP(MONTH($A1372)/3,0))</f>
        <v/>
      </c>
      <c r="Q1372" s="35" t="str">
        <f aca="false">IF($A1372="","",IF(MONTH($A1372)&lt;=6,1,2))</f>
        <v/>
      </c>
      <c r="R1372" s="35" t="str">
        <f aca="false">IF($E1372="","",IFERROR(INDEX(Kontenplan!$F$5:$F$90,MATCH($E1372,Kontenplan!$A$5:$A$90,0)),""))</f>
        <v/>
      </c>
      <c r="S1372" s="35" t="str">
        <f aca="false">IF($D1372="","",IFERROR(INDEX(Kontenplan!$F$5:$F$90,MATCH($D1372,Kontenplan!$A$5:$A$90,0)),""))</f>
        <v/>
      </c>
      <c r="T1372" s="35" t="str">
        <f aca="false">IF($D1372="","",IFERROR(INDEX(Kontenplan!$C$5:$C$90,MATCH($D1372,Kontenplan!$A$5:$A$90,0)),"?"))</f>
        <v/>
      </c>
      <c r="U1372" s="35" t="str">
        <f aca="false">IF($E1372="","",IFERROR(INDEX(Kontenplan!$C$5:$C$90,MATCH($E1372,Kontenplan!$A$5:$A$90,0)),"?"))</f>
        <v/>
      </c>
      <c r="V1372" s="35" t="str">
        <f aca="false">IF($F1372="","",IF(OR($D1372="",$E1372="",$T1372="?",$U1372="?"),"Konto prüfen!",IF($A1372="","Datum fehlt",IF(YEAR($A1372)&lt;&gt;Einstellungen!$B$7,"anderes Jahr!",IF($G1372="","MWST-Code fehlt","OK")))))</f>
        <v/>
      </c>
      <c r="W1372" s="35" t="str">
        <f aca="false">IF($F1372="","",IF(OR($D1372=Kontoauszug!$C$4,$E1372=Kontoauszug!$C$4),MAX(W$4:W1371)+1,""))</f>
        <v/>
      </c>
    </row>
    <row r="1373" customFormat="false" ht="15" hidden="false" customHeight="false" outlineLevel="0" collapsed="false">
      <c r="A1373" s="33"/>
      <c r="B1373" s="32"/>
      <c r="C1373" s="32"/>
      <c r="D1373" s="32"/>
      <c r="E1373" s="32"/>
      <c r="F1373" s="30"/>
      <c r="G1373" s="32"/>
      <c r="H1373" s="34" t="n">
        <f aca="false">IF($G1373="",0,IFERROR(INDEX(Einstellungen!$G$5:$G$11,MATCH($G1373,Einstellungen!$E$5:$E$11,0)),0))</f>
        <v>0</v>
      </c>
      <c r="I1373" s="35" t="str">
        <f aca="false">IF($G1373="","-",IFERROR(INDEX(Einstellungen!$H$5:$H$11,MATCH($G1373,Einstellungen!$E$5:$E$11,0)),"-"))</f>
        <v>-</v>
      </c>
      <c r="J1373" s="35" t="str">
        <f aca="false">IF(AND(Einstellungen!$B$8="Ja",Einstellungen!$B$9="Effektiv"),$I1373,"-")</f>
        <v>-</v>
      </c>
      <c r="K1373" s="31" t="n">
        <f aca="false">IF(OR($F1373="",$J1373="-"),0,ROUND($F1373-$F1373/(1+$H1373),2))</f>
        <v>0</v>
      </c>
      <c r="L1373" s="31" t="n">
        <f aca="false">IF($F1373="",0,$F1373-$K1373)</f>
        <v>0</v>
      </c>
      <c r="M1373" s="31" t="n">
        <f aca="false">IF($F1373="",0,IF($J1373="V",$L1373,$F1373))</f>
        <v>0</v>
      </c>
      <c r="N1373" s="31" t="n">
        <f aca="false">IF($F1373="",0,IF($J1373="U",$L1373,$F1373))</f>
        <v>0</v>
      </c>
      <c r="O1373" s="35" t="str">
        <f aca="false">IF($A1373="","",MONTH($A1373))</f>
        <v/>
      </c>
      <c r="P1373" s="35" t="str">
        <f aca="false">IF($A1373="","",ROUNDUP(MONTH($A1373)/3,0))</f>
        <v/>
      </c>
      <c r="Q1373" s="35" t="str">
        <f aca="false">IF($A1373="","",IF(MONTH($A1373)&lt;=6,1,2))</f>
        <v/>
      </c>
      <c r="R1373" s="35" t="str">
        <f aca="false">IF($E1373="","",IFERROR(INDEX(Kontenplan!$F$5:$F$90,MATCH($E1373,Kontenplan!$A$5:$A$90,0)),""))</f>
        <v/>
      </c>
      <c r="S1373" s="35" t="str">
        <f aca="false">IF($D1373="","",IFERROR(INDEX(Kontenplan!$F$5:$F$90,MATCH($D1373,Kontenplan!$A$5:$A$90,0)),""))</f>
        <v/>
      </c>
      <c r="T1373" s="35" t="str">
        <f aca="false">IF($D1373="","",IFERROR(INDEX(Kontenplan!$C$5:$C$90,MATCH($D1373,Kontenplan!$A$5:$A$90,0)),"?"))</f>
        <v/>
      </c>
      <c r="U1373" s="35" t="str">
        <f aca="false">IF($E1373="","",IFERROR(INDEX(Kontenplan!$C$5:$C$90,MATCH($E1373,Kontenplan!$A$5:$A$90,0)),"?"))</f>
        <v/>
      </c>
      <c r="V1373" s="35" t="str">
        <f aca="false">IF($F1373="","",IF(OR($D1373="",$E1373="",$T1373="?",$U1373="?"),"Konto prüfen!",IF($A1373="","Datum fehlt",IF(YEAR($A1373)&lt;&gt;Einstellungen!$B$7,"anderes Jahr!",IF($G1373="","MWST-Code fehlt","OK")))))</f>
        <v/>
      </c>
      <c r="W1373" s="35" t="str">
        <f aca="false">IF($F1373="","",IF(OR($D1373=Kontoauszug!$C$4,$E1373=Kontoauszug!$C$4),MAX(W$4:W1372)+1,""))</f>
        <v/>
      </c>
    </row>
    <row r="1374" customFormat="false" ht="15" hidden="false" customHeight="false" outlineLevel="0" collapsed="false">
      <c r="A1374" s="33"/>
      <c r="B1374" s="32"/>
      <c r="C1374" s="32"/>
      <c r="D1374" s="32"/>
      <c r="E1374" s="32"/>
      <c r="F1374" s="30"/>
      <c r="G1374" s="32"/>
      <c r="H1374" s="34" t="n">
        <f aca="false">IF($G1374="",0,IFERROR(INDEX(Einstellungen!$G$5:$G$11,MATCH($G1374,Einstellungen!$E$5:$E$11,0)),0))</f>
        <v>0</v>
      </c>
      <c r="I1374" s="35" t="str">
        <f aca="false">IF($G1374="","-",IFERROR(INDEX(Einstellungen!$H$5:$H$11,MATCH($G1374,Einstellungen!$E$5:$E$11,0)),"-"))</f>
        <v>-</v>
      </c>
      <c r="J1374" s="35" t="str">
        <f aca="false">IF(AND(Einstellungen!$B$8="Ja",Einstellungen!$B$9="Effektiv"),$I1374,"-")</f>
        <v>-</v>
      </c>
      <c r="K1374" s="31" t="n">
        <f aca="false">IF(OR($F1374="",$J1374="-"),0,ROUND($F1374-$F1374/(1+$H1374),2))</f>
        <v>0</v>
      </c>
      <c r="L1374" s="31" t="n">
        <f aca="false">IF($F1374="",0,$F1374-$K1374)</f>
        <v>0</v>
      </c>
      <c r="M1374" s="31" t="n">
        <f aca="false">IF($F1374="",0,IF($J1374="V",$L1374,$F1374))</f>
        <v>0</v>
      </c>
      <c r="N1374" s="31" t="n">
        <f aca="false">IF($F1374="",0,IF($J1374="U",$L1374,$F1374))</f>
        <v>0</v>
      </c>
      <c r="O1374" s="35" t="str">
        <f aca="false">IF($A1374="","",MONTH($A1374))</f>
        <v/>
      </c>
      <c r="P1374" s="35" t="str">
        <f aca="false">IF($A1374="","",ROUNDUP(MONTH($A1374)/3,0))</f>
        <v/>
      </c>
      <c r="Q1374" s="35" t="str">
        <f aca="false">IF($A1374="","",IF(MONTH($A1374)&lt;=6,1,2))</f>
        <v/>
      </c>
      <c r="R1374" s="35" t="str">
        <f aca="false">IF($E1374="","",IFERROR(INDEX(Kontenplan!$F$5:$F$90,MATCH($E1374,Kontenplan!$A$5:$A$90,0)),""))</f>
        <v/>
      </c>
      <c r="S1374" s="35" t="str">
        <f aca="false">IF($D1374="","",IFERROR(INDEX(Kontenplan!$F$5:$F$90,MATCH($D1374,Kontenplan!$A$5:$A$90,0)),""))</f>
        <v/>
      </c>
      <c r="T1374" s="35" t="str">
        <f aca="false">IF($D1374="","",IFERROR(INDEX(Kontenplan!$C$5:$C$90,MATCH($D1374,Kontenplan!$A$5:$A$90,0)),"?"))</f>
        <v/>
      </c>
      <c r="U1374" s="35" t="str">
        <f aca="false">IF($E1374="","",IFERROR(INDEX(Kontenplan!$C$5:$C$90,MATCH($E1374,Kontenplan!$A$5:$A$90,0)),"?"))</f>
        <v/>
      </c>
      <c r="V1374" s="35" t="str">
        <f aca="false">IF($F1374="","",IF(OR($D1374="",$E1374="",$T1374="?",$U1374="?"),"Konto prüfen!",IF($A1374="","Datum fehlt",IF(YEAR($A1374)&lt;&gt;Einstellungen!$B$7,"anderes Jahr!",IF($G1374="","MWST-Code fehlt","OK")))))</f>
        <v/>
      </c>
      <c r="W1374" s="35" t="str">
        <f aca="false">IF($F1374="","",IF(OR($D1374=Kontoauszug!$C$4,$E1374=Kontoauszug!$C$4),MAX(W$4:W1373)+1,""))</f>
        <v/>
      </c>
    </row>
    <row r="1375" customFormat="false" ht="15" hidden="false" customHeight="false" outlineLevel="0" collapsed="false">
      <c r="A1375" s="33"/>
      <c r="B1375" s="32"/>
      <c r="C1375" s="32"/>
      <c r="D1375" s="32"/>
      <c r="E1375" s="32"/>
      <c r="F1375" s="30"/>
      <c r="G1375" s="32"/>
      <c r="H1375" s="34" t="n">
        <f aca="false">IF($G1375="",0,IFERROR(INDEX(Einstellungen!$G$5:$G$11,MATCH($G1375,Einstellungen!$E$5:$E$11,0)),0))</f>
        <v>0</v>
      </c>
      <c r="I1375" s="35" t="str">
        <f aca="false">IF($G1375="","-",IFERROR(INDEX(Einstellungen!$H$5:$H$11,MATCH($G1375,Einstellungen!$E$5:$E$11,0)),"-"))</f>
        <v>-</v>
      </c>
      <c r="J1375" s="35" t="str">
        <f aca="false">IF(AND(Einstellungen!$B$8="Ja",Einstellungen!$B$9="Effektiv"),$I1375,"-")</f>
        <v>-</v>
      </c>
      <c r="K1375" s="31" t="n">
        <f aca="false">IF(OR($F1375="",$J1375="-"),0,ROUND($F1375-$F1375/(1+$H1375),2))</f>
        <v>0</v>
      </c>
      <c r="L1375" s="31" t="n">
        <f aca="false">IF($F1375="",0,$F1375-$K1375)</f>
        <v>0</v>
      </c>
      <c r="M1375" s="31" t="n">
        <f aca="false">IF($F1375="",0,IF($J1375="V",$L1375,$F1375))</f>
        <v>0</v>
      </c>
      <c r="N1375" s="31" t="n">
        <f aca="false">IF($F1375="",0,IF($J1375="U",$L1375,$F1375))</f>
        <v>0</v>
      </c>
      <c r="O1375" s="35" t="str">
        <f aca="false">IF($A1375="","",MONTH($A1375))</f>
        <v/>
      </c>
      <c r="P1375" s="35" t="str">
        <f aca="false">IF($A1375="","",ROUNDUP(MONTH($A1375)/3,0))</f>
        <v/>
      </c>
      <c r="Q1375" s="35" t="str">
        <f aca="false">IF($A1375="","",IF(MONTH($A1375)&lt;=6,1,2))</f>
        <v/>
      </c>
      <c r="R1375" s="35" t="str">
        <f aca="false">IF($E1375="","",IFERROR(INDEX(Kontenplan!$F$5:$F$90,MATCH($E1375,Kontenplan!$A$5:$A$90,0)),""))</f>
        <v/>
      </c>
      <c r="S1375" s="35" t="str">
        <f aca="false">IF($D1375="","",IFERROR(INDEX(Kontenplan!$F$5:$F$90,MATCH($D1375,Kontenplan!$A$5:$A$90,0)),""))</f>
        <v/>
      </c>
      <c r="T1375" s="35" t="str">
        <f aca="false">IF($D1375="","",IFERROR(INDEX(Kontenplan!$C$5:$C$90,MATCH($D1375,Kontenplan!$A$5:$A$90,0)),"?"))</f>
        <v/>
      </c>
      <c r="U1375" s="35" t="str">
        <f aca="false">IF($E1375="","",IFERROR(INDEX(Kontenplan!$C$5:$C$90,MATCH($E1375,Kontenplan!$A$5:$A$90,0)),"?"))</f>
        <v/>
      </c>
      <c r="V1375" s="35" t="str">
        <f aca="false">IF($F1375="","",IF(OR($D1375="",$E1375="",$T1375="?",$U1375="?"),"Konto prüfen!",IF($A1375="","Datum fehlt",IF(YEAR($A1375)&lt;&gt;Einstellungen!$B$7,"anderes Jahr!",IF($G1375="","MWST-Code fehlt","OK")))))</f>
        <v/>
      </c>
      <c r="W1375" s="35" t="str">
        <f aca="false">IF($F1375="","",IF(OR($D1375=Kontoauszug!$C$4,$E1375=Kontoauszug!$C$4),MAX(W$4:W1374)+1,""))</f>
        <v/>
      </c>
    </row>
    <row r="1376" customFormat="false" ht="15" hidden="false" customHeight="false" outlineLevel="0" collapsed="false">
      <c r="A1376" s="33"/>
      <c r="B1376" s="32"/>
      <c r="C1376" s="32"/>
      <c r="D1376" s="32"/>
      <c r="E1376" s="32"/>
      <c r="F1376" s="30"/>
      <c r="G1376" s="32"/>
      <c r="H1376" s="34" t="n">
        <f aca="false">IF($G1376="",0,IFERROR(INDEX(Einstellungen!$G$5:$G$11,MATCH($G1376,Einstellungen!$E$5:$E$11,0)),0))</f>
        <v>0</v>
      </c>
      <c r="I1376" s="35" t="str">
        <f aca="false">IF($G1376="","-",IFERROR(INDEX(Einstellungen!$H$5:$H$11,MATCH($G1376,Einstellungen!$E$5:$E$11,0)),"-"))</f>
        <v>-</v>
      </c>
      <c r="J1376" s="35" t="str">
        <f aca="false">IF(AND(Einstellungen!$B$8="Ja",Einstellungen!$B$9="Effektiv"),$I1376,"-")</f>
        <v>-</v>
      </c>
      <c r="K1376" s="31" t="n">
        <f aca="false">IF(OR($F1376="",$J1376="-"),0,ROUND($F1376-$F1376/(1+$H1376),2))</f>
        <v>0</v>
      </c>
      <c r="L1376" s="31" t="n">
        <f aca="false">IF($F1376="",0,$F1376-$K1376)</f>
        <v>0</v>
      </c>
      <c r="M1376" s="31" t="n">
        <f aca="false">IF($F1376="",0,IF($J1376="V",$L1376,$F1376))</f>
        <v>0</v>
      </c>
      <c r="N1376" s="31" t="n">
        <f aca="false">IF($F1376="",0,IF($J1376="U",$L1376,$F1376))</f>
        <v>0</v>
      </c>
      <c r="O1376" s="35" t="str">
        <f aca="false">IF($A1376="","",MONTH($A1376))</f>
        <v/>
      </c>
      <c r="P1376" s="35" t="str">
        <f aca="false">IF($A1376="","",ROUNDUP(MONTH($A1376)/3,0))</f>
        <v/>
      </c>
      <c r="Q1376" s="35" t="str">
        <f aca="false">IF($A1376="","",IF(MONTH($A1376)&lt;=6,1,2))</f>
        <v/>
      </c>
      <c r="R1376" s="35" t="str">
        <f aca="false">IF($E1376="","",IFERROR(INDEX(Kontenplan!$F$5:$F$90,MATCH($E1376,Kontenplan!$A$5:$A$90,0)),""))</f>
        <v/>
      </c>
      <c r="S1376" s="35" t="str">
        <f aca="false">IF($D1376="","",IFERROR(INDEX(Kontenplan!$F$5:$F$90,MATCH($D1376,Kontenplan!$A$5:$A$90,0)),""))</f>
        <v/>
      </c>
      <c r="T1376" s="35" t="str">
        <f aca="false">IF($D1376="","",IFERROR(INDEX(Kontenplan!$C$5:$C$90,MATCH($D1376,Kontenplan!$A$5:$A$90,0)),"?"))</f>
        <v/>
      </c>
      <c r="U1376" s="35" t="str">
        <f aca="false">IF($E1376="","",IFERROR(INDEX(Kontenplan!$C$5:$C$90,MATCH($E1376,Kontenplan!$A$5:$A$90,0)),"?"))</f>
        <v/>
      </c>
      <c r="V1376" s="35" t="str">
        <f aca="false">IF($F1376="","",IF(OR($D1376="",$E1376="",$T1376="?",$U1376="?"),"Konto prüfen!",IF($A1376="","Datum fehlt",IF(YEAR($A1376)&lt;&gt;Einstellungen!$B$7,"anderes Jahr!",IF($G1376="","MWST-Code fehlt","OK")))))</f>
        <v/>
      </c>
      <c r="W1376" s="35" t="str">
        <f aca="false">IF($F1376="","",IF(OR($D1376=Kontoauszug!$C$4,$E1376=Kontoauszug!$C$4),MAX(W$4:W1375)+1,""))</f>
        <v/>
      </c>
    </row>
    <row r="1377" customFormat="false" ht="15" hidden="false" customHeight="false" outlineLevel="0" collapsed="false">
      <c r="A1377" s="33"/>
      <c r="B1377" s="32"/>
      <c r="C1377" s="32"/>
      <c r="D1377" s="32"/>
      <c r="E1377" s="32"/>
      <c r="F1377" s="30"/>
      <c r="G1377" s="32"/>
      <c r="H1377" s="34" t="n">
        <f aca="false">IF($G1377="",0,IFERROR(INDEX(Einstellungen!$G$5:$G$11,MATCH($G1377,Einstellungen!$E$5:$E$11,0)),0))</f>
        <v>0</v>
      </c>
      <c r="I1377" s="35" t="str">
        <f aca="false">IF($G1377="","-",IFERROR(INDEX(Einstellungen!$H$5:$H$11,MATCH($G1377,Einstellungen!$E$5:$E$11,0)),"-"))</f>
        <v>-</v>
      </c>
      <c r="J1377" s="35" t="str">
        <f aca="false">IF(AND(Einstellungen!$B$8="Ja",Einstellungen!$B$9="Effektiv"),$I1377,"-")</f>
        <v>-</v>
      </c>
      <c r="K1377" s="31" t="n">
        <f aca="false">IF(OR($F1377="",$J1377="-"),0,ROUND($F1377-$F1377/(1+$H1377),2))</f>
        <v>0</v>
      </c>
      <c r="L1377" s="31" t="n">
        <f aca="false">IF($F1377="",0,$F1377-$K1377)</f>
        <v>0</v>
      </c>
      <c r="M1377" s="31" t="n">
        <f aca="false">IF($F1377="",0,IF($J1377="V",$L1377,$F1377))</f>
        <v>0</v>
      </c>
      <c r="N1377" s="31" t="n">
        <f aca="false">IF($F1377="",0,IF($J1377="U",$L1377,$F1377))</f>
        <v>0</v>
      </c>
      <c r="O1377" s="35" t="str">
        <f aca="false">IF($A1377="","",MONTH($A1377))</f>
        <v/>
      </c>
      <c r="P1377" s="35" t="str">
        <f aca="false">IF($A1377="","",ROUNDUP(MONTH($A1377)/3,0))</f>
        <v/>
      </c>
      <c r="Q1377" s="35" t="str">
        <f aca="false">IF($A1377="","",IF(MONTH($A1377)&lt;=6,1,2))</f>
        <v/>
      </c>
      <c r="R1377" s="35" t="str">
        <f aca="false">IF($E1377="","",IFERROR(INDEX(Kontenplan!$F$5:$F$90,MATCH($E1377,Kontenplan!$A$5:$A$90,0)),""))</f>
        <v/>
      </c>
      <c r="S1377" s="35" t="str">
        <f aca="false">IF($D1377="","",IFERROR(INDEX(Kontenplan!$F$5:$F$90,MATCH($D1377,Kontenplan!$A$5:$A$90,0)),""))</f>
        <v/>
      </c>
      <c r="T1377" s="35" t="str">
        <f aca="false">IF($D1377="","",IFERROR(INDEX(Kontenplan!$C$5:$C$90,MATCH($D1377,Kontenplan!$A$5:$A$90,0)),"?"))</f>
        <v/>
      </c>
      <c r="U1377" s="35" t="str">
        <f aca="false">IF($E1377="","",IFERROR(INDEX(Kontenplan!$C$5:$C$90,MATCH($E1377,Kontenplan!$A$5:$A$90,0)),"?"))</f>
        <v/>
      </c>
      <c r="V1377" s="35" t="str">
        <f aca="false">IF($F1377="","",IF(OR($D1377="",$E1377="",$T1377="?",$U1377="?"),"Konto prüfen!",IF($A1377="","Datum fehlt",IF(YEAR($A1377)&lt;&gt;Einstellungen!$B$7,"anderes Jahr!",IF($G1377="","MWST-Code fehlt","OK")))))</f>
        <v/>
      </c>
      <c r="W1377" s="35" t="str">
        <f aca="false">IF($F1377="","",IF(OR($D1377=Kontoauszug!$C$4,$E1377=Kontoauszug!$C$4),MAX(W$4:W1376)+1,""))</f>
        <v/>
      </c>
    </row>
    <row r="1378" customFormat="false" ht="15" hidden="false" customHeight="false" outlineLevel="0" collapsed="false">
      <c r="A1378" s="33"/>
      <c r="B1378" s="32"/>
      <c r="C1378" s="32"/>
      <c r="D1378" s="32"/>
      <c r="E1378" s="32"/>
      <c r="F1378" s="30"/>
      <c r="G1378" s="32"/>
      <c r="H1378" s="34" t="n">
        <f aca="false">IF($G1378="",0,IFERROR(INDEX(Einstellungen!$G$5:$G$11,MATCH($G1378,Einstellungen!$E$5:$E$11,0)),0))</f>
        <v>0</v>
      </c>
      <c r="I1378" s="35" t="str">
        <f aca="false">IF($G1378="","-",IFERROR(INDEX(Einstellungen!$H$5:$H$11,MATCH($G1378,Einstellungen!$E$5:$E$11,0)),"-"))</f>
        <v>-</v>
      </c>
      <c r="J1378" s="35" t="str">
        <f aca="false">IF(AND(Einstellungen!$B$8="Ja",Einstellungen!$B$9="Effektiv"),$I1378,"-")</f>
        <v>-</v>
      </c>
      <c r="K1378" s="31" t="n">
        <f aca="false">IF(OR($F1378="",$J1378="-"),0,ROUND($F1378-$F1378/(1+$H1378),2))</f>
        <v>0</v>
      </c>
      <c r="L1378" s="31" t="n">
        <f aca="false">IF($F1378="",0,$F1378-$K1378)</f>
        <v>0</v>
      </c>
      <c r="M1378" s="31" t="n">
        <f aca="false">IF($F1378="",0,IF($J1378="V",$L1378,$F1378))</f>
        <v>0</v>
      </c>
      <c r="N1378" s="31" t="n">
        <f aca="false">IF($F1378="",0,IF($J1378="U",$L1378,$F1378))</f>
        <v>0</v>
      </c>
      <c r="O1378" s="35" t="str">
        <f aca="false">IF($A1378="","",MONTH($A1378))</f>
        <v/>
      </c>
      <c r="P1378" s="35" t="str">
        <f aca="false">IF($A1378="","",ROUNDUP(MONTH($A1378)/3,0))</f>
        <v/>
      </c>
      <c r="Q1378" s="35" t="str">
        <f aca="false">IF($A1378="","",IF(MONTH($A1378)&lt;=6,1,2))</f>
        <v/>
      </c>
      <c r="R1378" s="35" t="str">
        <f aca="false">IF($E1378="","",IFERROR(INDEX(Kontenplan!$F$5:$F$90,MATCH($E1378,Kontenplan!$A$5:$A$90,0)),""))</f>
        <v/>
      </c>
      <c r="S1378" s="35" t="str">
        <f aca="false">IF($D1378="","",IFERROR(INDEX(Kontenplan!$F$5:$F$90,MATCH($D1378,Kontenplan!$A$5:$A$90,0)),""))</f>
        <v/>
      </c>
      <c r="T1378" s="35" t="str">
        <f aca="false">IF($D1378="","",IFERROR(INDEX(Kontenplan!$C$5:$C$90,MATCH($D1378,Kontenplan!$A$5:$A$90,0)),"?"))</f>
        <v/>
      </c>
      <c r="U1378" s="35" t="str">
        <f aca="false">IF($E1378="","",IFERROR(INDEX(Kontenplan!$C$5:$C$90,MATCH($E1378,Kontenplan!$A$5:$A$90,0)),"?"))</f>
        <v/>
      </c>
      <c r="V1378" s="35" t="str">
        <f aca="false">IF($F1378="","",IF(OR($D1378="",$E1378="",$T1378="?",$U1378="?"),"Konto prüfen!",IF($A1378="","Datum fehlt",IF(YEAR($A1378)&lt;&gt;Einstellungen!$B$7,"anderes Jahr!",IF($G1378="","MWST-Code fehlt","OK")))))</f>
        <v/>
      </c>
      <c r="W1378" s="35" t="str">
        <f aca="false">IF($F1378="","",IF(OR($D1378=Kontoauszug!$C$4,$E1378=Kontoauszug!$C$4),MAX(W$4:W1377)+1,""))</f>
        <v/>
      </c>
    </row>
    <row r="1379" customFormat="false" ht="15" hidden="false" customHeight="false" outlineLevel="0" collapsed="false">
      <c r="A1379" s="33"/>
      <c r="B1379" s="32"/>
      <c r="C1379" s="32"/>
      <c r="D1379" s="32"/>
      <c r="E1379" s="32"/>
      <c r="F1379" s="30"/>
      <c r="G1379" s="32"/>
      <c r="H1379" s="34" t="n">
        <f aca="false">IF($G1379="",0,IFERROR(INDEX(Einstellungen!$G$5:$G$11,MATCH($G1379,Einstellungen!$E$5:$E$11,0)),0))</f>
        <v>0</v>
      </c>
      <c r="I1379" s="35" t="str">
        <f aca="false">IF($G1379="","-",IFERROR(INDEX(Einstellungen!$H$5:$H$11,MATCH($G1379,Einstellungen!$E$5:$E$11,0)),"-"))</f>
        <v>-</v>
      </c>
      <c r="J1379" s="35" t="str">
        <f aca="false">IF(AND(Einstellungen!$B$8="Ja",Einstellungen!$B$9="Effektiv"),$I1379,"-")</f>
        <v>-</v>
      </c>
      <c r="K1379" s="31" t="n">
        <f aca="false">IF(OR($F1379="",$J1379="-"),0,ROUND($F1379-$F1379/(1+$H1379),2))</f>
        <v>0</v>
      </c>
      <c r="L1379" s="31" t="n">
        <f aca="false">IF($F1379="",0,$F1379-$K1379)</f>
        <v>0</v>
      </c>
      <c r="M1379" s="31" t="n">
        <f aca="false">IF($F1379="",0,IF($J1379="V",$L1379,$F1379))</f>
        <v>0</v>
      </c>
      <c r="N1379" s="31" t="n">
        <f aca="false">IF($F1379="",0,IF($J1379="U",$L1379,$F1379))</f>
        <v>0</v>
      </c>
      <c r="O1379" s="35" t="str">
        <f aca="false">IF($A1379="","",MONTH($A1379))</f>
        <v/>
      </c>
      <c r="P1379" s="35" t="str">
        <f aca="false">IF($A1379="","",ROUNDUP(MONTH($A1379)/3,0))</f>
        <v/>
      </c>
      <c r="Q1379" s="35" t="str">
        <f aca="false">IF($A1379="","",IF(MONTH($A1379)&lt;=6,1,2))</f>
        <v/>
      </c>
      <c r="R1379" s="35" t="str">
        <f aca="false">IF($E1379="","",IFERROR(INDEX(Kontenplan!$F$5:$F$90,MATCH($E1379,Kontenplan!$A$5:$A$90,0)),""))</f>
        <v/>
      </c>
      <c r="S1379" s="35" t="str">
        <f aca="false">IF($D1379="","",IFERROR(INDEX(Kontenplan!$F$5:$F$90,MATCH($D1379,Kontenplan!$A$5:$A$90,0)),""))</f>
        <v/>
      </c>
      <c r="T1379" s="35" t="str">
        <f aca="false">IF($D1379="","",IFERROR(INDEX(Kontenplan!$C$5:$C$90,MATCH($D1379,Kontenplan!$A$5:$A$90,0)),"?"))</f>
        <v/>
      </c>
      <c r="U1379" s="35" t="str">
        <f aca="false">IF($E1379="","",IFERROR(INDEX(Kontenplan!$C$5:$C$90,MATCH($E1379,Kontenplan!$A$5:$A$90,0)),"?"))</f>
        <v/>
      </c>
      <c r="V1379" s="35" t="str">
        <f aca="false">IF($F1379="","",IF(OR($D1379="",$E1379="",$T1379="?",$U1379="?"),"Konto prüfen!",IF($A1379="","Datum fehlt",IF(YEAR($A1379)&lt;&gt;Einstellungen!$B$7,"anderes Jahr!",IF($G1379="","MWST-Code fehlt","OK")))))</f>
        <v/>
      </c>
      <c r="W1379" s="35" t="str">
        <f aca="false">IF($F1379="","",IF(OR($D1379=Kontoauszug!$C$4,$E1379=Kontoauszug!$C$4),MAX(W$4:W1378)+1,""))</f>
        <v/>
      </c>
    </row>
    <row r="1380" customFormat="false" ht="15" hidden="false" customHeight="false" outlineLevel="0" collapsed="false">
      <c r="A1380" s="33"/>
      <c r="B1380" s="32"/>
      <c r="C1380" s="32"/>
      <c r="D1380" s="32"/>
      <c r="E1380" s="32"/>
      <c r="F1380" s="30"/>
      <c r="G1380" s="32"/>
      <c r="H1380" s="34" t="n">
        <f aca="false">IF($G1380="",0,IFERROR(INDEX(Einstellungen!$G$5:$G$11,MATCH($G1380,Einstellungen!$E$5:$E$11,0)),0))</f>
        <v>0</v>
      </c>
      <c r="I1380" s="35" t="str">
        <f aca="false">IF($G1380="","-",IFERROR(INDEX(Einstellungen!$H$5:$H$11,MATCH($G1380,Einstellungen!$E$5:$E$11,0)),"-"))</f>
        <v>-</v>
      </c>
      <c r="J1380" s="35" t="str">
        <f aca="false">IF(AND(Einstellungen!$B$8="Ja",Einstellungen!$B$9="Effektiv"),$I1380,"-")</f>
        <v>-</v>
      </c>
      <c r="K1380" s="31" t="n">
        <f aca="false">IF(OR($F1380="",$J1380="-"),0,ROUND($F1380-$F1380/(1+$H1380),2))</f>
        <v>0</v>
      </c>
      <c r="L1380" s="31" t="n">
        <f aca="false">IF($F1380="",0,$F1380-$K1380)</f>
        <v>0</v>
      </c>
      <c r="M1380" s="31" t="n">
        <f aca="false">IF($F1380="",0,IF($J1380="V",$L1380,$F1380))</f>
        <v>0</v>
      </c>
      <c r="N1380" s="31" t="n">
        <f aca="false">IF($F1380="",0,IF($J1380="U",$L1380,$F1380))</f>
        <v>0</v>
      </c>
      <c r="O1380" s="35" t="str">
        <f aca="false">IF($A1380="","",MONTH($A1380))</f>
        <v/>
      </c>
      <c r="P1380" s="35" t="str">
        <f aca="false">IF($A1380="","",ROUNDUP(MONTH($A1380)/3,0))</f>
        <v/>
      </c>
      <c r="Q1380" s="35" t="str">
        <f aca="false">IF($A1380="","",IF(MONTH($A1380)&lt;=6,1,2))</f>
        <v/>
      </c>
      <c r="R1380" s="35" t="str">
        <f aca="false">IF($E1380="","",IFERROR(INDEX(Kontenplan!$F$5:$F$90,MATCH($E1380,Kontenplan!$A$5:$A$90,0)),""))</f>
        <v/>
      </c>
      <c r="S1380" s="35" t="str">
        <f aca="false">IF($D1380="","",IFERROR(INDEX(Kontenplan!$F$5:$F$90,MATCH($D1380,Kontenplan!$A$5:$A$90,0)),""))</f>
        <v/>
      </c>
      <c r="T1380" s="35" t="str">
        <f aca="false">IF($D1380="","",IFERROR(INDEX(Kontenplan!$C$5:$C$90,MATCH($D1380,Kontenplan!$A$5:$A$90,0)),"?"))</f>
        <v/>
      </c>
      <c r="U1380" s="35" t="str">
        <f aca="false">IF($E1380="","",IFERROR(INDEX(Kontenplan!$C$5:$C$90,MATCH($E1380,Kontenplan!$A$5:$A$90,0)),"?"))</f>
        <v/>
      </c>
      <c r="V1380" s="35" t="str">
        <f aca="false">IF($F1380="","",IF(OR($D1380="",$E1380="",$T1380="?",$U1380="?"),"Konto prüfen!",IF($A1380="","Datum fehlt",IF(YEAR($A1380)&lt;&gt;Einstellungen!$B$7,"anderes Jahr!",IF($G1380="","MWST-Code fehlt","OK")))))</f>
        <v/>
      </c>
      <c r="W1380" s="35" t="str">
        <f aca="false">IF($F1380="","",IF(OR($D1380=Kontoauszug!$C$4,$E1380=Kontoauszug!$C$4),MAX(W$4:W1379)+1,""))</f>
        <v/>
      </c>
    </row>
    <row r="1381" customFormat="false" ht="15" hidden="false" customHeight="false" outlineLevel="0" collapsed="false">
      <c r="A1381" s="33"/>
      <c r="B1381" s="32"/>
      <c r="C1381" s="32"/>
      <c r="D1381" s="32"/>
      <c r="E1381" s="32"/>
      <c r="F1381" s="30"/>
      <c r="G1381" s="32"/>
      <c r="H1381" s="34" t="n">
        <f aca="false">IF($G1381="",0,IFERROR(INDEX(Einstellungen!$G$5:$G$11,MATCH($G1381,Einstellungen!$E$5:$E$11,0)),0))</f>
        <v>0</v>
      </c>
      <c r="I1381" s="35" t="str">
        <f aca="false">IF($G1381="","-",IFERROR(INDEX(Einstellungen!$H$5:$H$11,MATCH($G1381,Einstellungen!$E$5:$E$11,0)),"-"))</f>
        <v>-</v>
      </c>
      <c r="J1381" s="35" t="str">
        <f aca="false">IF(AND(Einstellungen!$B$8="Ja",Einstellungen!$B$9="Effektiv"),$I1381,"-")</f>
        <v>-</v>
      </c>
      <c r="K1381" s="31" t="n">
        <f aca="false">IF(OR($F1381="",$J1381="-"),0,ROUND($F1381-$F1381/(1+$H1381),2))</f>
        <v>0</v>
      </c>
      <c r="L1381" s="31" t="n">
        <f aca="false">IF($F1381="",0,$F1381-$K1381)</f>
        <v>0</v>
      </c>
      <c r="M1381" s="31" t="n">
        <f aca="false">IF($F1381="",0,IF($J1381="V",$L1381,$F1381))</f>
        <v>0</v>
      </c>
      <c r="N1381" s="31" t="n">
        <f aca="false">IF($F1381="",0,IF($J1381="U",$L1381,$F1381))</f>
        <v>0</v>
      </c>
      <c r="O1381" s="35" t="str">
        <f aca="false">IF($A1381="","",MONTH($A1381))</f>
        <v/>
      </c>
      <c r="P1381" s="35" t="str">
        <f aca="false">IF($A1381="","",ROUNDUP(MONTH($A1381)/3,0))</f>
        <v/>
      </c>
      <c r="Q1381" s="35" t="str">
        <f aca="false">IF($A1381="","",IF(MONTH($A1381)&lt;=6,1,2))</f>
        <v/>
      </c>
      <c r="R1381" s="35" t="str">
        <f aca="false">IF($E1381="","",IFERROR(INDEX(Kontenplan!$F$5:$F$90,MATCH($E1381,Kontenplan!$A$5:$A$90,0)),""))</f>
        <v/>
      </c>
      <c r="S1381" s="35" t="str">
        <f aca="false">IF($D1381="","",IFERROR(INDEX(Kontenplan!$F$5:$F$90,MATCH($D1381,Kontenplan!$A$5:$A$90,0)),""))</f>
        <v/>
      </c>
      <c r="T1381" s="35" t="str">
        <f aca="false">IF($D1381="","",IFERROR(INDEX(Kontenplan!$C$5:$C$90,MATCH($D1381,Kontenplan!$A$5:$A$90,0)),"?"))</f>
        <v/>
      </c>
      <c r="U1381" s="35" t="str">
        <f aca="false">IF($E1381="","",IFERROR(INDEX(Kontenplan!$C$5:$C$90,MATCH($E1381,Kontenplan!$A$5:$A$90,0)),"?"))</f>
        <v/>
      </c>
      <c r="V1381" s="35" t="str">
        <f aca="false">IF($F1381="","",IF(OR($D1381="",$E1381="",$T1381="?",$U1381="?"),"Konto prüfen!",IF($A1381="","Datum fehlt",IF(YEAR($A1381)&lt;&gt;Einstellungen!$B$7,"anderes Jahr!",IF($G1381="","MWST-Code fehlt","OK")))))</f>
        <v/>
      </c>
      <c r="W1381" s="35" t="str">
        <f aca="false">IF($F1381="","",IF(OR($D1381=Kontoauszug!$C$4,$E1381=Kontoauszug!$C$4),MAX(W$4:W1380)+1,""))</f>
        <v/>
      </c>
    </row>
    <row r="1382" customFormat="false" ht="15" hidden="false" customHeight="false" outlineLevel="0" collapsed="false">
      <c r="A1382" s="33"/>
      <c r="B1382" s="32"/>
      <c r="C1382" s="32"/>
      <c r="D1382" s="32"/>
      <c r="E1382" s="32"/>
      <c r="F1382" s="30"/>
      <c r="G1382" s="32"/>
      <c r="H1382" s="34" t="n">
        <f aca="false">IF($G1382="",0,IFERROR(INDEX(Einstellungen!$G$5:$G$11,MATCH($G1382,Einstellungen!$E$5:$E$11,0)),0))</f>
        <v>0</v>
      </c>
      <c r="I1382" s="35" t="str">
        <f aca="false">IF($G1382="","-",IFERROR(INDEX(Einstellungen!$H$5:$H$11,MATCH($G1382,Einstellungen!$E$5:$E$11,0)),"-"))</f>
        <v>-</v>
      </c>
      <c r="J1382" s="35" t="str">
        <f aca="false">IF(AND(Einstellungen!$B$8="Ja",Einstellungen!$B$9="Effektiv"),$I1382,"-")</f>
        <v>-</v>
      </c>
      <c r="K1382" s="31" t="n">
        <f aca="false">IF(OR($F1382="",$J1382="-"),0,ROUND($F1382-$F1382/(1+$H1382),2))</f>
        <v>0</v>
      </c>
      <c r="L1382" s="31" t="n">
        <f aca="false">IF($F1382="",0,$F1382-$K1382)</f>
        <v>0</v>
      </c>
      <c r="M1382" s="31" t="n">
        <f aca="false">IF($F1382="",0,IF($J1382="V",$L1382,$F1382))</f>
        <v>0</v>
      </c>
      <c r="N1382" s="31" t="n">
        <f aca="false">IF($F1382="",0,IF($J1382="U",$L1382,$F1382))</f>
        <v>0</v>
      </c>
      <c r="O1382" s="35" t="str">
        <f aca="false">IF($A1382="","",MONTH($A1382))</f>
        <v/>
      </c>
      <c r="P1382" s="35" t="str">
        <f aca="false">IF($A1382="","",ROUNDUP(MONTH($A1382)/3,0))</f>
        <v/>
      </c>
      <c r="Q1382" s="35" t="str">
        <f aca="false">IF($A1382="","",IF(MONTH($A1382)&lt;=6,1,2))</f>
        <v/>
      </c>
      <c r="R1382" s="35" t="str">
        <f aca="false">IF($E1382="","",IFERROR(INDEX(Kontenplan!$F$5:$F$90,MATCH($E1382,Kontenplan!$A$5:$A$90,0)),""))</f>
        <v/>
      </c>
      <c r="S1382" s="35" t="str">
        <f aca="false">IF($D1382="","",IFERROR(INDEX(Kontenplan!$F$5:$F$90,MATCH($D1382,Kontenplan!$A$5:$A$90,0)),""))</f>
        <v/>
      </c>
      <c r="T1382" s="35" t="str">
        <f aca="false">IF($D1382="","",IFERROR(INDEX(Kontenplan!$C$5:$C$90,MATCH($D1382,Kontenplan!$A$5:$A$90,0)),"?"))</f>
        <v/>
      </c>
      <c r="U1382" s="35" t="str">
        <f aca="false">IF($E1382="","",IFERROR(INDEX(Kontenplan!$C$5:$C$90,MATCH($E1382,Kontenplan!$A$5:$A$90,0)),"?"))</f>
        <v/>
      </c>
      <c r="V1382" s="35" t="str">
        <f aca="false">IF($F1382="","",IF(OR($D1382="",$E1382="",$T1382="?",$U1382="?"),"Konto prüfen!",IF($A1382="","Datum fehlt",IF(YEAR($A1382)&lt;&gt;Einstellungen!$B$7,"anderes Jahr!",IF($G1382="","MWST-Code fehlt","OK")))))</f>
        <v/>
      </c>
      <c r="W1382" s="35" t="str">
        <f aca="false">IF($F1382="","",IF(OR($D1382=Kontoauszug!$C$4,$E1382=Kontoauszug!$C$4),MAX(W$4:W1381)+1,""))</f>
        <v/>
      </c>
    </row>
    <row r="1383" customFormat="false" ht="15" hidden="false" customHeight="false" outlineLevel="0" collapsed="false">
      <c r="A1383" s="33"/>
      <c r="B1383" s="32"/>
      <c r="C1383" s="32"/>
      <c r="D1383" s="32"/>
      <c r="E1383" s="32"/>
      <c r="F1383" s="30"/>
      <c r="G1383" s="32"/>
      <c r="H1383" s="34" t="n">
        <f aca="false">IF($G1383="",0,IFERROR(INDEX(Einstellungen!$G$5:$G$11,MATCH($G1383,Einstellungen!$E$5:$E$11,0)),0))</f>
        <v>0</v>
      </c>
      <c r="I1383" s="35" t="str">
        <f aca="false">IF($G1383="","-",IFERROR(INDEX(Einstellungen!$H$5:$H$11,MATCH($G1383,Einstellungen!$E$5:$E$11,0)),"-"))</f>
        <v>-</v>
      </c>
      <c r="J1383" s="35" t="str">
        <f aca="false">IF(AND(Einstellungen!$B$8="Ja",Einstellungen!$B$9="Effektiv"),$I1383,"-")</f>
        <v>-</v>
      </c>
      <c r="K1383" s="31" t="n">
        <f aca="false">IF(OR($F1383="",$J1383="-"),0,ROUND($F1383-$F1383/(1+$H1383),2))</f>
        <v>0</v>
      </c>
      <c r="L1383" s="31" t="n">
        <f aca="false">IF($F1383="",0,$F1383-$K1383)</f>
        <v>0</v>
      </c>
      <c r="M1383" s="31" t="n">
        <f aca="false">IF($F1383="",0,IF($J1383="V",$L1383,$F1383))</f>
        <v>0</v>
      </c>
      <c r="N1383" s="31" t="n">
        <f aca="false">IF($F1383="",0,IF($J1383="U",$L1383,$F1383))</f>
        <v>0</v>
      </c>
      <c r="O1383" s="35" t="str">
        <f aca="false">IF($A1383="","",MONTH($A1383))</f>
        <v/>
      </c>
      <c r="P1383" s="35" t="str">
        <f aca="false">IF($A1383="","",ROUNDUP(MONTH($A1383)/3,0))</f>
        <v/>
      </c>
      <c r="Q1383" s="35" t="str">
        <f aca="false">IF($A1383="","",IF(MONTH($A1383)&lt;=6,1,2))</f>
        <v/>
      </c>
      <c r="R1383" s="35" t="str">
        <f aca="false">IF($E1383="","",IFERROR(INDEX(Kontenplan!$F$5:$F$90,MATCH($E1383,Kontenplan!$A$5:$A$90,0)),""))</f>
        <v/>
      </c>
      <c r="S1383" s="35" t="str">
        <f aca="false">IF($D1383="","",IFERROR(INDEX(Kontenplan!$F$5:$F$90,MATCH($D1383,Kontenplan!$A$5:$A$90,0)),""))</f>
        <v/>
      </c>
      <c r="T1383" s="35" t="str">
        <f aca="false">IF($D1383="","",IFERROR(INDEX(Kontenplan!$C$5:$C$90,MATCH($D1383,Kontenplan!$A$5:$A$90,0)),"?"))</f>
        <v/>
      </c>
      <c r="U1383" s="35" t="str">
        <f aca="false">IF($E1383="","",IFERROR(INDEX(Kontenplan!$C$5:$C$90,MATCH($E1383,Kontenplan!$A$5:$A$90,0)),"?"))</f>
        <v/>
      </c>
      <c r="V1383" s="35" t="str">
        <f aca="false">IF($F1383="","",IF(OR($D1383="",$E1383="",$T1383="?",$U1383="?"),"Konto prüfen!",IF($A1383="","Datum fehlt",IF(YEAR($A1383)&lt;&gt;Einstellungen!$B$7,"anderes Jahr!",IF($G1383="","MWST-Code fehlt","OK")))))</f>
        <v/>
      </c>
      <c r="W1383" s="35" t="str">
        <f aca="false">IF($F1383="","",IF(OR($D1383=Kontoauszug!$C$4,$E1383=Kontoauszug!$C$4),MAX(W$4:W1382)+1,""))</f>
        <v/>
      </c>
    </row>
    <row r="1384" customFormat="false" ht="15" hidden="false" customHeight="false" outlineLevel="0" collapsed="false">
      <c r="A1384" s="33"/>
      <c r="B1384" s="32"/>
      <c r="C1384" s="32"/>
      <c r="D1384" s="32"/>
      <c r="E1384" s="32"/>
      <c r="F1384" s="30"/>
      <c r="G1384" s="32"/>
      <c r="H1384" s="34" t="n">
        <f aca="false">IF($G1384="",0,IFERROR(INDEX(Einstellungen!$G$5:$G$11,MATCH($G1384,Einstellungen!$E$5:$E$11,0)),0))</f>
        <v>0</v>
      </c>
      <c r="I1384" s="35" t="str">
        <f aca="false">IF($G1384="","-",IFERROR(INDEX(Einstellungen!$H$5:$H$11,MATCH($G1384,Einstellungen!$E$5:$E$11,0)),"-"))</f>
        <v>-</v>
      </c>
      <c r="J1384" s="35" t="str">
        <f aca="false">IF(AND(Einstellungen!$B$8="Ja",Einstellungen!$B$9="Effektiv"),$I1384,"-")</f>
        <v>-</v>
      </c>
      <c r="K1384" s="31" t="n">
        <f aca="false">IF(OR($F1384="",$J1384="-"),0,ROUND($F1384-$F1384/(1+$H1384),2))</f>
        <v>0</v>
      </c>
      <c r="L1384" s="31" t="n">
        <f aca="false">IF($F1384="",0,$F1384-$K1384)</f>
        <v>0</v>
      </c>
      <c r="M1384" s="31" t="n">
        <f aca="false">IF($F1384="",0,IF($J1384="V",$L1384,$F1384))</f>
        <v>0</v>
      </c>
      <c r="N1384" s="31" t="n">
        <f aca="false">IF($F1384="",0,IF($J1384="U",$L1384,$F1384))</f>
        <v>0</v>
      </c>
      <c r="O1384" s="35" t="str">
        <f aca="false">IF($A1384="","",MONTH($A1384))</f>
        <v/>
      </c>
      <c r="P1384" s="35" t="str">
        <f aca="false">IF($A1384="","",ROUNDUP(MONTH($A1384)/3,0))</f>
        <v/>
      </c>
      <c r="Q1384" s="35" t="str">
        <f aca="false">IF($A1384="","",IF(MONTH($A1384)&lt;=6,1,2))</f>
        <v/>
      </c>
      <c r="R1384" s="35" t="str">
        <f aca="false">IF($E1384="","",IFERROR(INDEX(Kontenplan!$F$5:$F$90,MATCH($E1384,Kontenplan!$A$5:$A$90,0)),""))</f>
        <v/>
      </c>
      <c r="S1384" s="35" t="str">
        <f aca="false">IF($D1384="","",IFERROR(INDEX(Kontenplan!$F$5:$F$90,MATCH($D1384,Kontenplan!$A$5:$A$90,0)),""))</f>
        <v/>
      </c>
      <c r="T1384" s="35" t="str">
        <f aca="false">IF($D1384="","",IFERROR(INDEX(Kontenplan!$C$5:$C$90,MATCH($D1384,Kontenplan!$A$5:$A$90,0)),"?"))</f>
        <v/>
      </c>
      <c r="U1384" s="35" t="str">
        <f aca="false">IF($E1384="","",IFERROR(INDEX(Kontenplan!$C$5:$C$90,MATCH($E1384,Kontenplan!$A$5:$A$90,0)),"?"))</f>
        <v/>
      </c>
      <c r="V1384" s="35" t="str">
        <f aca="false">IF($F1384="","",IF(OR($D1384="",$E1384="",$T1384="?",$U1384="?"),"Konto prüfen!",IF($A1384="","Datum fehlt",IF(YEAR($A1384)&lt;&gt;Einstellungen!$B$7,"anderes Jahr!",IF($G1384="","MWST-Code fehlt","OK")))))</f>
        <v/>
      </c>
      <c r="W1384" s="35" t="str">
        <f aca="false">IF($F1384="","",IF(OR($D1384=Kontoauszug!$C$4,$E1384=Kontoauszug!$C$4),MAX(W$4:W1383)+1,""))</f>
        <v/>
      </c>
    </row>
    <row r="1385" customFormat="false" ht="15" hidden="false" customHeight="false" outlineLevel="0" collapsed="false">
      <c r="A1385" s="33"/>
      <c r="B1385" s="32"/>
      <c r="C1385" s="32"/>
      <c r="D1385" s="32"/>
      <c r="E1385" s="32"/>
      <c r="F1385" s="30"/>
      <c r="G1385" s="32"/>
      <c r="H1385" s="34" t="n">
        <f aca="false">IF($G1385="",0,IFERROR(INDEX(Einstellungen!$G$5:$G$11,MATCH($G1385,Einstellungen!$E$5:$E$11,0)),0))</f>
        <v>0</v>
      </c>
      <c r="I1385" s="35" t="str">
        <f aca="false">IF($G1385="","-",IFERROR(INDEX(Einstellungen!$H$5:$H$11,MATCH($G1385,Einstellungen!$E$5:$E$11,0)),"-"))</f>
        <v>-</v>
      </c>
      <c r="J1385" s="35" t="str">
        <f aca="false">IF(AND(Einstellungen!$B$8="Ja",Einstellungen!$B$9="Effektiv"),$I1385,"-")</f>
        <v>-</v>
      </c>
      <c r="K1385" s="31" t="n">
        <f aca="false">IF(OR($F1385="",$J1385="-"),0,ROUND($F1385-$F1385/(1+$H1385),2))</f>
        <v>0</v>
      </c>
      <c r="L1385" s="31" t="n">
        <f aca="false">IF($F1385="",0,$F1385-$K1385)</f>
        <v>0</v>
      </c>
      <c r="M1385" s="31" t="n">
        <f aca="false">IF($F1385="",0,IF($J1385="V",$L1385,$F1385))</f>
        <v>0</v>
      </c>
      <c r="N1385" s="31" t="n">
        <f aca="false">IF($F1385="",0,IF($J1385="U",$L1385,$F1385))</f>
        <v>0</v>
      </c>
      <c r="O1385" s="35" t="str">
        <f aca="false">IF($A1385="","",MONTH($A1385))</f>
        <v/>
      </c>
      <c r="P1385" s="35" t="str">
        <f aca="false">IF($A1385="","",ROUNDUP(MONTH($A1385)/3,0))</f>
        <v/>
      </c>
      <c r="Q1385" s="35" t="str">
        <f aca="false">IF($A1385="","",IF(MONTH($A1385)&lt;=6,1,2))</f>
        <v/>
      </c>
      <c r="R1385" s="35" t="str">
        <f aca="false">IF($E1385="","",IFERROR(INDEX(Kontenplan!$F$5:$F$90,MATCH($E1385,Kontenplan!$A$5:$A$90,0)),""))</f>
        <v/>
      </c>
      <c r="S1385" s="35" t="str">
        <f aca="false">IF($D1385="","",IFERROR(INDEX(Kontenplan!$F$5:$F$90,MATCH($D1385,Kontenplan!$A$5:$A$90,0)),""))</f>
        <v/>
      </c>
      <c r="T1385" s="35" t="str">
        <f aca="false">IF($D1385="","",IFERROR(INDEX(Kontenplan!$C$5:$C$90,MATCH($D1385,Kontenplan!$A$5:$A$90,0)),"?"))</f>
        <v/>
      </c>
      <c r="U1385" s="35" t="str">
        <f aca="false">IF($E1385="","",IFERROR(INDEX(Kontenplan!$C$5:$C$90,MATCH($E1385,Kontenplan!$A$5:$A$90,0)),"?"))</f>
        <v/>
      </c>
      <c r="V1385" s="35" t="str">
        <f aca="false">IF($F1385="","",IF(OR($D1385="",$E1385="",$T1385="?",$U1385="?"),"Konto prüfen!",IF($A1385="","Datum fehlt",IF(YEAR($A1385)&lt;&gt;Einstellungen!$B$7,"anderes Jahr!",IF($G1385="","MWST-Code fehlt","OK")))))</f>
        <v/>
      </c>
      <c r="W1385" s="35" t="str">
        <f aca="false">IF($F1385="","",IF(OR($D1385=Kontoauszug!$C$4,$E1385=Kontoauszug!$C$4),MAX(W$4:W1384)+1,""))</f>
        <v/>
      </c>
    </row>
    <row r="1386" customFormat="false" ht="15" hidden="false" customHeight="false" outlineLevel="0" collapsed="false">
      <c r="A1386" s="33"/>
      <c r="B1386" s="32"/>
      <c r="C1386" s="32"/>
      <c r="D1386" s="32"/>
      <c r="E1386" s="32"/>
      <c r="F1386" s="30"/>
      <c r="G1386" s="32"/>
      <c r="H1386" s="34" t="n">
        <f aca="false">IF($G1386="",0,IFERROR(INDEX(Einstellungen!$G$5:$G$11,MATCH($G1386,Einstellungen!$E$5:$E$11,0)),0))</f>
        <v>0</v>
      </c>
      <c r="I1386" s="35" t="str">
        <f aca="false">IF($G1386="","-",IFERROR(INDEX(Einstellungen!$H$5:$H$11,MATCH($G1386,Einstellungen!$E$5:$E$11,0)),"-"))</f>
        <v>-</v>
      </c>
      <c r="J1386" s="35" t="str">
        <f aca="false">IF(AND(Einstellungen!$B$8="Ja",Einstellungen!$B$9="Effektiv"),$I1386,"-")</f>
        <v>-</v>
      </c>
      <c r="K1386" s="31" t="n">
        <f aca="false">IF(OR($F1386="",$J1386="-"),0,ROUND($F1386-$F1386/(1+$H1386),2))</f>
        <v>0</v>
      </c>
      <c r="L1386" s="31" t="n">
        <f aca="false">IF($F1386="",0,$F1386-$K1386)</f>
        <v>0</v>
      </c>
      <c r="M1386" s="31" t="n">
        <f aca="false">IF($F1386="",0,IF($J1386="V",$L1386,$F1386))</f>
        <v>0</v>
      </c>
      <c r="N1386" s="31" t="n">
        <f aca="false">IF($F1386="",0,IF($J1386="U",$L1386,$F1386))</f>
        <v>0</v>
      </c>
      <c r="O1386" s="35" t="str">
        <f aca="false">IF($A1386="","",MONTH($A1386))</f>
        <v/>
      </c>
      <c r="P1386" s="35" t="str">
        <f aca="false">IF($A1386="","",ROUNDUP(MONTH($A1386)/3,0))</f>
        <v/>
      </c>
      <c r="Q1386" s="35" t="str">
        <f aca="false">IF($A1386="","",IF(MONTH($A1386)&lt;=6,1,2))</f>
        <v/>
      </c>
      <c r="R1386" s="35" t="str">
        <f aca="false">IF($E1386="","",IFERROR(INDEX(Kontenplan!$F$5:$F$90,MATCH($E1386,Kontenplan!$A$5:$A$90,0)),""))</f>
        <v/>
      </c>
      <c r="S1386" s="35" t="str">
        <f aca="false">IF($D1386="","",IFERROR(INDEX(Kontenplan!$F$5:$F$90,MATCH($D1386,Kontenplan!$A$5:$A$90,0)),""))</f>
        <v/>
      </c>
      <c r="T1386" s="35" t="str">
        <f aca="false">IF($D1386="","",IFERROR(INDEX(Kontenplan!$C$5:$C$90,MATCH($D1386,Kontenplan!$A$5:$A$90,0)),"?"))</f>
        <v/>
      </c>
      <c r="U1386" s="35" t="str">
        <f aca="false">IF($E1386="","",IFERROR(INDEX(Kontenplan!$C$5:$C$90,MATCH($E1386,Kontenplan!$A$5:$A$90,0)),"?"))</f>
        <v/>
      </c>
      <c r="V1386" s="35" t="str">
        <f aca="false">IF($F1386="","",IF(OR($D1386="",$E1386="",$T1386="?",$U1386="?"),"Konto prüfen!",IF($A1386="","Datum fehlt",IF(YEAR($A1386)&lt;&gt;Einstellungen!$B$7,"anderes Jahr!",IF($G1386="","MWST-Code fehlt","OK")))))</f>
        <v/>
      </c>
      <c r="W1386" s="35" t="str">
        <f aca="false">IF($F1386="","",IF(OR($D1386=Kontoauszug!$C$4,$E1386=Kontoauszug!$C$4),MAX(W$4:W1385)+1,""))</f>
        <v/>
      </c>
    </row>
    <row r="1387" customFormat="false" ht="15" hidden="false" customHeight="false" outlineLevel="0" collapsed="false">
      <c r="A1387" s="33"/>
      <c r="B1387" s="32"/>
      <c r="C1387" s="32"/>
      <c r="D1387" s="32"/>
      <c r="E1387" s="32"/>
      <c r="F1387" s="30"/>
      <c r="G1387" s="32"/>
      <c r="H1387" s="34" t="n">
        <f aca="false">IF($G1387="",0,IFERROR(INDEX(Einstellungen!$G$5:$G$11,MATCH($G1387,Einstellungen!$E$5:$E$11,0)),0))</f>
        <v>0</v>
      </c>
      <c r="I1387" s="35" t="str">
        <f aca="false">IF($G1387="","-",IFERROR(INDEX(Einstellungen!$H$5:$H$11,MATCH($G1387,Einstellungen!$E$5:$E$11,0)),"-"))</f>
        <v>-</v>
      </c>
      <c r="J1387" s="35" t="str">
        <f aca="false">IF(AND(Einstellungen!$B$8="Ja",Einstellungen!$B$9="Effektiv"),$I1387,"-")</f>
        <v>-</v>
      </c>
      <c r="K1387" s="31" t="n">
        <f aca="false">IF(OR($F1387="",$J1387="-"),0,ROUND($F1387-$F1387/(1+$H1387),2))</f>
        <v>0</v>
      </c>
      <c r="L1387" s="31" t="n">
        <f aca="false">IF($F1387="",0,$F1387-$K1387)</f>
        <v>0</v>
      </c>
      <c r="M1387" s="31" t="n">
        <f aca="false">IF($F1387="",0,IF($J1387="V",$L1387,$F1387))</f>
        <v>0</v>
      </c>
      <c r="N1387" s="31" t="n">
        <f aca="false">IF($F1387="",0,IF($J1387="U",$L1387,$F1387))</f>
        <v>0</v>
      </c>
      <c r="O1387" s="35" t="str">
        <f aca="false">IF($A1387="","",MONTH($A1387))</f>
        <v/>
      </c>
      <c r="P1387" s="35" t="str">
        <f aca="false">IF($A1387="","",ROUNDUP(MONTH($A1387)/3,0))</f>
        <v/>
      </c>
      <c r="Q1387" s="35" t="str">
        <f aca="false">IF($A1387="","",IF(MONTH($A1387)&lt;=6,1,2))</f>
        <v/>
      </c>
      <c r="R1387" s="35" t="str">
        <f aca="false">IF($E1387="","",IFERROR(INDEX(Kontenplan!$F$5:$F$90,MATCH($E1387,Kontenplan!$A$5:$A$90,0)),""))</f>
        <v/>
      </c>
      <c r="S1387" s="35" t="str">
        <f aca="false">IF($D1387="","",IFERROR(INDEX(Kontenplan!$F$5:$F$90,MATCH($D1387,Kontenplan!$A$5:$A$90,0)),""))</f>
        <v/>
      </c>
      <c r="T1387" s="35" t="str">
        <f aca="false">IF($D1387="","",IFERROR(INDEX(Kontenplan!$C$5:$C$90,MATCH($D1387,Kontenplan!$A$5:$A$90,0)),"?"))</f>
        <v/>
      </c>
      <c r="U1387" s="35" t="str">
        <f aca="false">IF($E1387="","",IFERROR(INDEX(Kontenplan!$C$5:$C$90,MATCH($E1387,Kontenplan!$A$5:$A$90,0)),"?"))</f>
        <v/>
      </c>
      <c r="V1387" s="35" t="str">
        <f aca="false">IF($F1387="","",IF(OR($D1387="",$E1387="",$T1387="?",$U1387="?"),"Konto prüfen!",IF($A1387="","Datum fehlt",IF(YEAR($A1387)&lt;&gt;Einstellungen!$B$7,"anderes Jahr!",IF($G1387="","MWST-Code fehlt","OK")))))</f>
        <v/>
      </c>
      <c r="W1387" s="35" t="str">
        <f aca="false">IF($F1387="","",IF(OR($D1387=Kontoauszug!$C$4,$E1387=Kontoauszug!$C$4),MAX(W$4:W1386)+1,""))</f>
        <v/>
      </c>
    </row>
    <row r="1388" customFormat="false" ht="15" hidden="false" customHeight="false" outlineLevel="0" collapsed="false">
      <c r="A1388" s="33"/>
      <c r="B1388" s="32"/>
      <c r="C1388" s="32"/>
      <c r="D1388" s="32"/>
      <c r="E1388" s="32"/>
      <c r="F1388" s="30"/>
      <c r="G1388" s="32"/>
      <c r="H1388" s="34" t="n">
        <f aca="false">IF($G1388="",0,IFERROR(INDEX(Einstellungen!$G$5:$G$11,MATCH($G1388,Einstellungen!$E$5:$E$11,0)),0))</f>
        <v>0</v>
      </c>
      <c r="I1388" s="35" t="str">
        <f aca="false">IF($G1388="","-",IFERROR(INDEX(Einstellungen!$H$5:$H$11,MATCH($G1388,Einstellungen!$E$5:$E$11,0)),"-"))</f>
        <v>-</v>
      </c>
      <c r="J1388" s="35" t="str">
        <f aca="false">IF(AND(Einstellungen!$B$8="Ja",Einstellungen!$B$9="Effektiv"),$I1388,"-")</f>
        <v>-</v>
      </c>
      <c r="K1388" s="31" t="n">
        <f aca="false">IF(OR($F1388="",$J1388="-"),0,ROUND($F1388-$F1388/(1+$H1388),2))</f>
        <v>0</v>
      </c>
      <c r="L1388" s="31" t="n">
        <f aca="false">IF($F1388="",0,$F1388-$K1388)</f>
        <v>0</v>
      </c>
      <c r="M1388" s="31" t="n">
        <f aca="false">IF($F1388="",0,IF($J1388="V",$L1388,$F1388))</f>
        <v>0</v>
      </c>
      <c r="N1388" s="31" t="n">
        <f aca="false">IF($F1388="",0,IF($J1388="U",$L1388,$F1388))</f>
        <v>0</v>
      </c>
      <c r="O1388" s="35" t="str">
        <f aca="false">IF($A1388="","",MONTH($A1388))</f>
        <v/>
      </c>
      <c r="P1388" s="35" t="str">
        <f aca="false">IF($A1388="","",ROUNDUP(MONTH($A1388)/3,0))</f>
        <v/>
      </c>
      <c r="Q1388" s="35" t="str">
        <f aca="false">IF($A1388="","",IF(MONTH($A1388)&lt;=6,1,2))</f>
        <v/>
      </c>
      <c r="R1388" s="35" t="str">
        <f aca="false">IF($E1388="","",IFERROR(INDEX(Kontenplan!$F$5:$F$90,MATCH($E1388,Kontenplan!$A$5:$A$90,0)),""))</f>
        <v/>
      </c>
      <c r="S1388" s="35" t="str">
        <f aca="false">IF($D1388="","",IFERROR(INDEX(Kontenplan!$F$5:$F$90,MATCH($D1388,Kontenplan!$A$5:$A$90,0)),""))</f>
        <v/>
      </c>
      <c r="T1388" s="35" t="str">
        <f aca="false">IF($D1388="","",IFERROR(INDEX(Kontenplan!$C$5:$C$90,MATCH($D1388,Kontenplan!$A$5:$A$90,0)),"?"))</f>
        <v/>
      </c>
      <c r="U1388" s="35" t="str">
        <f aca="false">IF($E1388="","",IFERROR(INDEX(Kontenplan!$C$5:$C$90,MATCH($E1388,Kontenplan!$A$5:$A$90,0)),"?"))</f>
        <v/>
      </c>
      <c r="V1388" s="35" t="str">
        <f aca="false">IF($F1388="","",IF(OR($D1388="",$E1388="",$T1388="?",$U1388="?"),"Konto prüfen!",IF($A1388="","Datum fehlt",IF(YEAR($A1388)&lt;&gt;Einstellungen!$B$7,"anderes Jahr!",IF($G1388="","MWST-Code fehlt","OK")))))</f>
        <v/>
      </c>
      <c r="W1388" s="35" t="str">
        <f aca="false">IF($F1388="","",IF(OR($D1388=Kontoauszug!$C$4,$E1388=Kontoauszug!$C$4),MAX(W$4:W1387)+1,""))</f>
        <v/>
      </c>
    </row>
    <row r="1389" customFormat="false" ht="15" hidden="false" customHeight="false" outlineLevel="0" collapsed="false">
      <c r="A1389" s="33"/>
      <c r="B1389" s="32"/>
      <c r="C1389" s="32"/>
      <c r="D1389" s="32"/>
      <c r="E1389" s="32"/>
      <c r="F1389" s="30"/>
      <c r="G1389" s="32"/>
      <c r="H1389" s="34" t="n">
        <f aca="false">IF($G1389="",0,IFERROR(INDEX(Einstellungen!$G$5:$G$11,MATCH($G1389,Einstellungen!$E$5:$E$11,0)),0))</f>
        <v>0</v>
      </c>
      <c r="I1389" s="35" t="str">
        <f aca="false">IF($G1389="","-",IFERROR(INDEX(Einstellungen!$H$5:$H$11,MATCH($G1389,Einstellungen!$E$5:$E$11,0)),"-"))</f>
        <v>-</v>
      </c>
      <c r="J1389" s="35" t="str">
        <f aca="false">IF(AND(Einstellungen!$B$8="Ja",Einstellungen!$B$9="Effektiv"),$I1389,"-")</f>
        <v>-</v>
      </c>
      <c r="K1389" s="31" t="n">
        <f aca="false">IF(OR($F1389="",$J1389="-"),0,ROUND($F1389-$F1389/(1+$H1389),2))</f>
        <v>0</v>
      </c>
      <c r="L1389" s="31" t="n">
        <f aca="false">IF($F1389="",0,$F1389-$K1389)</f>
        <v>0</v>
      </c>
      <c r="M1389" s="31" t="n">
        <f aca="false">IF($F1389="",0,IF($J1389="V",$L1389,$F1389))</f>
        <v>0</v>
      </c>
      <c r="N1389" s="31" t="n">
        <f aca="false">IF($F1389="",0,IF($J1389="U",$L1389,$F1389))</f>
        <v>0</v>
      </c>
      <c r="O1389" s="35" t="str">
        <f aca="false">IF($A1389="","",MONTH($A1389))</f>
        <v/>
      </c>
      <c r="P1389" s="35" t="str">
        <f aca="false">IF($A1389="","",ROUNDUP(MONTH($A1389)/3,0))</f>
        <v/>
      </c>
      <c r="Q1389" s="35" t="str">
        <f aca="false">IF($A1389="","",IF(MONTH($A1389)&lt;=6,1,2))</f>
        <v/>
      </c>
      <c r="R1389" s="35" t="str">
        <f aca="false">IF($E1389="","",IFERROR(INDEX(Kontenplan!$F$5:$F$90,MATCH($E1389,Kontenplan!$A$5:$A$90,0)),""))</f>
        <v/>
      </c>
      <c r="S1389" s="35" t="str">
        <f aca="false">IF($D1389="","",IFERROR(INDEX(Kontenplan!$F$5:$F$90,MATCH($D1389,Kontenplan!$A$5:$A$90,0)),""))</f>
        <v/>
      </c>
      <c r="T1389" s="35" t="str">
        <f aca="false">IF($D1389="","",IFERROR(INDEX(Kontenplan!$C$5:$C$90,MATCH($D1389,Kontenplan!$A$5:$A$90,0)),"?"))</f>
        <v/>
      </c>
      <c r="U1389" s="35" t="str">
        <f aca="false">IF($E1389="","",IFERROR(INDEX(Kontenplan!$C$5:$C$90,MATCH($E1389,Kontenplan!$A$5:$A$90,0)),"?"))</f>
        <v/>
      </c>
      <c r="V1389" s="35" t="str">
        <f aca="false">IF($F1389="","",IF(OR($D1389="",$E1389="",$T1389="?",$U1389="?"),"Konto prüfen!",IF($A1389="","Datum fehlt",IF(YEAR($A1389)&lt;&gt;Einstellungen!$B$7,"anderes Jahr!",IF($G1389="","MWST-Code fehlt","OK")))))</f>
        <v/>
      </c>
      <c r="W1389" s="35" t="str">
        <f aca="false">IF($F1389="","",IF(OR($D1389=Kontoauszug!$C$4,$E1389=Kontoauszug!$C$4),MAX(W$4:W1388)+1,""))</f>
        <v/>
      </c>
    </row>
    <row r="1390" customFormat="false" ht="15" hidden="false" customHeight="false" outlineLevel="0" collapsed="false">
      <c r="A1390" s="33"/>
      <c r="B1390" s="32"/>
      <c r="C1390" s="32"/>
      <c r="D1390" s="32"/>
      <c r="E1390" s="32"/>
      <c r="F1390" s="30"/>
      <c r="G1390" s="32"/>
      <c r="H1390" s="34" t="n">
        <f aca="false">IF($G1390="",0,IFERROR(INDEX(Einstellungen!$G$5:$G$11,MATCH($G1390,Einstellungen!$E$5:$E$11,0)),0))</f>
        <v>0</v>
      </c>
      <c r="I1390" s="35" t="str">
        <f aca="false">IF($G1390="","-",IFERROR(INDEX(Einstellungen!$H$5:$H$11,MATCH($G1390,Einstellungen!$E$5:$E$11,0)),"-"))</f>
        <v>-</v>
      </c>
      <c r="J1390" s="35" t="str">
        <f aca="false">IF(AND(Einstellungen!$B$8="Ja",Einstellungen!$B$9="Effektiv"),$I1390,"-")</f>
        <v>-</v>
      </c>
      <c r="K1390" s="31" t="n">
        <f aca="false">IF(OR($F1390="",$J1390="-"),0,ROUND($F1390-$F1390/(1+$H1390),2))</f>
        <v>0</v>
      </c>
      <c r="L1390" s="31" t="n">
        <f aca="false">IF($F1390="",0,$F1390-$K1390)</f>
        <v>0</v>
      </c>
      <c r="M1390" s="31" t="n">
        <f aca="false">IF($F1390="",0,IF($J1390="V",$L1390,$F1390))</f>
        <v>0</v>
      </c>
      <c r="N1390" s="31" t="n">
        <f aca="false">IF($F1390="",0,IF($J1390="U",$L1390,$F1390))</f>
        <v>0</v>
      </c>
      <c r="O1390" s="35" t="str">
        <f aca="false">IF($A1390="","",MONTH($A1390))</f>
        <v/>
      </c>
      <c r="P1390" s="35" t="str">
        <f aca="false">IF($A1390="","",ROUNDUP(MONTH($A1390)/3,0))</f>
        <v/>
      </c>
      <c r="Q1390" s="35" t="str">
        <f aca="false">IF($A1390="","",IF(MONTH($A1390)&lt;=6,1,2))</f>
        <v/>
      </c>
      <c r="R1390" s="35" t="str">
        <f aca="false">IF($E1390="","",IFERROR(INDEX(Kontenplan!$F$5:$F$90,MATCH($E1390,Kontenplan!$A$5:$A$90,0)),""))</f>
        <v/>
      </c>
      <c r="S1390" s="35" t="str">
        <f aca="false">IF($D1390="","",IFERROR(INDEX(Kontenplan!$F$5:$F$90,MATCH($D1390,Kontenplan!$A$5:$A$90,0)),""))</f>
        <v/>
      </c>
      <c r="T1390" s="35" t="str">
        <f aca="false">IF($D1390="","",IFERROR(INDEX(Kontenplan!$C$5:$C$90,MATCH($D1390,Kontenplan!$A$5:$A$90,0)),"?"))</f>
        <v/>
      </c>
      <c r="U1390" s="35" t="str">
        <f aca="false">IF($E1390="","",IFERROR(INDEX(Kontenplan!$C$5:$C$90,MATCH($E1390,Kontenplan!$A$5:$A$90,0)),"?"))</f>
        <v/>
      </c>
      <c r="V1390" s="35" t="str">
        <f aca="false">IF($F1390="","",IF(OR($D1390="",$E1390="",$T1390="?",$U1390="?"),"Konto prüfen!",IF($A1390="","Datum fehlt",IF(YEAR($A1390)&lt;&gt;Einstellungen!$B$7,"anderes Jahr!",IF($G1390="","MWST-Code fehlt","OK")))))</f>
        <v/>
      </c>
      <c r="W1390" s="35" t="str">
        <f aca="false">IF($F1390="","",IF(OR($D1390=Kontoauszug!$C$4,$E1390=Kontoauszug!$C$4),MAX(W$4:W1389)+1,""))</f>
        <v/>
      </c>
    </row>
    <row r="1391" customFormat="false" ht="15" hidden="false" customHeight="false" outlineLevel="0" collapsed="false">
      <c r="A1391" s="33"/>
      <c r="B1391" s="32"/>
      <c r="C1391" s="32"/>
      <c r="D1391" s="32"/>
      <c r="E1391" s="32"/>
      <c r="F1391" s="30"/>
      <c r="G1391" s="32"/>
      <c r="H1391" s="34" t="n">
        <f aca="false">IF($G1391="",0,IFERROR(INDEX(Einstellungen!$G$5:$G$11,MATCH($G1391,Einstellungen!$E$5:$E$11,0)),0))</f>
        <v>0</v>
      </c>
      <c r="I1391" s="35" t="str">
        <f aca="false">IF($G1391="","-",IFERROR(INDEX(Einstellungen!$H$5:$H$11,MATCH($G1391,Einstellungen!$E$5:$E$11,0)),"-"))</f>
        <v>-</v>
      </c>
      <c r="J1391" s="35" t="str">
        <f aca="false">IF(AND(Einstellungen!$B$8="Ja",Einstellungen!$B$9="Effektiv"),$I1391,"-")</f>
        <v>-</v>
      </c>
      <c r="K1391" s="31" t="n">
        <f aca="false">IF(OR($F1391="",$J1391="-"),0,ROUND($F1391-$F1391/(1+$H1391),2))</f>
        <v>0</v>
      </c>
      <c r="L1391" s="31" t="n">
        <f aca="false">IF($F1391="",0,$F1391-$K1391)</f>
        <v>0</v>
      </c>
      <c r="M1391" s="31" t="n">
        <f aca="false">IF($F1391="",0,IF($J1391="V",$L1391,$F1391))</f>
        <v>0</v>
      </c>
      <c r="N1391" s="31" t="n">
        <f aca="false">IF($F1391="",0,IF($J1391="U",$L1391,$F1391))</f>
        <v>0</v>
      </c>
      <c r="O1391" s="35" t="str">
        <f aca="false">IF($A1391="","",MONTH($A1391))</f>
        <v/>
      </c>
      <c r="P1391" s="35" t="str">
        <f aca="false">IF($A1391="","",ROUNDUP(MONTH($A1391)/3,0))</f>
        <v/>
      </c>
      <c r="Q1391" s="35" t="str">
        <f aca="false">IF($A1391="","",IF(MONTH($A1391)&lt;=6,1,2))</f>
        <v/>
      </c>
      <c r="R1391" s="35" t="str">
        <f aca="false">IF($E1391="","",IFERROR(INDEX(Kontenplan!$F$5:$F$90,MATCH($E1391,Kontenplan!$A$5:$A$90,0)),""))</f>
        <v/>
      </c>
      <c r="S1391" s="35" t="str">
        <f aca="false">IF($D1391="","",IFERROR(INDEX(Kontenplan!$F$5:$F$90,MATCH($D1391,Kontenplan!$A$5:$A$90,0)),""))</f>
        <v/>
      </c>
      <c r="T1391" s="35" t="str">
        <f aca="false">IF($D1391="","",IFERROR(INDEX(Kontenplan!$C$5:$C$90,MATCH($D1391,Kontenplan!$A$5:$A$90,0)),"?"))</f>
        <v/>
      </c>
      <c r="U1391" s="35" t="str">
        <f aca="false">IF($E1391="","",IFERROR(INDEX(Kontenplan!$C$5:$C$90,MATCH($E1391,Kontenplan!$A$5:$A$90,0)),"?"))</f>
        <v/>
      </c>
      <c r="V1391" s="35" t="str">
        <f aca="false">IF($F1391="","",IF(OR($D1391="",$E1391="",$T1391="?",$U1391="?"),"Konto prüfen!",IF($A1391="","Datum fehlt",IF(YEAR($A1391)&lt;&gt;Einstellungen!$B$7,"anderes Jahr!",IF($G1391="","MWST-Code fehlt","OK")))))</f>
        <v/>
      </c>
      <c r="W1391" s="35" t="str">
        <f aca="false">IF($F1391="","",IF(OR($D1391=Kontoauszug!$C$4,$E1391=Kontoauszug!$C$4),MAX(W$4:W1390)+1,""))</f>
        <v/>
      </c>
    </row>
    <row r="1392" customFormat="false" ht="15" hidden="false" customHeight="false" outlineLevel="0" collapsed="false">
      <c r="A1392" s="33"/>
      <c r="B1392" s="32"/>
      <c r="C1392" s="32"/>
      <c r="D1392" s="32"/>
      <c r="E1392" s="32"/>
      <c r="F1392" s="30"/>
      <c r="G1392" s="32"/>
      <c r="H1392" s="34" t="n">
        <f aca="false">IF($G1392="",0,IFERROR(INDEX(Einstellungen!$G$5:$G$11,MATCH($G1392,Einstellungen!$E$5:$E$11,0)),0))</f>
        <v>0</v>
      </c>
      <c r="I1392" s="35" t="str">
        <f aca="false">IF($G1392="","-",IFERROR(INDEX(Einstellungen!$H$5:$H$11,MATCH($G1392,Einstellungen!$E$5:$E$11,0)),"-"))</f>
        <v>-</v>
      </c>
      <c r="J1392" s="35" t="str">
        <f aca="false">IF(AND(Einstellungen!$B$8="Ja",Einstellungen!$B$9="Effektiv"),$I1392,"-")</f>
        <v>-</v>
      </c>
      <c r="K1392" s="31" t="n">
        <f aca="false">IF(OR($F1392="",$J1392="-"),0,ROUND($F1392-$F1392/(1+$H1392),2))</f>
        <v>0</v>
      </c>
      <c r="L1392" s="31" t="n">
        <f aca="false">IF($F1392="",0,$F1392-$K1392)</f>
        <v>0</v>
      </c>
      <c r="M1392" s="31" t="n">
        <f aca="false">IF($F1392="",0,IF($J1392="V",$L1392,$F1392))</f>
        <v>0</v>
      </c>
      <c r="N1392" s="31" t="n">
        <f aca="false">IF($F1392="",0,IF($J1392="U",$L1392,$F1392))</f>
        <v>0</v>
      </c>
      <c r="O1392" s="35" t="str">
        <f aca="false">IF($A1392="","",MONTH($A1392))</f>
        <v/>
      </c>
      <c r="P1392" s="35" t="str">
        <f aca="false">IF($A1392="","",ROUNDUP(MONTH($A1392)/3,0))</f>
        <v/>
      </c>
      <c r="Q1392" s="35" t="str">
        <f aca="false">IF($A1392="","",IF(MONTH($A1392)&lt;=6,1,2))</f>
        <v/>
      </c>
      <c r="R1392" s="35" t="str">
        <f aca="false">IF($E1392="","",IFERROR(INDEX(Kontenplan!$F$5:$F$90,MATCH($E1392,Kontenplan!$A$5:$A$90,0)),""))</f>
        <v/>
      </c>
      <c r="S1392" s="35" t="str">
        <f aca="false">IF($D1392="","",IFERROR(INDEX(Kontenplan!$F$5:$F$90,MATCH($D1392,Kontenplan!$A$5:$A$90,0)),""))</f>
        <v/>
      </c>
      <c r="T1392" s="35" t="str">
        <f aca="false">IF($D1392="","",IFERROR(INDEX(Kontenplan!$C$5:$C$90,MATCH($D1392,Kontenplan!$A$5:$A$90,0)),"?"))</f>
        <v/>
      </c>
      <c r="U1392" s="35" t="str">
        <f aca="false">IF($E1392="","",IFERROR(INDEX(Kontenplan!$C$5:$C$90,MATCH($E1392,Kontenplan!$A$5:$A$90,0)),"?"))</f>
        <v/>
      </c>
      <c r="V1392" s="35" t="str">
        <f aca="false">IF($F1392="","",IF(OR($D1392="",$E1392="",$T1392="?",$U1392="?"),"Konto prüfen!",IF($A1392="","Datum fehlt",IF(YEAR($A1392)&lt;&gt;Einstellungen!$B$7,"anderes Jahr!",IF($G1392="","MWST-Code fehlt","OK")))))</f>
        <v/>
      </c>
      <c r="W1392" s="35" t="str">
        <f aca="false">IF($F1392="","",IF(OR($D1392=Kontoauszug!$C$4,$E1392=Kontoauszug!$C$4),MAX(W$4:W1391)+1,""))</f>
        <v/>
      </c>
    </row>
    <row r="1393" customFormat="false" ht="15" hidden="false" customHeight="false" outlineLevel="0" collapsed="false">
      <c r="A1393" s="33"/>
      <c r="B1393" s="32"/>
      <c r="C1393" s="32"/>
      <c r="D1393" s="32"/>
      <c r="E1393" s="32"/>
      <c r="F1393" s="30"/>
      <c r="G1393" s="32"/>
      <c r="H1393" s="34" t="n">
        <f aca="false">IF($G1393="",0,IFERROR(INDEX(Einstellungen!$G$5:$G$11,MATCH($G1393,Einstellungen!$E$5:$E$11,0)),0))</f>
        <v>0</v>
      </c>
      <c r="I1393" s="35" t="str">
        <f aca="false">IF($G1393="","-",IFERROR(INDEX(Einstellungen!$H$5:$H$11,MATCH($G1393,Einstellungen!$E$5:$E$11,0)),"-"))</f>
        <v>-</v>
      </c>
      <c r="J1393" s="35" t="str">
        <f aca="false">IF(AND(Einstellungen!$B$8="Ja",Einstellungen!$B$9="Effektiv"),$I1393,"-")</f>
        <v>-</v>
      </c>
      <c r="K1393" s="31" t="n">
        <f aca="false">IF(OR($F1393="",$J1393="-"),0,ROUND($F1393-$F1393/(1+$H1393),2))</f>
        <v>0</v>
      </c>
      <c r="L1393" s="31" t="n">
        <f aca="false">IF($F1393="",0,$F1393-$K1393)</f>
        <v>0</v>
      </c>
      <c r="M1393" s="31" t="n">
        <f aca="false">IF($F1393="",0,IF($J1393="V",$L1393,$F1393))</f>
        <v>0</v>
      </c>
      <c r="N1393" s="31" t="n">
        <f aca="false">IF($F1393="",0,IF($J1393="U",$L1393,$F1393))</f>
        <v>0</v>
      </c>
      <c r="O1393" s="35" t="str">
        <f aca="false">IF($A1393="","",MONTH($A1393))</f>
        <v/>
      </c>
      <c r="P1393" s="35" t="str">
        <f aca="false">IF($A1393="","",ROUNDUP(MONTH($A1393)/3,0))</f>
        <v/>
      </c>
      <c r="Q1393" s="35" t="str">
        <f aca="false">IF($A1393="","",IF(MONTH($A1393)&lt;=6,1,2))</f>
        <v/>
      </c>
      <c r="R1393" s="35" t="str">
        <f aca="false">IF($E1393="","",IFERROR(INDEX(Kontenplan!$F$5:$F$90,MATCH($E1393,Kontenplan!$A$5:$A$90,0)),""))</f>
        <v/>
      </c>
      <c r="S1393" s="35" t="str">
        <f aca="false">IF($D1393="","",IFERROR(INDEX(Kontenplan!$F$5:$F$90,MATCH($D1393,Kontenplan!$A$5:$A$90,0)),""))</f>
        <v/>
      </c>
      <c r="T1393" s="35" t="str">
        <f aca="false">IF($D1393="","",IFERROR(INDEX(Kontenplan!$C$5:$C$90,MATCH($D1393,Kontenplan!$A$5:$A$90,0)),"?"))</f>
        <v/>
      </c>
      <c r="U1393" s="35" t="str">
        <f aca="false">IF($E1393="","",IFERROR(INDEX(Kontenplan!$C$5:$C$90,MATCH($E1393,Kontenplan!$A$5:$A$90,0)),"?"))</f>
        <v/>
      </c>
      <c r="V1393" s="35" t="str">
        <f aca="false">IF($F1393="","",IF(OR($D1393="",$E1393="",$T1393="?",$U1393="?"),"Konto prüfen!",IF($A1393="","Datum fehlt",IF(YEAR($A1393)&lt;&gt;Einstellungen!$B$7,"anderes Jahr!",IF($G1393="","MWST-Code fehlt","OK")))))</f>
        <v/>
      </c>
      <c r="W1393" s="35" t="str">
        <f aca="false">IF($F1393="","",IF(OR($D1393=Kontoauszug!$C$4,$E1393=Kontoauszug!$C$4),MAX(W$4:W1392)+1,""))</f>
        <v/>
      </c>
    </row>
    <row r="1394" customFormat="false" ht="15" hidden="false" customHeight="false" outlineLevel="0" collapsed="false">
      <c r="A1394" s="33"/>
      <c r="B1394" s="32"/>
      <c r="C1394" s="32"/>
      <c r="D1394" s="32"/>
      <c r="E1394" s="32"/>
      <c r="F1394" s="30"/>
      <c r="G1394" s="32"/>
      <c r="H1394" s="34" t="n">
        <f aca="false">IF($G1394="",0,IFERROR(INDEX(Einstellungen!$G$5:$G$11,MATCH($G1394,Einstellungen!$E$5:$E$11,0)),0))</f>
        <v>0</v>
      </c>
      <c r="I1394" s="35" t="str">
        <f aca="false">IF($G1394="","-",IFERROR(INDEX(Einstellungen!$H$5:$H$11,MATCH($G1394,Einstellungen!$E$5:$E$11,0)),"-"))</f>
        <v>-</v>
      </c>
      <c r="J1394" s="35" t="str">
        <f aca="false">IF(AND(Einstellungen!$B$8="Ja",Einstellungen!$B$9="Effektiv"),$I1394,"-")</f>
        <v>-</v>
      </c>
      <c r="K1394" s="31" t="n">
        <f aca="false">IF(OR($F1394="",$J1394="-"),0,ROUND($F1394-$F1394/(1+$H1394),2))</f>
        <v>0</v>
      </c>
      <c r="L1394" s="31" t="n">
        <f aca="false">IF($F1394="",0,$F1394-$K1394)</f>
        <v>0</v>
      </c>
      <c r="M1394" s="31" t="n">
        <f aca="false">IF($F1394="",0,IF($J1394="V",$L1394,$F1394))</f>
        <v>0</v>
      </c>
      <c r="N1394" s="31" t="n">
        <f aca="false">IF($F1394="",0,IF($J1394="U",$L1394,$F1394))</f>
        <v>0</v>
      </c>
      <c r="O1394" s="35" t="str">
        <f aca="false">IF($A1394="","",MONTH($A1394))</f>
        <v/>
      </c>
      <c r="P1394" s="35" t="str">
        <f aca="false">IF($A1394="","",ROUNDUP(MONTH($A1394)/3,0))</f>
        <v/>
      </c>
      <c r="Q1394" s="35" t="str">
        <f aca="false">IF($A1394="","",IF(MONTH($A1394)&lt;=6,1,2))</f>
        <v/>
      </c>
      <c r="R1394" s="35" t="str">
        <f aca="false">IF($E1394="","",IFERROR(INDEX(Kontenplan!$F$5:$F$90,MATCH($E1394,Kontenplan!$A$5:$A$90,0)),""))</f>
        <v/>
      </c>
      <c r="S1394" s="35" t="str">
        <f aca="false">IF($D1394="","",IFERROR(INDEX(Kontenplan!$F$5:$F$90,MATCH($D1394,Kontenplan!$A$5:$A$90,0)),""))</f>
        <v/>
      </c>
      <c r="T1394" s="35" t="str">
        <f aca="false">IF($D1394="","",IFERROR(INDEX(Kontenplan!$C$5:$C$90,MATCH($D1394,Kontenplan!$A$5:$A$90,0)),"?"))</f>
        <v/>
      </c>
      <c r="U1394" s="35" t="str">
        <f aca="false">IF($E1394="","",IFERROR(INDEX(Kontenplan!$C$5:$C$90,MATCH($E1394,Kontenplan!$A$5:$A$90,0)),"?"))</f>
        <v/>
      </c>
      <c r="V1394" s="35" t="str">
        <f aca="false">IF($F1394="","",IF(OR($D1394="",$E1394="",$T1394="?",$U1394="?"),"Konto prüfen!",IF($A1394="","Datum fehlt",IF(YEAR($A1394)&lt;&gt;Einstellungen!$B$7,"anderes Jahr!",IF($G1394="","MWST-Code fehlt","OK")))))</f>
        <v/>
      </c>
      <c r="W1394" s="35" t="str">
        <f aca="false">IF($F1394="","",IF(OR($D1394=Kontoauszug!$C$4,$E1394=Kontoauszug!$C$4),MAX(W$4:W1393)+1,""))</f>
        <v/>
      </c>
    </row>
    <row r="1395" customFormat="false" ht="15" hidden="false" customHeight="false" outlineLevel="0" collapsed="false">
      <c r="A1395" s="33"/>
      <c r="B1395" s="32"/>
      <c r="C1395" s="32"/>
      <c r="D1395" s="32"/>
      <c r="E1395" s="32"/>
      <c r="F1395" s="30"/>
      <c r="G1395" s="32"/>
      <c r="H1395" s="34" t="n">
        <f aca="false">IF($G1395="",0,IFERROR(INDEX(Einstellungen!$G$5:$G$11,MATCH($G1395,Einstellungen!$E$5:$E$11,0)),0))</f>
        <v>0</v>
      </c>
      <c r="I1395" s="35" t="str">
        <f aca="false">IF($G1395="","-",IFERROR(INDEX(Einstellungen!$H$5:$H$11,MATCH($G1395,Einstellungen!$E$5:$E$11,0)),"-"))</f>
        <v>-</v>
      </c>
      <c r="J1395" s="35" t="str">
        <f aca="false">IF(AND(Einstellungen!$B$8="Ja",Einstellungen!$B$9="Effektiv"),$I1395,"-")</f>
        <v>-</v>
      </c>
      <c r="K1395" s="31" t="n">
        <f aca="false">IF(OR($F1395="",$J1395="-"),0,ROUND($F1395-$F1395/(1+$H1395),2))</f>
        <v>0</v>
      </c>
      <c r="L1395" s="31" t="n">
        <f aca="false">IF($F1395="",0,$F1395-$K1395)</f>
        <v>0</v>
      </c>
      <c r="M1395" s="31" t="n">
        <f aca="false">IF($F1395="",0,IF($J1395="V",$L1395,$F1395))</f>
        <v>0</v>
      </c>
      <c r="N1395" s="31" t="n">
        <f aca="false">IF($F1395="",0,IF($J1395="U",$L1395,$F1395))</f>
        <v>0</v>
      </c>
      <c r="O1395" s="35" t="str">
        <f aca="false">IF($A1395="","",MONTH($A1395))</f>
        <v/>
      </c>
      <c r="P1395" s="35" t="str">
        <f aca="false">IF($A1395="","",ROUNDUP(MONTH($A1395)/3,0))</f>
        <v/>
      </c>
      <c r="Q1395" s="35" t="str">
        <f aca="false">IF($A1395="","",IF(MONTH($A1395)&lt;=6,1,2))</f>
        <v/>
      </c>
      <c r="R1395" s="35" t="str">
        <f aca="false">IF($E1395="","",IFERROR(INDEX(Kontenplan!$F$5:$F$90,MATCH($E1395,Kontenplan!$A$5:$A$90,0)),""))</f>
        <v/>
      </c>
      <c r="S1395" s="35" t="str">
        <f aca="false">IF($D1395="","",IFERROR(INDEX(Kontenplan!$F$5:$F$90,MATCH($D1395,Kontenplan!$A$5:$A$90,0)),""))</f>
        <v/>
      </c>
      <c r="T1395" s="35" t="str">
        <f aca="false">IF($D1395="","",IFERROR(INDEX(Kontenplan!$C$5:$C$90,MATCH($D1395,Kontenplan!$A$5:$A$90,0)),"?"))</f>
        <v/>
      </c>
      <c r="U1395" s="35" t="str">
        <f aca="false">IF($E1395="","",IFERROR(INDEX(Kontenplan!$C$5:$C$90,MATCH($E1395,Kontenplan!$A$5:$A$90,0)),"?"))</f>
        <v/>
      </c>
      <c r="V1395" s="35" t="str">
        <f aca="false">IF($F1395="","",IF(OR($D1395="",$E1395="",$T1395="?",$U1395="?"),"Konto prüfen!",IF($A1395="","Datum fehlt",IF(YEAR($A1395)&lt;&gt;Einstellungen!$B$7,"anderes Jahr!",IF($G1395="","MWST-Code fehlt","OK")))))</f>
        <v/>
      </c>
      <c r="W1395" s="35" t="str">
        <f aca="false">IF($F1395="","",IF(OR($D1395=Kontoauszug!$C$4,$E1395=Kontoauszug!$C$4),MAX(W$4:W1394)+1,""))</f>
        <v/>
      </c>
    </row>
    <row r="1396" customFormat="false" ht="15" hidden="false" customHeight="false" outlineLevel="0" collapsed="false">
      <c r="A1396" s="33"/>
      <c r="B1396" s="32"/>
      <c r="C1396" s="32"/>
      <c r="D1396" s="32"/>
      <c r="E1396" s="32"/>
      <c r="F1396" s="30"/>
      <c r="G1396" s="32"/>
      <c r="H1396" s="34" t="n">
        <f aca="false">IF($G1396="",0,IFERROR(INDEX(Einstellungen!$G$5:$G$11,MATCH($G1396,Einstellungen!$E$5:$E$11,0)),0))</f>
        <v>0</v>
      </c>
      <c r="I1396" s="35" t="str">
        <f aca="false">IF($G1396="","-",IFERROR(INDEX(Einstellungen!$H$5:$H$11,MATCH($G1396,Einstellungen!$E$5:$E$11,0)),"-"))</f>
        <v>-</v>
      </c>
      <c r="J1396" s="35" t="str">
        <f aca="false">IF(AND(Einstellungen!$B$8="Ja",Einstellungen!$B$9="Effektiv"),$I1396,"-")</f>
        <v>-</v>
      </c>
      <c r="K1396" s="31" t="n">
        <f aca="false">IF(OR($F1396="",$J1396="-"),0,ROUND($F1396-$F1396/(1+$H1396),2))</f>
        <v>0</v>
      </c>
      <c r="L1396" s="31" t="n">
        <f aca="false">IF($F1396="",0,$F1396-$K1396)</f>
        <v>0</v>
      </c>
      <c r="M1396" s="31" t="n">
        <f aca="false">IF($F1396="",0,IF($J1396="V",$L1396,$F1396))</f>
        <v>0</v>
      </c>
      <c r="N1396" s="31" t="n">
        <f aca="false">IF($F1396="",0,IF($J1396="U",$L1396,$F1396))</f>
        <v>0</v>
      </c>
      <c r="O1396" s="35" t="str">
        <f aca="false">IF($A1396="","",MONTH($A1396))</f>
        <v/>
      </c>
      <c r="P1396" s="35" t="str">
        <f aca="false">IF($A1396="","",ROUNDUP(MONTH($A1396)/3,0))</f>
        <v/>
      </c>
      <c r="Q1396" s="35" t="str">
        <f aca="false">IF($A1396="","",IF(MONTH($A1396)&lt;=6,1,2))</f>
        <v/>
      </c>
      <c r="R1396" s="35" t="str">
        <f aca="false">IF($E1396="","",IFERROR(INDEX(Kontenplan!$F$5:$F$90,MATCH($E1396,Kontenplan!$A$5:$A$90,0)),""))</f>
        <v/>
      </c>
      <c r="S1396" s="35" t="str">
        <f aca="false">IF($D1396="","",IFERROR(INDEX(Kontenplan!$F$5:$F$90,MATCH($D1396,Kontenplan!$A$5:$A$90,0)),""))</f>
        <v/>
      </c>
      <c r="T1396" s="35" t="str">
        <f aca="false">IF($D1396="","",IFERROR(INDEX(Kontenplan!$C$5:$C$90,MATCH($D1396,Kontenplan!$A$5:$A$90,0)),"?"))</f>
        <v/>
      </c>
      <c r="U1396" s="35" t="str">
        <f aca="false">IF($E1396="","",IFERROR(INDEX(Kontenplan!$C$5:$C$90,MATCH($E1396,Kontenplan!$A$5:$A$90,0)),"?"))</f>
        <v/>
      </c>
      <c r="V1396" s="35" t="str">
        <f aca="false">IF($F1396="","",IF(OR($D1396="",$E1396="",$T1396="?",$U1396="?"),"Konto prüfen!",IF($A1396="","Datum fehlt",IF(YEAR($A1396)&lt;&gt;Einstellungen!$B$7,"anderes Jahr!",IF($G1396="","MWST-Code fehlt","OK")))))</f>
        <v/>
      </c>
      <c r="W1396" s="35" t="str">
        <f aca="false">IF($F1396="","",IF(OR($D1396=Kontoauszug!$C$4,$E1396=Kontoauszug!$C$4),MAX(W$4:W1395)+1,""))</f>
        <v/>
      </c>
    </row>
    <row r="1397" customFormat="false" ht="15" hidden="false" customHeight="false" outlineLevel="0" collapsed="false">
      <c r="A1397" s="33"/>
      <c r="B1397" s="32"/>
      <c r="C1397" s="32"/>
      <c r="D1397" s="32"/>
      <c r="E1397" s="32"/>
      <c r="F1397" s="30"/>
      <c r="G1397" s="32"/>
      <c r="H1397" s="34" t="n">
        <f aca="false">IF($G1397="",0,IFERROR(INDEX(Einstellungen!$G$5:$G$11,MATCH($G1397,Einstellungen!$E$5:$E$11,0)),0))</f>
        <v>0</v>
      </c>
      <c r="I1397" s="35" t="str">
        <f aca="false">IF($G1397="","-",IFERROR(INDEX(Einstellungen!$H$5:$H$11,MATCH($G1397,Einstellungen!$E$5:$E$11,0)),"-"))</f>
        <v>-</v>
      </c>
      <c r="J1397" s="35" t="str">
        <f aca="false">IF(AND(Einstellungen!$B$8="Ja",Einstellungen!$B$9="Effektiv"),$I1397,"-")</f>
        <v>-</v>
      </c>
      <c r="K1397" s="31" t="n">
        <f aca="false">IF(OR($F1397="",$J1397="-"),0,ROUND($F1397-$F1397/(1+$H1397),2))</f>
        <v>0</v>
      </c>
      <c r="L1397" s="31" t="n">
        <f aca="false">IF($F1397="",0,$F1397-$K1397)</f>
        <v>0</v>
      </c>
      <c r="M1397" s="31" t="n">
        <f aca="false">IF($F1397="",0,IF($J1397="V",$L1397,$F1397))</f>
        <v>0</v>
      </c>
      <c r="N1397" s="31" t="n">
        <f aca="false">IF($F1397="",0,IF($J1397="U",$L1397,$F1397))</f>
        <v>0</v>
      </c>
      <c r="O1397" s="35" t="str">
        <f aca="false">IF($A1397="","",MONTH($A1397))</f>
        <v/>
      </c>
      <c r="P1397" s="35" t="str">
        <f aca="false">IF($A1397="","",ROUNDUP(MONTH($A1397)/3,0))</f>
        <v/>
      </c>
      <c r="Q1397" s="35" t="str">
        <f aca="false">IF($A1397="","",IF(MONTH($A1397)&lt;=6,1,2))</f>
        <v/>
      </c>
      <c r="R1397" s="35" t="str">
        <f aca="false">IF($E1397="","",IFERROR(INDEX(Kontenplan!$F$5:$F$90,MATCH($E1397,Kontenplan!$A$5:$A$90,0)),""))</f>
        <v/>
      </c>
      <c r="S1397" s="35" t="str">
        <f aca="false">IF($D1397="","",IFERROR(INDEX(Kontenplan!$F$5:$F$90,MATCH($D1397,Kontenplan!$A$5:$A$90,0)),""))</f>
        <v/>
      </c>
      <c r="T1397" s="35" t="str">
        <f aca="false">IF($D1397="","",IFERROR(INDEX(Kontenplan!$C$5:$C$90,MATCH($D1397,Kontenplan!$A$5:$A$90,0)),"?"))</f>
        <v/>
      </c>
      <c r="U1397" s="35" t="str">
        <f aca="false">IF($E1397="","",IFERROR(INDEX(Kontenplan!$C$5:$C$90,MATCH($E1397,Kontenplan!$A$5:$A$90,0)),"?"))</f>
        <v/>
      </c>
      <c r="V1397" s="35" t="str">
        <f aca="false">IF($F1397="","",IF(OR($D1397="",$E1397="",$T1397="?",$U1397="?"),"Konto prüfen!",IF($A1397="","Datum fehlt",IF(YEAR($A1397)&lt;&gt;Einstellungen!$B$7,"anderes Jahr!",IF($G1397="","MWST-Code fehlt","OK")))))</f>
        <v/>
      </c>
      <c r="W1397" s="35" t="str">
        <f aca="false">IF($F1397="","",IF(OR($D1397=Kontoauszug!$C$4,$E1397=Kontoauszug!$C$4),MAX(W$4:W1396)+1,""))</f>
        <v/>
      </c>
    </row>
    <row r="1398" customFormat="false" ht="15" hidden="false" customHeight="false" outlineLevel="0" collapsed="false">
      <c r="A1398" s="33"/>
      <c r="B1398" s="32"/>
      <c r="C1398" s="32"/>
      <c r="D1398" s="32"/>
      <c r="E1398" s="32"/>
      <c r="F1398" s="30"/>
      <c r="G1398" s="32"/>
      <c r="H1398" s="34" t="n">
        <f aca="false">IF($G1398="",0,IFERROR(INDEX(Einstellungen!$G$5:$G$11,MATCH($G1398,Einstellungen!$E$5:$E$11,0)),0))</f>
        <v>0</v>
      </c>
      <c r="I1398" s="35" t="str">
        <f aca="false">IF($G1398="","-",IFERROR(INDEX(Einstellungen!$H$5:$H$11,MATCH($G1398,Einstellungen!$E$5:$E$11,0)),"-"))</f>
        <v>-</v>
      </c>
      <c r="J1398" s="35" t="str">
        <f aca="false">IF(AND(Einstellungen!$B$8="Ja",Einstellungen!$B$9="Effektiv"),$I1398,"-")</f>
        <v>-</v>
      </c>
      <c r="K1398" s="31" t="n">
        <f aca="false">IF(OR($F1398="",$J1398="-"),0,ROUND($F1398-$F1398/(1+$H1398),2))</f>
        <v>0</v>
      </c>
      <c r="L1398" s="31" t="n">
        <f aca="false">IF($F1398="",0,$F1398-$K1398)</f>
        <v>0</v>
      </c>
      <c r="M1398" s="31" t="n">
        <f aca="false">IF($F1398="",0,IF($J1398="V",$L1398,$F1398))</f>
        <v>0</v>
      </c>
      <c r="N1398" s="31" t="n">
        <f aca="false">IF($F1398="",0,IF($J1398="U",$L1398,$F1398))</f>
        <v>0</v>
      </c>
      <c r="O1398" s="35" t="str">
        <f aca="false">IF($A1398="","",MONTH($A1398))</f>
        <v/>
      </c>
      <c r="P1398" s="35" t="str">
        <f aca="false">IF($A1398="","",ROUNDUP(MONTH($A1398)/3,0))</f>
        <v/>
      </c>
      <c r="Q1398" s="35" t="str">
        <f aca="false">IF($A1398="","",IF(MONTH($A1398)&lt;=6,1,2))</f>
        <v/>
      </c>
      <c r="R1398" s="35" t="str">
        <f aca="false">IF($E1398="","",IFERROR(INDEX(Kontenplan!$F$5:$F$90,MATCH($E1398,Kontenplan!$A$5:$A$90,0)),""))</f>
        <v/>
      </c>
      <c r="S1398" s="35" t="str">
        <f aca="false">IF($D1398="","",IFERROR(INDEX(Kontenplan!$F$5:$F$90,MATCH($D1398,Kontenplan!$A$5:$A$90,0)),""))</f>
        <v/>
      </c>
      <c r="T1398" s="35" t="str">
        <f aca="false">IF($D1398="","",IFERROR(INDEX(Kontenplan!$C$5:$C$90,MATCH($D1398,Kontenplan!$A$5:$A$90,0)),"?"))</f>
        <v/>
      </c>
      <c r="U1398" s="35" t="str">
        <f aca="false">IF($E1398="","",IFERROR(INDEX(Kontenplan!$C$5:$C$90,MATCH($E1398,Kontenplan!$A$5:$A$90,0)),"?"))</f>
        <v/>
      </c>
      <c r="V1398" s="35" t="str">
        <f aca="false">IF($F1398="","",IF(OR($D1398="",$E1398="",$T1398="?",$U1398="?"),"Konto prüfen!",IF($A1398="","Datum fehlt",IF(YEAR($A1398)&lt;&gt;Einstellungen!$B$7,"anderes Jahr!",IF($G1398="","MWST-Code fehlt","OK")))))</f>
        <v/>
      </c>
      <c r="W1398" s="35" t="str">
        <f aca="false">IF($F1398="","",IF(OR($D1398=Kontoauszug!$C$4,$E1398=Kontoauszug!$C$4),MAX(W$4:W1397)+1,""))</f>
        <v/>
      </c>
    </row>
    <row r="1399" customFormat="false" ht="15" hidden="false" customHeight="false" outlineLevel="0" collapsed="false">
      <c r="A1399" s="33"/>
      <c r="B1399" s="32"/>
      <c r="C1399" s="32"/>
      <c r="D1399" s="32"/>
      <c r="E1399" s="32"/>
      <c r="F1399" s="30"/>
      <c r="G1399" s="32"/>
      <c r="H1399" s="34" t="n">
        <f aca="false">IF($G1399="",0,IFERROR(INDEX(Einstellungen!$G$5:$G$11,MATCH($G1399,Einstellungen!$E$5:$E$11,0)),0))</f>
        <v>0</v>
      </c>
      <c r="I1399" s="35" t="str">
        <f aca="false">IF($G1399="","-",IFERROR(INDEX(Einstellungen!$H$5:$H$11,MATCH($G1399,Einstellungen!$E$5:$E$11,0)),"-"))</f>
        <v>-</v>
      </c>
      <c r="J1399" s="35" t="str">
        <f aca="false">IF(AND(Einstellungen!$B$8="Ja",Einstellungen!$B$9="Effektiv"),$I1399,"-")</f>
        <v>-</v>
      </c>
      <c r="K1399" s="31" t="n">
        <f aca="false">IF(OR($F1399="",$J1399="-"),0,ROUND($F1399-$F1399/(1+$H1399),2))</f>
        <v>0</v>
      </c>
      <c r="L1399" s="31" t="n">
        <f aca="false">IF($F1399="",0,$F1399-$K1399)</f>
        <v>0</v>
      </c>
      <c r="M1399" s="31" t="n">
        <f aca="false">IF($F1399="",0,IF($J1399="V",$L1399,$F1399))</f>
        <v>0</v>
      </c>
      <c r="N1399" s="31" t="n">
        <f aca="false">IF($F1399="",0,IF($J1399="U",$L1399,$F1399))</f>
        <v>0</v>
      </c>
      <c r="O1399" s="35" t="str">
        <f aca="false">IF($A1399="","",MONTH($A1399))</f>
        <v/>
      </c>
      <c r="P1399" s="35" t="str">
        <f aca="false">IF($A1399="","",ROUNDUP(MONTH($A1399)/3,0))</f>
        <v/>
      </c>
      <c r="Q1399" s="35" t="str">
        <f aca="false">IF($A1399="","",IF(MONTH($A1399)&lt;=6,1,2))</f>
        <v/>
      </c>
      <c r="R1399" s="35" t="str">
        <f aca="false">IF($E1399="","",IFERROR(INDEX(Kontenplan!$F$5:$F$90,MATCH($E1399,Kontenplan!$A$5:$A$90,0)),""))</f>
        <v/>
      </c>
      <c r="S1399" s="35" t="str">
        <f aca="false">IF($D1399="","",IFERROR(INDEX(Kontenplan!$F$5:$F$90,MATCH($D1399,Kontenplan!$A$5:$A$90,0)),""))</f>
        <v/>
      </c>
      <c r="T1399" s="35" t="str">
        <f aca="false">IF($D1399="","",IFERROR(INDEX(Kontenplan!$C$5:$C$90,MATCH($D1399,Kontenplan!$A$5:$A$90,0)),"?"))</f>
        <v/>
      </c>
      <c r="U1399" s="35" t="str">
        <f aca="false">IF($E1399="","",IFERROR(INDEX(Kontenplan!$C$5:$C$90,MATCH($E1399,Kontenplan!$A$5:$A$90,0)),"?"))</f>
        <v/>
      </c>
      <c r="V1399" s="35" t="str">
        <f aca="false">IF($F1399="","",IF(OR($D1399="",$E1399="",$T1399="?",$U1399="?"),"Konto prüfen!",IF($A1399="","Datum fehlt",IF(YEAR($A1399)&lt;&gt;Einstellungen!$B$7,"anderes Jahr!",IF($G1399="","MWST-Code fehlt","OK")))))</f>
        <v/>
      </c>
      <c r="W1399" s="35" t="str">
        <f aca="false">IF($F1399="","",IF(OR($D1399=Kontoauszug!$C$4,$E1399=Kontoauszug!$C$4),MAX(W$4:W1398)+1,""))</f>
        <v/>
      </c>
    </row>
    <row r="1400" customFormat="false" ht="15" hidden="false" customHeight="false" outlineLevel="0" collapsed="false">
      <c r="A1400" s="33"/>
      <c r="B1400" s="32"/>
      <c r="C1400" s="32"/>
      <c r="D1400" s="32"/>
      <c r="E1400" s="32"/>
      <c r="F1400" s="30"/>
      <c r="G1400" s="32"/>
      <c r="H1400" s="34" t="n">
        <f aca="false">IF($G1400="",0,IFERROR(INDEX(Einstellungen!$G$5:$G$11,MATCH($G1400,Einstellungen!$E$5:$E$11,0)),0))</f>
        <v>0</v>
      </c>
      <c r="I1400" s="35" t="str">
        <f aca="false">IF($G1400="","-",IFERROR(INDEX(Einstellungen!$H$5:$H$11,MATCH($G1400,Einstellungen!$E$5:$E$11,0)),"-"))</f>
        <v>-</v>
      </c>
      <c r="J1400" s="35" t="str">
        <f aca="false">IF(AND(Einstellungen!$B$8="Ja",Einstellungen!$B$9="Effektiv"),$I1400,"-")</f>
        <v>-</v>
      </c>
      <c r="K1400" s="31" t="n">
        <f aca="false">IF(OR($F1400="",$J1400="-"),0,ROUND($F1400-$F1400/(1+$H1400),2))</f>
        <v>0</v>
      </c>
      <c r="L1400" s="31" t="n">
        <f aca="false">IF($F1400="",0,$F1400-$K1400)</f>
        <v>0</v>
      </c>
      <c r="M1400" s="31" t="n">
        <f aca="false">IF($F1400="",0,IF($J1400="V",$L1400,$F1400))</f>
        <v>0</v>
      </c>
      <c r="N1400" s="31" t="n">
        <f aca="false">IF($F1400="",0,IF($J1400="U",$L1400,$F1400))</f>
        <v>0</v>
      </c>
      <c r="O1400" s="35" t="str">
        <f aca="false">IF($A1400="","",MONTH($A1400))</f>
        <v/>
      </c>
      <c r="P1400" s="35" t="str">
        <f aca="false">IF($A1400="","",ROUNDUP(MONTH($A1400)/3,0))</f>
        <v/>
      </c>
      <c r="Q1400" s="35" t="str">
        <f aca="false">IF($A1400="","",IF(MONTH($A1400)&lt;=6,1,2))</f>
        <v/>
      </c>
      <c r="R1400" s="35" t="str">
        <f aca="false">IF($E1400="","",IFERROR(INDEX(Kontenplan!$F$5:$F$90,MATCH($E1400,Kontenplan!$A$5:$A$90,0)),""))</f>
        <v/>
      </c>
      <c r="S1400" s="35" t="str">
        <f aca="false">IF($D1400="","",IFERROR(INDEX(Kontenplan!$F$5:$F$90,MATCH($D1400,Kontenplan!$A$5:$A$90,0)),""))</f>
        <v/>
      </c>
      <c r="T1400" s="35" t="str">
        <f aca="false">IF($D1400="","",IFERROR(INDEX(Kontenplan!$C$5:$C$90,MATCH($D1400,Kontenplan!$A$5:$A$90,0)),"?"))</f>
        <v/>
      </c>
      <c r="U1400" s="35" t="str">
        <f aca="false">IF($E1400="","",IFERROR(INDEX(Kontenplan!$C$5:$C$90,MATCH($E1400,Kontenplan!$A$5:$A$90,0)),"?"))</f>
        <v/>
      </c>
      <c r="V1400" s="35" t="str">
        <f aca="false">IF($F1400="","",IF(OR($D1400="",$E1400="",$T1400="?",$U1400="?"),"Konto prüfen!",IF($A1400="","Datum fehlt",IF(YEAR($A1400)&lt;&gt;Einstellungen!$B$7,"anderes Jahr!",IF($G1400="","MWST-Code fehlt","OK")))))</f>
        <v/>
      </c>
      <c r="W1400" s="35" t="str">
        <f aca="false">IF($F1400="","",IF(OR($D1400=Kontoauszug!$C$4,$E1400=Kontoauszug!$C$4),MAX(W$4:W1399)+1,""))</f>
        <v/>
      </c>
    </row>
    <row r="1401" customFormat="false" ht="15" hidden="false" customHeight="false" outlineLevel="0" collapsed="false">
      <c r="A1401" s="33"/>
      <c r="B1401" s="32"/>
      <c r="C1401" s="32"/>
      <c r="D1401" s="32"/>
      <c r="E1401" s="32"/>
      <c r="F1401" s="30"/>
      <c r="G1401" s="32"/>
      <c r="H1401" s="34" t="n">
        <f aca="false">IF($G1401="",0,IFERROR(INDEX(Einstellungen!$G$5:$G$11,MATCH($G1401,Einstellungen!$E$5:$E$11,0)),0))</f>
        <v>0</v>
      </c>
      <c r="I1401" s="35" t="str">
        <f aca="false">IF($G1401="","-",IFERROR(INDEX(Einstellungen!$H$5:$H$11,MATCH($G1401,Einstellungen!$E$5:$E$11,0)),"-"))</f>
        <v>-</v>
      </c>
      <c r="J1401" s="35" t="str">
        <f aca="false">IF(AND(Einstellungen!$B$8="Ja",Einstellungen!$B$9="Effektiv"),$I1401,"-")</f>
        <v>-</v>
      </c>
      <c r="K1401" s="31" t="n">
        <f aca="false">IF(OR($F1401="",$J1401="-"),0,ROUND($F1401-$F1401/(1+$H1401),2))</f>
        <v>0</v>
      </c>
      <c r="L1401" s="31" t="n">
        <f aca="false">IF($F1401="",0,$F1401-$K1401)</f>
        <v>0</v>
      </c>
      <c r="M1401" s="31" t="n">
        <f aca="false">IF($F1401="",0,IF($J1401="V",$L1401,$F1401))</f>
        <v>0</v>
      </c>
      <c r="N1401" s="31" t="n">
        <f aca="false">IF($F1401="",0,IF($J1401="U",$L1401,$F1401))</f>
        <v>0</v>
      </c>
      <c r="O1401" s="35" t="str">
        <f aca="false">IF($A1401="","",MONTH($A1401))</f>
        <v/>
      </c>
      <c r="P1401" s="35" t="str">
        <f aca="false">IF($A1401="","",ROUNDUP(MONTH($A1401)/3,0))</f>
        <v/>
      </c>
      <c r="Q1401" s="35" t="str">
        <f aca="false">IF($A1401="","",IF(MONTH($A1401)&lt;=6,1,2))</f>
        <v/>
      </c>
      <c r="R1401" s="35" t="str">
        <f aca="false">IF($E1401="","",IFERROR(INDEX(Kontenplan!$F$5:$F$90,MATCH($E1401,Kontenplan!$A$5:$A$90,0)),""))</f>
        <v/>
      </c>
      <c r="S1401" s="35" t="str">
        <f aca="false">IF($D1401="","",IFERROR(INDEX(Kontenplan!$F$5:$F$90,MATCH($D1401,Kontenplan!$A$5:$A$90,0)),""))</f>
        <v/>
      </c>
      <c r="T1401" s="35" t="str">
        <f aca="false">IF($D1401="","",IFERROR(INDEX(Kontenplan!$C$5:$C$90,MATCH($D1401,Kontenplan!$A$5:$A$90,0)),"?"))</f>
        <v/>
      </c>
      <c r="U1401" s="35" t="str">
        <f aca="false">IF($E1401="","",IFERROR(INDEX(Kontenplan!$C$5:$C$90,MATCH($E1401,Kontenplan!$A$5:$A$90,0)),"?"))</f>
        <v/>
      </c>
      <c r="V1401" s="35" t="str">
        <f aca="false">IF($F1401="","",IF(OR($D1401="",$E1401="",$T1401="?",$U1401="?"),"Konto prüfen!",IF($A1401="","Datum fehlt",IF(YEAR($A1401)&lt;&gt;Einstellungen!$B$7,"anderes Jahr!",IF($G1401="","MWST-Code fehlt","OK")))))</f>
        <v/>
      </c>
      <c r="W1401" s="35" t="str">
        <f aca="false">IF($F1401="","",IF(OR($D1401=Kontoauszug!$C$4,$E1401=Kontoauszug!$C$4),MAX(W$4:W1400)+1,""))</f>
        <v/>
      </c>
    </row>
    <row r="1402" customFormat="false" ht="15" hidden="false" customHeight="false" outlineLevel="0" collapsed="false">
      <c r="A1402" s="33"/>
      <c r="B1402" s="32"/>
      <c r="C1402" s="32"/>
      <c r="D1402" s="32"/>
      <c r="E1402" s="32"/>
      <c r="F1402" s="30"/>
      <c r="G1402" s="32"/>
      <c r="H1402" s="34" t="n">
        <f aca="false">IF($G1402="",0,IFERROR(INDEX(Einstellungen!$G$5:$G$11,MATCH($G1402,Einstellungen!$E$5:$E$11,0)),0))</f>
        <v>0</v>
      </c>
      <c r="I1402" s="35" t="str">
        <f aca="false">IF($G1402="","-",IFERROR(INDEX(Einstellungen!$H$5:$H$11,MATCH($G1402,Einstellungen!$E$5:$E$11,0)),"-"))</f>
        <v>-</v>
      </c>
      <c r="J1402" s="35" t="str">
        <f aca="false">IF(AND(Einstellungen!$B$8="Ja",Einstellungen!$B$9="Effektiv"),$I1402,"-")</f>
        <v>-</v>
      </c>
      <c r="K1402" s="31" t="n">
        <f aca="false">IF(OR($F1402="",$J1402="-"),0,ROUND($F1402-$F1402/(1+$H1402),2))</f>
        <v>0</v>
      </c>
      <c r="L1402" s="31" t="n">
        <f aca="false">IF($F1402="",0,$F1402-$K1402)</f>
        <v>0</v>
      </c>
      <c r="M1402" s="31" t="n">
        <f aca="false">IF($F1402="",0,IF($J1402="V",$L1402,$F1402))</f>
        <v>0</v>
      </c>
      <c r="N1402" s="31" t="n">
        <f aca="false">IF($F1402="",0,IF($J1402="U",$L1402,$F1402))</f>
        <v>0</v>
      </c>
      <c r="O1402" s="35" t="str">
        <f aca="false">IF($A1402="","",MONTH($A1402))</f>
        <v/>
      </c>
      <c r="P1402" s="35" t="str">
        <f aca="false">IF($A1402="","",ROUNDUP(MONTH($A1402)/3,0))</f>
        <v/>
      </c>
      <c r="Q1402" s="35" t="str">
        <f aca="false">IF($A1402="","",IF(MONTH($A1402)&lt;=6,1,2))</f>
        <v/>
      </c>
      <c r="R1402" s="35" t="str">
        <f aca="false">IF($E1402="","",IFERROR(INDEX(Kontenplan!$F$5:$F$90,MATCH($E1402,Kontenplan!$A$5:$A$90,0)),""))</f>
        <v/>
      </c>
      <c r="S1402" s="35" t="str">
        <f aca="false">IF($D1402="","",IFERROR(INDEX(Kontenplan!$F$5:$F$90,MATCH($D1402,Kontenplan!$A$5:$A$90,0)),""))</f>
        <v/>
      </c>
      <c r="T1402" s="35" t="str">
        <f aca="false">IF($D1402="","",IFERROR(INDEX(Kontenplan!$C$5:$C$90,MATCH($D1402,Kontenplan!$A$5:$A$90,0)),"?"))</f>
        <v/>
      </c>
      <c r="U1402" s="35" t="str">
        <f aca="false">IF($E1402="","",IFERROR(INDEX(Kontenplan!$C$5:$C$90,MATCH($E1402,Kontenplan!$A$5:$A$90,0)),"?"))</f>
        <v/>
      </c>
      <c r="V1402" s="35" t="str">
        <f aca="false">IF($F1402="","",IF(OR($D1402="",$E1402="",$T1402="?",$U1402="?"),"Konto prüfen!",IF($A1402="","Datum fehlt",IF(YEAR($A1402)&lt;&gt;Einstellungen!$B$7,"anderes Jahr!",IF($G1402="","MWST-Code fehlt","OK")))))</f>
        <v/>
      </c>
      <c r="W1402" s="35" t="str">
        <f aca="false">IF($F1402="","",IF(OR($D1402=Kontoauszug!$C$4,$E1402=Kontoauszug!$C$4),MAX(W$4:W1401)+1,""))</f>
        <v/>
      </c>
    </row>
    <row r="1403" customFormat="false" ht="15" hidden="false" customHeight="false" outlineLevel="0" collapsed="false">
      <c r="A1403" s="33"/>
      <c r="B1403" s="32"/>
      <c r="C1403" s="32"/>
      <c r="D1403" s="32"/>
      <c r="E1403" s="32"/>
      <c r="F1403" s="30"/>
      <c r="G1403" s="32"/>
      <c r="H1403" s="34" t="n">
        <f aca="false">IF($G1403="",0,IFERROR(INDEX(Einstellungen!$G$5:$G$11,MATCH($G1403,Einstellungen!$E$5:$E$11,0)),0))</f>
        <v>0</v>
      </c>
      <c r="I1403" s="35" t="str">
        <f aca="false">IF($G1403="","-",IFERROR(INDEX(Einstellungen!$H$5:$H$11,MATCH($G1403,Einstellungen!$E$5:$E$11,0)),"-"))</f>
        <v>-</v>
      </c>
      <c r="J1403" s="35" t="str">
        <f aca="false">IF(AND(Einstellungen!$B$8="Ja",Einstellungen!$B$9="Effektiv"),$I1403,"-")</f>
        <v>-</v>
      </c>
      <c r="K1403" s="31" t="n">
        <f aca="false">IF(OR($F1403="",$J1403="-"),0,ROUND($F1403-$F1403/(1+$H1403),2))</f>
        <v>0</v>
      </c>
      <c r="L1403" s="31" t="n">
        <f aca="false">IF($F1403="",0,$F1403-$K1403)</f>
        <v>0</v>
      </c>
      <c r="M1403" s="31" t="n">
        <f aca="false">IF($F1403="",0,IF($J1403="V",$L1403,$F1403))</f>
        <v>0</v>
      </c>
      <c r="N1403" s="31" t="n">
        <f aca="false">IF($F1403="",0,IF($J1403="U",$L1403,$F1403))</f>
        <v>0</v>
      </c>
      <c r="O1403" s="35" t="str">
        <f aca="false">IF($A1403="","",MONTH($A1403))</f>
        <v/>
      </c>
      <c r="P1403" s="35" t="str">
        <f aca="false">IF($A1403="","",ROUNDUP(MONTH($A1403)/3,0))</f>
        <v/>
      </c>
      <c r="Q1403" s="35" t="str">
        <f aca="false">IF($A1403="","",IF(MONTH($A1403)&lt;=6,1,2))</f>
        <v/>
      </c>
      <c r="R1403" s="35" t="str">
        <f aca="false">IF($E1403="","",IFERROR(INDEX(Kontenplan!$F$5:$F$90,MATCH($E1403,Kontenplan!$A$5:$A$90,0)),""))</f>
        <v/>
      </c>
      <c r="S1403" s="35" t="str">
        <f aca="false">IF($D1403="","",IFERROR(INDEX(Kontenplan!$F$5:$F$90,MATCH($D1403,Kontenplan!$A$5:$A$90,0)),""))</f>
        <v/>
      </c>
      <c r="T1403" s="35" t="str">
        <f aca="false">IF($D1403="","",IFERROR(INDEX(Kontenplan!$C$5:$C$90,MATCH($D1403,Kontenplan!$A$5:$A$90,0)),"?"))</f>
        <v/>
      </c>
      <c r="U1403" s="35" t="str">
        <f aca="false">IF($E1403="","",IFERROR(INDEX(Kontenplan!$C$5:$C$90,MATCH($E1403,Kontenplan!$A$5:$A$90,0)),"?"))</f>
        <v/>
      </c>
      <c r="V1403" s="35" t="str">
        <f aca="false">IF($F1403="","",IF(OR($D1403="",$E1403="",$T1403="?",$U1403="?"),"Konto prüfen!",IF($A1403="","Datum fehlt",IF(YEAR($A1403)&lt;&gt;Einstellungen!$B$7,"anderes Jahr!",IF($G1403="","MWST-Code fehlt","OK")))))</f>
        <v/>
      </c>
      <c r="W1403" s="35" t="str">
        <f aca="false">IF($F1403="","",IF(OR($D1403=Kontoauszug!$C$4,$E1403=Kontoauszug!$C$4),MAX(W$4:W1402)+1,""))</f>
        <v/>
      </c>
    </row>
    <row r="1404" customFormat="false" ht="15" hidden="false" customHeight="false" outlineLevel="0" collapsed="false">
      <c r="A1404" s="33"/>
      <c r="B1404" s="32"/>
      <c r="C1404" s="32"/>
      <c r="D1404" s="32"/>
      <c r="E1404" s="32"/>
      <c r="F1404" s="30"/>
      <c r="G1404" s="32"/>
      <c r="H1404" s="34" t="n">
        <f aca="false">IF($G1404="",0,IFERROR(INDEX(Einstellungen!$G$5:$G$11,MATCH($G1404,Einstellungen!$E$5:$E$11,0)),0))</f>
        <v>0</v>
      </c>
      <c r="I1404" s="35" t="str">
        <f aca="false">IF($G1404="","-",IFERROR(INDEX(Einstellungen!$H$5:$H$11,MATCH($G1404,Einstellungen!$E$5:$E$11,0)),"-"))</f>
        <v>-</v>
      </c>
      <c r="J1404" s="35" t="str">
        <f aca="false">IF(AND(Einstellungen!$B$8="Ja",Einstellungen!$B$9="Effektiv"),$I1404,"-")</f>
        <v>-</v>
      </c>
      <c r="K1404" s="31" t="n">
        <f aca="false">IF(OR($F1404="",$J1404="-"),0,ROUND($F1404-$F1404/(1+$H1404),2))</f>
        <v>0</v>
      </c>
      <c r="L1404" s="31" t="n">
        <f aca="false">IF($F1404="",0,$F1404-$K1404)</f>
        <v>0</v>
      </c>
      <c r="M1404" s="31" t="n">
        <f aca="false">IF($F1404="",0,IF($J1404="V",$L1404,$F1404))</f>
        <v>0</v>
      </c>
      <c r="N1404" s="31" t="n">
        <f aca="false">IF($F1404="",0,IF($J1404="U",$L1404,$F1404))</f>
        <v>0</v>
      </c>
      <c r="O1404" s="35" t="str">
        <f aca="false">IF($A1404="","",MONTH($A1404))</f>
        <v/>
      </c>
      <c r="P1404" s="35" t="str">
        <f aca="false">IF($A1404="","",ROUNDUP(MONTH($A1404)/3,0))</f>
        <v/>
      </c>
      <c r="Q1404" s="35" t="str">
        <f aca="false">IF($A1404="","",IF(MONTH($A1404)&lt;=6,1,2))</f>
        <v/>
      </c>
      <c r="R1404" s="35" t="str">
        <f aca="false">IF($E1404="","",IFERROR(INDEX(Kontenplan!$F$5:$F$90,MATCH($E1404,Kontenplan!$A$5:$A$90,0)),""))</f>
        <v/>
      </c>
      <c r="S1404" s="35" t="str">
        <f aca="false">IF($D1404="","",IFERROR(INDEX(Kontenplan!$F$5:$F$90,MATCH($D1404,Kontenplan!$A$5:$A$90,0)),""))</f>
        <v/>
      </c>
      <c r="T1404" s="35" t="str">
        <f aca="false">IF($D1404="","",IFERROR(INDEX(Kontenplan!$C$5:$C$90,MATCH($D1404,Kontenplan!$A$5:$A$90,0)),"?"))</f>
        <v/>
      </c>
      <c r="U1404" s="35" t="str">
        <f aca="false">IF($E1404="","",IFERROR(INDEX(Kontenplan!$C$5:$C$90,MATCH($E1404,Kontenplan!$A$5:$A$90,0)),"?"))</f>
        <v/>
      </c>
      <c r="V1404" s="35" t="str">
        <f aca="false">IF($F1404="","",IF(OR($D1404="",$E1404="",$T1404="?",$U1404="?"),"Konto prüfen!",IF($A1404="","Datum fehlt",IF(YEAR($A1404)&lt;&gt;Einstellungen!$B$7,"anderes Jahr!",IF($G1404="","MWST-Code fehlt","OK")))))</f>
        <v/>
      </c>
      <c r="W1404" s="35" t="str">
        <f aca="false">IF($F1404="","",IF(OR($D1404=Kontoauszug!$C$4,$E1404=Kontoauszug!$C$4),MAX(W$4:W1403)+1,""))</f>
        <v/>
      </c>
    </row>
    <row r="1405" customFormat="false" ht="15" hidden="false" customHeight="false" outlineLevel="0" collapsed="false">
      <c r="A1405" s="33"/>
      <c r="B1405" s="32"/>
      <c r="C1405" s="32"/>
      <c r="D1405" s="32"/>
      <c r="E1405" s="32"/>
      <c r="F1405" s="30"/>
      <c r="G1405" s="32"/>
      <c r="H1405" s="34" t="n">
        <f aca="false">IF($G1405="",0,IFERROR(INDEX(Einstellungen!$G$5:$G$11,MATCH($G1405,Einstellungen!$E$5:$E$11,0)),0))</f>
        <v>0</v>
      </c>
      <c r="I1405" s="35" t="str">
        <f aca="false">IF($G1405="","-",IFERROR(INDEX(Einstellungen!$H$5:$H$11,MATCH($G1405,Einstellungen!$E$5:$E$11,0)),"-"))</f>
        <v>-</v>
      </c>
      <c r="J1405" s="35" t="str">
        <f aca="false">IF(AND(Einstellungen!$B$8="Ja",Einstellungen!$B$9="Effektiv"),$I1405,"-")</f>
        <v>-</v>
      </c>
      <c r="K1405" s="31" t="n">
        <f aca="false">IF(OR($F1405="",$J1405="-"),0,ROUND($F1405-$F1405/(1+$H1405),2))</f>
        <v>0</v>
      </c>
      <c r="L1405" s="31" t="n">
        <f aca="false">IF($F1405="",0,$F1405-$K1405)</f>
        <v>0</v>
      </c>
      <c r="M1405" s="31" t="n">
        <f aca="false">IF($F1405="",0,IF($J1405="V",$L1405,$F1405))</f>
        <v>0</v>
      </c>
      <c r="N1405" s="31" t="n">
        <f aca="false">IF($F1405="",0,IF($J1405="U",$L1405,$F1405))</f>
        <v>0</v>
      </c>
      <c r="O1405" s="35" t="str">
        <f aca="false">IF($A1405="","",MONTH($A1405))</f>
        <v/>
      </c>
      <c r="P1405" s="35" t="str">
        <f aca="false">IF($A1405="","",ROUNDUP(MONTH($A1405)/3,0))</f>
        <v/>
      </c>
      <c r="Q1405" s="35" t="str">
        <f aca="false">IF($A1405="","",IF(MONTH($A1405)&lt;=6,1,2))</f>
        <v/>
      </c>
      <c r="R1405" s="35" t="str">
        <f aca="false">IF($E1405="","",IFERROR(INDEX(Kontenplan!$F$5:$F$90,MATCH($E1405,Kontenplan!$A$5:$A$90,0)),""))</f>
        <v/>
      </c>
      <c r="S1405" s="35" t="str">
        <f aca="false">IF($D1405="","",IFERROR(INDEX(Kontenplan!$F$5:$F$90,MATCH($D1405,Kontenplan!$A$5:$A$90,0)),""))</f>
        <v/>
      </c>
      <c r="T1405" s="35" t="str">
        <f aca="false">IF($D1405="","",IFERROR(INDEX(Kontenplan!$C$5:$C$90,MATCH($D1405,Kontenplan!$A$5:$A$90,0)),"?"))</f>
        <v/>
      </c>
      <c r="U1405" s="35" t="str">
        <f aca="false">IF($E1405="","",IFERROR(INDEX(Kontenplan!$C$5:$C$90,MATCH($E1405,Kontenplan!$A$5:$A$90,0)),"?"))</f>
        <v/>
      </c>
      <c r="V1405" s="35" t="str">
        <f aca="false">IF($F1405="","",IF(OR($D1405="",$E1405="",$T1405="?",$U1405="?"),"Konto prüfen!",IF($A1405="","Datum fehlt",IF(YEAR($A1405)&lt;&gt;Einstellungen!$B$7,"anderes Jahr!",IF($G1405="","MWST-Code fehlt","OK")))))</f>
        <v/>
      </c>
      <c r="W1405" s="35" t="str">
        <f aca="false">IF($F1405="","",IF(OR($D1405=Kontoauszug!$C$4,$E1405=Kontoauszug!$C$4),MAX(W$4:W1404)+1,""))</f>
        <v/>
      </c>
    </row>
    <row r="1406" customFormat="false" ht="15" hidden="false" customHeight="false" outlineLevel="0" collapsed="false">
      <c r="A1406" s="33"/>
      <c r="B1406" s="32"/>
      <c r="C1406" s="32"/>
      <c r="D1406" s="32"/>
      <c r="E1406" s="32"/>
      <c r="F1406" s="30"/>
      <c r="G1406" s="32"/>
      <c r="H1406" s="34" t="n">
        <f aca="false">IF($G1406="",0,IFERROR(INDEX(Einstellungen!$G$5:$G$11,MATCH($G1406,Einstellungen!$E$5:$E$11,0)),0))</f>
        <v>0</v>
      </c>
      <c r="I1406" s="35" t="str">
        <f aca="false">IF($G1406="","-",IFERROR(INDEX(Einstellungen!$H$5:$H$11,MATCH($G1406,Einstellungen!$E$5:$E$11,0)),"-"))</f>
        <v>-</v>
      </c>
      <c r="J1406" s="35" t="str">
        <f aca="false">IF(AND(Einstellungen!$B$8="Ja",Einstellungen!$B$9="Effektiv"),$I1406,"-")</f>
        <v>-</v>
      </c>
      <c r="K1406" s="31" t="n">
        <f aca="false">IF(OR($F1406="",$J1406="-"),0,ROUND($F1406-$F1406/(1+$H1406),2))</f>
        <v>0</v>
      </c>
      <c r="L1406" s="31" t="n">
        <f aca="false">IF($F1406="",0,$F1406-$K1406)</f>
        <v>0</v>
      </c>
      <c r="M1406" s="31" t="n">
        <f aca="false">IF($F1406="",0,IF($J1406="V",$L1406,$F1406))</f>
        <v>0</v>
      </c>
      <c r="N1406" s="31" t="n">
        <f aca="false">IF($F1406="",0,IF($J1406="U",$L1406,$F1406))</f>
        <v>0</v>
      </c>
      <c r="O1406" s="35" t="str">
        <f aca="false">IF($A1406="","",MONTH($A1406))</f>
        <v/>
      </c>
      <c r="P1406" s="35" t="str">
        <f aca="false">IF($A1406="","",ROUNDUP(MONTH($A1406)/3,0))</f>
        <v/>
      </c>
      <c r="Q1406" s="35" t="str">
        <f aca="false">IF($A1406="","",IF(MONTH($A1406)&lt;=6,1,2))</f>
        <v/>
      </c>
      <c r="R1406" s="35" t="str">
        <f aca="false">IF($E1406="","",IFERROR(INDEX(Kontenplan!$F$5:$F$90,MATCH($E1406,Kontenplan!$A$5:$A$90,0)),""))</f>
        <v/>
      </c>
      <c r="S1406" s="35" t="str">
        <f aca="false">IF($D1406="","",IFERROR(INDEX(Kontenplan!$F$5:$F$90,MATCH($D1406,Kontenplan!$A$5:$A$90,0)),""))</f>
        <v/>
      </c>
      <c r="T1406" s="35" t="str">
        <f aca="false">IF($D1406="","",IFERROR(INDEX(Kontenplan!$C$5:$C$90,MATCH($D1406,Kontenplan!$A$5:$A$90,0)),"?"))</f>
        <v/>
      </c>
      <c r="U1406" s="35" t="str">
        <f aca="false">IF($E1406="","",IFERROR(INDEX(Kontenplan!$C$5:$C$90,MATCH($E1406,Kontenplan!$A$5:$A$90,0)),"?"))</f>
        <v/>
      </c>
      <c r="V1406" s="35" t="str">
        <f aca="false">IF($F1406="","",IF(OR($D1406="",$E1406="",$T1406="?",$U1406="?"),"Konto prüfen!",IF($A1406="","Datum fehlt",IF(YEAR($A1406)&lt;&gt;Einstellungen!$B$7,"anderes Jahr!",IF($G1406="","MWST-Code fehlt","OK")))))</f>
        <v/>
      </c>
      <c r="W1406" s="35" t="str">
        <f aca="false">IF($F1406="","",IF(OR($D1406=Kontoauszug!$C$4,$E1406=Kontoauszug!$C$4),MAX(W$4:W1405)+1,""))</f>
        <v/>
      </c>
    </row>
    <row r="1407" customFormat="false" ht="15" hidden="false" customHeight="false" outlineLevel="0" collapsed="false">
      <c r="A1407" s="33"/>
      <c r="B1407" s="32"/>
      <c r="C1407" s="32"/>
      <c r="D1407" s="32"/>
      <c r="E1407" s="32"/>
      <c r="F1407" s="30"/>
      <c r="G1407" s="32"/>
      <c r="H1407" s="34" t="n">
        <f aca="false">IF($G1407="",0,IFERROR(INDEX(Einstellungen!$G$5:$G$11,MATCH($G1407,Einstellungen!$E$5:$E$11,0)),0))</f>
        <v>0</v>
      </c>
      <c r="I1407" s="35" t="str">
        <f aca="false">IF($G1407="","-",IFERROR(INDEX(Einstellungen!$H$5:$H$11,MATCH($G1407,Einstellungen!$E$5:$E$11,0)),"-"))</f>
        <v>-</v>
      </c>
      <c r="J1407" s="35" t="str">
        <f aca="false">IF(AND(Einstellungen!$B$8="Ja",Einstellungen!$B$9="Effektiv"),$I1407,"-")</f>
        <v>-</v>
      </c>
      <c r="K1407" s="31" t="n">
        <f aca="false">IF(OR($F1407="",$J1407="-"),0,ROUND($F1407-$F1407/(1+$H1407),2))</f>
        <v>0</v>
      </c>
      <c r="L1407" s="31" t="n">
        <f aca="false">IF($F1407="",0,$F1407-$K1407)</f>
        <v>0</v>
      </c>
      <c r="M1407" s="31" t="n">
        <f aca="false">IF($F1407="",0,IF($J1407="V",$L1407,$F1407))</f>
        <v>0</v>
      </c>
      <c r="N1407" s="31" t="n">
        <f aca="false">IF($F1407="",0,IF($J1407="U",$L1407,$F1407))</f>
        <v>0</v>
      </c>
      <c r="O1407" s="35" t="str">
        <f aca="false">IF($A1407="","",MONTH($A1407))</f>
        <v/>
      </c>
      <c r="P1407" s="35" t="str">
        <f aca="false">IF($A1407="","",ROUNDUP(MONTH($A1407)/3,0))</f>
        <v/>
      </c>
      <c r="Q1407" s="35" t="str">
        <f aca="false">IF($A1407="","",IF(MONTH($A1407)&lt;=6,1,2))</f>
        <v/>
      </c>
      <c r="R1407" s="35" t="str">
        <f aca="false">IF($E1407="","",IFERROR(INDEX(Kontenplan!$F$5:$F$90,MATCH($E1407,Kontenplan!$A$5:$A$90,0)),""))</f>
        <v/>
      </c>
      <c r="S1407" s="35" t="str">
        <f aca="false">IF($D1407="","",IFERROR(INDEX(Kontenplan!$F$5:$F$90,MATCH($D1407,Kontenplan!$A$5:$A$90,0)),""))</f>
        <v/>
      </c>
      <c r="T1407" s="35" t="str">
        <f aca="false">IF($D1407="","",IFERROR(INDEX(Kontenplan!$C$5:$C$90,MATCH($D1407,Kontenplan!$A$5:$A$90,0)),"?"))</f>
        <v/>
      </c>
      <c r="U1407" s="35" t="str">
        <f aca="false">IF($E1407="","",IFERROR(INDEX(Kontenplan!$C$5:$C$90,MATCH($E1407,Kontenplan!$A$5:$A$90,0)),"?"))</f>
        <v/>
      </c>
      <c r="V1407" s="35" t="str">
        <f aca="false">IF($F1407="","",IF(OR($D1407="",$E1407="",$T1407="?",$U1407="?"),"Konto prüfen!",IF($A1407="","Datum fehlt",IF(YEAR($A1407)&lt;&gt;Einstellungen!$B$7,"anderes Jahr!",IF($G1407="","MWST-Code fehlt","OK")))))</f>
        <v/>
      </c>
      <c r="W1407" s="35" t="str">
        <f aca="false">IF($F1407="","",IF(OR($D1407=Kontoauszug!$C$4,$E1407=Kontoauszug!$C$4),MAX(W$4:W1406)+1,""))</f>
        <v/>
      </c>
    </row>
    <row r="1408" customFormat="false" ht="15" hidden="false" customHeight="false" outlineLevel="0" collapsed="false">
      <c r="A1408" s="33"/>
      <c r="B1408" s="32"/>
      <c r="C1408" s="32"/>
      <c r="D1408" s="32"/>
      <c r="E1408" s="32"/>
      <c r="F1408" s="30"/>
      <c r="G1408" s="32"/>
      <c r="H1408" s="34" t="n">
        <f aca="false">IF($G1408="",0,IFERROR(INDEX(Einstellungen!$G$5:$G$11,MATCH($G1408,Einstellungen!$E$5:$E$11,0)),0))</f>
        <v>0</v>
      </c>
      <c r="I1408" s="35" t="str">
        <f aca="false">IF($G1408="","-",IFERROR(INDEX(Einstellungen!$H$5:$H$11,MATCH($G1408,Einstellungen!$E$5:$E$11,0)),"-"))</f>
        <v>-</v>
      </c>
      <c r="J1408" s="35" t="str">
        <f aca="false">IF(AND(Einstellungen!$B$8="Ja",Einstellungen!$B$9="Effektiv"),$I1408,"-")</f>
        <v>-</v>
      </c>
      <c r="K1408" s="31" t="n">
        <f aca="false">IF(OR($F1408="",$J1408="-"),0,ROUND($F1408-$F1408/(1+$H1408),2))</f>
        <v>0</v>
      </c>
      <c r="L1408" s="31" t="n">
        <f aca="false">IF($F1408="",0,$F1408-$K1408)</f>
        <v>0</v>
      </c>
      <c r="M1408" s="31" t="n">
        <f aca="false">IF($F1408="",0,IF($J1408="V",$L1408,$F1408))</f>
        <v>0</v>
      </c>
      <c r="N1408" s="31" t="n">
        <f aca="false">IF($F1408="",0,IF($J1408="U",$L1408,$F1408))</f>
        <v>0</v>
      </c>
      <c r="O1408" s="35" t="str">
        <f aca="false">IF($A1408="","",MONTH($A1408))</f>
        <v/>
      </c>
      <c r="P1408" s="35" t="str">
        <f aca="false">IF($A1408="","",ROUNDUP(MONTH($A1408)/3,0))</f>
        <v/>
      </c>
      <c r="Q1408" s="35" t="str">
        <f aca="false">IF($A1408="","",IF(MONTH($A1408)&lt;=6,1,2))</f>
        <v/>
      </c>
      <c r="R1408" s="35" t="str">
        <f aca="false">IF($E1408="","",IFERROR(INDEX(Kontenplan!$F$5:$F$90,MATCH($E1408,Kontenplan!$A$5:$A$90,0)),""))</f>
        <v/>
      </c>
      <c r="S1408" s="35" t="str">
        <f aca="false">IF($D1408="","",IFERROR(INDEX(Kontenplan!$F$5:$F$90,MATCH($D1408,Kontenplan!$A$5:$A$90,0)),""))</f>
        <v/>
      </c>
      <c r="T1408" s="35" t="str">
        <f aca="false">IF($D1408="","",IFERROR(INDEX(Kontenplan!$C$5:$C$90,MATCH($D1408,Kontenplan!$A$5:$A$90,0)),"?"))</f>
        <v/>
      </c>
      <c r="U1408" s="35" t="str">
        <f aca="false">IF($E1408="","",IFERROR(INDEX(Kontenplan!$C$5:$C$90,MATCH($E1408,Kontenplan!$A$5:$A$90,0)),"?"))</f>
        <v/>
      </c>
      <c r="V1408" s="35" t="str">
        <f aca="false">IF($F1408="","",IF(OR($D1408="",$E1408="",$T1408="?",$U1408="?"),"Konto prüfen!",IF($A1408="","Datum fehlt",IF(YEAR($A1408)&lt;&gt;Einstellungen!$B$7,"anderes Jahr!",IF($G1408="","MWST-Code fehlt","OK")))))</f>
        <v/>
      </c>
      <c r="W1408" s="35" t="str">
        <f aca="false">IF($F1408="","",IF(OR($D1408=Kontoauszug!$C$4,$E1408=Kontoauszug!$C$4),MAX(W$4:W1407)+1,""))</f>
        <v/>
      </c>
    </row>
    <row r="1409" customFormat="false" ht="15" hidden="false" customHeight="false" outlineLevel="0" collapsed="false">
      <c r="A1409" s="33"/>
      <c r="B1409" s="32"/>
      <c r="C1409" s="32"/>
      <c r="D1409" s="32"/>
      <c r="E1409" s="32"/>
      <c r="F1409" s="30"/>
      <c r="G1409" s="32"/>
      <c r="H1409" s="34" t="n">
        <f aca="false">IF($G1409="",0,IFERROR(INDEX(Einstellungen!$G$5:$G$11,MATCH($G1409,Einstellungen!$E$5:$E$11,0)),0))</f>
        <v>0</v>
      </c>
      <c r="I1409" s="35" t="str">
        <f aca="false">IF($G1409="","-",IFERROR(INDEX(Einstellungen!$H$5:$H$11,MATCH($G1409,Einstellungen!$E$5:$E$11,0)),"-"))</f>
        <v>-</v>
      </c>
      <c r="J1409" s="35" t="str">
        <f aca="false">IF(AND(Einstellungen!$B$8="Ja",Einstellungen!$B$9="Effektiv"),$I1409,"-")</f>
        <v>-</v>
      </c>
      <c r="K1409" s="31" t="n">
        <f aca="false">IF(OR($F1409="",$J1409="-"),0,ROUND($F1409-$F1409/(1+$H1409),2))</f>
        <v>0</v>
      </c>
      <c r="L1409" s="31" t="n">
        <f aca="false">IF($F1409="",0,$F1409-$K1409)</f>
        <v>0</v>
      </c>
      <c r="M1409" s="31" t="n">
        <f aca="false">IF($F1409="",0,IF($J1409="V",$L1409,$F1409))</f>
        <v>0</v>
      </c>
      <c r="N1409" s="31" t="n">
        <f aca="false">IF($F1409="",0,IF($J1409="U",$L1409,$F1409))</f>
        <v>0</v>
      </c>
      <c r="O1409" s="35" t="str">
        <f aca="false">IF($A1409="","",MONTH($A1409))</f>
        <v/>
      </c>
      <c r="P1409" s="35" t="str">
        <f aca="false">IF($A1409="","",ROUNDUP(MONTH($A1409)/3,0))</f>
        <v/>
      </c>
      <c r="Q1409" s="35" t="str">
        <f aca="false">IF($A1409="","",IF(MONTH($A1409)&lt;=6,1,2))</f>
        <v/>
      </c>
      <c r="R1409" s="35" t="str">
        <f aca="false">IF($E1409="","",IFERROR(INDEX(Kontenplan!$F$5:$F$90,MATCH($E1409,Kontenplan!$A$5:$A$90,0)),""))</f>
        <v/>
      </c>
      <c r="S1409" s="35" t="str">
        <f aca="false">IF($D1409="","",IFERROR(INDEX(Kontenplan!$F$5:$F$90,MATCH($D1409,Kontenplan!$A$5:$A$90,0)),""))</f>
        <v/>
      </c>
      <c r="T1409" s="35" t="str">
        <f aca="false">IF($D1409="","",IFERROR(INDEX(Kontenplan!$C$5:$C$90,MATCH($D1409,Kontenplan!$A$5:$A$90,0)),"?"))</f>
        <v/>
      </c>
      <c r="U1409" s="35" t="str">
        <f aca="false">IF($E1409="","",IFERROR(INDEX(Kontenplan!$C$5:$C$90,MATCH($E1409,Kontenplan!$A$5:$A$90,0)),"?"))</f>
        <v/>
      </c>
      <c r="V1409" s="35" t="str">
        <f aca="false">IF($F1409="","",IF(OR($D1409="",$E1409="",$T1409="?",$U1409="?"),"Konto prüfen!",IF($A1409="","Datum fehlt",IF(YEAR($A1409)&lt;&gt;Einstellungen!$B$7,"anderes Jahr!",IF($G1409="","MWST-Code fehlt","OK")))))</f>
        <v/>
      </c>
      <c r="W1409" s="35" t="str">
        <f aca="false">IF($F1409="","",IF(OR($D1409=Kontoauszug!$C$4,$E1409=Kontoauszug!$C$4),MAX(W$4:W1408)+1,""))</f>
        <v/>
      </c>
    </row>
    <row r="1410" customFormat="false" ht="15" hidden="false" customHeight="false" outlineLevel="0" collapsed="false">
      <c r="A1410" s="33"/>
      <c r="B1410" s="32"/>
      <c r="C1410" s="32"/>
      <c r="D1410" s="32"/>
      <c r="E1410" s="32"/>
      <c r="F1410" s="30"/>
      <c r="G1410" s="32"/>
      <c r="H1410" s="34" t="n">
        <f aca="false">IF($G1410="",0,IFERROR(INDEX(Einstellungen!$G$5:$G$11,MATCH($G1410,Einstellungen!$E$5:$E$11,0)),0))</f>
        <v>0</v>
      </c>
      <c r="I1410" s="35" t="str">
        <f aca="false">IF($G1410="","-",IFERROR(INDEX(Einstellungen!$H$5:$H$11,MATCH($G1410,Einstellungen!$E$5:$E$11,0)),"-"))</f>
        <v>-</v>
      </c>
      <c r="J1410" s="35" t="str">
        <f aca="false">IF(AND(Einstellungen!$B$8="Ja",Einstellungen!$B$9="Effektiv"),$I1410,"-")</f>
        <v>-</v>
      </c>
      <c r="K1410" s="31" t="n">
        <f aca="false">IF(OR($F1410="",$J1410="-"),0,ROUND($F1410-$F1410/(1+$H1410),2))</f>
        <v>0</v>
      </c>
      <c r="L1410" s="31" t="n">
        <f aca="false">IF($F1410="",0,$F1410-$K1410)</f>
        <v>0</v>
      </c>
      <c r="M1410" s="31" t="n">
        <f aca="false">IF($F1410="",0,IF($J1410="V",$L1410,$F1410))</f>
        <v>0</v>
      </c>
      <c r="N1410" s="31" t="n">
        <f aca="false">IF($F1410="",0,IF($J1410="U",$L1410,$F1410))</f>
        <v>0</v>
      </c>
      <c r="O1410" s="35" t="str">
        <f aca="false">IF($A1410="","",MONTH($A1410))</f>
        <v/>
      </c>
      <c r="P1410" s="35" t="str">
        <f aca="false">IF($A1410="","",ROUNDUP(MONTH($A1410)/3,0))</f>
        <v/>
      </c>
      <c r="Q1410" s="35" t="str">
        <f aca="false">IF($A1410="","",IF(MONTH($A1410)&lt;=6,1,2))</f>
        <v/>
      </c>
      <c r="R1410" s="35" t="str">
        <f aca="false">IF($E1410="","",IFERROR(INDEX(Kontenplan!$F$5:$F$90,MATCH($E1410,Kontenplan!$A$5:$A$90,0)),""))</f>
        <v/>
      </c>
      <c r="S1410" s="35" t="str">
        <f aca="false">IF($D1410="","",IFERROR(INDEX(Kontenplan!$F$5:$F$90,MATCH($D1410,Kontenplan!$A$5:$A$90,0)),""))</f>
        <v/>
      </c>
      <c r="T1410" s="35" t="str">
        <f aca="false">IF($D1410="","",IFERROR(INDEX(Kontenplan!$C$5:$C$90,MATCH($D1410,Kontenplan!$A$5:$A$90,0)),"?"))</f>
        <v/>
      </c>
      <c r="U1410" s="35" t="str">
        <f aca="false">IF($E1410="","",IFERROR(INDEX(Kontenplan!$C$5:$C$90,MATCH($E1410,Kontenplan!$A$5:$A$90,0)),"?"))</f>
        <v/>
      </c>
      <c r="V1410" s="35" t="str">
        <f aca="false">IF($F1410="","",IF(OR($D1410="",$E1410="",$T1410="?",$U1410="?"),"Konto prüfen!",IF($A1410="","Datum fehlt",IF(YEAR($A1410)&lt;&gt;Einstellungen!$B$7,"anderes Jahr!",IF($G1410="","MWST-Code fehlt","OK")))))</f>
        <v/>
      </c>
      <c r="W1410" s="35" t="str">
        <f aca="false">IF($F1410="","",IF(OR($D1410=Kontoauszug!$C$4,$E1410=Kontoauszug!$C$4),MAX(W$4:W1409)+1,""))</f>
        <v/>
      </c>
    </row>
    <row r="1411" customFormat="false" ht="15" hidden="false" customHeight="false" outlineLevel="0" collapsed="false">
      <c r="A1411" s="33"/>
      <c r="B1411" s="32"/>
      <c r="C1411" s="32"/>
      <c r="D1411" s="32"/>
      <c r="E1411" s="32"/>
      <c r="F1411" s="30"/>
      <c r="G1411" s="32"/>
      <c r="H1411" s="34" t="n">
        <f aca="false">IF($G1411="",0,IFERROR(INDEX(Einstellungen!$G$5:$G$11,MATCH($G1411,Einstellungen!$E$5:$E$11,0)),0))</f>
        <v>0</v>
      </c>
      <c r="I1411" s="35" t="str">
        <f aca="false">IF($G1411="","-",IFERROR(INDEX(Einstellungen!$H$5:$H$11,MATCH($G1411,Einstellungen!$E$5:$E$11,0)),"-"))</f>
        <v>-</v>
      </c>
      <c r="J1411" s="35" t="str">
        <f aca="false">IF(AND(Einstellungen!$B$8="Ja",Einstellungen!$B$9="Effektiv"),$I1411,"-")</f>
        <v>-</v>
      </c>
      <c r="K1411" s="31" t="n">
        <f aca="false">IF(OR($F1411="",$J1411="-"),0,ROUND($F1411-$F1411/(1+$H1411),2))</f>
        <v>0</v>
      </c>
      <c r="L1411" s="31" t="n">
        <f aca="false">IF($F1411="",0,$F1411-$K1411)</f>
        <v>0</v>
      </c>
      <c r="M1411" s="31" t="n">
        <f aca="false">IF($F1411="",0,IF($J1411="V",$L1411,$F1411))</f>
        <v>0</v>
      </c>
      <c r="N1411" s="31" t="n">
        <f aca="false">IF($F1411="",0,IF($J1411="U",$L1411,$F1411))</f>
        <v>0</v>
      </c>
      <c r="O1411" s="35" t="str">
        <f aca="false">IF($A1411="","",MONTH($A1411))</f>
        <v/>
      </c>
      <c r="P1411" s="35" t="str">
        <f aca="false">IF($A1411="","",ROUNDUP(MONTH($A1411)/3,0))</f>
        <v/>
      </c>
      <c r="Q1411" s="35" t="str">
        <f aca="false">IF($A1411="","",IF(MONTH($A1411)&lt;=6,1,2))</f>
        <v/>
      </c>
      <c r="R1411" s="35" t="str">
        <f aca="false">IF($E1411="","",IFERROR(INDEX(Kontenplan!$F$5:$F$90,MATCH($E1411,Kontenplan!$A$5:$A$90,0)),""))</f>
        <v/>
      </c>
      <c r="S1411" s="35" t="str">
        <f aca="false">IF($D1411="","",IFERROR(INDEX(Kontenplan!$F$5:$F$90,MATCH($D1411,Kontenplan!$A$5:$A$90,0)),""))</f>
        <v/>
      </c>
      <c r="T1411" s="35" t="str">
        <f aca="false">IF($D1411="","",IFERROR(INDEX(Kontenplan!$C$5:$C$90,MATCH($D1411,Kontenplan!$A$5:$A$90,0)),"?"))</f>
        <v/>
      </c>
      <c r="U1411" s="35" t="str">
        <f aca="false">IF($E1411="","",IFERROR(INDEX(Kontenplan!$C$5:$C$90,MATCH($E1411,Kontenplan!$A$5:$A$90,0)),"?"))</f>
        <v/>
      </c>
      <c r="V1411" s="35" t="str">
        <f aca="false">IF($F1411="","",IF(OR($D1411="",$E1411="",$T1411="?",$U1411="?"),"Konto prüfen!",IF($A1411="","Datum fehlt",IF(YEAR($A1411)&lt;&gt;Einstellungen!$B$7,"anderes Jahr!",IF($G1411="","MWST-Code fehlt","OK")))))</f>
        <v/>
      </c>
      <c r="W1411" s="35" t="str">
        <f aca="false">IF($F1411="","",IF(OR($D1411=Kontoauszug!$C$4,$E1411=Kontoauszug!$C$4),MAX(W$4:W1410)+1,""))</f>
        <v/>
      </c>
    </row>
    <row r="1412" customFormat="false" ht="15" hidden="false" customHeight="false" outlineLevel="0" collapsed="false">
      <c r="A1412" s="33"/>
      <c r="B1412" s="32"/>
      <c r="C1412" s="32"/>
      <c r="D1412" s="32"/>
      <c r="E1412" s="32"/>
      <c r="F1412" s="30"/>
      <c r="G1412" s="32"/>
      <c r="H1412" s="34" t="n">
        <f aca="false">IF($G1412="",0,IFERROR(INDEX(Einstellungen!$G$5:$G$11,MATCH($G1412,Einstellungen!$E$5:$E$11,0)),0))</f>
        <v>0</v>
      </c>
      <c r="I1412" s="35" t="str">
        <f aca="false">IF($G1412="","-",IFERROR(INDEX(Einstellungen!$H$5:$H$11,MATCH($G1412,Einstellungen!$E$5:$E$11,0)),"-"))</f>
        <v>-</v>
      </c>
      <c r="J1412" s="35" t="str">
        <f aca="false">IF(AND(Einstellungen!$B$8="Ja",Einstellungen!$B$9="Effektiv"),$I1412,"-")</f>
        <v>-</v>
      </c>
      <c r="K1412" s="31" t="n">
        <f aca="false">IF(OR($F1412="",$J1412="-"),0,ROUND($F1412-$F1412/(1+$H1412),2))</f>
        <v>0</v>
      </c>
      <c r="L1412" s="31" t="n">
        <f aca="false">IF($F1412="",0,$F1412-$K1412)</f>
        <v>0</v>
      </c>
      <c r="M1412" s="31" t="n">
        <f aca="false">IF($F1412="",0,IF($J1412="V",$L1412,$F1412))</f>
        <v>0</v>
      </c>
      <c r="N1412" s="31" t="n">
        <f aca="false">IF($F1412="",0,IF($J1412="U",$L1412,$F1412))</f>
        <v>0</v>
      </c>
      <c r="O1412" s="35" t="str">
        <f aca="false">IF($A1412="","",MONTH($A1412))</f>
        <v/>
      </c>
      <c r="P1412" s="35" t="str">
        <f aca="false">IF($A1412="","",ROUNDUP(MONTH($A1412)/3,0))</f>
        <v/>
      </c>
      <c r="Q1412" s="35" t="str">
        <f aca="false">IF($A1412="","",IF(MONTH($A1412)&lt;=6,1,2))</f>
        <v/>
      </c>
      <c r="R1412" s="35" t="str">
        <f aca="false">IF($E1412="","",IFERROR(INDEX(Kontenplan!$F$5:$F$90,MATCH($E1412,Kontenplan!$A$5:$A$90,0)),""))</f>
        <v/>
      </c>
      <c r="S1412" s="35" t="str">
        <f aca="false">IF($D1412="","",IFERROR(INDEX(Kontenplan!$F$5:$F$90,MATCH($D1412,Kontenplan!$A$5:$A$90,0)),""))</f>
        <v/>
      </c>
      <c r="T1412" s="35" t="str">
        <f aca="false">IF($D1412="","",IFERROR(INDEX(Kontenplan!$C$5:$C$90,MATCH($D1412,Kontenplan!$A$5:$A$90,0)),"?"))</f>
        <v/>
      </c>
      <c r="U1412" s="35" t="str">
        <f aca="false">IF($E1412="","",IFERROR(INDEX(Kontenplan!$C$5:$C$90,MATCH($E1412,Kontenplan!$A$5:$A$90,0)),"?"))</f>
        <v/>
      </c>
      <c r="V1412" s="35" t="str">
        <f aca="false">IF($F1412="","",IF(OR($D1412="",$E1412="",$T1412="?",$U1412="?"),"Konto prüfen!",IF($A1412="","Datum fehlt",IF(YEAR($A1412)&lt;&gt;Einstellungen!$B$7,"anderes Jahr!",IF($G1412="","MWST-Code fehlt","OK")))))</f>
        <v/>
      </c>
      <c r="W1412" s="35" t="str">
        <f aca="false">IF($F1412="","",IF(OR($D1412=Kontoauszug!$C$4,$E1412=Kontoauszug!$C$4),MAX(W$4:W1411)+1,""))</f>
        <v/>
      </c>
    </row>
    <row r="1413" customFormat="false" ht="15" hidden="false" customHeight="false" outlineLevel="0" collapsed="false">
      <c r="A1413" s="33"/>
      <c r="B1413" s="32"/>
      <c r="C1413" s="32"/>
      <c r="D1413" s="32"/>
      <c r="E1413" s="32"/>
      <c r="F1413" s="30"/>
      <c r="G1413" s="32"/>
      <c r="H1413" s="34" t="n">
        <f aca="false">IF($G1413="",0,IFERROR(INDEX(Einstellungen!$G$5:$G$11,MATCH($G1413,Einstellungen!$E$5:$E$11,0)),0))</f>
        <v>0</v>
      </c>
      <c r="I1413" s="35" t="str">
        <f aca="false">IF($G1413="","-",IFERROR(INDEX(Einstellungen!$H$5:$H$11,MATCH($G1413,Einstellungen!$E$5:$E$11,0)),"-"))</f>
        <v>-</v>
      </c>
      <c r="J1413" s="35" t="str">
        <f aca="false">IF(AND(Einstellungen!$B$8="Ja",Einstellungen!$B$9="Effektiv"),$I1413,"-")</f>
        <v>-</v>
      </c>
      <c r="K1413" s="31" t="n">
        <f aca="false">IF(OR($F1413="",$J1413="-"),0,ROUND($F1413-$F1413/(1+$H1413),2))</f>
        <v>0</v>
      </c>
      <c r="L1413" s="31" t="n">
        <f aca="false">IF($F1413="",0,$F1413-$K1413)</f>
        <v>0</v>
      </c>
      <c r="M1413" s="31" t="n">
        <f aca="false">IF($F1413="",0,IF($J1413="V",$L1413,$F1413))</f>
        <v>0</v>
      </c>
      <c r="N1413" s="31" t="n">
        <f aca="false">IF($F1413="",0,IF($J1413="U",$L1413,$F1413))</f>
        <v>0</v>
      </c>
      <c r="O1413" s="35" t="str">
        <f aca="false">IF($A1413="","",MONTH($A1413))</f>
        <v/>
      </c>
      <c r="P1413" s="35" t="str">
        <f aca="false">IF($A1413="","",ROUNDUP(MONTH($A1413)/3,0))</f>
        <v/>
      </c>
      <c r="Q1413" s="35" t="str">
        <f aca="false">IF($A1413="","",IF(MONTH($A1413)&lt;=6,1,2))</f>
        <v/>
      </c>
      <c r="R1413" s="35" t="str">
        <f aca="false">IF($E1413="","",IFERROR(INDEX(Kontenplan!$F$5:$F$90,MATCH($E1413,Kontenplan!$A$5:$A$90,0)),""))</f>
        <v/>
      </c>
      <c r="S1413" s="35" t="str">
        <f aca="false">IF($D1413="","",IFERROR(INDEX(Kontenplan!$F$5:$F$90,MATCH($D1413,Kontenplan!$A$5:$A$90,0)),""))</f>
        <v/>
      </c>
      <c r="T1413" s="35" t="str">
        <f aca="false">IF($D1413="","",IFERROR(INDEX(Kontenplan!$C$5:$C$90,MATCH($D1413,Kontenplan!$A$5:$A$90,0)),"?"))</f>
        <v/>
      </c>
      <c r="U1413" s="35" t="str">
        <f aca="false">IF($E1413="","",IFERROR(INDEX(Kontenplan!$C$5:$C$90,MATCH($E1413,Kontenplan!$A$5:$A$90,0)),"?"))</f>
        <v/>
      </c>
      <c r="V1413" s="35" t="str">
        <f aca="false">IF($F1413="","",IF(OR($D1413="",$E1413="",$T1413="?",$U1413="?"),"Konto prüfen!",IF($A1413="","Datum fehlt",IF(YEAR($A1413)&lt;&gt;Einstellungen!$B$7,"anderes Jahr!",IF($G1413="","MWST-Code fehlt","OK")))))</f>
        <v/>
      </c>
      <c r="W1413" s="35" t="str">
        <f aca="false">IF($F1413="","",IF(OR($D1413=Kontoauszug!$C$4,$E1413=Kontoauszug!$C$4),MAX(W$4:W1412)+1,""))</f>
        <v/>
      </c>
    </row>
    <row r="1414" customFormat="false" ht="15" hidden="false" customHeight="false" outlineLevel="0" collapsed="false">
      <c r="A1414" s="33"/>
      <c r="B1414" s="32"/>
      <c r="C1414" s="32"/>
      <c r="D1414" s="32"/>
      <c r="E1414" s="32"/>
      <c r="F1414" s="30"/>
      <c r="G1414" s="32"/>
      <c r="H1414" s="34" t="n">
        <f aca="false">IF($G1414="",0,IFERROR(INDEX(Einstellungen!$G$5:$G$11,MATCH($G1414,Einstellungen!$E$5:$E$11,0)),0))</f>
        <v>0</v>
      </c>
      <c r="I1414" s="35" t="str">
        <f aca="false">IF($G1414="","-",IFERROR(INDEX(Einstellungen!$H$5:$H$11,MATCH($G1414,Einstellungen!$E$5:$E$11,0)),"-"))</f>
        <v>-</v>
      </c>
      <c r="J1414" s="35" t="str">
        <f aca="false">IF(AND(Einstellungen!$B$8="Ja",Einstellungen!$B$9="Effektiv"),$I1414,"-")</f>
        <v>-</v>
      </c>
      <c r="K1414" s="31" t="n">
        <f aca="false">IF(OR($F1414="",$J1414="-"),0,ROUND($F1414-$F1414/(1+$H1414),2))</f>
        <v>0</v>
      </c>
      <c r="L1414" s="31" t="n">
        <f aca="false">IF($F1414="",0,$F1414-$K1414)</f>
        <v>0</v>
      </c>
      <c r="M1414" s="31" t="n">
        <f aca="false">IF($F1414="",0,IF($J1414="V",$L1414,$F1414))</f>
        <v>0</v>
      </c>
      <c r="N1414" s="31" t="n">
        <f aca="false">IF($F1414="",0,IF($J1414="U",$L1414,$F1414))</f>
        <v>0</v>
      </c>
      <c r="O1414" s="35" t="str">
        <f aca="false">IF($A1414="","",MONTH($A1414))</f>
        <v/>
      </c>
      <c r="P1414" s="35" t="str">
        <f aca="false">IF($A1414="","",ROUNDUP(MONTH($A1414)/3,0))</f>
        <v/>
      </c>
      <c r="Q1414" s="35" t="str">
        <f aca="false">IF($A1414="","",IF(MONTH($A1414)&lt;=6,1,2))</f>
        <v/>
      </c>
      <c r="R1414" s="35" t="str">
        <f aca="false">IF($E1414="","",IFERROR(INDEX(Kontenplan!$F$5:$F$90,MATCH($E1414,Kontenplan!$A$5:$A$90,0)),""))</f>
        <v/>
      </c>
      <c r="S1414" s="35" t="str">
        <f aca="false">IF($D1414="","",IFERROR(INDEX(Kontenplan!$F$5:$F$90,MATCH($D1414,Kontenplan!$A$5:$A$90,0)),""))</f>
        <v/>
      </c>
      <c r="T1414" s="35" t="str">
        <f aca="false">IF($D1414="","",IFERROR(INDEX(Kontenplan!$C$5:$C$90,MATCH($D1414,Kontenplan!$A$5:$A$90,0)),"?"))</f>
        <v/>
      </c>
      <c r="U1414" s="35" t="str">
        <f aca="false">IF($E1414="","",IFERROR(INDEX(Kontenplan!$C$5:$C$90,MATCH($E1414,Kontenplan!$A$5:$A$90,0)),"?"))</f>
        <v/>
      </c>
      <c r="V1414" s="35" t="str">
        <f aca="false">IF($F1414="","",IF(OR($D1414="",$E1414="",$T1414="?",$U1414="?"),"Konto prüfen!",IF($A1414="","Datum fehlt",IF(YEAR($A1414)&lt;&gt;Einstellungen!$B$7,"anderes Jahr!",IF($G1414="","MWST-Code fehlt","OK")))))</f>
        <v/>
      </c>
      <c r="W1414" s="35" t="str">
        <f aca="false">IF($F1414="","",IF(OR($D1414=Kontoauszug!$C$4,$E1414=Kontoauszug!$C$4),MAX(W$4:W1413)+1,""))</f>
        <v/>
      </c>
    </row>
    <row r="1415" customFormat="false" ht="15" hidden="false" customHeight="false" outlineLevel="0" collapsed="false">
      <c r="A1415" s="33"/>
      <c r="B1415" s="32"/>
      <c r="C1415" s="32"/>
      <c r="D1415" s="32"/>
      <c r="E1415" s="32"/>
      <c r="F1415" s="30"/>
      <c r="G1415" s="32"/>
      <c r="H1415" s="34" t="n">
        <f aca="false">IF($G1415="",0,IFERROR(INDEX(Einstellungen!$G$5:$G$11,MATCH($G1415,Einstellungen!$E$5:$E$11,0)),0))</f>
        <v>0</v>
      </c>
      <c r="I1415" s="35" t="str">
        <f aca="false">IF($G1415="","-",IFERROR(INDEX(Einstellungen!$H$5:$H$11,MATCH($G1415,Einstellungen!$E$5:$E$11,0)),"-"))</f>
        <v>-</v>
      </c>
      <c r="J1415" s="35" t="str">
        <f aca="false">IF(AND(Einstellungen!$B$8="Ja",Einstellungen!$B$9="Effektiv"),$I1415,"-")</f>
        <v>-</v>
      </c>
      <c r="K1415" s="31" t="n">
        <f aca="false">IF(OR($F1415="",$J1415="-"),0,ROUND($F1415-$F1415/(1+$H1415),2))</f>
        <v>0</v>
      </c>
      <c r="L1415" s="31" t="n">
        <f aca="false">IF($F1415="",0,$F1415-$K1415)</f>
        <v>0</v>
      </c>
      <c r="M1415" s="31" t="n">
        <f aca="false">IF($F1415="",0,IF($J1415="V",$L1415,$F1415))</f>
        <v>0</v>
      </c>
      <c r="N1415" s="31" t="n">
        <f aca="false">IF($F1415="",0,IF($J1415="U",$L1415,$F1415))</f>
        <v>0</v>
      </c>
      <c r="O1415" s="35" t="str">
        <f aca="false">IF($A1415="","",MONTH($A1415))</f>
        <v/>
      </c>
      <c r="P1415" s="35" t="str">
        <f aca="false">IF($A1415="","",ROUNDUP(MONTH($A1415)/3,0))</f>
        <v/>
      </c>
      <c r="Q1415" s="35" t="str">
        <f aca="false">IF($A1415="","",IF(MONTH($A1415)&lt;=6,1,2))</f>
        <v/>
      </c>
      <c r="R1415" s="35" t="str">
        <f aca="false">IF($E1415="","",IFERROR(INDEX(Kontenplan!$F$5:$F$90,MATCH($E1415,Kontenplan!$A$5:$A$90,0)),""))</f>
        <v/>
      </c>
      <c r="S1415" s="35" t="str">
        <f aca="false">IF($D1415="","",IFERROR(INDEX(Kontenplan!$F$5:$F$90,MATCH($D1415,Kontenplan!$A$5:$A$90,0)),""))</f>
        <v/>
      </c>
      <c r="T1415" s="35" t="str">
        <f aca="false">IF($D1415="","",IFERROR(INDEX(Kontenplan!$C$5:$C$90,MATCH($D1415,Kontenplan!$A$5:$A$90,0)),"?"))</f>
        <v/>
      </c>
      <c r="U1415" s="35" t="str">
        <f aca="false">IF($E1415="","",IFERROR(INDEX(Kontenplan!$C$5:$C$90,MATCH($E1415,Kontenplan!$A$5:$A$90,0)),"?"))</f>
        <v/>
      </c>
      <c r="V1415" s="35" t="str">
        <f aca="false">IF($F1415="","",IF(OR($D1415="",$E1415="",$T1415="?",$U1415="?"),"Konto prüfen!",IF($A1415="","Datum fehlt",IF(YEAR($A1415)&lt;&gt;Einstellungen!$B$7,"anderes Jahr!",IF($G1415="","MWST-Code fehlt","OK")))))</f>
        <v/>
      </c>
      <c r="W1415" s="35" t="str">
        <f aca="false">IF($F1415="","",IF(OR($D1415=Kontoauszug!$C$4,$E1415=Kontoauszug!$C$4),MAX(W$4:W1414)+1,""))</f>
        <v/>
      </c>
    </row>
    <row r="1416" customFormat="false" ht="15" hidden="false" customHeight="false" outlineLevel="0" collapsed="false">
      <c r="A1416" s="33"/>
      <c r="B1416" s="32"/>
      <c r="C1416" s="32"/>
      <c r="D1416" s="32"/>
      <c r="E1416" s="32"/>
      <c r="F1416" s="30"/>
      <c r="G1416" s="32"/>
      <c r="H1416" s="34" t="n">
        <f aca="false">IF($G1416="",0,IFERROR(INDEX(Einstellungen!$G$5:$G$11,MATCH($G1416,Einstellungen!$E$5:$E$11,0)),0))</f>
        <v>0</v>
      </c>
      <c r="I1416" s="35" t="str">
        <f aca="false">IF($G1416="","-",IFERROR(INDEX(Einstellungen!$H$5:$H$11,MATCH($G1416,Einstellungen!$E$5:$E$11,0)),"-"))</f>
        <v>-</v>
      </c>
      <c r="J1416" s="35" t="str">
        <f aca="false">IF(AND(Einstellungen!$B$8="Ja",Einstellungen!$B$9="Effektiv"),$I1416,"-")</f>
        <v>-</v>
      </c>
      <c r="K1416" s="31" t="n">
        <f aca="false">IF(OR($F1416="",$J1416="-"),0,ROUND($F1416-$F1416/(1+$H1416),2))</f>
        <v>0</v>
      </c>
      <c r="L1416" s="31" t="n">
        <f aca="false">IF($F1416="",0,$F1416-$K1416)</f>
        <v>0</v>
      </c>
      <c r="M1416" s="31" t="n">
        <f aca="false">IF($F1416="",0,IF($J1416="V",$L1416,$F1416))</f>
        <v>0</v>
      </c>
      <c r="N1416" s="31" t="n">
        <f aca="false">IF($F1416="",0,IF($J1416="U",$L1416,$F1416))</f>
        <v>0</v>
      </c>
      <c r="O1416" s="35" t="str">
        <f aca="false">IF($A1416="","",MONTH($A1416))</f>
        <v/>
      </c>
      <c r="P1416" s="35" t="str">
        <f aca="false">IF($A1416="","",ROUNDUP(MONTH($A1416)/3,0))</f>
        <v/>
      </c>
      <c r="Q1416" s="35" t="str">
        <f aca="false">IF($A1416="","",IF(MONTH($A1416)&lt;=6,1,2))</f>
        <v/>
      </c>
      <c r="R1416" s="35" t="str">
        <f aca="false">IF($E1416="","",IFERROR(INDEX(Kontenplan!$F$5:$F$90,MATCH($E1416,Kontenplan!$A$5:$A$90,0)),""))</f>
        <v/>
      </c>
      <c r="S1416" s="35" t="str">
        <f aca="false">IF($D1416="","",IFERROR(INDEX(Kontenplan!$F$5:$F$90,MATCH($D1416,Kontenplan!$A$5:$A$90,0)),""))</f>
        <v/>
      </c>
      <c r="T1416" s="35" t="str">
        <f aca="false">IF($D1416="","",IFERROR(INDEX(Kontenplan!$C$5:$C$90,MATCH($D1416,Kontenplan!$A$5:$A$90,0)),"?"))</f>
        <v/>
      </c>
      <c r="U1416" s="35" t="str">
        <f aca="false">IF($E1416="","",IFERROR(INDEX(Kontenplan!$C$5:$C$90,MATCH($E1416,Kontenplan!$A$5:$A$90,0)),"?"))</f>
        <v/>
      </c>
      <c r="V1416" s="35" t="str">
        <f aca="false">IF($F1416="","",IF(OR($D1416="",$E1416="",$T1416="?",$U1416="?"),"Konto prüfen!",IF($A1416="","Datum fehlt",IF(YEAR($A1416)&lt;&gt;Einstellungen!$B$7,"anderes Jahr!",IF($G1416="","MWST-Code fehlt","OK")))))</f>
        <v/>
      </c>
      <c r="W1416" s="35" t="str">
        <f aca="false">IF($F1416="","",IF(OR($D1416=Kontoauszug!$C$4,$E1416=Kontoauszug!$C$4),MAX(W$4:W1415)+1,""))</f>
        <v/>
      </c>
    </row>
    <row r="1417" customFormat="false" ht="15" hidden="false" customHeight="false" outlineLevel="0" collapsed="false">
      <c r="A1417" s="33"/>
      <c r="B1417" s="32"/>
      <c r="C1417" s="32"/>
      <c r="D1417" s="32"/>
      <c r="E1417" s="32"/>
      <c r="F1417" s="30"/>
      <c r="G1417" s="32"/>
      <c r="H1417" s="34" t="n">
        <f aca="false">IF($G1417="",0,IFERROR(INDEX(Einstellungen!$G$5:$G$11,MATCH($G1417,Einstellungen!$E$5:$E$11,0)),0))</f>
        <v>0</v>
      </c>
      <c r="I1417" s="35" t="str">
        <f aca="false">IF($G1417="","-",IFERROR(INDEX(Einstellungen!$H$5:$H$11,MATCH($G1417,Einstellungen!$E$5:$E$11,0)),"-"))</f>
        <v>-</v>
      </c>
      <c r="J1417" s="35" t="str">
        <f aca="false">IF(AND(Einstellungen!$B$8="Ja",Einstellungen!$B$9="Effektiv"),$I1417,"-")</f>
        <v>-</v>
      </c>
      <c r="K1417" s="31" t="n">
        <f aca="false">IF(OR($F1417="",$J1417="-"),0,ROUND($F1417-$F1417/(1+$H1417),2))</f>
        <v>0</v>
      </c>
      <c r="L1417" s="31" t="n">
        <f aca="false">IF($F1417="",0,$F1417-$K1417)</f>
        <v>0</v>
      </c>
      <c r="M1417" s="31" t="n">
        <f aca="false">IF($F1417="",0,IF($J1417="V",$L1417,$F1417))</f>
        <v>0</v>
      </c>
      <c r="N1417" s="31" t="n">
        <f aca="false">IF($F1417="",0,IF($J1417="U",$L1417,$F1417))</f>
        <v>0</v>
      </c>
      <c r="O1417" s="35" t="str">
        <f aca="false">IF($A1417="","",MONTH($A1417))</f>
        <v/>
      </c>
      <c r="P1417" s="35" t="str">
        <f aca="false">IF($A1417="","",ROUNDUP(MONTH($A1417)/3,0))</f>
        <v/>
      </c>
      <c r="Q1417" s="35" t="str">
        <f aca="false">IF($A1417="","",IF(MONTH($A1417)&lt;=6,1,2))</f>
        <v/>
      </c>
      <c r="R1417" s="35" t="str">
        <f aca="false">IF($E1417="","",IFERROR(INDEX(Kontenplan!$F$5:$F$90,MATCH($E1417,Kontenplan!$A$5:$A$90,0)),""))</f>
        <v/>
      </c>
      <c r="S1417" s="35" t="str">
        <f aca="false">IF($D1417="","",IFERROR(INDEX(Kontenplan!$F$5:$F$90,MATCH($D1417,Kontenplan!$A$5:$A$90,0)),""))</f>
        <v/>
      </c>
      <c r="T1417" s="35" t="str">
        <f aca="false">IF($D1417="","",IFERROR(INDEX(Kontenplan!$C$5:$C$90,MATCH($D1417,Kontenplan!$A$5:$A$90,0)),"?"))</f>
        <v/>
      </c>
      <c r="U1417" s="35" t="str">
        <f aca="false">IF($E1417="","",IFERROR(INDEX(Kontenplan!$C$5:$C$90,MATCH($E1417,Kontenplan!$A$5:$A$90,0)),"?"))</f>
        <v/>
      </c>
      <c r="V1417" s="35" t="str">
        <f aca="false">IF($F1417="","",IF(OR($D1417="",$E1417="",$T1417="?",$U1417="?"),"Konto prüfen!",IF($A1417="","Datum fehlt",IF(YEAR($A1417)&lt;&gt;Einstellungen!$B$7,"anderes Jahr!",IF($G1417="","MWST-Code fehlt","OK")))))</f>
        <v/>
      </c>
      <c r="W1417" s="35" t="str">
        <f aca="false">IF($F1417="","",IF(OR($D1417=Kontoauszug!$C$4,$E1417=Kontoauszug!$C$4),MAX(W$4:W1416)+1,""))</f>
        <v/>
      </c>
    </row>
    <row r="1418" customFormat="false" ht="15" hidden="false" customHeight="false" outlineLevel="0" collapsed="false">
      <c r="A1418" s="33"/>
      <c r="B1418" s="32"/>
      <c r="C1418" s="32"/>
      <c r="D1418" s="32"/>
      <c r="E1418" s="32"/>
      <c r="F1418" s="30"/>
      <c r="G1418" s="32"/>
      <c r="H1418" s="34" t="n">
        <f aca="false">IF($G1418="",0,IFERROR(INDEX(Einstellungen!$G$5:$G$11,MATCH($G1418,Einstellungen!$E$5:$E$11,0)),0))</f>
        <v>0</v>
      </c>
      <c r="I1418" s="35" t="str">
        <f aca="false">IF($G1418="","-",IFERROR(INDEX(Einstellungen!$H$5:$H$11,MATCH($G1418,Einstellungen!$E$5:$E$11,0)),"-"))</f>
        <v>-</v>
      </c>
      <c r="J1418" s="35" t="str">
        <f aca="false">IF(AND(Einstellungen!$B$8="Ja",Einstellungen!$B$9="Effektiv"),$I1418,"-")</f>
        <v>-</v>
      </c>
      <c r="K1418" s="31" t="n">
        <f aca="false">IF(OR($F1418="",$J1418="-"),0,ROUND($F1418-$F1418/(1+$H1418),2))</f>
        <v>0</v>
      </c>
      <c r="L1418" s="31" t="n">
        <f aca="false">IF($F1418="",0,$F1418-$K1418)</f>
        <v>0</v>
      </c>
      <c r="M1418" s="31" t="n">
        <f aca="false">IF($F1418="",0,IF($J1418="V",$L1418,$F1418))</f>
        <v>0</v>
      </c>
      <c r="N1418" s="31" t="n">
        <f aca="false">IF($F1418="",0,IF($J1418="U",$L1418,$F1418))</f>
        <v>0</v>
      </c>
      <c r="O1418" s="35" t="str">
        <f aca="false">IF($A1418="","",MONTH($A1418))</f>
        <v/>
      </c>
      <c r="P1418" s="35" t="str">
        <f aca="false">IF($A1418="","",ROUNDUP(MONTH($A1418)/3,0))</f>
        <v/>
      </c>
      <c r="Q1418" s="35" t="str">
        <f aca="false">IF($A1418="","",IF(MONTH($A1418)&lt;=6,1,2))</f>
        <v/>
      </c>
      <c r="R1418" s="35" t="str">
        <f aca="false">IF($E1418="","",IFERROR(INDEX(Kontenplan!$F$5:$F$90,MATCH($E1418,Kontenplan!$A$5:$A$90,0)),""))</f>
        <v/>
      </c>
      <c r="S1418" s="35" t="str">
        <f aca="false">IF($D1418="","",IFERROR(INDEX(Kontenplan!$F$5:$F$90,MATCH($D1418,Kontenplan!$A$5:$A$90,0)),""))</f>
        <v/>
      </c>
      <c r="T1418" s="35" t="str">
        <f aca="false">IF($D1418="","",IFERROR(INDEX(Kontenplan!$C$5:$C$90,MATCH($D1418,Kontenplan!$A$5:$A$90,0)),"?"))</f>
        <v/>
      </c>
      <c r="U1418" s="35" t="str">
        <f aca="false">IF($E1418="","",IFERROR(INDEX(Kontenplan!$C$5:$C$90,MATCH($E1418,Kontenplan!$A$5:$A$90,0)),"?"))</f>
        <v/>
      </c>
      <c r="V1418" s="35" t="str">
        <f aca="false">IF($F1418="","",IF(OR($D1418="",$E1418="",$T1418="?",$U1418="?"),"Konto prüfen!",IF($A1418="","Datum fehlt",IF(YEAR($A1418)&lt;&gt;Einstellungen!$B$7,"anderes Jahr!",IF($G1418="","MWST-Code fehlt","OK")))))</f>
        <v/>
      </c>
      <c r="W1418" s="35" t="str">
        <f aca="false">IF($F1418="","",IF(OR($D1418=Kontoauszug!$C$4,$E1418=Kontoauszug!$C$4),MAX(W$4:W1417)+1,""))</f>
        <v/>
      </c>
    </row>
    <row r="1419" customFormat="false" ht="15" hidden="false" customHeight="false" outlineLevel="0" collapsed="false">
      <c r="A1419" s="33"/>
      <c r="B1419" s="32"/>
      <c r="C1419" s="32"/>
      <c r="D1419" s="32"/>
      <c r="E1419" s="32"/>
      <c r="F1419" s="30"/>
      <c r="G1419" s="32"/>
      <c r="H1419" s="34" t="n">
        <f aca="false">IF($G1419="",0,IFERROR(INDEX(Einstellungen!$G$5:$G$11,MATCH($G1419,Einstellungen!$E$5:$E$11,0)),0))</f>
        <v>0</v>
      </c>
      <c r="I1419" s="35" t="str">
        <f aca="false">IF($G1419="","-",IFERROR(INDEX(Einstellungen!$H$5:$H$11,MATCH($G1419,Einstellungen!$E$5:$E$11,0)),"-"))</f>
        <v>-</v>
      </c>
      <c r="J1419" s="35" t="str">
        <f aca="false">IF(AND(Einstellungen!$B$8="Ja",Einstellungen!$B$9="Effektiv"),$I1419,"-")</f>
        <v>-</v>
      </c>
      <c r="K1419" s="31" t="n">
        <f aca="false">IF(OR($F1419="",$J1419="-"),0,ROUND($F1419-$F1419/(1+$H1419),2))</f>
        <v>0</v>
      </c>
      <c r="L1419" s="31" t="n">
        <f aca="false">IF($F1419="",0,$F1419-$K1419)</f>
        <v>0</v>
      </c>
      <c r="M1419" s="31" t="n">
        <f aca="false">IF($F1419="",0,IF($J1419="V",$L1419,$F1419))</f>
        <v>0</v>
      </c>
      <c r="N1419" s="31" t="n">
        <f aca="false">IF($F1419="",0,IF($J1419="U",$L1419,$F1419))</f>
        <v>0</v>
      </c>
      <c r="O1419" s="35" t="str">
        <f aca="false">IF($A1419="","",MONTH($A1419))</f>
        <v/>
      </c>
      <c r="P1419" s="35" t="str">
        <f aca="false">IF($A1419="","",ROUNDUP(MONTH($A1419)/3,0))</f>
        <v/>
      </c>
      <c r="Q1419" s="35" t="str">
        <f aca="false">IF($A1419="","",IF(MONTH($A1419)&lt;=6,1,2))</f>
        <v/>
      </c>
      <c r="R1419" s="35" t="str">
        <f aca="false">IF($E1419="","",IFERROR(INDEX(Kontenplan!$F$5:$F$90,MATCH($E1419,Kontenplan!$A$5:$A$90,0)),""))</f>
        <v/>
      </c>
      <c r="S1419" s="35" t="str">
        <f aca="false">IF($D1419="","",IFERROR(INDEX(Kontenplan!$F$5:$F$90,MATCH($D1419,Kontenplan!$A$5:$A$90,0)),""))</f>
        <v/>
      </c>
      <c r="T1419" s="35" t="str">
        <f aca="false">IF($D1419="","",IFERROR(INDEX(Kontenplan!$C$5:$C$90,MATCH($D1419,Kontenplan!$A$5:$A$90,0)),"?"))</f>
        <v/>
      </c>
      <c r="U1419" s="35" t="str">
        <f aca="false">IF($E1419="","",IFERROR(INDEX(Kontenplan!$C$5:$C$90,MATCH($E1419,Kontenplan!$A$5:$A$90,0)),"?"))</f>
        <v/>
      </c>
      <c r="V1419" s="35" t="str">
        <f aca="false">IF($F1419="","",IF(OR($D1419="",$E1419="",$T1419="?",$U1419="?"),"Konto prüfen!",IF($A1419="","Datum fehlt",IF(YEAR($A1419)&lt;&gt;Einstellungen!$B$7,"anderes Jahr!",IF($G1419="","MWST-Code fehlt","OK")))))</f>
        <v/>
      </c>
      <c r="W1419" s="35" t="str">
        <f aca="false">IF($F1419="","",IF(OR($D1419=Kontoauszug!$C$4,$E1419=Kontoauszug!$C$4),MAX(W$4:W1418)+1,""))</f>
        <v/>
      </c>
    </row>
    <row r="1420" customFormat="false" ht="15" hidden="false" customHeight="false" outlineLevel="0" collapsed="false">
      <c r="A1420" s="33"/>
      <c r="B1420" s="32"/>
      <c r="C1420" s="32"/>
      <c r="D1420" s="32"/>
      <c r="E1420" s="32"/>
      <c r="F1420" s="30"/>
      <c r="G1420" s="32"/>
      <c r="H1420" s="34" t="n">
        <f aca="false">IF($G1420="",0,IFERROR(INDEX(Einstellungen!$G$5:$G$11,MATCH($G1420,Einstellungen!$E$5:$E$11,0)),0))</f>
        <v>0</v>
      </c>
      <c r="I1420" s="35" t="str">
        <f aca="false">IF($G1420="","-",IFERROR(INDEX(Einstellungen!$H$5:$H$11,MATCH($G1420,Einstellungen!$E$5:$E$11,0)),"-"))</f>
        <v>-</v>
      </c>
      <c r="J1420" s="35" t="str">
        <f aca="false">IF(AND(Einstellungen!$B$8="Ja",Einstellungen!$B$9="Effektiv"),$I1420,"-")</f>
        <v>-</v>
      </c>
      <c r="K1420" s="31" t="n">
        <f aca="false">IF(OR($F1420="",$J1420="-"),0,ROUND($F1420-$F1420/(1+$H1420),2))</f>
        <v>0</v>
      </c>
      <c r="L1420" s="31" t="n">
        <f aca="false">IF($F1420="",0,$F1420-$K1420)</f>
        <v>0</v>
      </c>
      <c r="M1420" s="31" t="n">
        <f aca="false">IF($F1420="",0,IF($J1420="V",$L1420,$F1420))</f>
        <v>0</v>
      </c>
      <c r="N1420" s="31" t="n">
        <f aca="false">IF($F1420="",0,IF($J1420="U",$L1420,$F1420))</f>
        <v>0</v>
      </c>
      <c r="O1420" s="35" t="str">
        <f aca="false">IF($A1420="","",MONTH($A1420))</f>
        <v/>
      </c>
      <c r="P1420" s="35" t="str">
        <f aca="false">IF($A1420="","",ROUNDUP(MONTH($A1420)/3,0))</f>
        <v/>
      </c>
      <c r="Q1420" s="35" t="str">
        <f aca="false">IF($A1420="","",IF(MONTH($A1420)&lt;=6,1,2))</f>
        <v/>
      </c>
      <c r="R1420" s="35" t="str">
        <f aca="false">IF($E1420="","",IFERROR(INDEX(Kontenplan!$F$5:$F$90,MATCH($E1420,Kontenplan!$A$5:$A$90,0)),""))</f>
        <v/>
      </c>
      <c r="S1420" s="35" t="str">
        <f aca="false">IF($D1420="","",IFERROR(INDEX(Kontenplan!$F$5:$F$90,MATCH($D1420,Kontenplan!$A$5:$A$90,0)),""))</f>
        <v/>
      </c>
      <c r="T1420" s="35" t="str">
        <f aca="false">IF($D1420="","",IFERROR(INDEX(Kontenplan!$C$5:$C$90,MATCH($D1420,Kontenplan!$A$5:$A$90,0)),"?"))</f>
        <v/>
      </c>
      <c r="U1420" s="35" t="str">
        <f aca="false">IF($E1420="","",IFERROR(INDEX(Kontenplan!$C$5:$C$90,MATCH($E1420,Kontenplan!$A$5:$A$90,0)),"?"))</f>
        <v/>
      </c>
      <c r="V1420" s="35" t="str">
        <f aca="false">IF($F1420="","",IF(OR($D1420="",$E1420="",$T1420="?",$U1420="?"),"Konto prüfen!",IF($A1420="","Datum fehlt",IF(YEAR($A1420)&lt;&gt;Einstellungen!$B$7,"anderes Jahr!",IF($G1420="","MWST-Code fehlt","OK")))))</f>
        <v/>
      </c>
      <c r="W1420" s="35" t="str">
        <f aca="false">IF($F1420="","",IF(OR($D1420=Kontoauszug!$C$4,$E1420=Kontoauszug!$C$4),MAX(W$4:W1419)+1,""))</f>
        <v/>
      </c>
    </row>
    <row r="1421" customFormat="false" ht="15" hidden="false" customHeight="false" outlineLevel="0" collapsed="false">
      <c r="A1421" s="33"/>
      <c r="B1421" s="32"/>
      <c r="C1421" s="32"/>
      <c r="D1421" s="32"/>
      <c r="E1421" s="32"/>
      <c r="F1421" s="30"/>
      <c r="G1421" s="32"/>
      <c r="H1421" s="34" t="n">
        <f aca="false">IF($G1421="",0,IFERROR(INDEX(Einstellungen!$G$5:$G$11,MATCH($G1421,Einstellungen!$E$5:$E$11,0)),0))</f>
        <v>0</v>
      </c>
      <c r="I1421" s="35" t="str">
        <f aca="false">IF($G1421="","-",IFERROR(INDEX(Einstellungen!$H$5:$H$11,MATCH($G1421,Einstellungen!$E$5:$E$11,0)),"-"))</f>
        <v>-</v>
      </c>
      <c r="J1421" s="35" t="str">
        <f aca="false">IF(AND(Einstellungen!$B$8="Ja",Einstellungen!$B$9="Effektiv"),$I1421,"-")</f>
        <v>-</v>
      </c>
      <c r="K1421" s="31" t="n">
        <f aca="false">IF(OR($F1421="",$J1421="-"),0,ROUND($F1421-$F1421/(1+$H1421),2))</f>
        <v>0</v>
      </c>
      <c r="L1421" s="31" t="n">
        <f aca="false">IF($F1421="",0,$F1421-$K1421)</f>
        <v>0</v>
      </c>
      <c r="M1421" s="31" t="n">
        <f aca="false">IF($F1421="",0,IF($J1421="V",$L1421,$F1421))</f>
        <v>0</v>
      </c>
      <c r="N1421" s="31" t="n">
        <f aca="false">IF($F1421="",0,IF($J1421="U",$L1421,$F1421))</f>
        <v>0</v>
      </c>
      <c r="O1421" s="35" t="str">
        <f aca="false">IF($A1421="","",MONTH($A1421))</f>
        <v/>
      </c>
      <c r="P1421" s="35" t="str">
        <f aca="false">IF($A1421="","",ROUNDUP(MONTH($A1421)/3,0))</f>
        <v/>
      </c>
      <c r="Q1421" s="35" t="str">
        <f aca="false">IF($A1421="","",IF(MONTH($A1421)&lt;=6,1,2))</f>
        <v/>
      </c>
      <c r="R1421" s="35" t="str">
        <f aca="false">IF($E1421="","",IFERROR(INDEX(Kontenplan!$F$5:$F$90,MATCH($E1421,Kontenplan!$A$5:$A$90,0)),""))</f>
        <v/>
      </c>
      <c r="S1421" s="35" t="str">
        <f aca="false">IF($D1421="","",IFERROR(INDEX(Kontenplan!$F$5:$F$90,MATCH($D1421,Kontenplan!$A$5:$A$90,0)),""))</f>
        <v/>
      </c>
      <c r="T1421" s="35" t="str">
        <f aca="false">IF($D1421="","",IFERROR(INDEX(Kontenplan!$C$5:$C$90,MATCH($D1421,Kontenplan!$A$5:$A$90,0)),"?"))</f>
        <v/>
      </c>
      <c r="U1421" s="35" t="str">
        <f aca="false">IF($E1421="","",IFERROR(INDEX(Kontenplan!$C$5:$C$90,MATCH($E1421,Kontenplan!$A$5:$A$90,0)),"?"))</f>
        <v/>
      </c>
      <c r="V1421" s="35" t="str">
        <f aca="false">IF($F1421="","",IF(OR($D1421="",$E1421="",$T1421="?",$U1421="?"),"Konto prüfen!",IF($A1421="","Datum fehlt",IF(YEAR($A1421)&lt;&gt;Einstellungen!$B$7,"anderes Jahr!",IF($G1421="","MWST-Code fehlt","OK")))))</f>
        <v/>
      </c>
      <c r="W1421" s="35" t="str">
        <f aca="false">IF($F1421="","",IF(OR($D1421=Kontoauszug!$C$4,$E1421=Kontoauszug!$C$4),MAX(W$4:W1420)+1,""))</f>
        <v/>
      </c>
    </row>
    <row r="1422" customFormat="false" ht="15" hidden="false" customHeight="false" outlineLevel="0" collapsed="false">
      <c r="A1422" s="33"/>
      <c r="B1422" s="32"/>
      <c r="C1422" s="32"/>
      <c r="D1422" s="32"/>
      <c r="E1422" s="32"/>
      <c r="F1422" s="30"/>
      <c r="G1422" s="32"/>
      <c r="H1422" s="34" t="n">
        <f aca="false">IF($G1422="",0,IFERROR(INDEX(Einstellungen!$G$5:$G$11,MATCH($G1422,Einstellungen!$E$5:$E$11,0)),0))</f>
        <v>0</v>
      </c>
      <c r="I1422" s="35" t="str">
        <f aca="false">IF($G1422="","-",IFERROR(INDEX(Einstellungen!$H$5:$H$11,MATCH($G1422,Einstellungen!$E$5:$E$11,0)),"-"))</f>
        <v>-</v>
      </c>
      <c r="J1422" s="35" t="str">
        <f aca="false">IF(AND(Einstellungen!$B$8="Ja",Einstellungen!$B$9="Effektiv"),$I1422,"-")</f>
        <v>-</v>
      </c>
      <c r="K1422" s="31" t="n">
        <f aca="false">IF(OR($F1422="",$J1422="-"),0,ROUND($F1422-$F1422/(1+$H1422),2))</f>
        <v>0</v>
      </c>
      <c r="L1422" s="31" t="n">
        <f aca="false">IF($F1422="",0,$F1422-$K1422)</f>
        <v>0</v>
      </c>
      <c r="M1422" s="31" t="n">
        <f aca="false">IF($F1422="",0,IF($J1422="V",$L1422,$F1422))</f>
        <v>0</v>
      </c>
      <c r="N1422" s="31" t="n">
        <f aca="false">IF($F1422="",0,IF($J1422="U",$L1422,$F1422))</f>
        <v>0</v>
      </c>
      <c r="O1422" s="35" t="str">
        <f aca="false">IF($A1422="","",MONTH($A1422))</f>
        <v/>
      </c>
      <c r="P1422" s="35" t="str">
        <f aca="false">IF($A1422="","",ROUNDUP(MONTH($A1422)/3,0))</f>
        <v/>
      </c>
      <c r="Q1422" s="35" t="str">
        <f aca="false">IF($A1422="","",IF(MONTH($A1422)&lt;=6,1,2))</f>
        <v/>
      </c>
      <c r="R1422" s="35" t="str">
        <f aca="false">IF($E1422="","",IFERROR(INDEX(Kontenplan!$F$5:$F$90,MATCH($E1422,Kontenplan!$A$5:$A$90,0)),""))</f>
        <v/>
      </c>
      <c r="S1422" s="35" t="str">
        <f aca="false">IF($D1422="","",IFERROR(INDEX(Kontenplan!$F$5:$F$90,MATCH($D1422,Kontenplan!$A$5:$A$90,0)),""))</f>
        <v/>
      </c>
      <c r="T1422" s="35" t="str">
        <f aca="false">IF($D1422="","",IFERROR(INDEX(Kontenplan!$C$5:$C$90,MATCH($D1422,Kontenplan!$A$5:$A$90,0)),"?"))</f>
        <v/>
      </c>
      <c r="U1422" s="35" t="str">
        <f aca="false">IF($E1422="","",IFERROR(INDEX(Kontenplan!$C$5:$C$90,MATCH($E1422,Kontenplan!$A$5:$A$90,0)),"?"))</f>
        <v/>
      </c>
      <c r="V1422" s="35" t="str">
        <f aca="false">IF($F1422="","",IF(OR($D1422="",$E1422="",$T1422="?",$U1422="?"),"Konto prüfen!",IF($A1422="","Datum fehlt",IF(YEAR($A1422)&lt;&gt;Einstellungen!$B$7,"anderes Jahr!",IF($G1422="","MWST-Code fehlt","OK")))))</f>
        <v/>
      </c>
      <c r="W1422" s="35" t="str">
        <f aca="false">IF($F1422="","",IF(OR($D1422=Kontoauszug!$C$4,$E1422=Kontoauszug!$C$4),MAX(W$4:W1421)+1,""))</f>
        <v/>
      </c>
    </row>
    <row r="1423" customFormat="false" ht="15" hidden="false" customHeight="false" outlineLevel="0" collapsed="false">
      <c r="A1423" s="33"/>
      <c r="B1423" s="32"/>
      <c r="C1423" s="32"/>
      <c r="D1423" s="32"/>
      <c r="E1423" s="32"/>
      <c r="F1423" s="30"/>
      <c r="G1423" s="32"/>
      <c r="H1423" s="34" t="n">
        <f aca="false">IF($G1423="",0,IFERROR(INDEX(Einstellungen!$G$5:$G$11,MATCH($G1423,Einstellungen!$E$5:$E$11,0)),0))</f>
        <v>0</v>
      </c>
      <c r="I1423" s="35" t="str">
        <f aca="false">IF($G1423="","-",IFERROR(INDEX(Einstellungen!$H$5:$H$11,MATCH($G1423,Einstellungen!$E$5:$E$11,0)),"-"))</f>
        <v>-</v>
      </c>
      <c r="J1423" s="35" t="str">
        <f aca="false">IF(AND(Einstellungen!$B$8="Ja",Einstellungen!$B$9="Effektiv"),$I1423,"-")</f>
        <v>-</v>
      </c>
      <c r="K1423" s="31" t="n">
        <f aca="false">IF(OR($F1423="",$J1423="-"),0,ROUND($F1423-$F1423/(1+$H1423),2))</f>
        <v>0</v>
      </c>
      <c r="L1423" s="31" t="n">
        <f aca="false">IF($F1423="",0,$F1423-$K1423)</f>
        <v>0</v>
      </c>
      <c r="M1423" s="31" t="n">
        <f aca="false">IF($F1423="",0,IF($J1423="V",$L1423,$F1423))</f>
        <v>0</v>
      </c>
      <c r="N1423" s="31" t="n">
        <f aca="false">IF($F1423="",0,IF($J1423="U",$L1423,$F1423))</f>
        <v>0</v>
      </c>
      <c r="O1423" s="35" t="str">
        <f aca="false">IF($A1423="","",MONTH($A1423))</f>
        <v/>
      </c>
      <c r="P1423" s="35" t="str">
        <f aca="false">IF($A1423="","",ROUNDUP(MONTH($A1423)/3,0))</f>
        <v/>
      </c>
      <c r="Q1423" s="35" t="str">
        <f aca="false">IF($A1423="","",IF(MONTH($A1423)&lt;=6,1,2))</f>
        <v/>
      </c>
      <c r="R1423" s="35" t="str">
        <f aca="false">IF($E1423="","",IFERROR(INDEX(Kontenplan!$F$5:$F$90,MATCH($E1423,Kontenplan!$A$5:$A$90,0)),""))</f>
        <v/>
      </c>
      <c r="S1423" s="35" t="str">
        <f aca="false">IF($D1423="","",IFERROR(INDEX(Kontenplan!$F$5:$F$90,MATCH($D1423,Kontenplan!$A$5:$A$90,0)),""))</f>
        <v/>
      </c>
      <c r="T1423" s="35" t="str">
        <f aca="false">IF($D1423="","",IFERROR(INDEX(Kontenplan!$C$5:$C$90,MATCH($D1423,Kontenplan!$A$5:$A$90,0)),"?"))</f>
        <v/>
      </c>
      <c r="U1423" s="35" t="str">
        <f aca="false">IF($E1423="","",IFERROR(INDEX(Kontenplan!$C$5:$C$90,MATCH($E1423,Kontenplan!$A$5:$A$90,0)),"?"))</f>
        <v/>
      </c>
      <c r="V1423" s="35" t="str">
        <f aca="false">IF($F1423="","",IF(OR($D1423="",$E1423="",$T1423="?",$U1423="?"),"Konto prüfen!",IF($A1423="","Datum fehlt",IF(YEAR($A1423)&lt;&gt;Einstellungen!$B$7,"anderes Jahr!",IF($G1423="","MWST-Code fehlt","OK")))))</f>
        <v/>
      </c>
      <c r="W1423" s="35" t="str">
        <f aca="false">IF($F1423="","",IF(OR($D1423=Kontoauszug!$C$4,$E1423=Kontoauszug!$C$4),MAX(W$4:W1422)+1,""))</f>
        <v/>
      </c>
    </row>
    <row r="1424" customFormat="false" ht="15" hidden="false" customHeight="false" outlineLevel="0" collapsed="false">
      <c r="A1424" s="33"/>
      <c r="B1424" s="32"/>
      <c r="C1424" s="32"/>
      <c r="D1424" s="32"/>
      <c r="E1424" s="32"/>
      <c r="F1424" s="30"/>
      <c r="G1424" s="32"/>
      <c r="H1424" s="34" t="n">
        <f aca="false">IF($G1424="",0,IFERROR(INDEX(Einstellungen!$G$5:$G$11,MATCH($G1424,Einstellungen!$E$5:$E$11,0)),0))</f>
        <v>0</v>
      </c>
      <c r="I1424" s="35" t="str">
        <f aca="false">IF($G1424="","-",IFERROR(INDEX(Einstellungen!$H$5:$H$11,MATCH($G1424,Einstellungen!$E$5:$E$11,0)),"-"))</f>
        <v>-</v>
      </c>
      <c r="J1424" s="35" t="str">
        <f aca="false">IF(AND(Einstellungen!$B$8="Ja",Einstellungen!$B$9="Effektiv"),$I1424,"-")</f>
        <v>-</v>
      </c>
      <c r="K1424" s="31" t="n">
        <f aca="false">IF(OR($F1424="",$J1424="-"),0,ROUND($F1424-$F1424/(1+$H1424),2))</f>
        <v>0</v>
      </c>
      <c r="L1424" s="31" t="n">
        <f aca="false">IF($F1424="",0,$F1424-$K1424)</f>
        <v>0</v>
      </c>
      <c r="M1424" s="31" t="n">
        <f aca="false">IF($F1424="",0,IF($J1424="V",$L1424,$F1424))</f>
        <v>0</v>
      </c>
      <c r="N1424" s="31" t="n">
        <f aca="false">IF($F1424="",0,IF($J1424="U",$L1424,$F1424))</f>
        <v>0</v>
      </c>
      <c r="O1424" s="35" t="str">
        <f aca="false">IF($A1424="","",MONTH($A1424))</f>
        <v/>
      </c>
      <c r="P1424" s="35" t="str">
        <f aca="false">IF($A1424="","",ROUNDUP(MONTH($A1424)/3,0))</f>
        <v/>
      </c>
      <c r="Q1424" s="35" t="str">
        <f aca="false">IF($A1424="","",IF(MONTH($A1424)&lt;=6,1,2))</f>
        <v/>
      </c>
      <c r="R1424" s="35" t="str">
        <f aca="false">IF($E1424="","",IFERROR(INDEX(Kontenplan!$F$5:$F$90,MATCH($E1424,Kontenplan!$A$5:$A$90,0)),""))</f>
        <v/>
      </c>
      <c r="S1424" s="35" t="str">
        <f aca="false">IF($D1424="","",IFERROR(INDEX(Kontenplan!$F$5:$F$90,MATCH($D1424,Kontenplan!$A$5:$A$90,0)),""))</f>
        <v/>
      </c>
      <c r="T1424" s="35" t="str">
        <f aca="false">IF($D1424="","",IFERROR(INDEX(Kontenplan!$C$5:$C$90,MATCH($D1424,Kontenplan!$A$5:$A$90,0)),"?"))</f>
        <v/>
      </c>
      <c r="U1424" s="35" t="str">
        <f aca="false">IF($E1424="","",IFERROR(INDEX(Kontenplan!$C$5:$C$90,MATCH($E1424,Kontenplan!$A$5:$A$90,0)),"?"))</f>
        <v/>
      </c>
      <c r="V1424" s="35" t="str">
        <f aca="false">IF($F1424="","",IF(OR($D1424="",$E1424="",$T1424="?",$U1424="?"),"Konto prüfen!",IF($A1424="","Datum fehlt",IF(YEAR($A1424)&lt;&gt;Einstellungen!$B$7,"anderes Jahr!",IF($G1424="","MWST-Code fehlt","OK")))))</f>
        <v/>
      </c>
      <c r="W1424" s="35" t="str">
        <f aca="false">IF($F1424="","",IF(OR($D1424=Kontoauszug!$C$4,$E1424=Kontoauszug!$C$4),MAX(W$4:W1423)+1,""))</f>
        <v/>
      </c>
    </row>
    <row r="1425" customFormat="false" ht="15" hidden="false" customHeight="false" outlineLevel="0" collapsed="false">
      <c r="A1425" s="33"/>
      <c r="B1425" s="32"/>
      <c r="C1425" s="32"/>
      <c r="D1425" s="32"/>
      <c r="E1425" s="32"/>
      <c r="F1425" s="30"/>
      <c r="G1425" s="32"/>
      <c r="H1425" s="34" t="n">
        <f aca="false">IF($G1425="",0,IFERROR(INDEX(Einstellungen!$G$5:$G$11,MATCH($G1425,Einstellungen!$E$5:$E$11,0)),0))</f>
        <v>0</v>
      </c>
      <c r="I1425" s="35" t="str">
        <f aca="false">IF($G1425="","-",IFERROR(INDEX(Einstellungen!$H$5:$H$11,MATCH($G1425,Einstellungen!$E$5:$E$11,0)),"-"))</f>
        <v>-</v>
      </c>
      <c r="J1425" s="35" t="str">
        <f aca="false">IF(AND(Einstellungen!$B$8="Ja",Einstellungen!$B$9="Effektiv"),$I1425,"-")</f>
        <v>-</v>
      </c>
      <c r="K1425" s="31" t="n">
        <f aca="false">IF(OR($F1425="",$J1425="-"),0,ROUND($F1425-$F1425/(1+$H1425),2))</f>
        <v>0</v>
      </c>
      <c r="L1425" s="31" t="n">
        <f aca="false">IF($F1425="",0,$F1425-$K1425)</f>
        <v>0</v>
      </c>
      <c r="M1425" s="31" t="n">
        <f aca="false">IF($F1425="",0,IF($J1425="V",$L1425,$F1425))</f>
        <v>0</v>
      </c>
      <c r="N1425" s="31" t="n">
        <f aca="false">IF($F1425="",0,IF($J1425="U",$L1425,$F1425))</f>
        <v>0</v>
      </c>
      <c r="O1425" s="35" t="str">
        <f aca="false">IF($A1425="","",MONTH($A1425))</f>
        <v/>
      </c>
      <c r="P1425" s="35" t="str">
        <f aca="false">IF($A1425="","",ROUNDUP(MONTH($A1425)/3,0))</f>
        <v/>
      </c>
      <c r="Q1425" s="35" t="str">
        <f aca="false">IF($A1425="","",IF(MONTH($A1425)&lt;=6,1,2))</f>
        <v/>
      </c>
      <c r="R1425" s="35" t="str">
        <f aca="false">IF($E1425="","",IFERROR(INDEX(Kontenplan!$F$5:$F$90,MATCH($E1425,Kontenplan!$A$5:$A$90,0)),""))</f>
        <v/>
      </c>
      <c r="S1425" s="35" t="str">
        <f aca="false">IF($D1425="","",IFERROR(INDEX(Kontenplan!$F$5:$F$90,MATCH($D1425,Kontenplan!$A$5:$A$90,0)),""))</f>
        <v/>
      </c>
      <c r="T1425" s="35" t="str">
        <f aca="false">IF($D1425="","",IFERROR(INDEX(Kontenplan!$C$5:$C$90,MATCH($D1425,Kontenplan!$A$5:$A$90,0)),"?"))</f>
        <v/>
      </c>
      <c r="U1425" s="35" t="str">
        <f aca="false">IF($E1425="","",IFERROR(INDEX(Kontenplan!$C$5:$C$90,MATCH($E1425,Kontenplan!$A$5:$A$90,0)),"?"))</f>
        <v/>
      </c>
      <c r="V1425" s="35" t="str">
        <f aca="false">IF($F1425="","",IF(OR($D1425="",$E1425="",$T1425="?",$U1425="?"),"Konto prüfen!",IF($A1425="","Datum fehlt",IF(YEAR($A1425)&lt;&gt;Einstellungen!$B$7,"anderes Jahr!",IF($G1425="","MWST-Code fehlt","OK")))))</f>
        <v/>
      </c>
      <c r="W1425" s="35" t="str">
        <f aca="false">IF($F1425="","",IF(OR($D1425=Kontoauszug!$C$4,$E1425=Kontoauszug!$C$4),MAX(W$4:W1424)+1,""))</f>
        <v/>
      </c>
    </row>
    <row r="1426" customFormat="false" ht="15" hidden="false" customHeight="false" outlineLevel="0" collapsed="false">
      <c r="A1426" s="33"/>
      <c r="B1426" s="32"/>
      <c r="C1426" s="32"/>
      <c r="D1426" s="32"/>
      <c r="E1426" s="32"/>
      <c r="F1426" s="30"/>
      <c r="G1426" s="32"/>
      <c r="H1426" s="34" t="n">
        <f aca="false">IF($G1426="",0,IFERROR(INDEX(Einstellungen!$G$5:$G$11,MATCH($G1426,Einstellungen!$E$5:$E$11,0)),0))</f>
        <v>0</v>
      </c>
      <c r="I1426" s="35" t="str">
        <f aca="false">IF($G1426="","-",IFERROR(INDEX(Einstellungen!$H$5:$H$11,MATCH($G1426,Einstellungen!$E$5:$E$11,0)),"-"))</f>
        <v>-</v>
      </c>
      <c r="J1426" s="35" t="str">
        <f aca="false">IF(AND(Einstellungen!$B$8="Ja",Einstellungen!$B$9="Effektiv"),$I1426,"-")</f>
        <v>-</v>
      </c>
      <c r="K1426" s="31" t="n">
        <f aca="false">IF(OR($F1426="",$J1426="-"),0,ROUND($F1426-$F1426/(1+$H1426),2))</f>
        <v>0</v>
      </c>
      <c r="L1426" s="31" t="n">
        <f aca="false">IF($F1426="",0,$F1426-$K1426)</f>
        <v>0</v>
      </c>
      <c r="M1426" s="31" t="n">
        <f aca="false">IF($F1426="",0,IF($J1426="V",$L1426,$F1426))</f>
        <v>0</v>
      </c>
      <c r="N1426" s="31" t="n">
        <f aca="false">IF($F1426="",0,IF($J1426="U",$L1426,$F1426))</f>
        <v>0</v>
      </c>
      <c r="O1426" s="35" t="str">
        <f aca="false">IF($A1426="","",MONTH($A1426))</f>
        <v/>
      </c>
      <c r="P1426" s="35" t="str">
        <f aca="false">IF($A1426="","",ROUNDUP(MONTH($A1426)/3,0))</f>
        <v/>
      </c>
      <c r="Q1426" s="35" t="str">
        <f aca="false">IF($A1426="","",IF(MONTH($A1426)&lt;=6,1,2))</f>
        <v/>
      </c>
      <c r="R1426" s="35" t="str">
        <f aca="false">IF($E1426="","",IFERROR(INDEX(Kontenplan!$F$5:$F$90,MATCH($E1426,Kontenplan!$A$5:$A$90,0)),""))</f>
        <v/>
      </c>
      <c r="S1426" s="35" t="str">
        <f aca="false">IF($D1426="","",IFERROR(INDEX(Kontenplan!$F$5:$F$90,MATCH($D1426,Kontenplan!$A$5:$A$90,0)),""))</f>
        <v/>
      </c>
      <c r="T1426" s="35" t="str">
        <f aca="false">IF($D1426="","",IFERROR(INDEX(Kontenplan!$C$5:$C$90,MATCH($D1426,Kontenplan!$A$5:$A$90,0)),"?"))</f>
        <v/>
      </c>
      <c r="U1426" s="35" t="str">
        <f aca="false">IF($E1426="","",IFERROR(INDEX(Kontenplan!$C$5:$C$90,MATCH($E1426,Kontenplan!$A$5:$A$90,0)),"?"))</f>
        <v/>
      </c>
      <c r="V1426" s="35" t="str">
        <f aca="false">IF($F1426="","",IF(OR($D1426="",$E1426="",$T1426="?",$U1426="?"),"Konto prüfen!",IF($A1426="","Datum fehlt",IF(YEAR($A1426)&lt;&gt;Einstellungen!$B$7,"anderes Jahr!",IF($G1426="","MWST-Code fehlt","OK")))))</f>
        <v/>
      </c>
      <c r="W1426" s="35" t="str">
        <f aca="false">IF($F1426="","",IF(OR($D1426=Kontoauszug!$C$4,$E1426=Kontoauszug!$C$4),MAX(W$4:W1425)+1,""))</f>
        <v/>
      </c>
    </row>
    <row r="1427" customFormat="false" ht="15" hidden="false" customHeight="false" outlineLevel="0" collapsed="false">
      <c r="A1427" s="33"/>
      <c r="B1427" s="32"/>
      <c r="C1427" s="32"/>
      <c r="D1427" s="32"/>
      <c r="E1427" s="32"/>
      <c r="F1427" s="30"/>
      <c r="G1427" s="32"/>
      <c r="H1427" s="34" t="n">
        <f aca="false">IF($G1427="",0,IFERROR(INDEX(Einstellungen!$G$5:$G$11,MATCH($G1427,Einstellungen!$E$5:$E$11,0)),0))</f>
        <v>0</v>
      </c>
      <c r="I1427" s="35" t="str">
        <f aca="false">IF($G1427="","-",IFERROR(INDEX(Einstellungen!$H$5:$H$11,MATCH($G1427,Einstellungen!$E$5:$E$11,0)),"-"))</f>
        <v>-</v>
      </c>
      <c r="J1427" s="35" t="str">
        <f aca="false">IF(AND(Einstellungen!$B$8="Ja",Einstellungen!$B$9="Effektiv"),$I1427,"-")</f>
        <v>-</v>
      </c>
      <c r="K1427" s="31" t="n">
        <f aca="false">IF(OR($F1427="",$J1427="-"),0,ROUND($F1427-$F1427/(1+$H1427),2))</f>
        <v>0</v>
      </c>
      <c r="L1427" s="31" t="n">
        <f aca="false">IF($F1427="",0,$F1427-$K1427)</f>
        <v>0</v>
      </c>
      <c r="M1427" s="31" t="n">
        <f aca="false">IF($F1427="",0,IF($J1427="V",$L1427,$F1427))</f>
        <v>0</v>
      </c>
      <c r="N1427" s="31" t="n">
        <f aca="false">IF($F1427="",0,IF($J1427="U",$L1427,$F1427))</f>
        <v>0</v>
      </c>
      <c r="O1427" s="35" t="str">
        <f aca="false">IF($A1427="","",MONTH($A1427))</f>
        <v/>
      </c>
      <c r="P1427" s="35" t="str">
        <f aca="false">IF($A1427="","",ROUNDUP(MONTH($A1427)/3,0))</f>
        <v/>
      </c>
      <c r="Q1427" s="35" t="str">
        <f aca="false">IF($A1427="","",IF(MONTH($A1427)&lt;=6,1,2))</f>
        <v/>
      </c>
      <c r="R1427" s="35" t="str">
        <f aca="false">IF($E1427="","",IFERROR(INDEX(Kontenplan!$F$5:$F$90,MATCH($E1427,Kontenplan!$A$5:$A$90,0)),""))</f>
        <v/>
      </c>
      <c r="S1427" s="35" t="str">
        <f aca="false">IF($D1427="","",IFERROR(INDEX(Kontenplan!$F$5:$F$90,MATCH($D1427,Kontenplan!$A$5:$A$90,0)),""))</f>
        <v/>
      </c>
      <c r="T1427" s="35" t="str">
        <f aca="false">IF($D1427="","",IFERROR(INDEX(Kontenplan!$C$5:$C$90,MATCH($D1427,Kontenplan!$A$5:$A$90,0)),"?"))</f>
        <v/>
      </c>
      <c r="U1427" s="35" t="str">
        <f aca="false">IF($E1427="","",IFERROR(INDEX(Kontenplan!$C$5:$C$90,MATCH($E1427,Kontenplan!$A$5:$A$90,0)),"?"))</f>
        <v/>
      </c>
      <c r="V1427" s="35" t="str">
        <f aca="false">IF($F1427="","",IF(OR($D1427="",$E1427="",$T1427="?",$U1427="?"),"Konto prüfen!",IF($A1427="","Datum fehlt",IF(YEAR($A1427)&lt;&gt;Einstellungen!$B$7,"anderes Jahr!",IF($G1427="","MWST-Code fehlt","OK")))))</f>
        <v/>
      </c>
      <c r="W1427" s="35" t="str">
        <f aca="false">IF($F1427="","",IF(OR($D1427=Kontoauszug!$C$4,$E1427=Kontoauszug!$C$4),MAX(W$4:W1426)+1,""))</f>
        <v/>
      </c>
    </row>
    <row r="1428" customFormat="false" ht="15" hidden="false" customHeight="false" outlineLevel="0" collapsed="false">
      <c r="A1428" s="33"/>
      <c r="B1428" s="32"/>
      <c r="C1428" s="32"/>
      <c r="D1428" s="32"/>
      <c r="E1428" s="32"/>
      <c r="F1428" s="30"/>
      <c r="G1428" s="32"/>
      <c r="H1428" s="34" t="n">
        <f aca="false">IF($G1428="",0,IFERROR(INDEX(Einstellungen!$G$5:$G$11,MATCH($G1428,Einstellungen!$E$5:$E$11,0)),0))</f>
        <v>0</v>
      </c>
      <c r="I1428" s="35" t="str">
        <f aca="false">IF($G1428="","-",IFERROR(INDEX(Einstellungen!$H$5:$H$11,MATCH($G1428,Einstellungen!$E$5:$E$11,0)),"-"))</f>
        <v>-</v>
      </c>
      <c r="J1428" s="35" t="str">
        <f aca="false">IF(AND(Einstellungen!$B$8="Ja",Einstellungen!$B$9="Effektiv"),$I1428,"-")</f>
        <v>-</v>
      </c>
      <c r="K1428" s="31" t="n">
        <f aca="false">IF(OR($F1428="",$J1428="-"),0,ROUND($F1428-$F1428/(1+$H1428),2))</f>
        <v>0</v>
      </c>
      <c r="L1428" s="31" t="n">
        <f aca="false">IF($F1428="",0,$F1428-$K1428)</f>
        <v>0</v>
      </c>
      <c r="M1428" s="31" t="n">
        <f aca="false">IF($F1428="",0,IF($J1428="V",$L1428,$F1428))</f>
        <v>0</v>
      </c>
      <c r="N1428" s="31" t="n">
        <f aca="false">IF($F1428="",0,IF($J1428="U",$L1428,$F1428))</f>
        <v>0</v>
      </c>
      <c r="O1428" s="35" t="str">
        <f aca="false">IF($A1428="","",MONTH($A1428))</f>
        <v/>
      </c>
      <c r="P1428" s="35" t="str">
        <f aca="false">IF($A1428="","",ROUNDUP(MONTH($A1428)/3,0))</f>
        <v/>
      </c>
      <c r="Q1428" s="35" t="str">
        <f aca="false">IF($A1428="","",IF(MONTH($A1428)&lt;=6,1,2))</f>
        <v/>
      </c>
      <c r="R1428" s="35" t="str">
        <f aca="false">IF($E1428="","",IFERROR(INDEX(Kontenplan!$F$5:$F$90,MATCH($E1428,Kontenplan!$A$5:$A$90,0)),""))</f>
        <v/>
      </c>
      <c r="S1428" s="35" t="str">
        <f aca="false">IF($D1428="","",IFERROR(INDEX(Kontenplan!$F$5:$F$90,MATCH($D1428,Kontenplan!$A$5:$A$90,0)),""))</f>
        <v/>
      </c>
      <c r="T1428" s="35" t="str">
        <f aca="false">IF($D1428="","",IFERROR(INDEX(Kontenplan!$C$5:$C$90,MATCH($D1428,Kontenplan!$A$5:$A$90,0)),"?"))</f>
        <v/>
      </c>
      <c r="U1428" s="35" t="str">
        <f aca="false">IF($E1428="","",IFERROR(INDEX(Kontenplan!$C$5:$C$90,MATCH($E1428,Kontenplan!$A$5:$A$90,0)),"?"))</f>
        <v/>
      </c>
      <c r="V1428" s="35" t="str">
        <f aca="false">IF($F1428="","",IF(OR($D1428="",$E1428="",$T1428="?",$U1428="?"),"Konto prüfen!",IF($A1428="","Datum fehlt",IF(YEAR($A1428)&lt;&gt;Einstellungen!$B$7,"anderes Jahr!",IF($G1428="","MWST-Code fehlt","OK")))))</f>
        <v/>
      </c>
      <c r="W1428" s="35" t="str">
        <f aca="false">IF($F1428="","",IF(OR($D1428=Kontoauszug!$C$4,$E1428=Kontoauszug!$C$4),MAX(W$4:W1427)+1,""))</f>
        <v/>
      </c>
    </row>
    <row r="1429" customFormat="false" ht="15" hidden="false" customHeight="false" outlineLevel="0" collapsed="false">
      <c r="A1429" s="33"/>
      <c r="B1429" s="32"/>
      <c r="C1429" s="32"/>
      <c r="D1429" s="32"/>
      <c r="E1429" s="32"/>
      <c r="F1429" s="30"/>
      <c r="G1429" s="32"/>
      <c r="H1429" s="34" t="n">
        <f aca="false">IF($G1429="",0,IFERROR(INDEX(Einstellungen!$G$5:$G$11,MATCH($G1429,Einstellungen!$E$5:$E$11,0)),0))</f>
        <v>0</v>
      </c>
      <c r="I1429" s="35" t="str">
        <f aca="false">IF($G1429="","-",IFERROR(INDEX(Einstellungen!$H$5:$H$11,MATCH($G1429,Einstellungen!$E$5:$E$11,0)),"-"))</f>
        <v>-</v>
      </c>
      <c r="J1429" s="35" t="str">
        <f aca="false">IF(AND(Einstellungen!$B$8="Ja",Einstellungen!$B$9="Effektiv"),$I1429,"-")</f>
        <v>-</v>
      </c>
      <c r="K1429" s="31" t="n">
        <f aca="false">IF(OR($F1429="",$J1429="-"),0,ROUND($F1429-$F1429/(1+$H1429),2))</f>
        <v>0</v>
      </c>
      <c r="L1429" s="31" t="n">
        <f aca="false">IF($F1429="",0,$F1429-$K1429)</f>
        <v>0</v>
      </c>
      <c r="M1429" s="31" t="n">
        <f aca="false">IF($F1429="",0,IF($J1429="V",$L1429,$F1429))</f>
        <v>0</v>
      </c>
      <c r="N1429" s="31" t="n">
        <f aca="false">IF($F1429="",0,IF($J1429="U",$L1429,$F1429))</f>
        <v>0</v>
      </c>
      <c r="O1429" s="35" t="str">
        <f aca="false">IF($A1429="","",MONTH($A1429))</f>
        <v/>
      </c>
      <c r="P1429" s="35" t="str">
        <f aca="false">IF($A1429="","",ROUNDUP(MONTH($A1429)/3,0))</f>
        <v/>
      </c>
      <c r="Q1429" s="35" t="str">
        <f aca="false">IF($A1429="","",IF(MONTH($A1429)&lt;=6,1,2))</f>
        <v/>
      </c>
      <c r="R1429" s="35" t="str">
        <f aca="false">IF($E1429="","",IFERROR(INDEX(Kontenplan!$F$5:$F$90,MATCH($E1429,Kontenplan!$A$5:$A$90,0)),""))</f>
        <v/>
      </c>
      <c r="S1429" s="35" t="str">
        <f aca="false">IF($D1429="","",IFERROR(INDEX(Kontenplan!$F$5:$F$90,MATCH($D1429,Kontenplan!$A$5:$A$90,0)),""))</f>
        <v/>
      </c>
      <c r="T1429" s="35" t="str">
        <f aca="false">IF($D1429="","",IFERROR(INDEX(Kontenplan!$C$5:$C$90,MATCH($D1429,Kontenplan!$A$5:$A$90,0)),"?"))</f>
        <v/>
      </c>
      <c r="U1429" s="35" t="str">
        <f aca="false">IF($E1429="","",IFERROR(INDEX(Kontenplan!$C$5:$C$90,MATCH($E1429,Kontenplan!$A$5:$A$90,0)),"?"))</f>
        <v/>
      </c>
      <c r="V1429" s="35" t="str">
        <f aca="false">IF($F1429="","",IF(OR($D1429="",$E1429="",$T1429="?",$U1429="?"),"Konto prüfen!",IF($A1429="","Datum fehlt",IF(YEAR($A1429)&lt;&gt;Einstellungen!$B$7,"anderes Jahr!",IF($G1429="","MWST-Code fehlt","OK")))))</f>
        <v/>
      </c>
      <c r="W1429" s="35" t="str">
        <f aca="false">IF($F1429="","",IF(OR($D1429=Kontoauszug!$C$4,$E1429=Kontoauszug!$C$4),MAX(W$4:W1428)+1,""))</f>
        <v/>
      </c>
    </row>
    <row r="1430" customFormat="false" ht="15" hidden="false" customHeight="false" outlineLevel="0" collapsed="false">
      <c r="A1430" s="33"/>
      <c r="B1430" s="32"/>
      <c r="C1430" s="32"/>
      <c r="D1430" s="32"/>
      <c r="E1430" s="32"/>
      <c r="F1430" s="30"/>
      <c r="G1430" s="32"/>
      <c r="H1430" s="34" t="n">
        <f aca="false">IF($G1430="",0,IFERROR(INDEX(Einstellungen!$G$5:$G$11,MATCH($G1430,Einstellungen!$E$5:$E$11,0)),0))</f>
        <v>0</v>
      </c>
      <c r="I1430" s="35" t="str">
        <f aca="false">IF($G1430="","-",IFERROR(INDEX(Einstellungen!$H$5:$H$11,MATCH($G1430,Einstellungen!$E$5:$E$11,0)),"-"))</f>
        <v>-</v>
      </c>
      <c r="J1430" s="35" t="str">
        <f aca="false">IF(AND(Einstellungen!$B$8="Ja",Einstellungen!$B$9="Effektiv"),$I1430,"-")</f>
        <v>-</v>
      </c>
      <c r="K1430" s="31" t="n">
        <f aca="false">IF(OR($F1430="",$J1430="-"),0,ROUND($F1430-$F1430/(1+$H1430),2))</f>
        <v>0</v>
      </c>
      <c r="L1430" s="31" t="n">
        <f aca="false">IF($F1430="",0,$F1430-$K1430)</f>
        <v>0</v>
      </c>
      <c r="M1430" s="31" t="n">
        <f aca="false">IF($F1430="",0,IF($J1430="V",$L1430,$F1430))</f>
        <v>0</v>
      </c>
      <c r="N1430" s="31" t="n">
        <f aca="false">IF($F1430="",0,IF($J1430="U",$L1430,$F1430))</f>
        <v>0</v>
      </c>
      <c r="O1430" s="35" t="str">
        <f aca="false">IF($A1430="","",MONTH($A1430))</f>
        <v/>
      </c>
      <c r="P1430" s="35" t="str">
        <f aca="false">IF($A1430="","",ROUNDUP(MONTH($A1430)/3,0))</f>
        <v/>
      </c>
      <c r="Q1430" s="35" t="str">
        <f aca="false">IF($A1430="","",IF(MONTH($A1430)&lt;=6,1,2))</f>
        <v/>
      </c>
      <c r="R1430" s="35" t="str">
        <f aca="false">IF($E1430="","",IFERROR(INDEX(Kontenplan!$F$5:$F$90,MATCH($E1430,Kontenplan!$A$5:$A$90,0)),""))</f>
        <v/>
      </c>
      <c r="S1430" s="35" t="str">
        <f aca="false">IF($D1430="","",IFERROR(INDEX(Kontenplan!$F$5:$F$90,MATCH($D1430,Kontenplan!$A$5:$A$90,0)),""))</f>
        <v/>
      </c>
      <c r="T1430" s="35" t="str">
        <f aca="false">IF($D1430="","",IFERROR(INDEX(Kontenplan!$C$5:$C$90,MATCH($D1430,Kontenplan!$A$5:$A$90,0)),"?"))</f>
        <v/>
      </c>
      <c r="U1430" s="35" t="str">
        <f aca="false">IF($E1430="","",IFERROR(INDEX(Kontenplan!$C$5:$C$90,MATCH($E1430,Kontenplan!$A$5:$A$90,0)),"?"))</f>
        <v/>
      </c>
      <c r="V1430" s="35" t="str">
        <f aca="false">IF($F1430="","",IF(OR($D1430="",$E1430="",$T1430="?",$U1430="?"),"Konto prüfen!",IF($A1430="","Datum fehlt",IF(YEAR($A1430)&lt;&gt;Einstellungen!$B$7,"anderes Jahr!",IF($G1430="","MWST-Code fehlt","OK")))))</f>
        <v/>
      </c>
      <c r="W1430" s="35" t="str">
        <f aca="false">IF($F1430="","",IF(OR($D1430=Kontoauszug!$C$4,$E1430=Kontoauszug!$C$4),MAX(W$4:W1429)+1,""))</f>
        <v/>
      </c>
    </row>
    <row r="1431" customFormat="false" ht="15" hidden="false" customHeight="false" outlineLevel="0" collapsed="false">
      <c r="A1431" s="33"/>
      <c r="B1431" s="32"/>
      <c r="C1431" s="32"/>
      <c r="D1431" s="32"/>
      <c r="E1431" s="32"/>
      <c r="F1431" s="30"/>
      <c r="G1431" s="32"/>
      <c r="H1431" s="34" t="n">
        <f aca="false">IF($G1431="",0,IFERROR(INDEX(Einstellungen!$G$5:$G$11,MATCH($G1431,Einstellungen!$E$5:$E$11,0)),0))</f>
        <v>0</v>
      </c>
      <c r="I1431" s="35" t="str">
        <f aca="false">IF($G1431="","-",IFERROR(INDEX(Einstellungen!$H$5:$H$11,MATCH($G1431,Einstellungen!$E$5:$E$11,0)),"-"))</f>
        <v>-</v>
      </c>
      <c r="J1431" s="35" t="str">
        <f aca="false">IF(AND(Einstellungen!$B$8="Ja",Einstellungen!$B$9="Effektiv"),$I1431,"-")</f>
        <v>-</v>
      </c>
      <c r="K1431" s="31" t="n">
        <f aca="false">IF(OR($F1431="",$J1431="-"),0,ROUND($F1431-$F1431/(1+$H1431),2))</f>
        <v>0</v>
      </c>
      <c r="L1431" s="31" t="n">
        <f aca="false">IF($F1431="",0,$F1431-$K1431)</f>
        <v>0</v>
      </c>
      <c r="M1431" s="31" t="n">
        <f aca="false">IF($F1431="",0,IF($J1431="V",$L1431,$F1431))</f>
        <v>0</v>
      </c>
      <c r="N1431" s="31" t="n">
        <f aca="false">IF($F1431="",0,IF($J1431="U",$L1431,$F1431))</f>
        <v>0</v>
      </c>
      <c r="O1431" s="35" t="str">
        <f aca="false">IF($A1431="","",MONTH($A1431))</f>
        <v/>
      </c>
      <c r="P1431" s="35" t="str">
        <f aca="false">IF($A1431="","",ROUNDUP(MONTH($A1431)/3,0))</f>
        <v/>
      </c>
      <c r="Q1431" s="35" t="str">
        <f aca="false">IF($A1431="","",IF(MONTH($A1431)&lt;=6,1,2))</f>
        <v/>
      </c>
      <c r="R1431" s="35" t="str">
        <f aca="false">IF($E1431="","",IFERROR(INDEX(Kontenplan!$F$5:$F$90,MATCH($E1431,Kontenplan!$A$5:$A$90,0)),""))</f>
        <v/>
      </c>
      <c r="S1431" s="35" t="str">
        <f aca="false">IF($D1431="","",IFERROR(INDEX(Kontenplan!$F$5:$F$90,MATCH($D1431,Kontenplan!$A$5:$A$90,0)),""))</f>
        <v/>
      </c>
      <c r="T1431" s="35" t="str">
        <f aca="false">IF($D1431="","",IFERROR(INDEX(Kontenplan!$C$5:$C$90,MATCH($D1431,Kontenplan!$A$5:$A$90,0)),"?"))</f>
        <v/>
      </c>
      <c r="U1431" s="35" t="str">
        <f aca="false">IF($E1431="","",IFERROR(INDEX(Kontenplan!$C$5:$C$90,MATCH($E1431,Kontenplan!$A$5:$A$90,0)),"?"))</f>
        <v/>
      </c>
      <c r="V1431" s="35" t="str">
        <f aca="false">IF($F1431="","",IF(OR($D1431="",$E1431="",$T1431="?",$U1431="?"),"Konto prüfen!",IF($A1431="","Datum fehlt",IF(YEAR($A1431)&lt;&gt;Einstellungen!$B$7,"anderes Jahr!",IF($G1431="","MWST-Code fehlt","OK")))))</f>
        <v/>
      </c>
      <c r="W1431" s="35" t="str">
        <f aca="false">IF($F1431="","",IF(OR($D1431=Kontoauszug!$C$4,$E1431=Kontoauszug!$C$4),MAX(W$4:W1430)+1,""))</f>
        <v/>
      </c>
    </row>
    <row r="1432" customFormat="false" ht="15" hidden="false" customHeight="false" outlineLevel="0" collapsed="false">
      <c r="A1432" s="33"/>
      <c r="B1432" s="32"/>
      <c r="C1432" s="32"/>
      <c r="D1432" s="32"/>
      <c r="E1432" s="32"/>
      <c r="F1432" s="30"/>
      <c r="G1432" s="32"/>
      <c r="H1432" s="34" t="n">
        <f aca="false">IF($G1432="",0,IFERROR(INDEX(Einstellungen!$G$5:$G$11,MATCH($G1432,Einstellungen!$E$5:$E$11,0)),0))</f>
        <v>0</v>
      </c>
      <c r="I1432" s="35" t="str">
        <f aca="false">IF($G1432="","-",IFERROR(INDEX(Einstellungen!$H$5:$H$11,MATCH($G1432,Einstellungen!$E$5:$E$11,0)),"-"))</f>
        <v>-</v>
      </c>
      <c r="J1432" s="35" t="str">
        <f aca="false">IF(AND(Einstellungen!$B$8="Ja",Einstellungen!$B$9="Effektiv"),$I1432,"-")</f>
        <v>-</v>
      </c>
      <c r="K1432" s="31" t="n">
        <f aca="false">IF(OR($F1432="",$J1432="-"),0,ROUND($F1432-$F1432/(1+$H1432),2))</f>
        <v>0</v>
      </c>
      <c r="L1432" s="31" t="n">
        <f aca="false">IF($F1432="",0,$F1432-$K1432)</f>
        <v>0</v>
      </c>
      <c r="M1432" s="31" t="n">
        <f aca="false">IF($F1432="",0,IF($J1432="V",$L1432,$F1432))</f>
        <v>0</v>
      </c>
      <c r="N1432" s="31" t="n">
        <f aca="false">IF($F1432="",0,IF($J1432="U",$L1432,$F1432))</f>
        <v>0</v>
      </c>
      <c r="O1432" s="35" t="str">
        <f aca="false">IF($A1432="","",MONTH($A1432))</f>
        <v/>
      </c>
      <c r="P1432" s="35" t="str">
        <f aca="false">IF($A1432="","",ROUNDUP(MONTH($A1432)/3,0))</f>
        <v/>
      </c>
      <c r="Q1432" s="35" t="str">
        <f aca="false">IF($A1432="","",IF(MONTH($A1432)&lt;=6,1,2))</f>
        <v/>
      </c>
      <c r="R1432" s="35" t="str">
        <f aca="false">IF($E1432="","",IFERROR(INDEX(Kontenplan!$F$5:$F$90,MATCH($E1432,Kontenplan!$A$5:$A$90,0)),""))</f>
        <v/>
      </c>
      <c r="S1432" s="35" t="str">
        <f aca="false">IF($D1432="","",IFERROR(INDEX(Kontenplan!$F$5:$F$90,MATCH($D1432,Kontenplan!$A$5:$A$90,0)),""))</f>
        <v/>
      </c>
      <c r="T1432" s="35" t="str">
        <f aca="false">IF($D1432="","",IFERROR(INDEX(Kontenplan!$C$5:$C$90,MATCH($D1432,Kontenplan!$A$5:$A$90,0)),"?"))</f>
        <v/>
      </c>
      <c r="U1432" s="35" t="str">
        <f aca="false">IF($E1432="","",IFERROR(INDEX(Kontenplan!$C$5:$C$90,MATCH($E1432,Kontenplan!$A$5:$A$90,0)),"?"))</f>
        <v/>
      </c>
      <c r="V1432" s="35" t="str">
        <f aca="false">IF($F1432="","",IF(OR($D1432="",$E1432="",$T1432="?",$U1432="?"),"Konto prüfen!",IF($A1432="","Datum fehlt",IF(YEAR($A1432)&lt;&gt;Einstellungen!$B$7,"anderes Jahr!",IF($G1432="","MWST-Code fehlt","OK")))))</f>
        <v/>
      </c>
      <c r="W1432" s="35" t="str">
        <f aca="false">IF($F1432="","",IF(OR($D1432=Kontoauszug!$C$4,$E1432=Kontoauszug!$C$4),MAX(W$4:W1431)+1,""))</f>
        <v/>
      </c>
    </row>
    <row r="1433" customFormat="false" ht="15" hidden="false" customHeight="false" outlineLevel="0" collapsed="false">
      <c r="A1433" s="33"/>
      <c r="B1433" s="32"/>
      <c r="C1433" s="32"/>
      <c r="D1433" s="32"/>
      <c r="E1433" s="32"/>
      <c r="F1433" s="30"/>
      <c r="G1433" s="32"/>
      <c r="H1433" s="34" t="n">
        <f aca="false">IF($G1433="",0,IFERROR(INDEX(Einstellungen!$G$5:$G$11,MATCH($G1433,Einstellungen!$E$5:$E$11,0)),0))</f>
        <v>0</v>
      </c>
      <c r="I1433" s="35" t="str">
        <f aca="false">IF($G1433="","-",IFERROR(INDEX(Einstellungen!$H$5:$H$11,MATCH($G1433,Einstellungen!$E$5:$E$11,0)),"-"))</f>
        <v>-</v>
      </c>
      <c r="J1433" s="35" t="str">
        <f aca="false">IF(AND(Einstellungen!$B$8="Ja",Einstellungen!$B$9="Effektiv"),$I1433,"-")</f>
        <v>-</v>
      </c>
      <c r="K1433" s="31" t="n">
        <f aca="false">IF(OR($F1433="",$J1433="-"),0,ROUND($F1433-$F1433/(1+$H1433),2))</f>
        <v>0</v>
      </c>
      <c r="L1433" s="31" t="n">
        <f aca="false">IF($F1433="",0,$F1433-$K1433)</f>
        <v>0</v>
      </c>
      <c r="M1433" s="31" t="n">
        <f aca="false">IF($F1433="",0,IF($J1433="V",$L1433,$F1433))</f>
        <v>0</v>
      </c>
      <c r="N1433" s="31" t="n">
        <f aca="false">IF($F1433="",0,IF($J1433="U",$L1433,$F1433))</f>
        <v>0</v>
      </c>
      <c r="O1433" s="35" t="str">
        <f aca="false">IF($A1433="","",MONTH($A1433))</f>
        <v/>
      </c>
      <c r="P1433" s="35" t="str">
        <f aca="false">IF($A1433="","",ROUNDUP(MONTH($A1433)/3,0))</f>
        <v/>
      </c>
      <c r="Q1433" s="35" t="str">
        <f aca="false">IF($A1433="","",IF(MONTH($A1433)&lt;=6,1,2))</f>
        <v/>
      </c>
      <c r="R1433" s="35" t="str">
        <f aca="false">IF($E1433="","",IFERROR(INDEX(Kontenplan!$F$5:$F$90,MATCH($E1433,Kontenplan!$A$5:$A$90,0)),""))</f>
        <v/>
      </c>
      <c r="S1433" s="35" t="str">
        <f aca="false">IF($D1433="","",IFERROR(INDEX(Kontenplan!$F$5:$F$90,MATCH($D1433,Kontenplan!$A$5:$A$90,0)),""))</f>
        <v/>
      </c>
      <c r="T1433" s="35" t="str">
        <f aca="false">IF($D1433="","",IFERROR(INDEX(Kontenplan!$C$5:$C$90,MATCH($D1433,Kontenplan!$A$5:$A$90,0)),"?"))</f>
        <v/>
      </c>
      <c r="U1433" s="35" t="str">
        <f aca="false">IF($E1433="","",IFERROR(INDEX(Kontenplan!$C$5:$C$90,MATCH($E1433,Kontenplan!$A$5:$A$90,0)),"?"))</f>
        <v/>
      </c>
      <c r="V1433" s="35" t="str">
        <f aca="false">IF($F1433="","",IF(OR($D1433="",$E1433="",$T1433="?",$U1433="?"),"Konto prüfen!",IF($A1433="","Datum fehlt",IF(YEAR($A1433)&lt;&gt;Einstellungen!$B$7,"anderes Jahr!",IF($G1433="","MWST-Code fehlt","OK")))))</f>
        <v/>
      </c>
      <c r="W1433" s="35" t="str">
        <f aca="false">IF($F1433="","",IF(OR($D1433=Kontoauszug!$C$4,$E1433=Kontoauszug!$C$4),MAX(W$4:W1432)+1,""))</f>
        <v/>
      </c>
    </row>
    <row r="1434" customFormat="false" ht="15" hidden="false" customHeight="false" outlineLevel="0" collapsed="false">
      <c r="A1434" s="33"/>
      <c r="B1434" s="32"/>
      <c r="C1434" s="32"/>
      <c r="D1434" s="32"/>
      <c r="E1434" s="32"/>
      <c r="F1434" s="30"/>
      <c r="G1434" s="32"/>
      <c r="H1434" s="34" t="n">
        <f aca="false">IF($G1434="",0,IFERROR(INDEX(Einstellungen!$G$5:$G$11,MATCH($G1434,Einstellungen!$E$5:$E$11,0)),0))</f>
        <v>0</v>
      </c>
      <c r="I1434" s="35" t="str">
        <f aca="false">IF($G1434="","-",IFERROR(INDEX(Einstellungen!$H$5:$H$11,MATCH($G1434,Einstellungen!$E$5:$E$11,0)),"-"))</f>
        <v>-</v>
      </c>
      <c r="J1434" s="35" t="str">
        <f aca="false">IF(AND(Einstellungen!$B$8="Ja",Einstellungen!$B$9="Effektiv"),$I1434,"-")</f>
        <v>-</v>
      </c>
      <c r="K1434" s="31" t="n">
        <f aca="false">IF(OR($F1434="",$J1434="-"),0,ROUND($F1434-$F1434/(1+$H1434),2))</f>
        <v>0</v>
      </c>
      <c r="L1434" s="31" t="n">
        <f aca="false">IF($F1434="",0,$F1434-$K1434)</f>
        <v>0</v>
      </c>
      <c r="M1434" s="31" t="n">
        <f aca="false">IF($F1434="",0,IF($J1434="V",$L1434,$F1434))</f>
        <v>0</v>
      </c>
      <c r="N1434" s="31" t="n">
        <f aca="false">IF($F1434="",0,IF($J1434="U",$L1434,$F1434))</f>
        <v>0</v>
      </c>
      <c r="O1434" s="35" t="str">
        <f aca="false">IF($A1434="","",MONTH($A1434))</f>
        <v/>
      </c>
      <c r="P1434" s="35" t="str">
        <f aca="false">IF($A1434="","",ROUNDUP(MONTH($A1434)/3,0))</f>
        <v/>
      </c>
      <c r="Q1434" s="35" t="str">
        <f aca="false">IF($A1434="","",IF(MONTH($A1434)&lt;=6,1,2))</f>
        <v/>
      </c>
      <c r="R1434" s="35" t="str">
        <f aca="false">IF($E1434="","",IFERROR(INDEX(Kontenplan!$F$5:$F$90,MATCH($E1434,Kontenplan!$A$5:$A$90,0)),""))</f>
        <v/>
      </c>
      <c r="S1434" s="35" t="str">
        <f aca="false">IF($D1434="","",IFERROR(INDEX(Kontenplan!$F$5:$F$90,MATCH($D1434,Kontenplan!$A$5:$A$90,0)),""))</f>
        <v/>
      </c>
      <c r="T1434" s="35" t="str">
        <f aca="false">IF($D1434="","",IFERROR(INDEX(Kontenplan!$C$5:$C$90,MATCH($D1434,Kontenplan!$A$5:$A$90,0)),"?"))</f>
        <v/>
      </c>
      <c r="U1434" s="35" t="str">
        <f aca="false">IF($E1434="","",IFERROR(INDEX(Kontenplan!$C$5:$C$90,MATCH($E1434,Kontenplan!$A$5:$A$90,0)),"?"))</f>
        <v/>
      </c>
      <c r="V1434" s="35" t="str">
        <f aca="false">IF($F1434="","",IF(OR($D1434="",$E1434="",$T1434="?",$U1434="?"),"Konto prüfen!",IF($A1434="","Datum fehlt",IF(YEAR($A1434)&lt;&gt;Einstellungen!$B$7,"anderes Jahr!",IF($G1434="","MWST-Code fehlt","OK")))))</f>
        <v/>
      </c>
      <c r="W1434" s="35" t="str">
        <f aca="false">IF($F1434="","",IF(OR($D1434=Kontoauszug!$C$4,$E1434=Kontoauszug!$C$4),MAX(W$4:W1433)+1,""))</f>
        <v/>
      </c>
    </row>
    <row r="1435" customFormat="false" ht="15" hidden="false" customHeight="false" outlineLevel="0" collapsed="false">
      <c r="A1435" s="33"/>
      <c r="B1435" s="32"/>
      <c r="C1435" s="32"/>
      <c r="D1435" s="32"/>
      <c r="E1435" s="32"/>
      <c r="F1435" s="30"/>
      <c r="G1435" s="32"/>
      <c r="H1435" s="34" t="n">
        <f aca="false">IF($G1435="",0,IFERROR(INDEX(Einstellungen!$G$5:$G$11,MATCH($G1435,Einstellungen!$E$5:$E$11,0)),0))</f>
        <v>0</v>
      </c>
      <c r="I1435" s="35" t="str">
        <f aca="false">IF($G1435="","-",IFERROR(INDEX(Einstellungen!$H$5:$H$11,MATCH($G1435,Einstellungen!$E$5:$E$11,0)),"-"))</f>
        <v>-</v>
      </c>
      <c r="J1435" s="35" t="str">
        <f aca="false">IF(AND(Einstellungen!$B$8="Ja",Einstellungen!$B$9="Effektiv"),$I1435,"-")</f>
        <v>-</v>
      </c>
      <c r="K1435" s="31" t="n">
        <f aca="false">IF(OR($F1435="",$J1435="-"),0,ROUND($F1435-$F1435/(1+$H1435),2))</f>
        <v>0</v>
      </c>
      <c r="L1435" s="31" t="n">
        <f aca="false">IF($F1435="",0,$F1435-$K1435)</f>
        <v>0</v>
      </c>
      <c r="M1435" s="31" t="n">
        <f aca="false">IF($F1435="",0,IF($J1435="V",$L1435,$F1435))</f>
        <v>0</v>
      </c>
      <c r="N1435" s="31" t="n">
        <f aca="false">IF($F1435="",0,IF($J1435="U",$L1435,$F1435))</f>
        <v>0</v>
      </c>
      <c r="O1435" s="35" t="str">
        <f aca="false">IF($A1435="","",MONTH($A1435))</f>
        <v/>
      </c>
      <c r="P1435" s="35" t="str">
        <f aca="false">IF($A1435="","",ROUNDUP(MONTH($A1435)/3,0))</f>
        <v/>
      </c>
      <c r="Q1435" s="35" t="str">
        <f aca="false">IF($A1435="","",IF(MONTH($A1435)&lt;=6,1,2))</f>
        <v/>
      </c>
      <c r="R1435" s="35" t="str">
        <f aca="false">IF($E1435="","",IFERROR(INDEX(Kontenplan!$F$5:$F$90,MATCH($E1435,Kontenplan!$A$5:$A$90,0)),""))</f>
        <v/>
      </c>
      <c r="S1435" s="35" t="str">
        <f aca="false">IF($D1435="","",IFERROR(INDEX(Kontenplan!$F$5:$F$90,MATCH($D1435,Kontenplan!$A$5:$A$90,0)),""))</f>
        <v/>
      </c>
      <c r="T1435" s="35" t="str">
        <f aca="false">IF($D1435="","",IFERROR(INDEX(Kontenplan!$C$5:$C$90,MATCH($D1435,Kontenplan!$A$5:$A$90,0)),"?"))</f>
        <v/>
      </c>
      <c r="U1435" s="35" t="str">
        <f aca="false">IF($E1435="","",IFERROR(INDEX(Kontenplan!$C$5:$C$90,MATCH($E1435,Kontenplan!$A$5:$A$90,0)),"?"))</f>
        <v/>
      </c>
      <c r="V1435" s="35" t="str">
        <f aca="false">IF($F1435="","",IF(OR($D1435="",$E1435="",$T1435="?",$U1435="?"),"Konto prüfen!",IF($A1435="","Datum fehlt",IF(YEAR($A1435)&lt;&gt;Einstellungen!$B$7,"anderes Jahr!",IF($G1435="","MWST-Code fehlt","OK")))))</f>
        <v/>
      </c>
      <c r="W1435" s="35" t="str">
        <f aca="false">IF($F1435="","",IF(OR($D1435=Kontoauszug!$C$4,$E1435=Kontoauszug!$C$4),MAX(W$4:W1434)+1,""))</f>
        <v/>
      </c>
    </row>
    <row r="1436" customFormat="false" ht="15" hidden="false" customHeight="false" outlineLevel="0" collapsed="false">
      <c r="A1436" s="33"/>
      <c r="B1436" s="32"/>
      <c r="C1436" s="32"/>
      <c r="D1436" s="32"/>
      <c r="E1436" s="32"/>
      <c r="F1436" s="30"/>
      <c r="G1436" s="32"/>
      <c r="H1436" s="34" t="n">
        <f aca="false">IF($G1436="",0,IFERROR(INDEX(Einstellungen!$G$5:$G$11,MATCH($G1436,Einstellungen!$E$5:$E$11,0)),0))</f>
        <v>0</v>
      </c>
      <c r="I1436" s="35" t="str">
        <f aca="false">IF($G1436="","-",IFERROR(INDEX(Einstellungen!$H$5:$H$11,MATCH($G1436,Einstellungen!$E$5:$E$11,0)),"-"))</f>
        <v>-</v>
      </c>
      <c r="J1436" s="35" t="str">
        <f aca="false">IF(AND(Einstellungen!$B$8="Ja",Einstellungen!$B$9="Effektiv"),$I1436,"-")</f>
        <v>-</v>
      </c>
      <c r="K1436" s="31" t="n">
        <f aca="false">IF(OR($F1436="",$J1436="-"),0,ROUND($F1436-$F1436/(1+$H1436),2))</f>
        <v>0</v>
      </c>
      <c r="L1436" s="31" t="n">
        <f aca="false">IF($F1436="",0,$F1436-$K1436)</f>
        <v>0</v>
      </c>
      <c r="M1436" s="31" t="n">
        <f aca="false">IF($F1436="",0,IF($J1436="V",$L1436,$F1436))</f>
        <v>0</v>
      </c>
      <c r="N1436" s="31" t="n">
        <f aca="false">IF($F1436="",0,IF($J1436="U",$L1436,$F1436))</f>
        <v>0</v>
      </c>
      <c r="O1436" s="35" t="str">
        <f aca="false">IF($A1436="","",MONTH($A1436))</f>
        <v/>
      </c>
      <c r="P1436" s="35" t="str">
        <f aca="false">IF($A1436="","",ROUNDUP(MONTH($A1436)/3,0))</f>
        <v/>
      </c>
      <c r="Q1436" s="35" t="str">
        <f aca="false">IF($A1436="","",IF(MONTH($A1436)&lt;=6,1,2))</f>
        <v/>
      </c>
      <c r="R1436" s="35" t="str">
        <f aca="false">IF($E1436="","",IFERROR(INDEX(Kontenplan!$F$5:$F$90,MATCH($E1436,Kontenplan!$A$5:$A$90,0)),""))</f>
        <v/>
      </c>
      <c r="S1436" s="35" t="str">
        <f aca="false">IF($D1436="","",IFERROR(INDEX(Kontenplan!$F$5:$F$90,MATCH($D1436,Kontenplan!$A$5:$A$90,0)),""))</f>
        <v/>
      </c>
      <c r="T1436" s="35" t="str">
        <f aca="false">IF($D1436="","",IFERROR(INDEX(Kontenplan!$C$5:$C$90,MATCH($D1436,Kontenplan!$A$5:$A$90,0)),"?"))</f>
        <v/>
      </c>
      <c r="U1436" s="35" t="str">
        <f aca="false">IF($E1436="","",IFERROR(INDEX(Kontenplan!$C$5:$C$90,MATCH($E1436,Kontenplan!$A$5:$A$90,0)),"?"))</f>
        <v/>
      </c>
      <c r="V1436" s="35" t="str">
        <f aca="false">IF($F1436="","",IF(OR($D1436="",$E1436="",$T1436="?",$U1436="?"),"Konto prüfen!",IF($A1436="","Datum fehlt",IF(YEAR($A1436)&lt;&gt;Einstellungen!$B$7,"anderes Jahr!",IF($G1436="","MWST-Code fehlt","OK")))))</f>
        <v/>
      </c>
      <c r="W1436" s="35" t="str">
        <f aca="false">IF($F1436="","",IF(OR($D1436=Kontoauszug!$C$4,$E1436=Kontoauszug!$C$4),MAX(W$4:W1435)+1,""))</f>
        <v/>
      </c>
    </row>
    <row r="1437" customFormat="false" ht="15" hidden="false" customHeight="false" outlineLevel="0" collapsed="false">
      <c r="A1437" s="33"/>
      <c r="B1437" s="32"/>
      <c r="C1437" s="32"/>
      <c r="D1437" s="32"/>
      <c r="E1437" s="32"/>
      <c r="F1437" s="30"/>
      <c r="G1437" s="32"/>
      <c r="H1437" s="34" t="n">
        <f aca="false">IF($G1437="",0,IFERROR(INDEX(Einstellungen!$G$5:$G$11,MATCH($G1437,Einstellungen!$E$5:$E$11,0)),0))</f>
        <v>0</v>
      </c>
      <c r="I1437" s="35" t="str">
        <f aca="false">IF($G1437="","-",IFERROR(INDEX(Einstellungen!$H$5:$H$11,MATCH($G1437,Einstellungen!$E$5:$E$11,0)),"-"))</f>
        <v>-</v>
      </c>
      <c r="J1437" s="35" t="str">
        <f aca="false">IF(AND(Einstellungen!$B$8="Ja",Einstellungen!$B$9="Effektiv"),$I1437,"-")</f>
        <v>-</v>
      </c>
      <c r="K1437" s="31" t="n">
        <f aca="false">IF(OR($F1437="",$J1437="-"),0,ROUND($F1437-$F1437/(1+$H1437),2))</f>
        <v>0</v>
      </c>
      <c r="L1437" s="31" t="n">
        <f aca="false">IF($F1437="",0,$F1437-$K1437)</f>
        <v>0</v>
      </c>
      <c r="M1437" s="31" t="n">
        <f aca="false">IF($F1437="",0,IF($J1437="V",$L1437,$F1437))</f>
        <v>0</v>
      </c>
      <c r="N1437" s="31" t="n">
        <f aca="false">IF($F1437="",0,IF($J1437="U",$L1437,$F1437))</f>
        <v>0</v>
      </c>
      <c r="O1437" s="35" t="str">
        <f aca="false">IF($A1437="","",MONTH($A1437))</f>
        <v/>
      </c>
      <c r="P1437" s="35" t="str">
        <f aca="false">IF($A1437="","",ROUNDUP(MONTH($A1437)/3,0))</f>
        <v/>
      </c>
      <c r="Q1437" s="35" t="str">
        <f aca="false">IF($A1437="","",IF(MONTH($A1437)&lt;=6,1,2))</f>
        <v/>
      </c>
      <c r="R1437" s="35" t="str">
        <f aca="false">IF($E1437="","",IFERROR(INDEX(Kontenplan!$F$5:$F$90,MATCH($E1437,Kontenplan!$A$5:$A$90,0)),""))</f>
        <v/>
      </c>
      <c r="S1437" s="35" t="str">
        <f aca="false">IF($D1437="","",IFERROR(INDEX(Kontenplan!$F$5:$F$90,MATCH($D1437,Kontenplan!$A$5:$A$90,0)),""))</f>
        <v/>
      </c>
      <c r="T1437" s="35" t="str">
        <f aca="false">IF($D1437="","",IFERROR(INDEX(Kontenplan!$C$5:$C$90,MATCH($D1437,Kontenplan!$A$5:$A$90,0)),"?"))</f>
        <v/>
      </c>
      <c r="U1437" s="35" t="str">
        <f aca="false">IF($E1437="","",IFERROR(INDEX(Kontenplan!$C$5:$C$90,MATCH($E1437,Kontenplan!$A$5:$A$90,0)),"?"))</f>
        <v/>
      </c>
      <c r="V1437" s="35" t="str">
        <f aca="false">IF($F1437="","",IF(OR($D1437="",$E1437="",$T1437="?",$U1437="?"),"Konto prüfen!",IF($A1437="","Datum fehlt",IF(YEAR($A1437)&lt;&gt;Einstellungen!$B$7,"anderes Jahr!",IF($G1437="","MWST-Code fehlt","OK")))))</f>
        <v/>
      </c>
      <c r="W1437" s="35" t="str">
        <f aca="false">IF($F1437="","",IF(OR($D1437=Kontoauszug!$C$4,$E1437=Kontoauszug!$C$4),MAX(W$4:W1436)+1,""))</f>
        <v/>
      </c>
    </row>
    <row r="1438" customFormat="false" ht="15" hidden="false" customHeight="false" outlineLevel="0" collapsed="false">
      <c r="A1438" s="33"/>
      <c r="B1438" s="32"/>
      <c r="C1438" s="32"/>
      <c r="D1438" s="32"/>
      <c r="E1438" s="32"/>
      <c r="F1438" s="30"/>
      <c r="G1438" s="32"/>
      <c r="H1438" s="34" t="n">
        <f aca="false">IF($G1438="",0,IFERROR(INDEX(Einstellungen!$G$5:$G$11,MATCH($G1438,Einstellungen!$E$5:$E$11,0)),0))</f>
        <v>0</v>
      </c>
      <c r="I1438" s="35" t="str">
        <f aca="false">IF($G1438="","-",IFERROR(INDEX(Einstellungen!$H$5:$H$11,MATCH($G1438,Einstellungen!$E$5:$E$11,0)),"-"))</f>
        <v>-</v>
      </c>
      <c r="J1438" s="35" t="str">
        <f aca="false">IF(AND(Einstellungen!$B$8="Ja",Einstellungen!$B$9="Effektiv"),$I1438,"-")</f>
        <v>-</v>
      </c>
      <c r="K1438" s="31" t="n">
        <f aca="false">IF(OR($F1438="",$J1438="-"),0,ROUND($F1438-$F1438/(1+$H1438),2))</f>
        <v>0</v>
      </c>
      <c r="L1438" s="31" t="n">
        <f aca="false">IF($F1438="",0,$F1438-$K1438)</f>
        <v>0</v>
      </c>
      <c r="M1438" s="31" t="n">
        <f aca="false">IF($F1438="",0,IF($J1438="V",$L1438,$F1438))</f>
        <v>0</v>
      </c>
      <c r="N1438" s="31" t="n">
        <f aca="false">IF($F1438="",0,IF($J1438="U",$L1438,$F1438))</f>
        <v>0</v>
      </c>
      <c r="O1438" s="35" t="str">
        <f aca="false">IF($A1438="","",MONTH($A1438))</f>
        <v/>
      </c>
      <c r="P1438" s="35" t="str">
        <f aca="false">IF($A1438="","",ROUNDUP(MONTH($A1438)/3,0))</f>
        <v/>
      </c>
      <c r="Q1438" s="35" t="str">
        <f aca="false">IF($A1438="","",IF(MONTH($A1438)&lt;=6,1,2))</f>
        <v/>
      </c>
      <c r="R1438" s="35" t="str">
        <f aca="false">IF($E1438="","",IFERROR(INDEX(Kontenplan!$F$5:$F$90,MATCH($E1438,Kontenplan!$A$5:$A$90,0)),""))</f>
        <v/>
      </c>
      <c r="S1438" s="35" t="str">
        <f aca="false">IF($D1438="","",IFERROR(INDEX(Kontenplan!$F$5:$F$90,MATCH($D1438,Kontenplan!$A$5:$A$90,0)),""))</f>
        <v/>
      </c>
      <c r="T1438" s="35" t="str">
        <f aca="false">IF($D1438="","",IFERROR(INDEX(Kontenplan!$C$5:$C$90,MATCH($D1438,Kontenplan!$A$5:$A$90,0)),"?"))</f>
        <v/>
      </c>
      <c r="U1438" s="35" t="str">
        <f aca="false">IF($E1438="","",IFERROR(INDEX(Kontenplan!$C$5:$C$90,MATCH($E1438,Kontenplan!$A$5:$A$90,0)),"?"))</f>
        <v/>
      </c>
      <c r="V1438" s="35" t="str">
        <f aca="false">IF($F1438="","",IF(OR($D1438="",$E1438="",$T1438="?",$U1438="?"),"Konto prüfen!",IF($A1438="","Datum fehlt",IF(YEAR($A1438)&lt;&gt;Einstellungen!$B$7,"anderes Jahr!",IF($G1438="","MWST-Code fehlt","OK")))))</f>
        <v/>
      </c>
      <c r="W1438" s="35" t="str">
        <f aca="false">IF($F1438="","",IF(OR($D1438=Kontoauszug!$C$4,$E1438=Kontoauszug!$C$4),MAX(W$4:W1437)+1,""))</f>
        <v/>
      </c>
    </row>
    <row r="1439" customFormat="false" ht="15" hidden="false" customHeight="false" outlineLevel="0" collapsed="false">
      <c r="A1439" s="33"/>
      <c r="B1439" s="32"/>
      <c r="C1439" s="32"/>
      <c r="D1439" s="32"/>
      <c r="E1439" s="32"/>
      <c r="F1439" s="30"/>
      <c r="G1439" s="32"/>
      <c r="H1439" s="34" t="n">
        <f aca="false">IF($G1439="",0,IFERROR(INDEX(Einstellungen!$G$5:$G$11,MATCH($G1439,Einstellungen!$E$5:$E$11,0)),0))</f>
        <v>0</v>
      </c>
      <c r="I1439" s="35" t="str">
        <f aca="false">IF($G1439="","-",IFERROR(INDEX(Einstellungen!$H$5:$H$11,MATCH($G1439,Einstellungen!$E$5:$E$11,0)),"-"))</f>
        <v>-</v>
      </c>
      <c r="J1439" s="35" t="str">
        <f aca="false">IF(AND(Einstellungen!$B$8="Ja",Einstellungen!$B$9="Effektiv"),$I1439,"-")</f>
        <v>-</v>
      </c>
      <c r="K1439" s="31" t="n">
        <f aca="false">IF(OR($F1439="",$J1439="-"),0,ROUND($F1439-$F1439/(1+$H1439),2))</f>
        <v>0</v>
      </c>
      <c r="L1439" s="31" t="n">
        <f aca="false">IF($F1439="",0,$F1439-$K1439)</f>
        <v>0</v>
      </c>
      <c r="M1439" s="31" t="n">
        <f aca="false">IF($F1439="",0,IF($J1439="V",$L1439,$F1439))</f>
        <v>0</v>
      </c>
      <c r="N1439" s="31" t="n">
        <f aca="false">IF($F1439="",0,IF($J1439="U",$L1439,$F1439))</f>
        <v>0</v>
      </c>
      <c r="O1439" s="35" t="str">
        <f aca="false">IF($A1439="","",MONTH($A1439))</f>
        <v/>
      </c>
      <c r="P1439" s="35" t="str">
        <f aca="false">IF($A1439="","",ROUNDUP(MONTH($A1439)/3,0))</f>
        <v/>
      </c>
      <c r="Q1439" s="35" t="str">
        <f aca="false">IF($A1439="","",IF(MONTH($A1439)&lt;=6,1,2))</f>
        <v/>
      </c>
      <c r="R1439" s="35" t="str">
        <f aca="false">IF($E1439="","",IFERROR(INDEX(Kontenplan!$F$5:$F$90,MATCH($E1439,Kontenplan!$A$5:$A$90,0)),""))</f>
        <v/>
      </c>
      <c r="S1439" s="35" t="str">
        <f aca="false">IF($D1439="","",IFERROR(INDEX(Kontenplan!$F$5:$F$90,MATCH($D1439,Kontenplan!$A$5:$A$90,0)),""))</f>
        <v/>
      </c>
      <c r="T1439" s="35" t="str">
        <f aca="false">IF($D1439="","",IFERROR(INDEX(Kontenplan!$C$5:$C$90,MATCH($D1439,Kontenplan!$A$5:$A$90,0)),"?"))</f>
        <v/>
      </c>
      <c r="U1439" s="35" t="str">
        <f aca="false">IF($E1439="","",IFERROR(INDEX(Kontenplan!$C$5:$C$90,MATCH($E1439,Kontenplan!$A$5:$A$90,0)),"?"))</f>
        <v/>
      </c>
      <c r="V1439" s="35" t="str">
        <f aca="false">IF($F1439="","",IF(OR($D1439="",$E1439="",$T1439="?",$U1439="?"),"Konto prüfen!",IF($A1439="","Datum fehlt",IF(YEAR($A1439)&lt;&gt;Einstellungen!$B$7,"anderes Jahr!",IF($G1439="","MWST-Code fehlt","OK")))))</f>
        <v/>
      </c>
      <c r="W1439" s="35" t="str">
        <f aca="false">IF($F1439="","",IF(OR($D1439=Kontoauszug!$C$4,$E1439=Kontoauszug!$C$4),MAX(W$4:W1438)+1,""))</f>
        <v/>
      </c>
    </row>
    <row r="1440" customFormat="false" ht="15" hidden="false" customHeight="false" outlineLevel="0" collapsed="false">
      <c r="A1440" s="33"/>
      <c r="B1440" s="32"/>
      <c r="C1440" s="32"/>
      <c r="D1440" s="32"/>
      <c r="E1440" s="32"/>
      <c r="F1440" s="30"/>
      <c r="G1440" s="32"/>
      <c r="H1440" s="34" t="n">
        <f aca="false">IF($G1440="",0,IFERROR(INDEX(Einstellungen!$G$5:$G$11,MATCH($G1440,Einstellungen!$E$5:$E$11,0)),0))</f>
        <v>0</v>
      </c>
      <c r="I1440" s="35" t="str">
        <f aca="false">IF($G1440="","-",IFERROR(INDEX(Einstellungen!$H$5:$H$11,MATCH($G1440,Einstellungen!$E$5:$E$11,0)),"-"))</f>
        <v>-</v>
      </c>
      <c r="J1440" s="35" t="str">
        <f aca="false">IF(AND(Einstellungen!$B$8="Ja",Einstellungen!$B$9="Effektiv"),$I1440,"-")</f>
        <v>-</v>
      </c>
      <c r="K1440" s="31" t="n">
        <f aca="false">IF(OR($F1440="",$J1440="-"),0,ROUND($F1440-$F1440/(1+$H1440),2))</f>
        <v>0</v>
      </c>
      <c r="L1440" s="31" t="n">
        <f aca="false">IF($F1440="",0,$F1440-$K1440)</f>
        <v>0</v>
      </c>
      <c r="M1440" s="31" t="n">
        <f aca="false">IF($F1440="",0,IF($J1440="V",$L1440,$F1440))</f>
        <v>0</v>
      </c>
      <c r="N1440" s="31" t="n">
        <f aca="false">IF($F1440="",0,IF($J1440="U",$L1440,$F1440))</f>
        <v>0</v>
      </c>
      <c r="O1440" s="35" t="str">
        <f aca="false">IF($A1440="","",MONTH($A1440))</f>
        <v/>
      </c>
      <c r="P1440" s="35" t="str">
        <f aca="false">IF($A1440="","",ROUNDUP(MONTH($A1440)/3,0))</f>
        <v/>
      </c>
      <c r="Q1440" s="35" t="str">
        <f aca="false">IF($A1440="","",IF(MONTH($A1440)&lt;=6,1,2))</f>
        <v/>
      </c>
      <c r="R1440" s="35" t="str">
        <f aca="false">IF($E1440="","",IFERROR(INDEX(Kontenplan!$F$5:$F$90,MATCH($E1440,Kontenplan!$A$5:$A$90,0)),""))</f>
        <v/>
      </c>
      <c r="S1440" s="35" t="str">
        <f aca="false">IF($D1440="","",IFERROR(INDEX(Kontenplan!$F$5:$F$90,MATCH($D1440,Kontenplan!$A$5:$A$90,0)),""))</f>
        <v/>
      </c>
      <c r="T1440" s="35" t="str">
        <f aca="false">IF($D1440="","",IFERROR(INDEX(Kontenplan!$C$5:$C$90,MATCH($D1440,Kontenplan!$A$5:$A$90,0)),"?"))</f>
        <v/>
      </c>
      <c r="U1440" s="35" t="str">
        <f aca="false">IF($E1440="","",IFERROR(INDEX(Kontenplan!$C$5:$C$90,MATCH($E1440,Kontenplan!$A$5:$A$90,0)),"?"))</f>
        <v/>
      </c>
      <c r="V1440" s="35" t="str">
        <f aca="false">IF($F1440="","",IF(OR($D1440="",$E1440="",$T1440="?",$U1440="?"),"Konto prüfen!",IF($A1440="","Datum fehlt",IF(YEAR($A1440)&lt;&gt;Einstellungen!$B$7,"anderes Jahr!",IF($G1440="","MWST-Code fehlt","OK")))))</f>
        <v/>
      </c>
      <c r="W1440" s="35" t="str">
        <f aca="false">IF($F1440="","",IF(OR($D1440=Kontoauszug!$C$4,$E1440=Kontoauszug!$C$4),MAX(W$4:W1439)+1,""))</f>
        <v/>
      </c>
    </row>
    <row r="1441" customFormat="false" ht="15" hidden="false" customHeight="false" outlineLevel="0" collapsed="false">
      <c r="A1441" s="33"/>
      <c r="B1441" s="32"/>
      <c r="C1441" s="32"/>
      <c r="D1441" s="32"/>
      <c r="E1441" s="32"/>
      <c r="F1441" s="30"/>
      <c r="G1441" s="32"/>
      <c r="H1441" s="34" t="n">
        <f aca="false">IF($G1441="",0,IFERROR(INDEX(Einstellungen!$G$5:$G$11,MATCH($G1441,Einstellungen!$E$5:$E$11,0)),0))</f>
        <v>0</v>
      </c>
      <c r="I1441" s="35" t="str">
        <f aca="false">IF($G1441="","-",IFERROR(INDEX(Einstellungen!$H$5:$H$11,MATCH($G1441,Einstellungen!$E$5:$E$11,0)),"-"))</f>
        <v>-</v>
      </c>
      <c r="J1441" s="35" t="str">
        <f aca="false">IF(AND(Einstellungen!$B$8="Ja",Einstellungen!$B$9="Effektiv"),$I1441,"-")</f>
        <v>-</v>
      </c>
      <c r="K1441" s="31" t="n">
        <f aca="false">IF(OR($F1441="",$J1441="-"),0,ROUND($F1441-$F1441/(1+$H1441),2))</f>
        <v>0</v>
      </c>
      <c r="L1441" s="31" t="n">
        <f aca="false">IF($F1441="",0,$F1441-$K1441)</f>
        <v>0</v>
      </c>
      <c r="M1441" s="31" t="n">
        <f aca="false">IF($F1441="",0,IF($J1441="V",$L1441,$F1441))</f>
        <v>0</v>
      </c>
      <c r="N1441" s="31" t="n">
        <f aca="false">IF($F1441="",0,IF($J1441="U",$L1441,$F1441))</f>
        <v>0</v>
      </c>
      <c r="O1441" s="35" t="str">
        <f aca="false">IF($A1441="","",MONTH($A1441))</f>
        <v/>
      </c>
      <c r="P1441" s="35" t="str">
        <f aca="false">IF($A1441="","",ROUNDUP(MONTH($A1441)/3,0))</f>
        <v/>
      </c>
      <c r="Q1441" s="35" t="str">
        <f aca="false">IF($A1441="","",IF(MONTH($A1441)&lt;=6,1,2))</f>
        <v/>
      </c>
      <c r="R1441" s="35" t="str">
        <f aca="false">IF($E1441="","",IFERROR(INDEX(Kontenplan!$F$5:$F$90,MATCH($E1441,Kontenplan!$A$5:$A$90,0)),""))</f>
        <v/>
      </c>
      <c r="S1441" s="35" t="str">
        <f aca="false">IF($D1441="","",IFERROR(INDEX(Kontenplan!$F$5:$F$90,MATCH($D1441,Kontenplan!$A$5:$A$90,0)),""))</f>
        <v/>
      </c>
      <c r="T1441" s="35" t="str">
        <f aca="false">IF($D1441="","",IFERROR(INDEX(Kontenplan!$C$5:$C$90,MATCH($D1441,Kontenplan!$A$5:$A$90,0)),"?"))</f>
        <v/>
      </c>
      <c r="U1441" s="35" t="str">
        <f aca="false">IF($E1441="","",IFERROR(INDEX(Kontenplan!$C$5:$C$90,MATCH($E1441,Kontenplan!$A$5:$A$90,0)),"?"))</f>
        <v/>
      </c>
      <c r="V1441" s="35" t="str">
        <f aca="false">IF($F1441="","",IF(OR($D1441="",$E1441="",$T1441="?",$U1441="?"),"Konto prüfen!",IF($A1441="","Datum fehlt",IF(YEAR($A1441)&lt;&gt;Einstellungen!$B$7,"anderes Jahr!",IF($G1441="","MWST-Code fehlt","OK")))))</f>
        <v/>
      </c>
      <c r="W1441" s="35" t="str">
        <f aca="false">IF($F1441="","",IF(OR($D1441=Kontoauszug!$C$4,$E1441=Kontoauszug!$C$4),MAX(W$4:W1440)+1,""))</f>
        <v/>
      </c>
    </row>
    <row r="1442" customFormat="false" ht="15" hidden="false" customHeight="false" outlineLevel="0" collapsed="false">
      <c r="A1442" s="33"/>
      <c r="B1442" s="32"/>
      <c r="C1442" s="32"/>
      <c r="D1442" s="32"/>
      <c r="E1442" s="32"/>
      <c r="F1442" s="30"/>
      <c r="G1442" s="32"/>
      <c r="H1442" s="34" t="n">
        <f aca="false">IF($G1442="",0,IFERROR(INDEX(Einstellungen!$G$5:$G$11,MATCH($G1442,Einstellungen!$E$5:$E$11,0)),0))</f>
        <v>0</v>
      </c>
      <c r="I1442" s="35" t="str">
        <f aca="false">IF($G1442="","-",IFERROR(INDEX(Einstellungen!$H$5:$H$11,MATCH($G1442,Einstellungen!$E$5:$E$11,0)),"-"))</f>
        <v>-</v>
      </c>
      <c r="J1442" s="35" t="str">
        <f aca="false">IF(AND(Einstellungen!$B$8="Ja",Einstellungen!$B$9="Effektiv"),$I1442,"-")</f>
        <v>-</v>
      </c>
      <c r="K1442" s="31" t="n">
        <f aca="false">IF(OR($F1442="",$J1442="-"),0,ROUND($F1442-$F1442/(1+$H1442),2))</f>
        <v>0</v>
      </c>
      <c r="L1442" s="31" t="n">
        <f aca="false">IF($F1442="",0,$F1442-$K1442)</f>
        <v>0</v>
      </c>
      <c r="M1442" s="31" t="n">
        <f aca="false">IF($F1442="",0,IF($J1442="V",$L1442,$F1442))</f>
        <v>0</v>
      </c>
      <c r="N1442" s="31" t="n">
        <f aca="false">IF($F1442="",0,IF($J1442="U",$L1442,$F1442))</f>
        <v>0</v>
      </c>
      <c r="O1442" s="35" t="str">
        <f aca="false">IF($A1442="","",MONTH($A1442))</f>
        <v/>
      </c>
      <c r="P1442" s="35" t="str">
        <f aca="false">IF($A1442="","",ROUNDUP(MONTH($A1442)/3,0))</f>
        <v/>
      </c>
      <c r="Q1442" s="35" t="str">
        <f aca="false">IF($A1442="","",IF(MONTH($A1442)&lt;=6,1,2))</f>
        <v/>
      </c>
      <c r="R1442" s="35" t="str">
        <f aca="false">IF($E1442="","",IFERROR(INDEX(Kontenplan!$F$5:$F$90,MATCH($E1442,Kontenplan!$A$5:$A$90,0)),""))</f>
        <v/>
      </c>
      <c r="S1442" s="35" t="str">
        <f aca="false">IF($D1442="","",IFERROR(INDEX(Kontenplan!$F$5:$F$90,MATCH($D1442,Kontenplan!$A$5:$A$90,0)),""))</f>
        <v/>
      </c>
      <c r="T1442" s="35" t="str">
        <f aca="false">IF($D1442="","",IFERROR(INDEX(Kontenplan!$C$5:$C$90,MATCH($D1442,Kontenplan!$A$5:$A$90,0)),"?"))</f>
        <v/>
      </c>
      <c r="U1442" s="35" t="str">
        <f aca="false">IF($E1442="","",IFERROR(INDEX(Kontenplan!$C$5:$C$90,MATCH($E1442,Kontenplan!$A$5:$A$90,0)),"?"))</f>
        <v/>
      </c>
      <c r="V1442" s="35" t="str">
        <f aca="false">IF($F1442="","",IF(OR($D1442="",$E1442="",$T1442="?",$U1442="?"),"Konto prüfen!",IF($A1442="","Datum fehlt",IF(YEAR($A1442)&lt;&gt;Einstellungen!$B$7,"anderes Jahr!",IF($G1442="","MWST-Code fehlt","OK")))))</f>
        <v/>
      </c>
      <c r="W1442" s="35" t="str">
        <f aca="false">IF($F1442="","",IF(OR($D1442=Kontoauszug!$C$4,$E1442=Kontoauszug!$C$4),MAX(W$4:W1441)+1,""))</f>
        <v/>
      </c>
    </row>
    <row r="1443" customFormat="false" ht="15" hidden="false" customHeight="false" outlineLevel="0" collapsed="false">
      <c r="A1443" s="33"/>
      <c r="B1443" s="32"/>
      <c r="C1443" s="32"/>
      <c r="D1443" s="32"/>
      <c r="E1443" s="32"/>
      <c r="F1443" s="30"/>
      <c r="G1443" s="32"/>
      <c r="H1443" s="34" t="n">
        <f aca="false">IF($G1443="",0,IFERROR(INDEX(Einstellungen!$G$5:$G$11,MATCH($G1443,Einstellungen!$E$5:$E$11,0)),0))</f>
        <v>0</v>
      </c>
      <c r="I1443" s="35" t="str">
        <f aca="false">IF($G1443="","-",IFERROR(INDEX(Einstellungen!$H$5:$H$11,MATCH($G1443,Einstellungen!$E$5:$E$11,0)),"-"))</f>
        <v>-</v>
      </c>
      <c r="J1443" s="35" t="str">
        <f aca="false">IF(AND(Einstellungen!$B$8="Ja",Einstellungen!$B$9="Effektiv"),$I1443,"-")</f>
        <v>-</v>
      </c>
      <c r="K1443" s="31" t="n">
        <f aca="false">IF(OR($F1443="",$J1443="-"),0,ROUND($F1443-$F1443/(1+$H1443),2))</f>
        <v>0</v>
      </c>
      <c r="L1443" s="31" t="n">
        <f aca="false">IF($F1443="",0,$F1443-$K1443)</f>
        <v>0</v>
      </c>
      <c r="M1443" s="31" t="n">
        <f aca="false">IF($F1443="",0,IF($J1443="V",$L1443,$F1443))</f>
        <v>0</v>
      </c>
      <c r="N1443" s="31" t="n">
        <f aca="false">IF($F1443="",0,IF($J1443="U",$L1443,$F1443))</f>
        <v>0</v>
      </c>
      <c r="O1443" s="35" t="str">
        <f aca="false">IF($A1443="","",MONTH($A1443))</f>
        <v/>
      </c>
      <c r="P1443" s="35" t="str">
        <f aca="false">IF($A1443="","",ROUNDUP(MONTH($A1443)/3,0))</f>
        <v/>
      </c>
      <c r="Q1443" s="35" t="str">
        <f aca="false">IF($A1443="","",IF(MONTH($A1443)&lt;=6,1,2))</f>
        <v/>
      </c>
      <c r="R1443" s="35" t="str">
        <f aca="false">IF($E1443="","",IFERROR(INDEX(Kontenplan!$F$5:$F$90,MATCH($E1443,Kontenplan!$A$5:$A$90,0)),""))</f>
        <v/>
      </c>
      <c r="S1443" s="35" t="str">
        <f aca="false">IF($D1443="","",IFERROR(INDEX(Kontenplan!$F$5:$F$90,MATCH($D1443,Kontenplan!$A$5:$A$90,0)),""))</f>
        <v/>
      </c>
      <c r="T1443" s="35" t="str">
        <f aca="false">IF($D1443="","",IFERROR(INDEX(Kontenplan!$C$5:$C$90,MATCH($D1443,Kontenplan!$A$5:$A$90,0)),"?"))</f>
        <v/>
      </c>
      <c r="U1443" s="35" t="str">
        <f aca="false">IF($E1443="","",IFERROR(INDEX(Kontenplan!$C$5:$C$90,MATCH($E1443,Kontenplan!$A$5:$A$90,0)),"?"))</f>
        <v/>
      </c>
      <c r="V1443" s="35" t="str">
        <f aca="false">IF($F1443="","",IF(OR($D1443="",$E1443="",$T1443="?",$U1443="?"),"Konto prüfen!",IF($A1443="","Datum fehlt",IF(YEAR($A1443)&lt;&gt;Einstellungen!$B$7,"anderes Jahr!",IF($G1443="","MWST-Code fehlt","OK")))))</f>
        <v/>
      </c>
      <c r="W1443" s="35" t="str">
        <f aca="false">IF($F1443="","",IF(OR($D1443=Kontoauszug!$C$4,$E1443=Kontoauszug!$C$4),MAX(W$4:W1442)+1,""))</f>
        <v/>
      </c>
    </row>
    <row r="1444" customFormat="false" ht="15" hidden="false" customHeight="false" outlineLevel="0" collapsed="false">
      <c r="A1444" s="33"/>
      <c r="B1444" s="32"/>
      <c r="C1444" s="32"/>
      <c r="D1444" s="32"/>
      <c r="E1444" s="32"/>
      <c r="F1444" s="30"/>
      <c r="G1444" s="32"/>
      <c r="H1444" s="34" t="n">
        <f aca="false">IF($G1444="",0,IFERROR(INDEX(Einstellungen!$G$5:$G$11,MATCH($G1444,Einstellungen!$E$5:$E$11,0)),0))</f>
        <v>0</v>
      </c>
      <c r="I1444" s="35" t="str">
        <f aca="false">IF($G1444="","-",IFERROR(INDEX(Einstellungen!$H$5:$H$11,MATCH($G1444,Einstellungen!$E$5:$E$11,0)),"-"))</f>
        <v>-</v>
      </c>
      <c r="J1444" s="35" t="str">
        <f aca="false">IF(AND(Einstellungen!$B$8="Ja",Einstellungen!$B$9="Effektiv"),$I1444,"-")</f>
        <v>-</v>
      </c>
      <c r="K1444" s="31" t="n">
        <f aca="false">IF(OR($F1444="",$J1444="-"),0,ROUND($F1444-$F1444/(1+$H1444),2))</f>
        <v>0</v>
      </c>
      <c r="L1444" s="31" t="n">
        <f aca="false">IF($F1444="",0,$F1444-$K1444)</f>
        <v>0</v>
      </c>
      <c r="M1444" s="31" t="n">
        <f aca="false">IF($F1444="",0,IF($J1444="V",$L1444,$F1444))</f>
        <v>0</v>
      </c>
      <c r="N1444" s="31" t="n">
        <f aca="false">IF($F1444="",0,IF($J1444="U",$L1444,$F1444))</f>
        <v>0</v>
      </c>
      <c r="O1444" s="35" t="str">
        <f aca="false">IF($A1444="","",MONTH($A1444))</f>
        <v/>
      </c>
      <c r="P1444" s="35" t="str">
        <f aca="false">IF($A1444="","",ROUNDUP(MONTH($A1444)/3,0))</f>
        <v/>
      </c>
      <c r="Q1444" s="35" t="str">
        <f aca="false">IF($A1444="","",IF(MONTH($A1444)&lt;=6,1,2))</f>
        <v/>
      </c>
      <c r="R1444" s="35" t="str">
        <f aca="false">IF($E1444="","",IFERROR(INDEX(Kontenplan!$F$5:$F$90,MATCH($E1444,Kontenplan!$A$5:$A$90,0)),""))</f>
        <v/>
      </c>
      <c r="S1444" s="35" t="str">
        <f aca="false">IF($D1444="","",IFERROR(INDEX(Kontenplan!$F$5:$F$90,MATCH($D1444,Kontenplan!$A$5:$A$90,0)),""))</f>
        <v/>
      </c>
      <c r="T1444" s="35" t="str">
        <f aca="false">IF($D1444="","",IFERROR(INDEX(Kontenplan!$C$5:$C$90,MATCH($D1444,Kontenplan!$A$5:$A$90,0)),"?"))</f>
        <v/>
      </c>
      <c r="U1444" s="35" t="str">
        <f aca="false">IF($E1444="","",IFERROR(INDEX(Kontenplan!$C$5:$C$90,MATCH($E1444,Kontenplan!$A$5:$A$90,0)),"?"))</f>
        <v/>
      </c>
      <c r="V1444" s="35" t="str">
        <f aca="false">IF($F1444="","",IF(OR($D1444="",$E1444="",$T1444="?",$U1444="?"),"Konto prüfen!",IF($A1444="","Datum fehlt",IF(YEAR($A1444)&lt;&gt;Einstellungen!$B$7,"anderes Jahr!",IF($G1444="","MWST-Code fehlt","OK")))))</f>
        <v/>
      </c>
      <c r="W1444" s="35" t="str">
        <f aca="false">IF($F1444="","",IF(OR($D1444=Kontoauszug!$C$4,$E1444=Kontoauszug!$C$4),MAX(W$4:W1443)+1,""))</f>
        <v/>
      </c>
    </row>
    <row r="1445" customFormat="false" ht="15" hidden="false" customHeight="false" outlineLevel="0" collapsed="false">
      <c r="A1445" s="33"/>
      <c r="B1445" s="32"/>
      <c r="C1445" s="32"/>
      <c r="D1445" s="32"/>
      <c r="E1445" s="32"/>
      <c r="F1445" s="30"/>
      <c r="G1445" s="32"/>
      <c r="H1445" s="34" t="n">
        <f aca="false">IF($G1445="",0,IFERROR(INDEX(Einstellungen!$G$5:$G$11,MATCH($G1445,Einstellungen!$E$5:$E$11,0)),0))</f>
        <v>0</v>
      </c>
      <c r="I1445" s="35" t="str">
        <f aca="false">IF($G1445="","-",IFERROR(INDEX(Einstellungen!$H$5:$H$11,MATCH($G1445,Einstellungen!$E$5:$E$11,0)),"-"))</f>
        <v>-</v>
      </c>
      <c r="J1445" s="35" t="str">
        <f aca="false">IF(AND(Einstellungen!$B$8="Ja",Einstellungen!$B$9="Effektiv"),$I1445,"-")</f>
        <v>-</v>
      </c>
      <c r="K1445" s="31" t="n">
        <f aca="false">IF(OR($F1445="",$J1445="-"),0,ROUND($F1445-$F1445/(1+$H1445),2))</f>
        <v>0</v>
      </c>
      <c r="L1445" s="31" t="n">
        <f aca="false">IF($F1445="",0,$F1445-$K1445)</f>
        <v>0</v>
      </c>
      <c r="M1445" s="31" t="n">
        <f aca="false">IF($F1445="",0,IF($J1445="V",$L1445,$F1445))</f>
        <v>0</v>
      </c>
      <c r="N1445" s="31" t="n">
        <f aca="false">IF($F1445="",0,IF($J1445="U",$L1445,$F1445))</f>
        <v>0</v>
      </c>
      <c r="O1445" s="35" t="str">
        <f aca="false">IF($A1445="","",MONTH($A1445))</f>
        <v/>
      </c>
      <c r="P1445" s="35" t="str">
        <f aca="false">IF($A1445="","",ROUNDUP(MONTH($A1445)/3,0))</f>
        <v/>
      </c>
      <c r="Q1445" s="35" t="str">
        <f aca="false">IF($A1445="","",IF(MONTH($A1445)&lt;=6,1,2))</f>
        <v/>
      </c>
      <c r="R1445" s="35" t="str">
        <f aca="false">IF($E1445="","",IFERROR(INDEX(Kontenplan!$F$5:$F$90,MATCH($E1445,Kontenplan!$A$5:$A$90,0)),""))</f>
        <v/>
      </c>
      <c r="S1445" s="35" t="str">
        <f aca="false">IF($D1445="","",IFERROR(INDEX(Kontenplan!$F$5:$F$90,MATCH($D1445,Kontenplan!$A$5:$A$90,0)),""))</f>
        <v/>
      </c>
      <c r="T1445" s="35" t="str">
        <f aca="false">IF($D1445="","",IFERROR(INDEX(Kontenplan!$C$5:$C$90,MATCH($D1445,Kontenplan!$A$5:$A$90,0)),"?"))</f>
        <v/>
      </c>
      <c r="U1445" s="35" t="str">
        <f aca="false">IF($E1445="","",IFERROR(INDEX(Kontenplan!$C$5:$C$90,MATCH($E1445,Kontenplan!$A$5:$A$90,0)),"?"))</f>
        <v/>
      </c>
      <c r="V1445" s="35" t="str">
        <f aca="false">IF($F1445="","",IF(OR($D1445="",$E1445="",$T1445="?",$U1445="?"),"Konto prüfen!",IF($A1445="","Datum fehlt",IF(YEAR($A1445)&lt;&gt;Einstellungen!$B$7,"anderes Jahr!",IF($G1445="","MWST-Code fehlt","OK")))))</f>
        <v/>
      </c>
      <c r="W1445" s="35" t="str">
        <f aca="false">IF($F1445="","",IF(OR($D1445=Kontoauszug!$C$4,$E1445=Kontoauszug!$C$4),MAX(W$4:W1444)+1,""))</f>
        <v/>
      </c>
    </row>
    <row r="1446" customFormat="false" ht="15" hidden="false" customHeight="false" outlineLevel="0" collapsed="false">
      <c r="A1446" s="33"/>
      <c r="B1446" s="32"/>
      <c r="C1446" s="32"/>
      <c r="D1446" s="32"/>
      <c r="E1446" s="32"/>
      <c r="F1446" s="30"/>
      <c r="G1446" s="32"/>
      <c r="H1446" s="34" t="n">
        <f aca="false">IF($G1446="",0,IFERROR(INDEX(Einstellungen!$G$5:$G$11,MATCH($G1446,Einstellungen!$E$5:$E$11,0)),0))</f>
        <v>0</v>
      </c>
      <c r="I1446" s="35" t="str">
        <f aca="false">IF($G1446="","-",IFERROR(INDEX(Einstellungen!$H$5:$H$11,MATCH($G1446,Einstellungen!$E$5:$E$11,0)),"-"))</f>
        <v>-</v>
      </c>
      <c r="J1446" s="35" t="str">
        <f aca="false">IF(AND(Einstellungen!$B$8="Ja",Einstellungen!$B$9="Effektiv"),$I1446,"-")</f>
        <v>-</v>
      </c>
      <c r="K1446" s="31" t="n">
        <f aca="false">IF(OR($F1446="",$J1446="-"),0,ROUND($F1446-$F1446/(1+$H1446),2))</f>
        <v>0</v>
      </c>
      <c r="L1446" s="31" t="n">
        <f aca="false">IF($F1446="",0,$F1446-$K1446)</f>
        <v>0</v>
      </c>
      <c r="M1446" s="31" t="n">
        <f aca="false">IF($F1446="",0,IF($J1446="V",$L1446,$F1446))</f>
        <v>0</v>
      </c>
      <c r="N1446" s="31" t="n">
        <f aca="false">IF($F1446="",0,IF($J1446="U",$L1446,$F1446))</f>
        <v>0</v>
      </c>
      <c r="O1446" s="35" t="str">
        <f aca="false">IF($A1446="","",MONTH($A1446))</f>
        <v/>
      </c>
      <c r="P1446" s="35" t="str">
        <f aca="false">IF($A1446="","",ROUNDUP(MONTH($A1446)/3,0))</f>
        <v/>
      </c>
      <c r="Q1446" s="35" t="str">
        <f aca="false">IF($A1446="","",IF(MONTH($A1446)&lt;=6,1,2))</f>
        <v/>
      </c>
      <c r="R1446" s="35" t="str">
        <f aca="false">IF($E1446="","",IFERROR(INDEX(Kontenplan!$F$5:$F$90,MATCH($E1446,Kontenplan!$A$5:$A$90,0)),""))</f>
        <v/>
      </c>
      <c r="S1446" s="35" t="str">
        <f aca="false">IF($D1446="","",IFERROR(INDEX(Kontenplan!$F$5:$F$90,MATCH($D1446,Kontenplan!$A$5:$A$90,0)),""))</f>
        <v/>
      </c>
      <c r="T1446" s="35" t="str">
        <f aca="false">IF($D1446="","",IFERROR(INDEX(Kontenplan!$C$5:$C$90,MATCH($D1446,Kontenplan!$A$5:$A$90,0)),"?"))</f>
        <v/>
      </c>
      <c r="U1446" s="35" t="str">
        <f aca="false">IF($E1446="","",IFERROR(INDEX(Kontenplan!$C$5:$C$90,MATCH($E1446,Kontenplan!$A$5:$A$90,0)),"?"))</f>
        <v/>
      </c>
      <c r="V1446" s="35" t="str">
        <f aca="false">IF($F1446="","",IF(OR($D1446="",$E1446="",$T1446="?",$U1446="?"),"Konto prüfen!",IF($A1446="","Datum fehlt",IF(YEAR($A1446)&lt;&gt;Einstellungen!$B$7,"anderes Jahr!",IF($G1446="","MWST-Code fehlt","OK")))))</f>
        <v/>
      </c>
      <c r="W1446" s="35" t="str">
        <f aca="false">IF($F1446="","",IF(OR($D1446=Kontoauszug!$C$4,$E1446=Kontoauszug!$C$4),MAX(W$4:W1445)+1,""))</f>
        <v/>
      </c>
    </row>
    <row r="1447" customFormat="false" ht="15" hidden="false" customHeight="false" outlineLevel="0" collapsed="false">
      <c r="A1447" s="33"/>
      <c r="B1447" s="32"/>
      <c r="C1447" s="32"/>
      <c r="D1447" s="32"/>
      <c r="E1447" s="32"/>
      <c r="F1447" s="30"/>
      <c r="G1447" s="32"/>
      <c r="H1447" s="34" t="n">
        <f aca="false">IF($G1447="",0,IFERROR(INDEX(Einstellungen!$G$5:$G$11,MATCH($G1447,Einstellungen!$E$5:$E$11,0)),0))</f>
        <v>0</v>
      </c>
      <c r="I1447" s="35" t="str">
        <f aca="false">IF($G1447="","-",IFERROR(INDEX(Einstellungen!$H$5:$H$11,MATCH($G1447,Einstellungen!$E$5:$E$11,0)),"-"))</f>
        <v>-</v>
      </c>
      <c r="J1447" s="35" t="str">
        <f aca="false">IF(AND(Einstellungen!$B$8="Ja",Einstellungen!$B$9="Effektiv"),$I1447,"-")</f>
        <v>-</v>
      </c>
      <c r="K1447" s="31" t="n">
        <f aca="false">IF(OR($F1447="",$J1447="-"),0,ROUND($F1447-$F1447/(1+$H1447),2))</f>
        <v>0</v>
      </c>
      <c r="L1447" s="31" t="n">
        <f aca="false">IF($F1447="",0,$F1447-$K1447)</f>
        <v>0</v>
      </c>
      <c r="M1447" s="31" t="n">
        <f aca="false">IF($F1447="",0,IF($J1447="V",$L1447,$F1447))</f>
        <v>0</v>
      </c>
      <c r="N1447" s="31" t="n">
        <f aca="false">IF($F1447="",0,IF($J1447="U",$L1447,$F1447))</f>
        <v>0</v>
      </c>
      <c r="O1447" s="35" t="str">
        <f aca="false">IF($A1447="","",MONTH($A1447))</f>
        <v/>
      </c>
      <c r="P1447" s="35" t="str">
        <f aca="false">IF($A1447="","",ROUNDUP(MONTH($A1447)/3,0))</f>
        <v/>
      </c>
      <c r="Q1447" s="35" t="str">
        <f aca="false">IF($A1447="","",IF(MONTH($A1447)&lt;=6,1,2))</f>
        <v/>
      </c>
      <c r="R1447" s="35" t="str">
        <f aca="false">IF($E1447="","",IFERROR(INDEX(Kontenplan!$F$5:$F$90,MATCH($E1447,Kontenplan!$A$5:$A$90,0)),""))</f>
        <v/>
      </c>
      <c r="S1447" s="35" t="str">
        <f aca="false">IF($D1447="","",IFERROR(INDEX(Kontenplan!$F$5:$F$90,MATCH($D1447,Kontenplan!$A$5:$A$90,0)),""))</f>
        <v/>
      </c>
      <c r="T1447" s="35" t="str">
        <f aca="false">IF($D1447="","",IFERROR(INDEX(Kontenplan!$C$5:$C$90,MATCH($D1447,Kontenplan!$A$5:$A$90,0)),"?"))</f>
        <v/>
      </c>
      <c r="U1447" s="35" t="str">
        <f aca="false">IF($E1447="","",IFERROR(INDEX(Kontenplan!$C$5:$C$90,MATCH($E1447,Kontenplan!$A$5:$A$90,0)),"?"))</f>
        <v/>
      </c>
      <c r="V1447" s="35" t="str">
        <f aca="false">IF($F1447="","",IF(OR($D1447="",$E1447="",$T1447="?",$U1447="?"),"Konto prüfen!",IF($A1447="","Datum fehlt",IF(YEAR($A1447)&lt;&gt;Einstellungen!$B$7,"anderes Jahr!",IF($G1447="","MWST-Code fehlt","OK")))))</f>
        <v/>
      </c>
      <c r="W1447" s="35" t="str">
        <f aca="false">IF($F1447="","",IF(OR($D1447=Kontoauszug!$C$4,$E1447=Kontoauszug!$C$4),MAX(W$4:W1446)+1,""))</f>
        <v/>
      </c>
    </row>
    <row r="1448" customFormat="false" ht="15" hidden="false" customHeight="false" outlineLevel="0" collapsed="false">
      <c r="A1448" s="33"/>
      <c r="B1448" s="32"/>
      <c r="C1448" s="32"/>
      <c r="D1448" s="32"/>
      <c r="E1448" s="32"/>
      <c r="F1448" s="30"/>
      <c r="G1448" s="32"/>
      <c r="H1448" s="34" t="n">
        <f aca="false">IF($G1448="",0,IFERROR(INDEX(Einstellungen!$G$5:$G$11,MATCH($G1448,Einstellungen!$E$5:$E$11,0)),0))</f>
        <v>0</v>
      </c>
      <c r="I1448" s="35" t="str">
        <f aca="false">IF($G1448="","-",IFERROR(INDEX(Einstellungen!$H$5:$H$11,MATCH($G1448,Einstellungen!$E$5:$E$11,0)),"-"))</f>
        <v>-</v>
      </c>
      <c r="J1448" s="35" t="str">
        <f aca="false">IF(AND(Einstellungen!$B$8="Ja",Einstellungen!$B$9="Effektiv"),$I1448,"-")</f>
        <v>-</v>
      </c>
      <c r="K1448" s="31" t="n">
        <f aca="false">IF(OR($F1448="",$J1448="-"),0,ROUND($F1448-$F1448/(1+$H1448),2))</f>
        <v>0</v>
      </c>
      <c r="L1448" s="31" t="n">
        <f aca="false">IF($F1448="",0,$F1448-$K1448)</f>
        <v>0</v>
      </c>
      <c r="M1448" s="31" t="n">
        <f aca="false">IF($F1448="",0,IF($J1448="V",$L1448,$F1448))</f>
        <v>0</v>
      </c>
      <c r="N1448" s="31" t="n">
        <f aca="false">IF($F1448="",0,IF($J1448="U",$L1448,$F1448))</f>
        <v>0</v>
      </c>
      <c r="O1448" s="35" t="str">
        <f aca="false">IF($A1448="","",MONTH($A1448))</f>
        <v/>
      </c>
      <c r="P1448" s="35" t="str">
        <f aca="false">IF($A1448="","",ROUNDUP(MONTH($A1448)/3,0))</f>
        <v/>
      </c>
      <c r="Q1448" s="35" t="str">
        <f aca="false">IF($A1448="","",IF(MONTH($A1448)&lt;=6,1,2))</f>
        <v/>
      </c>
      <c r="R1448" s="35" t="str">
        <f aca="false">IF($E1448="","",IFERROR(INDEX(Kontenplan!$F$5:$F$90,MATCH($E1448,Kontenplan!$A$5:$A$90,0)),""))</f>
        <v/>
      </c>
      <c r="S1448" s="35" t="str">
        <f aca="false">IF($D1448="","",IFERROR(INDEX(Kontenplan!$F$5:$F$90,MATCH($D1448,Kontenplan!$A$5:$A$90,0)),""))</f>
        <v/>
      </c>
      <c r="T1448" s="35" t="str">
        <f aca="false">IF($D1448="","",IFERROR(INDEX(Kontenplan!$C$5:$C$90,MATCH($D1448,Kontenplan!$A$5:$A$90,0)),"?"))</f>
        <v/>
      </c>
      <c r="U1448" s="35" t="str">
        <f aca="false">IF($E1448="","",IFERROR(INDEX(Kontenplan!$C$5:$C$90,MATCH($E1448,Kontenplan!$A$5:$A$90,0)),"?"))</f>
        <v/>
      </c>
      <c r="V1448" s="35" t="str">
        <f aca="false">IF($F1448="","",IF(OR($D1448="",$E1448="",$T1448="?",$U1448="?"),"Konto prüfen!",IF($A1448="","Datum fehlt",IF(YEAR($A1448)&lt;&gt;Einstellungen!$B$7,"anderes Jahr!",IF($G1448="","MWST-Code fehlt","OK")))))</f>
        <v/>
      </c>
      <c r="W1448" s="35" t="str">
        <f aca="false">IF($F1448="","",IF(OR($D1448=Kontoauszug!$C$4,$E1448=Kontoauszug!$C$4),MAX(W$4:W1447)+1,""))</f>
        <v/>
      </c>
    </row>
    <row r="1449" customFormat="false" ht="15" hidden="false" customHeight="false" outlineLevel="0" collapsed="false">
      <c r="A1449" s="33"/>
      <c r="B1449" s="32"/>
      <c r="C1449" s="32"/>
      <c r="D1449" s="32"/>
      <c r="E1449" s="32"/>
      <c r="F1449" s="30"/>
      <c r="G1449" s="32"/>
      <c r="H1449" s="34" t="n">
        <f aca="false">IF($G1449="",0,IFERROR(INDEX(Einstellungen!$G$5:$G$11,MATCH($G1449,Einstellungen!$E$5:$E$11,0)),0))</f>
        <v>0</v>
      </c>
      <c r="I1449" s="35" t="str">
        <f aca="false">IF($G1449="","-",IFERROR(INDEX(Einstellungen!$H$5:$H$11,MATCH($G1449,Einstellungen!$E$5:$E$11,0)),"-"))</f>
        <v>-</v>
      </c>
      <c r="J1449" s="35" t="str">
        <f aca="false">IF(AND(Einstellungen!$B$8="Ja",Einstellungen!$B$9="Effektiv"),$I1449,"-")</f>
        <v>-</v>
      </c>
      <c r="K1449" s="31" t="n">
        <f aca="false">IF(OR($F1449="",$J1449="-"),0,ROUND($F1449-$F1449/(1+$H1449),2))</f>
        <v>0</v>
      </c>
      <c r="L1449" s="31" t="n">
        <f aca="false">IF($F1449="",0,$F1449-$K1449)</f>
        <v>0</v>
      </c>
      <c r="M1449" s="31" t="n">
        <f aca="false">IF($F1449="",0,IF($J1449="V",$L1449,$F1449))</f>
        <v>0</v>
      </c>
      <c r="N1449" s="31" t="n">
        <f aca="false">IF($F1449="",0,IF($J1449="U",$L1449,$F1449))</f>
        <v>0</v>
      </c>
      <c r="O1449" s="35" t="str">
        <f aca="false">IF($A1449="","",MONTH($A1449))</f>
        <v/>
      </c>
      <c r="P1449" s="35" t="str">
        <f aca="false">IF($A1449="","",ROUNDUP(MONTH($A1449)/3,0))</f>
        <v/>
      </c>
      <c r="Q1449" s="35" t="str">
        <f aca="false">IF($A1449="","",IF(MONTH($A1449)&lt;=6,1,2))</f>
        <v/>
      </c>
      <c r="R1449" s="35" t="str">
        <f aca="false">IF($E1449="","",IFERROR(INDEX(Kontenplan!$F$5:$F$90,MATCH($E1449,Kontenplan!$A$5:$A$90,0)),""))</f>
        <v/>
      </c>
      <c r="S1449" s="35" t="str">
        <f aca="false">IF($D1449="","",IFERROR(INDEX(Kontenplan!$F$5:$F$90,MATCH($D1449,Kontenplan!$A$5:$A$90,0)),""))</f>
        <v/>
      </c>
      <c r="T1449" s="35" t="str">
        <f aca="false">IF($D1449="","",IFERROR(INDEX(Kontenplan!$C$5:$C$90,MATCH($D1449,Kontenplan!$A$5:$A$90,0)),"?"))</f>
        <v/>
      </c>
      <c r="U1449" s="35" t="str">
        <f aca="false">IF($E1449="","",IFERROR(INDEX(Kontenplan!$C$5:$C$90,MATCH($E1449,Kontenplan!$A$5:$A$90,0)),"?"))</f>
        <v/>
      </c>
      <c r="V1449" s="35" t="str">
        <f aca="false">IF($F1449="","",IF(OR($D1449="",$E1449="",$T1449="?",$U1449="?"),"Konto prüfen!",IF($A1449="","Datum fehlt",IF(YEAR($A1449)&lt;&gt;Einstellungen!$B$7,"anderes Jahr!",IF($G1449="","MWST-Code fehlt","OK")))))</f>
        <v/>
      </c>
      <c r="W1449" s="35" t="str">
        <f aca="false">IF($F1449="","",IF(OR($D1449=Kontoauszug!$C$4,$E1449=Kontoauszug!$C$4),MAX(W$4:W1448)+1,""))</f>
        <v/>
      </c>
    </row>
    <row r="1450" customFormat="false" ht="15" hidden="false" customHeight="false" outlineLevel="0" collapsed="false">
      <c r="A1450" s="33"/>
      <c r="B1450" s="32"/>
      <c r="C1450" s="32"/>
      <c r="D1450" s="32"/>
      <c r="E1450" s="32"/>
      <c r="F1450" s="30"/>
      <c r="G1450" s="32"/>
      <c r="H1450" s="34" t="n">
        <f aca="false">IF($G1450="",0,IFERROR(INDEX(Einstellungen!$G$5:$G$11,MATCH($G1450,Einstellungen!$E$5:$E$11,0)),0))</f>
        <v>0</v>
      </c>
      <c r="I1450" s="35" t="str">
        <f aca="false">IF($G1450="","-",IFERROR(INDEX(Einstellungen!$H$5:$H$11,MATCH($G1450,Einstellungen!$E$5:$E$11,0)),"-"))</f>
        <v>-</v>
      </c>
      <c r="J1450" s="35" t="str">
        <f aca="false">IF(AND(Einstellungen!$B$8="Ja",Einstellungen!$B$9="Effektiv"),$I1450,"-")</f>
        <v>-</v>
      </c>
      <c r="K1450" s="31" t="n">
        <f aca="false">IF(OR($F1450="",$J1450="-"),0,ROUND($F1450-$F1450/(1+$H1450),2))</f>
        <v>0</v>
      </c>
      <c r="L1450" s="31" t="n">
        <f aca="false">IF($F1450="",0,$F1450-$K1450)</f>
        <v>0</v>
      </c>
      <c r="M1450" s="31" t="n">
        <f aca="false">IF($F1450="",0,IF($J1450="V",$L1450,$F1450))</f>
        <v>0</v>
      </c>
      <c r="N1450" s="31" t="n">
        <f aca="false">IF($F1450="",0,IF($J1450="U",$L1450,$F1450))</f>
        <v>0</v>
      </c>
      <c r="O1450" s="35" t="str">
        <f aca="false">IF($A1450="","",MONTH($A1450))</f>
        <v/>
      </c>
      <c r="P1450" s="35" t="str">
        <f aca="false">IF($A1450="","",ROUNDUP(MONTH($A1450)/3,0))</f>
        <v/>
      </c>
      <c r="Q1450" s="35" t="str">
        <f aca="false">IF($A1450="","",IF(MONTH($A1450)&lt;=6,1,2))</f>
        <v/>
      </c>
      <c r="R1450" s="35" t="str">
        <f aca="false">IF($E1450="","",IFERROR(INDEX(Kontenplan!$F$5:$F$90,MATCH($E1450,Kontenplan!$A$5:$A$90,0)),""))</f>
        <v/>
      </c>
      <c r="S1450" s="35" t="str">
        <f aca="false">IF($D1450="","",IFERROR(INDEX(Kontenplan!$F$5:$F$90,MATCH($D1450,Kontenplan!$A$5:$A$90,0)),""))</f>
        <v/>
      </c>
      <c r="T1450" s="35" t="str">
        <f aca="false">IF($D1450="","",IFERROR(INDEX(Kontenplan!$C$5:$C$90,MATCH($D1450,Kontenplan!$A$5:$A$90,0)),"?"))</f>
        <v/>
      </c>
      <c r="U1450" s="35" t="str">
        <f aca="false">IF($E1450="","",IFERROR(INDEX(Kontenplan!$C$5:$C$90,MATCH($E1450,Kontenplan!$A$5:$A$90,0)),"?"))</f>
        <v/>
      </c>
      <c r="V1450" s="35" t="str">
        <f aca="false">IF($F1450="","",IF(OR($D1450="",$E1450="",$T1450="?",$U1450="?"),"Konto prüfen!",IF($A1450="","Datum fehlt",IF(YEAR($A1450)&lt;&gt;Einstellungen!$B$7,"anderes Jahr!",IF($G1450="","MWST-Code fehlt","OK")))))</f>
        <v/>
      </c>
      <c r="W1450" s="35" t="str">
        <f aca="false">IF($F1450="","",IF(OR($D1450=Kontoauszug!$C$4,$E1450=Kontoauszug!$C$4),MAX(W$4:W1449)+1,""))</f>
        <v/>
      </c>
    </row>
    <row r="1451" customFormat="false" ht="15" hidden="false" customHeight="false" outlineLevel="0" collapsed="false">
      <c r="A1451" s="33"/>
      <c r="B1451" s="32"/>
      <c r="C1451" s="32"/>
      <c r="D1451" s="32"/>
      <c r="E1451" s="32"/>
      <c r="F1451" s="30"/>
      <c r="G1451" s="32"/>
      <c r="H1451" s="34" t="n">
        <f aca="false">IF($G1451="",0,IFERROR(INDEX(Einstellungen!$G$5:$G$11,MATCH($G1451,Einstellungen!$E$5:$E$11,0)),0))</f>
        <v>0</v>
      </c>
      <c r="I1451" s="35" t="str">
        <f aca="false">IF($G1451="","-",IFERROR(INDEX(Einstellungen!$H$5:$H$11,MATCH($G1451,Einstellungen!$E$5:$E$11,0)),"-"))</f>
        <v>-</v>
      </c>
      <c r="J1451" s="35" t="str">
        <f aca="false">IF(AND(Einstellungen!$B$8="Ja",Einstellungen!$B$9="Effektiv"),$I1451,"-")</f>
        <v>-</v>
      </c>
      <c r="K1451" s="31" t="n">
        <f aca="false">IF(OR($F1451="",$J1451="-"),0,ROUND($F1451-$F1451/(1+$H1451),2))</f>
        <v>0</v>
      </c>
      <c r="L1451" s="31" t="n">
        <f aca="false">IF($F1451="",0,$F1451-$K1451)</f>
        <v>0</v>
      </c>
      <c r="M1451" s="31" t="n">
        <f aca="false">IF($F1451="",0,IF($J1451="V",$L1451,$F1451))</f>
        <v>0</v>
      </c>
      <c r="N1451" s="31" t="n">
        <f aca="false">IF($F1451="",0,IF($J1451="U",$L1451,$F1451))</f>
        <v>0</v>
      </c>
      <c r="O1451" s="35" t="str">
        <f aca="false">IF($A1451="","",MONTH($A1451))</f>
        <v/>
      </c>
      <c r="P1451" s="35" t="str">
        <f aca="false">IF($A1451="","",ROUNDUP(MONTH($A1451)/3,0))</f>
        <v/>
      </c>
      <c r="Q1451" s="35" t="str">
        <f aca="false">IF($A1451="","",IF(MONTH($A1451)&lt;=6,1,2))</f>
        <v/>
      </c>
      <c r="R1451" s="35" t="str">
        <f aca="false">IF($E1451="","",IFERROR(INDEX(Kontenplan!$F$5:$F$90,MATCH($E1451,Kontenplan!$A$5:$A$90,0)),""))</f>
        <v/>
      </c>
      <c r="S1451" s="35" t="str">
        <f aca="false">IF($D1451="","",IFERROR(INDEX(Kontenplan!$F$5:$F$90,MATCH($D1451,Kontenplan!$A$5:$A$90,0)),""))</f>
        <v/>
      </c>
      <c r="T1451" s="35" t="str">
        <f aca="false">IF($D1451="","",IFERROR(INDEX(Kontenplan!$C$5:$C$90,MATCH($D1451,Kontenplan!$A$5:$A$90,0)),"?"))</f>
        <v/>
      </c>
      <c r="U1451" s="35" t="str">
        <f aca="false">IF($E1451="","",IFERROR(INDEX(Kontenplan!$C$5:$C$90,MATCH($E1451,Kontenplan!$A$5:$A$90,0)),"?"))</f>
        <v/>
      </c>
      <c r="V1451" s="35" t="str">
        <f aca="false">IF($F1451="","",IF(OR($D1451="",$E1451="",$T1451="?",$U1451="?"),"Konto prüfen!",IF($A1451="","Datum fehlt",IF(YEAR($A1451)&lt;&gt;Einstellungen!$B$7,"anderes Jahr!",IF($G1451="","MWST-Code fehlt","OK")))))</f>
        <v/>
      </c>
      <c r="W1451" s="35" t="str">
        <f aca="false">IF($F1451="","",IF(OR($D1451=Kontoauszug!$C$4,$E1451=Kontoauszug!$C$4),MAX(W$4:W1450)+1,""))</f>
        <v/>
      </c>
    </row>
    <row r="1452" customFormat="false" ht="15" hidden="false" customHeight="false" outlineLevel="0" collapsed="false">
      <c r="A1452" s="33"/>
      <c r="B1452" s="32"/>
      <c r="C1452" s="32"/>
      <c r="D1452" s="32"/>
      <c r="E1452" s="32"/>
      <c r="F1452" s="30"/>
      <c r="G1452" s="32"/>
      <c r="H1452" s="34" t="n">
        <f aca="false">IF($G1452="",0,IFERROR(INDEX(Einstellungen!$G$5:$G$11,MATCH($G1452,Einstellungen!$E$5:$E$11,0)),0))</f>
        <v>0</v>
      </c>
      <c r="I1452" s="35" t="str">
        <f aca="false">IF($G1452="","-",IFERROR(INDEX(Einstellungen!$H$5:$H$11,MATCH($G1452,Einstellungen!$E$5:$E$11,0)),"-"))</f>
        <v>-</v>
      </c>
      <c r="J1452" s="35" t="str">
        <f aca="false">IF(AND(Einstellungen!$B$8="Ja",Einstellungen!$B$9="Effektiv"),$I1452,"-")</f>
        <v>-</v>
      </c>
      <c r="K1452" s="31" t="n">
        <f aca="false">IF(OR($F1452="",$J1452="-"),0,ROUND($F1452-$F1452/(1+$H1452),2))</f>
        <v>0</v>
      </c>
      <c r="L1452" s="31" t="n">
        <f aca="false">IF($F1452="",0,$F1452-$K1452)</f>
        <v>0</v>
      </c>
      <c r="M1452" s="31" t="n">
        <f aca="false">IF($F1452="",0,IF($J1452="V",$L1452,$F1452))</f>
        <v>0</v>
      </c>
      <c r="N1452" s="31" t="n">
        <f aca="false">IF($F1452="",0,IF($J1452="U",$L1452,$F1452))</f>
        <v>0</v>
      </c>
      <c r="O1452" s="35" t="str">
        <f aca="false">IF($A1452="","",MONTH($A1452))</f>
        <v/>
      </c>
      <c r="P1452" s="35" t="str">
        <f aca="false">IF($A1452="","",ROUNDUP(MONTH($A1452)/3,0))</f>
        <v/>
      </c>
      <c r="Q1452" s="35" t="str">
        <f aca="false">IF($A1452="","",IF(MONTH($A1452)&lt;=6,1,2))</f>
        <v/>
      </c>
      <c r="R1452" s="35" t="str">
        <f aca="false">IF($E1452="","",IFERROR(INDEX(Kontenplan!$F$5:$F$90,MATCH($E1452,Kontenplan!$A$5:$A$90,0)),""))</f>
        <v/>
      </c>
      <c r="S1452" s="35" t="str">
        <f aca="false">IF($D1452="","",IFERROR(INDEX(Kontenplan!$F$5:$F$90,MATCH($D1452,Kontenplan!$A$5:$A$90,0)),""))</f>
        <v/>
      </c>
      <c r="T1452" s="35" t="str">
        <f aca="false">IF($D1452="","",IFERROR(INDEX(Kontenplan!$C$5:$C$90,MATCH($D1452,Kontenplan!$A$5:$A$90,0)),"?"))</f>
        <v/>
      </c>
      <c r="U1452" s="35" t="str">
        <f aca="false">IF($E1452="","",IFERROR(INDEX(Kontenplan!$C$5:$C$90,MATCH($E1452,Kontenplan!$A$5:$A$90,0)),"?"))</f>
        <v/>
      </c>
      <c r="V1452" s="35" t="str">
        <f aca="false">IF($F1452="","",IF(OR($D1452="",$E1452="",$T1452="?",$U1452="?"),"Konto prüfen!",IF($A1452="","Datum fehlt",IF(YEAR($A1452)&lt;&gt;Einstellungen!$B$7,"anderes Jahr!",IF($G1452="","MWST-Code fehlt","OK")))))</f>
        <v/>
      </c>
      <c r="W1452" s="35" t="str">
        <f aca="false">IF($F1452="","",IF(OR($D1452=Kontoauszug!$C$4,$E1452=Kontoauszug!$C$4),MAX(W$4:W1451)+1,""))</f>
        <v/>
      </c>
    </row>
    <row r="1453" customFormat="false" ht="15" hidden="false" customHeight="false" outlineLevel="0" collapsed="false">
      <c r="A1453" s="33"/>
      <c r="B1453" s="32"/>
      <c r="C1453" s="32"/>
      <c r="D1453" s="32"/>
      <c r="E1453" s="32"/>
      <c r="F1453" s="30"/>
      <c r="G1453" s="32"/>
      <c r="H1453" s="34" t="n">
        <f aca="false">IF($G1453="",0,IFERROR(INDEX(Einstellungen!$G$5:$G$11,MATCH($G1453,Einstellungen!$E$5:$E$11,0)),0))</f>
        <v>0</v>
      </c>
      <c r="I1453" s="35" t="str">
        <f aca="false">IF($G1453="","-",IFERROR(INDEX(Einstellungen!$H$5:$H$11,MATCH($G1453,Einstellungen!$E$5:$E$11,0)),"-"))</f>
        <v>-</v>
      </c>
      <c r="J1453" s="35" t="str">
        <f aca="false">IF(AND(Einstellungen!$B$8="Ja",Einstellungen!$B$9="Effektiv"),$I1453,"-")</f>
        <v>-</v>
      </c>
      <c r="K1453" s="31" t="n">
        <f aca="false">IF(OR($F1453="",$J1453="-"),0,ROUND($F1453-$F1453/(1+$H1453),2))</f>
        <v>0</v>
      </c>
      <c r="L1453" s="31" t="n">
        <f aca="false">IF($F1453="",0,$F1453-$K1453)</f>
        <v>0</v>
      </c>
      <c r="M1453" s="31" t="n">
        <f aca="false">IF($F1453="",0,IF($J1453="V",$L1453,$F1453))</f>
        <v>0</v>
      </c>
      <c r="N1453" s="31" t="n">
        <f aca="false">IF($F1453="",0,IF($J1453="U",$L1453,$F1453))</f>
        <v>0</v>
      </c>
      <c r="O1453" s="35" t="str">
        <f aca="false">IF($A1453="","",MONTH($A1453))</f>
        <v/>
      </c>
      <c r="P1453" s="35" t="str">
        <f aca="false">IF($A1453="","",ROUNDUP(MONTH($A1453)/3,0))</f>
        <v/>
      </c>
      <c r="Q1453" s="35" t="str">
        <f aca="false">IF($A1453="","",IF(MONTH($A1453)&lt;=6,1,2))</f>
        <v/>
      </c>
      <c r="R1453" s="35" t="str">
        <f aca="false">IF($E1453="","",IFERROR(INDEX(Kontenplan!$F$5:$F$90,MATCH($E1453,Kontenplan!$A$5:$A$90,0)),""))</f>
        <v/>
      </c>
      <c r="S1453" s="35" t="str">
        <f aca="false">IF($D1453="","",IFERROR(INDEX(Kontenplan!$F$5:$F$90,MATCH($D1453,Kontenplan!$A$5:$A$90,0)),""))</f>
        <v/>
      </c>
      <c r="T1453" s="35" t="str">
        <f aca="false">IF($D1453="","",IFERROR(INDEX(Kontenplan!$C$5:$C$90,MATCH($D1453,Kontenplan!$A$5:$A$90,0)),"?"))</f>
        <v/>
      </c>
      <c r="U1453" s="35" t="str">
        <f aca="false">IF($E1453="","",IFERROR(INDEX(Kontenplan!$C$5:$C$90,MATCH($E1453,Kontenplan!$A$5:$A$90,0)),"?"))</f>
        <v/>
      </c>
      <c r="V1453" s="35" t="str">
        <f aca="false">IF($F1453="","",IF(OR($D1453="",$E1453="",$T1453="?",$U1453="?"),"Konto prüfen!",IF($A1453="","Datum fehlt",IF(YEAR($A1453)&lt;&gt;Einstellungen!$B$7,"anderes Jahr!",IF($G1453="","MWST-Code fehlt","OK")))))</f>
        <v/>
      </c>
      <c r="W1453" s="35" t="str">
        <f aca="false">IF($F1453="","",IF(OR($D1453=Kontoauszug!$C$4,$E1453=Kontoauszug!$C$4),MAX(W$4:W1452)+1,""))</f>
        <v/>
      </c>
    </row>
    <row r="1454" customFormat="false" ht="15" hidden="false" customHeight="false" outlineLevel="0" collapsed="false">
      <c r="A1454" s="33"/>
      <c r="B1454" s="32"/>
      <c r="C1454" s="32"/>
      <c r="D1454" s="32"/>
      <c r="E1454" s="32"/>
      <c r="F1454" s="30"/>
      <c r="G1454" s="32"/>
      <c r="H1454" s="34" t="n">
        <f aca="false">IF($G1454="",0,IFERROR(INDEX(Einstellungen!$G$5:$G$11,MATCH($G1454,Einstellungen!$E$5:$E$11,0)),0))</f>
        <v>0</v>
      </c>
      <c r="I1454" s="35" t="str">
        <f aca="false">IF($G1454="","-",IFERROR(INDEX(Einstellungen!$H$5:$H$11,MATCH($G1454,Einstellungen!$E$5:$E$11,0)),"-"))</f>
        <v>-</v>
      </c>
      <c r="J1454" s="35" t="str">
        <f aca="false">IF(AND(Einstellungen!$B$8="Ja",Einstellungen!$B$9="Effektiv"),$I1454,"-")</f>
        <v>-</v>
      </c>
      <c r="K1454" s="31" t="n">
        <f aca="false">IF(OR($F1454="",$J1454="-"),0,ROUND($F1454-$F1454/(1+$H1454),2))</f>
        <v>0</v>
      </c>
      <c r="L1454" s="31" t="n">
        <f aca="false">IF($F1454="",0,$F1454-$K1454)</f>
        <v>0</v>
      </c>
      <c r="M1454" s="31" t="n">
        <f aca="false">IF($F1454="",0,IF($J1454="V",$L1454,$F1454))</f>
        <v>0</v>
      </c>
      <c r="N1454" s="31" t="n">
        <f aca="false">IF($F1454="",0,IF($J1454="U",$L1454,$F1454))</f>
        <v>0</v>
      </c>
      <c r="O1454" s="35" t="str">
        <f aca="false">IF($A1454="","",MONTH($A1454))</f>
        <v/>
      </c>
      <c r="P1454" s="35" t="str">
        <f aca="false">IF($A1454="","",ROUNDUP(MONTH($A1454)/3,0))</f>
        <v/>
      </c>
      <c r="Q1454" s="35" t="str">
        <f aca="false">IF($A1454="","",IF(MONTH($A1454)&lt;=6,1,2))</f>
        <v/>
      </c>
      <c r="R1454" s="35" t="str">
        <f aca="false">IF($E1454="","",IFERROR(INDEX(Kontenplan!$F$5:$F$90,MATCH($E1454,Kontenplan!$A$5:$A$90,0)),""))</f>
        <v/>
      </c>
      <c r="S1454" s="35" t="str">
        <f aca="false">IF($D1454="","",IFERROR(INDEX(Kontenplan!$F$5:$F$90,MATCH($D1454,Kontenplan!$A$5:$A$90,0)),""))</f>
        <v/>
      </c>
      <c r="T1454" s="35" t="str">
        <f aca="false">IF($D1454="","",IFERROR(INDEX(Kontenplan!$C$5:$C$90,MATCH($D1454,Kontenplan!$A$5:$A$90,0)),"?"))</f>
        <v/>
      </c>
      <c r="U1454" s="35" t="str">
        <f aca="false">IF($E1454="","",IFERROR(INDEX(Kontenplan!$C$5:$C$90,MATCH($E1454,Kontenplan!$A$5:$A$90,0)),"?"))</f>
        <v/>
      </c>
      <c r="V1454" s="35" t="str">
        <f aca="false">IF($F1454="","",IF(OR($D1454="",$E1454="",$T1454="?",$U1454="?"),"Konto prüfen!",IF($A1454="","Datum fehlt",IF(YEAR($A1454)&lt;&gt;Einstellungen!$B$7,"anderes Jahr!",IF($G1454="","MWST-Code fehlt","OK")))))</f>
        <v/>
      </c>
      <c r="W1454" s="35" t="str">
        <f aca="false">IF($F1454="","",IF(OR($D1454=Kontoauszug!$C$4,$E1454=Kontoauszug!$C$4),MAX(W$4:W1453)+1,""))</f>
        <v/>
      </c>
    </row>
    <row r="1455" customFormat="false" ht="15" hidden="false" customHeight="false" outlineLevel="0" collapsed="false">
      <c r="A1455" s="33"/>
      <c r="B1455" s="32"/>
      <c r="C1455" s="32"/>
      <c r="D1455" s="32"/>
      <c r="E1455" s="32"/>
      <c r="F1455" s="30"/>
      <c r="G1455" s="32"/>
      <c r="H1455" s="34" t="n">
        <f aca="false">IF($G1455="",0,IFERROR(INDEX(Einstellungen!$G$5:$G$11,MATCH($G1455,Einstellungen!$E$5:$E$11,0)),0))</f>
        <v>0</v>
      </c>
      <c r="I1455" s="35" t="str">
        <f aca="false">IF($G1455="","-",IFERROR(INDEX(Einstellungen!$H$5:$H$11,MATCH($G1455,Einstellungen!$E$5:$E$11,0)),"-"))</f>
        <v>-</v>
      </c>
      <c r="J1455" s="35" t="str">
        <f aca="false">IF(AND(Einstellungen!$B$8="Ja",Einstellungen!$B$9="Effektiv"),$I1455,"-")</f>
        <v>-</v>
      </c>
      <c r="K1455" s="31" t="n">
        <f aca="false">IF(OR($F1455="",$J1455="-"),0,ROUND($F1455-$F1455/(1+$H1455),2))</f>
        <v>0</v>
      </c>
      <c r="L1455" s="31" t="n">
        <f aca="false">IF($F1455="",0,$F1455-$K1455)</f>
        <v>0</v>
      </c>
      <c r="M1455" s="31" t="n">
        <f aca="false">IF($F1455="",0,IF($J1455="V",$L1455,$F1455))</f>
        <v>0</v>
      </c>
      <c r="N1455" s="31" t="n">
        <f aca="false">IF($F1455="",0,IF($J1455="U",$L1455,$F1455))</f>
        <v>0</v>
      </c>
      <c r="O1455" s="35" t="str">
        <f aca="false">IF($A1455="","",MONTH($A1455))</f>
        <v/>
      </c>
      <c r="P1455" s="35" t="str">
        <f aca="false">IF($A1455="","",ROUNDUP(MONTH($A1455)/3,0))</f>
        <v/>
      </c>
      <c r="Q1455" s="35" t="str">
        <f aca="false">IF($A1455="","",IF(MONTH($A1455)&lt;=6,1,2))</f>
        <v/>
      </c>
      <c r="R1455" s="35" t="str">
        <f aca="false">IF($E1455="","",IFERROR(INDEX(Kontenplan!$F$5:$F$90,MATCH($E1455,Kontenplan!$A$5:$A$90,0)),""))</f>
        <v/>
      </c>
      <c r="S1455" s="35" t="str">
        <f aca="false">IF($D1455="","",IFERROR(INDEX(Kontenplan!$F$5:$F$90,MATCH($D1455,Kontenplan!$A$5:$A$90,0)),""))</f>
        <v/>
      </c>
      <c r="T1455" s="35" t="str">
        <f aca="false">IF($D1455="","",IFERROR(INDEX(Kontenplan!$C$5:$C$90,MATCH($D1455,Kontenplan!$A$5:$A$90,0)),"?"))</f>
        <v/>
      </c>
      <c r="U1455" s="35" t="str">
        <f aca="false">IF($E1455="","",IFERROR(INDEX(Kontenplan!$C$5:$C$90,MATCH($E1455,Kontenplan!$A$5:$A$90,0)),"?"))</f>
        <v/>
      </c>
      <c r="V1455" s="35" t="str">
        <f aca="false">IF($F1455="","",IF(OR($D1455="",$E1455="",$T1455="?",$U1455="?"),"Konto prüfen!",IF($A1455="","Datum fehlt",IF(YEAR($A1455)&lt;&gt;Einstellungen!$B$7,"anderes Jahr!",IF($G1455="","MWST-Code fehlt","OK")))))</f>
        <v/>
      </c>
      <c r="W1455" s="35" t="str">
        <f aca="false">IF($F1455="","",IF(OR($D1455=Kontoauszug!$C$4,$E1455=Kontoauszug!$C$4),MAX(W$4:W1454)+1,""))</f>
        <v/>
      </c>
    </row>
    <row r="1456" customFormat="false" ht="15" hidden="false" customHeight="false" outlineLevel="0" collapsed="false">
      <c r="A1456" s="33"/>
      <c r="B1456" s="32"/>
      <c r="C1456" s="32"/>
      <c r="D1456" s="32"/>
      <c r="E1456" s="32"/>
      <c r="F1456" s="30"/>
      <c r="G1456" s="32"/>
      <c r="H1456" s="34" t="n">
        <f aca="false">IF($G1456="",0,IFERROR(INDEX(Einstellungen!$G$5:$G$11,MATCH($G1456,Einstellungen!$E$5:$E$11,0)),0))</f>
        <v>0</v>
      </c>
      <c r="I1456" s="35" t="str">
        <f aca="false">IF($G1456="","-",IFERROR(INDEX(Einstellungen!$H$5:$H$11,MATCH($G1456,Einstellungen!$E$5:$E$11,0)),"-"))</f>
        <v>-</v>
      </c>
      <c r="J1456" s="35" t="str">
        <f aca="false">IF(AND(Einstellungen!$B$8="Ja",Einstellungen!$B$9="Effektiv"),$I1456,"-")</f>
        <v>-</v>
      </c>
      <c r="K1456" s="31" t="n">
        <f aca="false">IF(OR($F1456="",$J1456="-"),0,ROUND($F1456-$F1456/(1+$H1456),2))</f>
        <v>0</v>
      </c>
      <c r="L1456" s="31" t="n">
        <f aca="false">IF($F1456="",0,$F1456-$K1456)</f>
        <v>0</v>
      </c>
      <c r="M1456" s="31" t="n">
        <f aca="false">IF($F1456="",0,IF($J1456="V",$L1456,$F1456))</f>
        <v>0</v>
      </c>
      <c r="N1456" s="31" t="n">
        <f aca="false">IF($F1456="",0,IF($J1456="U",$L1456,$F1456))</f>
        <v>0</v>
      </c>
      <c r="O1456" s="35" t="str">
        <f aca="false">IF($A1456="","",MONTH($A1456))</f>
        <v/>
      </c>
      <c r="P1456" s="35" t="str">
        <f aca="false">IF($A1456="","",ROUNDUP(MONTH($A1456)/3,0))</f>
        <v/>
      </c>
      <c r="Q1456" s="35" t="str">
        <f aca="false">IF($A1456="","",IF(MONTH($A1456)&lt;=6,1,2))</f>
        <v/>
      </c>
      <c r="R1456" s="35" t="str">
        <f aca="false">IF($E1456="","",IFERROR(INDEX(Kontenplan!$F$5:$F$90,MATCH($E1456,Kontenplan!$A$5:$A$90,0)),""))</f>
        <v/>
      </c>
      <c r="S1456" s="35" t="str">
        <f aca="false">IF($D1456="","",IFERROR(INDEX(Kontenplan!$F$5:$F$90,MATCH($D1456,Kontenplan!$A$5:$A$90,0)),""))</f>
        <v/>
      </c>
      <c r="T1456" s="35" t="str">
        <f aca="false">IF($D1456="","",IFERROR(INDEX(Kontenplan!$C$5:$C$90,MATCH($D1456,Kontenplan!$A$5:$A$90,0)),"?"))</f>
        <v/>
      </c>
      <c r="U1456" s="35" t="str">
        <f aca="false">IF($E1456="","",IFERROR(INDEX(Kontenplan!$C$5:$C$90,MATCH($E1456,Kontenplan!$A$5:$A$90,0)),"?"))</f>
        <v/>
      </c>
      <c r="V1456" s="35" t="str">
        <f aca="false">IF($F1456="","",IF(OR($D1456="",$E1456="",$T1456="?",$U1456="?"),"Konto prüfen!",IF($A1456="","Datum fehlt",IF(YEAR($A1456)&lt;&gt;Einstellungen!$B$7,"anderes Jahr!",IF($G1456="","MWST-Code fehlt","OK")))))</f>
        <v/>
      </c>
      <c r="W1456" s="35" t="str">
        <f aca="false">IF($F1456="","",IF(OR($D1456=Kontoauszug!$C$4,$E1456=Kontoauszug!$C$4),MAX(W$4:W1455)+1,""))</f>
        <v/>
      </c>
    </row>
    <row r="1457" customFormat="false" ht="15" hidden="false" customHeight="false" outlineLevel="0" collapsed="false">
      <c r="A1457" s="33"/>
      <c r="B1457" s="32"/>
      <c r="C1457" s="32"/>
      <c r="D1457" s="32"/>
      <c r="E1457" s="32"/>
      <c r="F1457" s="30"/>
      <c r="G1457" s="32"/>
      <c r="H1457" s="34" t="n">
        <f aca="false">IF($G1457="",0,IFERROR(INDEX(Einstellungen!$G$5:$G$11,MATCH($G1457,Einstellungen!$E$5:$E$11,0)),0))</f>
        <v>0</v>
      </c>
      <c r="I1457" s="35" t="str">
        <f aca="false">IF($G1457="","-",IFERROR(INDEX(Einstellungen!$H$5:$H$11,MATCH($G1457,Einstellungen!$E$5:$E$11,0)),"-"))</f>
        <v>-</v>
      </c>
      <c r="J1457" s="35" t="str">
        <f aca="false">IF(AND(Einstellungen!$B$8="Ja",Einstellungen!$B$9="Effektiv"),$I1457,"-")</f>
        <v>-</v>
      </c>
      <c r="K1457" s="31" t="n">
        <f aca="false">IF(OR($F1457="",$J1457="-"),0,ROUND($F1457-$F1457/(1+$H1457),2))</f>
        <v>0</v>
      </c>
      <c r="L1457" s="31" t="n">
        <f aca="false">IF($F1457="",0,$F1457-$K1457)</f>
        <v>0</v>
      </c>
      <c r="M1457" s="31" t="n">
        <f aca="false">IF($F1457="",0,IF($J1457="V",$L1457,$F1457))</f>
        <v>0</v>
      </c>
      <c r="N1457" s="31" t="n">
        <f aca="false">IF($F1457="",0,IF($J1457="U",$L1457,$F1457))</f>
        <v>0</v>
      </c>
      <c r="O1457" s="35" t="str">
        <f aca="false">IF($A1457="","",MONTH($A1457))</f>
        <v/>
      </c>
      <c r="P1457" s="35" t="str">
        <f aca="false">IF($A1457="","",ROUNDUP(MONTH($A1457)/3,0))</f>
        <v/>
      </c>
      <c r="Q1457" s="35" t="str">
        <f aca="false">IF($A1457="","",IF(MONTH($A1457)&lt;=6,1,2))</f>
        <v/>
      </c>
      <c r="R1457" s="35" t="str">
        <f aca="false">IF($E1457="","",IFERROR(INDEX(Kontenplan!$F$5:$F$90,MATCH($E1457,Kontenplan!$A$5:$A$90,0)),""))</f>
        <v/>
      </c>
      <c r="S1457" s="35" t="str">
        <f aca="false">IF($D1457="","",IFERROR(INDEX(Kontenplan!$F$5:$F$90,MATCH($D1457,Kontenplan!$A$5:$A$90,0)),""))</f>
        <v/>
      </c>
      <c r="T1457" s="35" t="str">
        <f aca="false">IF($D1457="","",IFERROR(INDEX(Kontenplan!$C$5:$C$90,MATCH($D1457,Kontenplan!$A$5:$A$90,0)),"?"))</f>
        <v/>
      </c>
      <c r="U1457" s="35" t="str">
        <f aca="false">IF($E1457="","",IFERROR(INDEX(Kontenplan!$C$5:$C$90,MATCH($E1457,Kontenplan!$A$5:$A$90,0)),"?"))</f>
        <v/>
      </c>
      <c r="V1457" s="35" t="str">
        <f aca="false">IF($F1457="","",IF(OR($D1457="",$E1457="",$T1457="?",$U1457="?"),"Konto prüfen!",IF($A1457="","Datum fehlt",IF(YEAR($A1457)&lt;&gt;Einstellungen!$B$7,"anderes Jahr!",IF($G1457="","MWST-Code fehlt","OK")))))</f>
        <v/>
      </c>
      <c r="W1457" s="35" t="str">
        <f aca="false">IF($F1457="","",IF(OR($D1457=Kontoauszug!$C$4,$E1457=Kontoauszug!$C$4),MAX(W$4:W1456)+1,""))</f>
        <v/>
      </c>
    </row>
    <row r="1458" customFormat="false" ht="15" hidden="false" customHeight="false" outlineLevel="0" collapsed="false">
      <c r="A1458" s="33"/>
      <c r="B1458" s="32"/>
      <c r="C1458" s="32"/>
      <c r="D1458" s="32"/>
      <c r="E1458" s="32"/>
      <c r="F1458" s="30"/>
      <c r="G1458" s="32"/>
      <c r="H1458" s="34" t="n">
        <f aca="false">IF($G1458="",0,IFERROR(INDEX(Einstellungen!$G$5:$G$11,MATCH($G1458,Einstellungen!$E$5:$E$11,0)),0))</f>
        <v>0</v>
      </c>
      <c r="I1458" s="35" t="str">
        <f aca="false">IF($G1458="","-",IFERROR(INDEX(Einstellungen!$H$5:$H$11,MATCH($G1458,Einstellungen!$E$5:$E$11,0)),"-"))</f>
        <v>-</v>
      </c>
      <c r="J1458" s="35" t="str">
        <f aca="false">IF(AND(Einstellungen!$B$8="Ja",Einstellungen!$B$9="Effektiv"),$I1458,"-")</f>
        <v>-</v>
      </c>
      <c r="K1458" s="31" t="n">
        <f aca="false">IF(OR($F1458="",$J1458="-"),0,ROUND($F1458-$F1458/(1+$H1458),2))</f>
        <v>0</v>
      </c>
      <c r="L1458" s="31" t="n">
        <f aca="false">IF($F1458="",0,$F1458-$K1458)</f>
        <v>0</v>
      </c>
      <c r="M1458" s="31" t="n">
        <f aca="false">IF($F1458="",0,IF($J1458="V",$L1458,$F1458))</f>
        <v>0</v>
      </c>
      <c r="N1458" s="31" t="n">
        <f aca="false">IF($F1458="",0,IF($J1458="U",$L1458,$F1458))</f>
        <v>0</v>
      </c>
      <c r="O1458" s="35" t="str">
        <f aca="false">IF($A1458="","",MONTH($A1458))</f>
        <v/>
      </c>
      <c r="P1458" s="35" t="str">
        <f aca="false">IF($A1458="","",ROUNDUP(MONTH($A1458)/3,0))</f>
        <v/>
      </c>
      <c r="Q1458" s="35" t="str">
        <f aca="false">IF($A1458="","",IF(MONTH($A1458)&lt;=6,1,2))</f>
        <v/>
      </c>
      <c r="R1458" s="35" t="str">
        <f aca="false">IF($E1458="","",IFERROR(INDEX(Kontenplan!$F$5:$F$90,MATCH($E1458,Kontenplan!$A$5:$A$90,0)),""))</f>
        <v/>
      </c>
      <c r="S1458" s="35" t="str">
        <f aca="false">IF($D1458="","",IFERROR(INDEX(Kontenplan!$F$5:$F$90,MATCH($D1458,Kontenplan!$A$5:$A$90,0)),""))</f>
        <v/>
      </c>
      <c r="T1458" s="35" t="str">
        <f aca="false">IF($D1458="","",IFERROR(INDEX(Kontenplan!$C$5:$C$90,MATCH($D1458,Kontenplan!$A$5:$A$90,0)),"?"))</f>
        <v/>
      </c>
      <c r="U1458" s="35" t="str">
        <f aca="false">IF($E1458="","",IFERROR(INDEX(Kontenplan!$C$5:$C$90,MATCH($E1458,Kontenplan!$A$5:$A$90,0)),"?"))</f>
        <v/>
      </c>
      <c r="V1458" s="35" t="str">
        <f aca="false">IF($F1458="","",IF(OR($D1458="",$E1458="",$T1458="?",$U1458="?"),"Konto prüfen!",IF($A1458="","Datum fehlt",IF(YEAR($A1458)&lt;&gt;Einstellungen!$B$7,"anderes Jahr!",IF($G1458="","MWST-Code fehlt","OK")))))</f>
        <v/>
      </c>
      <c r="W1458" s="35" t="str">
        <f aca="false">IF($F1458="","",IF(OR($D1458=Kontoauszug!$C$4,$E1458=Kontoauszug!$C$4),MAX(W$4:W1457)+1,""))</f>
        <v/>
      </c>
    </row>
    <row r="1459" customFormat="false" ht="15" hidden="false" customHeight="false" outlineLevel="0" collapsed="false">
      <c r="A1459" s="33"/>
      <c r="B1459" s="32"/>
      <c r="C1459" s="32"/>
      <c r="D1459" s="32"/>
      <c r="E1459" s="32"/>
      <c r="F1459" s="30"/>
      <c r="G1459" s="32"/>
      <c r="H1459" s="34" t="n">
        <f aca="false">IF($G1459="",0,IFERROR(INDEX(Einstellungen!$G$5:$G$11,MATCH($G1459,Einstellungen!$E$5:$E$11,0)),0))</f>
        <v>0</v>
      </c>
      <c r="I1459" s="35" t="str">
        <f aca="false">IF($G1459="","-",IFERROR(INDEX(Einstellungen!$H$5:$H$11,MATCH($G1459,Einstellungen!$E$5:$E$11,0)),"-"))</f>
        <v>-</v>
      </c>
      <c r="J1459" s="35" t="str">
        <f aca="false">IF(AND(Einstellungen!$B$8="Ja",Einstellungen!$B$9="Effektiv"),$I1459,"-")</f>
        <v>-</v>
      </c>
      <c r="K1459" s="31" t="n">
        <f aca="false">IF(OR($F1459="",$J1459="-"),0,ROUND($F1459-$F1459/(1+$H1459),2))</f>
        <v>0</v>
      </c>
      <c r="L1459" s="31" t="n">
        <f aca="false">IF($F1459="",0,$F1459-$K1459)</f>
        <v>0</v>
      </c>
      <c r="M1459" s="31" t="n">
        <f aca="false">IF($F1459="",0,IF($J1459="V",$L1459,$F1459))</f>
        <v>0</v>
      </c>
      <c r="N1459" s="31" t="n">
        <f aca="false">IF($F1459="",0,IF($J1459="U",$L1459,$F1459))</f>
        <v>0</v>
      </c>
      <c r="O1459" s="35" t="str">
        <f aca="false">IF($A1459="","",MONTH($A1459))</f>
        <v/>
      </c>
      <c r="P1459" s="35" t="str">
        <f aca="false">IF($A1459="","",ROUNDUP(MONTH($A1459)/3,0))</f>
        <v/>
      </c>
      <c r="Q1459" s="35" t="str">
        <f aca="false">IF($A1459="","",IF(MONTH($A1459)&lt;=6,1,2))</f>
        <v/>
      </c>
      <c r="R1459" s="35" t="str">
        <f aca="false">IF($E1459="","",IFERROR(INDEX(Kontenplan!$F$5:$F$90,MATCH($E1459,Kontenplan!$A$5:$A$90,0)),""))</f>
        <v/>
      </c>
      <c r="S1459" s="35" t="str">
        <f aca="false">IF($D1459="","",IFERROR(INDEX(Kontenplan!$F$5:$F$90,MATCH($D1459,Kontenplan!$A$5:$A$90,0)),""))</f>
        <v/>
      </c>
      <c r="T1459" s="35" t="str">
        <f aca="false">IF($D1459="","",IFERROR(INDEX(Kontenplan!$C$5:$C$90,MATCH($D1459,Kontenplan!$A$5:$A$90,0)),"?"))</f>
        <v/>
      </c>
      <c r="U1459" s="35" t="str">
        <f aca="false">IF($E1459="","",IFERROR(INDEX(Kontenplan!$C$5:$C$90,MATCH($E1459,Kontenplan!$A$5:$A$90,0)),"?"))</f>
        <v/>
      </c>
      <c r="V1459" s="35" t="str">
        <f aca="false">IF($F1459="","",IF(OR($D1459="",$E1459="",$T1459="?",$U1459="?"),"Konto prüfen!",IF($A1459="","Datum fehlt",IF(YEAR($A1459)&lt;&gt;Einstellungen!$B$7,"anderes Jahr!",IF($G1459="","MWST-Code fehlt","OK")))))</f>
        <v/>
      </c>
      <c r="W1459" s="35" t="str">
        <f aca="false">IF($F1459="","",IF(OR($D1459=Kontoauszug!$C$4,$E1459=Kontoauszug!$C$4),MAX(W$4:W1458)+1,""))</f>
        <v/>
      </c>
    </row>
    <row r="1460" customFormat="false" ht="15" hidden="false" customHeight="false" outlineLevel="0" collapsed="false">
      <c r="A1460" s="33"/>
      <c r="B1460" s="32"/>
      <c r="C1460" s="32"/>
      <c r="D1460" s="32"/>
      <c r="E1460" s="32"/>
      <c r="F1460" s="30"/>
      <c r="G1460" s="32"/>
      <c r="H1460" s="34" t="n">
        <f aca="false">IF($G1460="",0,IFERROR(INDEX(Einstellungen!$G$5:$G$11,MATCH($G1460,Einstellungen!$E$5:$E$11,0)),0))</f>
        <v>0</v>
      </c>
      <c r="I1460" s="35" t="str">
        <f aca="false">IF($G1460="","-",IFERROR(INDEX(Einstellungen!$H$5:$H$11,MATCH($G1460,Einstellungen!$E$5:$E$11,0)),"-"))</f>
        <v>-</v>
      </c>
      <c r="J1460" s="35" t="str">
        <f aca="false">IF(AND(Einstellungen!$B$8="Ja",Einstellungen!$B$9="Effektiv"),$I1460,"-")</f>
        <v>-</v>
      </c>
      <c r="K1460" s="31" t="n">
        <f aca="false">IF(OR($F1460="",$J1460="-"),0,ROUND($F1460-$F1460/(1+$H1460),2))</f>
        <v>0</v>
      </c>
      <c r="L1460" s="31" t="n">
        <f aca="false">IF($F1460="",0,$F1460-$K1460)</f>
        <v>0</v>
      </c>
      <c r="M1460" s="31" t="n">
        <f aca="false">IF($F1460="",0,IF($J1460="V",$L1460,$F1460))</f>
        <v>0</v>
      </c>
      <c r="N1460" s="31" t="n">
        <f aca="false">IF($F1460="",0,IF($J1460="U",$L1460,$F1460))</f>
        <v>0</v>
      </c>
      <c r="O1460" s="35" t="str">
        <f aca="false">IF($A1460="","",MONTH($A1460))</f>
        <v/>
      </c>
      <c r="P1460" s="35" t="str">
        <f aca="false">IF($A1460="","",ROUNDUP(MONTH($A1460)/3,0))</f>
        <v/>
      </c>
      <c r="Q1460" s="35" t="str">
        <f aca="false">IF($A1460="","",IF(MONTH($A1460)&lt;=6,1,2))</f>
        <v/>
      </c>
      <c r="R1460" s="35" t="str">
        <f aca="false">IF($E1460="","",IFERROR(INDEX(Kontenplan!$F$5:$F$90,MATCH($E1460,Kontenplan!$A$5:$A$90,0)),""))</f>
        <v/>
      </c>
      <c r="S1460" s="35" t="str">
        <f aca="false">IF($D1460="","",IFERROR(INDEX(Kontenplan!$F$5:$F$90,MATCH($D1460,Kontenplan!$A$5:$A$90,0)),""))</f>
        <v/>
      </c>
      <c r="T1460" s="35" t="str">
        <f aca="false">IF($D1460="","",IFERROR(INDEX(Kontenplan!$C$5:$C$90,MATCH($D1460,Kontenplan!$A$5:$A$90,0)),"?"))</f>
        <v/>
      </c>
      <c r="U1460" s="35" t="str">
        <f aca="false">IF($E1460="","",IFERROR(INDEX(Kontenplan!$C$5:$C$90,MATCH($E1460,Kontenplan!$A$5:$A$90,0)),"?"))</f>
        <v/>
      </c>
      <c r="V1460" s="35" t="str">
        <f aca="false">IF($F1460="","",IF(OR($D1460="",$E1460="",$T1460="?",$U1460="?"),"Konto prüfen!",IF($A1460="","Datum fehlt",IF(YEAR($A1460)&lt;&gt;Einstellungen!$B$7,"anderes Jahr!",IF($G1460="","MWST-Code fehlt","OK")))))</f>
        <v/>
      </c>
      <c r="W1460" s="35" t="str">
        <f aca="false">IF($F1460="","",IF(OR($D1460=Kontoauszug!$C$4,$E1460=Kontoauszug!$C$4),MAX(W$4:W1459)+1,""))</f>
        <v/>
      </c>
    </row>
    <row r="1461" customFormat="false" ht="15" hidden="false" customHeight="false" outlineLevel="0" collapsed="false">
      <c r="A1461" s="33"/>
      <c r="B1461" s="32"/>
      <c r="C1461" s="32"/>
      <c r="D1461" s="32"/>
      <c r="E1461" s="32"/>
      <c r="F1461" s="30"/>
      <c r="G1461" s="32"/>
      <c r="H1461" s="34" t="n">
        <f aca="false">IF($G1461="",0,IFERROR(INDEX(Einstellungen!$G$5:$G$11,MATCH($G1461,Einstellungen!$E$5:$E$11,0)),0))</f>
        <v>0</v>
      </c>
      <c r="I1461" s="35" t="str">
        <f aca="false">IF($G1461="","-",IFERROR(INDEX(Einstellungen!$H$5:$H$11,MATCH($G1461,Einstellungen!$E$5:$E$11,0)),"-"))</f>
        <v>-</v>
      </c>
      <c r="J1461" s="35" t="str">
        <f aca="false">IF(AND(Einstellungen!$B$8="Ja",Einstellungen!$B$9="Effektiv"),$I1461,"-")</f>
        <v>-</v>
      </c>
      <c r="K1461" s="31" t="n">
        <f aca="false">IF(OR($F1461="",$J1461="-"),0,ROUND($F1461-$F1461/(1+$H1461),2))</f>
        <v>0</v>
      </c>
      <c r="L1461" s="31" t="n">
        <f aca="false">IF($F1461="",0,$F1461-$K1461)</f>
        <v>0</v>
      </c>
      <c r="M1461" s="31" t="n">
        <f aca="false">IF($F1461="",0,IF($J1461="V",$L1461,$F1461))</f>
        <v>0</v>
      </c>
      <c r="N1461" s="31" t="n">
        <f aca="false">IF($F1461="",0,IF($J1461="U",$L1461,$F1461))</f>
        <v>0</v>
      </c>
      <c r="O1461" s="35" t="str">
        <f aca="false">IF($A1461="","",MONTH($A1461))</f>
        <v/>
      </c>
      <c r="P1461" s="35" t="str">
        <f aca="false">IF($A1461="","",ROUNDUP(MONTH($A1461)/3,0))</f>
        <v/>
      </c>
      <c r="Q1461" s="35" t="str">
        <f aca="false">IF($A1461="","",IF(MONTH($A1461)&lt;=6,1,2))</f>
        <v/>
      </c>
      <c r="R1461" s="35" t="str">
        <f aca="false">IF($E1461="","",IFERROR(INDEX(Kontenplan!$F$5:$F$90,MATCH($E1461,Kontenplan!$A$5:$A$90,0)),""))</f>
        <v/>
      </c>
      <c r="S1461" s="35" t="str">
        <f aca="false">IF($D1461="","",IFERROR(INDEX(Kontenplan!$F$5:$F$90,MATCH($D1461,Kontenplan!$A$5:$A$90,0)),""))</f>
        <v/>
      </c>
      <c r="T1461" s="35" t="str">
        <f aca="false">IF($D1461="","",IFERROR(INDEX(Kontenplan!$C$5:$C$90,MATCH($D1461,Kontenplan!$A$5:$A$90,0)),"?"))</f>
        <v/>
      </c>
      <c r="U1461" s="35" t="str">
        <f aca="false">IF($E1461="","",IFERROR(INDEX(Kontenplan!$C$5:$C$90,MATCH($E1461,Kontenplan!$A$5:$A$90,0)),"?"))</f>
        <v/>
      </c>
      <c r="V1461" s="35" t="str">
        <f aca="false">IF($F1461="","",IF(OR($D1461="",$E1461="",$T1461="?",$U1461="?"),"Konto prüfen!",IF($A1461="","Datum fehlt",IF(YEAR($A1461)&lt;&gt;Einstellungen!$B$7,"anderes Jahr!",IF($G1461="","MWST-Code fehlt","OK")))))</f>
        <v/>
      </c>
      <c r="W1461" s="35" t="str">
        <f aca="false">IF($F1461="","",IF(OR($D1461=Kontoauszug!$C$4,$E1461=Kontoauszug!$C$4),MAX(W$4:W1460)+1,""))</f>
        <v/>
      </c>
    </row>
    <row r="1462" customFormat="false" ht="15" hidden="false" customHeight="false" outlineLevel="0" collapsed="false">
      <c r="A1462" s="33"/>
      <c r="B1462" s="32"/>
      <c r="C1462" s="32"/>
      <c r="D1462" s="32"/>
      <c r="E1462" s="32"/>
      <c r="F1462" s="30"/>
      <c r="G1462" s="32"/>
      <c r="H1462" s="34" t="n">
        <f aca="false">IF($G1462="",0,IFERROR(INDEX(Einstellungen!$G$5:$G$11,MATCH($G1462,Einstellungen!$E$5:$E$11,0)),0))</f>
        <v>0</v>
      </c>
      <c r="I1462" s="35" t="str">
        <f aca="false">IF($G1462="","-",IFERROR(INDEX(Einstellungen!$H$5:$H$11,MATCH($G1462,Einstellungen!$E$5:$E$11,0)),"-"))</f>
        <v>-</v>
      </c>
      <c r="J1462" s="35" t="str">
        <f aca="false">IF(AND(Einstellungen!$B$8="Ja",Einstellungen!$B$9="Effektiv"),$I1462,"-")</f>
        <v>-</v>
      </c>
      <c r="K1462" s="31" t="n">
        <f aca="false">IF(OR($F1462="",$J1462="-"),0,ROUND($F1462-$F1462/(1+$H1462),2))</f>
        <v>0</v>
      </c>
      <c r="L1462" s="31" t="n">
        <f aca="false">IF($F1462="",0,$F1462-$K1462)</f>
        <v>0</v>
      </c>
      <c r="M1462" s="31" t="n">
        <f aca="false">IF($F1462="",0,IF($J1462="V",$L1462,$F1462))</f>
        <v>0</v>
      </c>
      <c r="N1462" s="31" t="n">
        <f aca="false">IF($F1462="",0,IF($J1462="U",$L1462,$F1462))</f>
        <v>0</v>
      </c>
      <c r="O1462" s="35" t="str">
        <f aca="false">IF($A1462="","",MONTH($A1462))</f>
        <v/>
      </c>
      <c r="P1462" s="35" t="str">
        <f aca="false">IF($A1462="","",ROUNDUP(MONTH($A1462)/3,0))</f>
        <v/>
      </c>
      <c r="Q1462" s="35" t="str">
        <f aca="false">IF($A1462="","",IF(MONTH($A1462)&lt;=6,1,2))</f>
        <v/>
      </c>
      <c r="R1462" s="35" t="str">
        <f aca="false">IF($E1462="","",IFERROR(INDEX(Kontenplan!$F$5:$F$90,MATCH($E1462,Kontenplan!$A$5:$A$90,0)),""))</f>
        <v/>
      </c>
      <c r="S1462" s="35" t="str">
        <f aca="false">IF($D1462="","",IFERROR(INDEX(Kontenplan!$F$5:$F$90,MATCH($D1462,Kontenplan!$A$5:$A$90,0)),""))</f>
        <v/>
      </c>
      <c r="T1462" s="35" t="str">
        <f aca="false">IF($D1462="","",IFERROR(INDEX(Kontenplan!$C$5:$C$90,MATCH($D1462,Kontenplan!$A$5:$A$90,0)),"?"))</f>
        <v/>
      </c>
      <c r="U1462" s="35" t="str">
        <f aca="false">IF($E1462="","",IFERROR(INDEX(Kontenplan!$C$5:$C$90,MATCH($E1462,Kontenplan!$A$5:$A$90,0)),"?"))</f>
        <v/>
      </c>
      <c r="V1462" s="35" t="str">
        <f aca="false">IF($F1462="","",IF(OR($D1462="",$E1462="",$T1462="?",$U1462="?"),"Konto prüfen!",IF($A1462="","Datum fehlt",IF(YEAR($A1462)&lt;&gt;Einstellungen!$B$7,"anderes Jahr!",IF($G1462="","MWST-Code fehlt","OK")))))</f>
        <v/>
      </c>
      <c r="W1462" s="35" t="str">
        <f aca="false">IF($F1462="","",IF(OR($D1462=Kontoauszug!$C$4,$E1462=Kontoauszug!$C$4),MAX(W$4:W1461)+1,""))</f>
        <v/>
      </c>
    </row>
    <row r="1463" customFormat="false" ht="15" hidden="false" customHeight="false" outlineLevel="0" collapsed="false">
      <c r="A1463" s="33"/>
      <c r="B1463" s="32"/>
      <c r="C1463" s="32"/>
      <c r="D1463" s="32"/>
      <c r="E1463" s="32"/>
      <c r="F1463" s="30"/>
      <c r="G1463" s="32"/>
      <c r="H1463" s="34" t="n">
        <f aca="false">IF($G1463="",0,IFERROR(INDEX(Einstellungen!$G$5:$G$11,MATCH($G1463,Einstellungen!$E$5:$E$11,0)),0))</f>
        <v>0</v>
      </c>
      <c r="I1463" s="35" t="str">
        <f aca="false">IF($G1463="","-",IFERROR(INDEX(Einstellungen!$H$5:$H$11,MATCH($G1463,Einstellungen!$E$5:$E$11,0)),"-"))</f>
        <v>-</v>
      </c>
      <c r="J1463" s="35" t="str">
        <f aca="false">IF(AND(Einstellungen!$B$8="Ja",Einstellungen!$B$9="Effektiv"),$I1463,"-")</f>
        <v>-</v>
      </c>
      <c r="K1463" s="31" t="n">
        <f aca="false">IF(OR($F1463="",$J1463="-"),0,ROUND($F1463-$F1463/(1+$H1463),2))</f>
        <v>0</v>
      </c>
      <c r="L1463" s="31" t="n">
        <f aca="false">IF($F1463="",0,$F1463-$K1463)</f>
        <v>0</v>
      </c>
      <c r="M1463" s="31" t="n">
        <f aca="false">IF($F1463="",0,IF($J1463="V",$L1463,$F1463))</f>
        <v>0</v>
      </c>
      <c r="N1463" s="31" t="n">
        <f aca="false">IF($F1463="",0,IF($J1463="U",$L1463,$F1463))</f>
        <v>0</v>
      </c>
      <c r="O1463" s="35" t="str">
        <f aca="false">IF($A1463="","",MONTH($A1463))</f>
        <v/>
      </c>
      <c r="P1463" s="35" t="str">
        <f aca="false">IF($A1463="","",ROUNDUP(MONTH($A1463)/3,0))</f>
        <v/>
      </c>
      <c r="Q1463" s="35" t="str">
        <f aca="false">IF($A1463="","",IF(MONTH($A1463)&lt;=6,1,2))</f>
        <v/>
      </c>
      <c r="R1463" s="35" t="str">
        <f aca="false">IF($E1463="","",IFERROR(INDEX(Kontenplan!$F$5:$F$90,MATCH($E1463,Kontenplan!$A$5:$A$90,0)),""))</f>
        <v/>
      </c>
      <c r="S1463" s="35" t="str">
        <f aca="false">IF($D1463="","",IFERROR(INDEX(Kontenplan!$F$5:$F$90,MATCH($D1463,Kontenplan!$A$5:$A$90,0)),""))</f>
        <v/>
      </c>
      <c r="T1463" s="35" t="str">
        <f aca="false">IF($D1463="","",IFERROR(INDEX(Kontenplan!$C$5:$C$90,MATCH($D1463,Kontenplan!$A$5:$A$90,0)),"?"))</f>
        <v/>
      </c>
      <c r="U1463" s="35" t="str">
        <f aca="false">IF($E1463="","",IFERROR(INDEX(Kontenplan!$C$5:$C$90,MATCH($E1463,Kontenplan!$A$5:$A$90,0)),"?"))</f>
        <v/>
      </c>
      <c r="V1463" s="35" t="str">
        <f aca="false">IF($F1463="","",IF(OR($D1463="",$E1463="",$T1463="?",$U1463="?"),"Konto prüfen!",IF($A1463="","Datum fehlt",IF(YEAR($A1463)&lt;&gt;Einstellungen!$B$7,"anderes Jahr!",IF($G1463="","MWST-Code fehlt","OK")))))</f>
        <v/>
      </c>
      <c r="W1463" s="35" t="str">
        <f aca="false">IF($F1463="","",IF(OR($D1463=Kontoauszug!$C$4,$E1463=Kontoauszug!$C$4),MAX(W$4:W1462)+1,""))</f>
        <v/>
      </c>
    </row>
    <row r="1464" customFormat="false" ht="15" hidden="false" customHeight="false" outlineLevel="0" collapsed="false">
      <c r="A1464" s="33"/>
      <c r="B1464" s="32"/>
      <c r="C1464" s="32"/>
      <c r="D1464" s="32"/>
      <c r="E1464" s="32"/>
      <c r="F1464" s="30"/>
      <c r="G1464" s="32"/>
      <c r="H1464" s="34" t="n">
        <f aca="false">IF($G1464="",0,IFERROR(INDEX(Einstellungen!$G$5:$G$11,MATCH($G1464,Einstellungen!$E$5:$E$11,0)),0))</f>
        <v>0</v>
      </c>
      <c r="I1464" s="35" t="str">
        <f aca="false">IF($G1464="","-",IFERROR(INDEX(Einstellungen!$H$5:$H$11,MATCH($G1464,Einstellungen!$E$5:$E$11,0)),"-"))</f>
        <v>-</v>
      </c>
      <c r="J1464" s="35" t="str">
        <f aca="false">IF(AND(Einstellungen!$B$8="Ja",Einstellungen!$B$9="Effektiv"),$I1464,"-")</f>
        <v>-</v>
      </c>
      <c r="K1464" s="31" t="n">
        <f aca="false">IF(OR($F1464="",$J1464="-"),0,ROUND($F1464-$F1464/(1+$H1464),2))</f>
        <v>0</v>
      </c>
      <c r="L1464" s="31" t="n">
        <f aca="false">IF($F1464="",0,$F1464-$K1464)</f>
        <v>0</v>
      </c>
      <c r="M1464" s="31" t="n">
        <f aca="false">IF($F1464="",0,IF($J1464="V",$L1464,$F1464))</f>
        <v>0</v>
      </c>
      <c r="N1464" s="31" t="n">
        <f aca="false">IF($F1464="",0,IF($J1464="U",$L1464,$F1464))</f>
        <v>0</v>
      </c>
      <c r="O1464" s="35" t="str">
        <f aca="false">IF($A1464="","",MONTH($A1464))</f>
        <v/>
      </c>
      <c r="P1464" s="35" t="str">
        <f aca="false">IF($A1464="","",ROUNDUP(MONTH($A1464)/3,0))</f>
        <v/>
      </c>
      <c r="Q1464" s="35" t="str">
        <f aca="false">IF($A1464="","",IF(MONTH($A1464)&lt;=6,1,2))</f>
        <v/>
      </c>
      <c r="R1464" s="35" t="str">
        <f aca="false">IF($E1464="","",IFERROR(INDEX(Kontenplan!$F$5:$F$90,MATCH($E1464,Kontenplan!$A$5:$A$90,0)),""))</f>
        <v/>
      </c>
      <c r="S1464" s="35" t="str">
        <f aca="false">IF($D1464="","",IFERROR(INDEX(Kontenplan!$F$5:$F$90,MATCH($D1464,Kontenplan!$A$5:$A$90,0)),""))</f>
        <v/>
      </c>
      <c r="T1464" s="35" t="str">
        <f aca="false">IF($D1464="","",IFERROR(INDEX(Kontenplan!$C$5:$C$90,MATCH($D1464,Kontenplan!$A$5:$A$90,0)),"?"))</f>
        <v/>
      </c>
      <c r="U1464" s="35" t="str">
        <f aca="false">IF($E1464="","",IFERROR(INDEX(Kontenplan!$C$5:$C$90,MATCH($E1464,Kontenplan!$A$5:$A$90,0)),"?"))</f>
        <v/>
      </c>
      <c r="V1464" s="35" t="str">
        <f aca="false">IF($F1464="","",IF(OR($D1464="",$E1464="",$T1464="?",$U1464="?"),"Konto prüfen!",IF($A1464="","Datum fehlt",IF(YEAR($A1464)&lt;&gt;Einstellungen!$B$7,"anderes Jahr!",IF($G1464="","MWST-Code fehlt","OK")))))</f>
        <v/>
      </c>
      <c r="W1464" s="35" t="str">
        <f aca="false">IF($F1464="","",IF(OR($D1464=Kontoauszug!$C$4,$E1464=Kontoauszug!$C$4),MAX(W$4:W1463)+1,""))</f>
        <v/>
      </c>
    </row>
    <row r="1465" customFormat="false" ht="15" hidden="false" customHeight="false" outlineLevel="0" collapsed="false">
      <c r="A1465" s="33"/>
      <c r="B1465" s="32"/>
      <c r="C1465" s="32"/>
      <c r="D1465" s="32"/>
      <c r="E1465" s="32"/>
      <c r="F1465" s="30"/>
      <c r="G1465" s="32"/>
      <c r="H1465" s="34" t="n">
        <f aca="false">IF($G1465="",0,IFERROR(INDEX(Einstellungen!$G$5:$G$11,MATCH($G1465,Einstellungen!$E$5:$E$11,0)),0))</f>
        <v>0</v>
      </c>
      <c r="I1465" s="35" t="str">
        <f aca="false">IF($G1465="","-",IFERROR(INDEX(Einstellungen!$H$5:$H$11,MATCH($G1465,Einstellungen!$E$5:$E$11,0)),"-"))</f>
        <v>-</v>
      </c>
      <c r="J1465" s="35" t="str">
        <f aca="false">IF(AND(Einstellungen!$B$8="Ja",Einstellungen!$B$9="Effektiv"),$I1465,"-")</f>
        <v>-</v>
      </c>
      <c r="K1465" s="31" t="n">
        <f aca="false">IF(OR($F1465="",$J1465="-"),0,ROUND($F1465-$F1465/(1+$H1465),2))</f>
        <v>0</v>
      </c>
      <c r="L1465" s="31" t="n">
        <f aca="false">IF($F1465="",0,$F1465-$K1465)</f>
        <v>0</v>
      </c>
      <c r="M1465" s="31" t="n">
        <f aca="false">IF($F1465="",0,IF($J1465="V",$L1465,$F1465))</f>
        <v>0</v>
      </c>
      <c r="N1465" s="31" t="n">
        <f aca="false">IF($F1465="",0,IF($J1465="U",$L1465,$F1465))</f>
        <v>0</v>
      </c>
      <c r="O1465" s="35" t="str">
        <f aca="false">IF($A1465="","",MONTH($A1465))</f>
        <v/>
      </c>
      <c r="P1465" s="35" t="str">
        <f aca="false">IF($A1465="","",ROUNDUP(MONTH($A1465)/3,0))</f>
        <v/>
      </c>
      <c r="Q1465" s="35" t="str">
        <f aca="false">IF($A1465="","",IF(MONTH($A1465)&lt;=6,1,2))</f>
        <v/>
      </c>
      <c r="R1465" s="35" t="str">
        <f aca="false">IF($E1465="","",IFERROR(INDEX(Kontenplan!$F$5:$F$90,MATCH($E1465,Kontenplan!$A$5:$A$90,0)),""))</f>
        <v/>
      </c>
      <c r="S1465" s="35" t="str">
        <f aca="false">IF($D1465="","",IFERROR(INDEX(Kontenplan!$F$5:$F$90,MATCH($D1465,Kontenplan!$A$5:$A$90,0)),""))</f>
        <v/>
      </c>
      <c r="T1465" s="35" t="str">
        <f aca="false">IF($D1465="","",IFERROR(INDEX(Kontenplan!$C$5:$C$90,MATCH($D1465,Kontenplan!$A$5:$A$90,0)),"?"))</f>
        <v/>
      </c>
      <c r="U1465" s="35" t="str">
        <f aca="false">IF($E1465="","",IFERROR(INDEX(Kontenplan!$C$5:$C$90,MATCH($E1465,Kontenplan!$A$5:$A$90,0)),"?"))</f>
        <v/>
      </c>
      <c r="V1465" s="35" t="str">
        <f aca="false">IF($F1465="","",IF(OR($D1465="",$E1465="",$T1465="?",$U1465="?"),"Konto prüfen!",IF($A1465="","Datum fehlt",IF(YEAR($A1465)&lt;&gt;Einstellungen!$B$7,"anderes Jahr!",IF($G1465="","MWST-Code fehlt","OK")))))</f>
        <v/>
      </c>
      <c r="W1465" s="35" t="str">
        <f aca="false">IF($F1465="","",IF(OR($D1465=Kontoauszug!$C$4,$E1465=Kontoauszug!$C$4),MAX(W$4:W1464)+1,""))</f>
        <v/>
      </c>
    </row>
    <row r="1466" customFormat="false" ht="15" hidden="false" customHeight="false" outlineLevel="0" collapsed="false">
      <c r="A1466" s="33"/>
      <c r="B1466" s="32"/>
      <c r="C1466" s="32"/>
      <c r="D1466" s="32"/>
      <c r="E1466" s="32"/>
      <c r="F1466" s="30"/>
      <c r="G1466" s="32"/>
      <c r="H1466" s="34" t="n">
        <f aca="false">IF($G1466="",0,IFERROR(INDEX(Einstellungen!$G$5:$G$11,MATCH($G1466,Einstellungen!$E$5:$E$11,0)),0))</f>
        <v>0</v>
      </c>
      <c r="I1466" s="35" t="str">
        <f aca="false">IF($G1466="","-",IFERROR(INDEX(Einstellungen!$H$5:$H$11,MATCH($G1466,Einstellungen!$E$5:$E$11,0)),"-"))</f>
        <v>-</v>
      </c>
      <c r="J1466" s="35" t="str">
        <f aca="false">IF(AND(Einstellungen!$B$8="Ja",Einstellungen!$B$9="Effektiv"),$I1466,"-")</f>
        <v>-</v>
      </c>
      <c r="K1466" s="31" t="n">
        <f aca="false">IF(OR($F1466="",$J1466="-"),0,ROUND($F1466-$F1466/(1+$H1466),2))</f>
        <v>0</v>
      </c>
      <c r="L1466" s="31" t="n">
        <f aca="false">IF($F1466="",0,$F1466-$K1466)</f>
        <v>0</v>
      </c>
      <c r="M1466" s="31" t="n">
        <f aca="false">IF($F1466="",0,IF($J1466="V",$L1466,$F1466))</f>
        <v>0</v>
      </c>
      <c r="N1466" s="31" t="n">
        <f aca="false">IF($F1466="",0,IF($J1466="U",$L1466,$F1466))</f>
        <v>0</v>
      </c>
      <c r="O1466" s="35" t="str">
        <f aca="false">IF($A1466="","",MONTH($A1466))</f>
        <v/>
      </c>
      <c r="P1466" s="35" t="str">
        <f aca="false">IF($A1466="","",ROUNDUP(MONTH($A1466)/3,0))</f>
        <v/>
      </c>
      <c r="Q1466" s="35" t="str">
        <f aca="false">IF($A1466="","",IF(MONTH($A1466)&lt;=6,1,2))</f>
        <v/>
      </c>
      <c r="R1466" s="35" t="str">
        <f aca="false">IF($E1466="","",IFERROR(INDEX(Kontenplan!$F$5:$F$90,MATCH($E1466,Kontenplan!$A$5:$A$90,0)),""))</f>
        <v/>
      </c>
      <c r="S1466" s="35" t="str">
        <f aca="false">IF($D1466="","",IFERROR(INDEX(Kontenplan!$F$5:$F$90,MATCH($D1466,Kontenplan!$A$5:$A$90,0)),""))</f>
        <v/>
      </c>
      <c r="T1466" s="35" t="str">
        <f aca="false">IF($D1466="","",IFERROR(INDEX(Kontenplan!$C$5:$C$90,MATCH($D1466,Kontenplan!$A$5:$A$90,0)),"?"))</f>
        <v/>
      </c>
      <c r="U1466" s="35" t="str">
        <f aca="false">IF($E1466="","",IFERROR(INDEX(Kontenplan!$C$5:$C$90,MATCH($E1466,Kontenplan!$A$5:$A$90,0)),"?"))</f>
        <v/>
      </c>
      <c r="V1466" s="35" t="str">
        <f aca="false">IF($F1466="","",IF(OR($D1466="",$E1466="",$T1466="?",$U1466="?"),"Konto prüfen!",IF($A1466="","Datum fehlt",IF(YEAR($A1466)&lt;&gt;Einstellungen!$B$7,"anderes Jahr!",IF($G1466="","MWST-Code fehlt","OK")))))</f>
        <v/>
      </c>
      <c r="W1466" s="35" t="str">
        <f aca="false">IF($F1466="","",IF(OR($D1466=Kontoauszug!$C$4,$E1466=Kontoauszug!$C$4),MAX(W$4:W1465)+1,""))</f>
        <v/>
      </c>
    </row>
    <row r="1467" customFormat="false" ht="15" hidden="false" customHeight="false" outlineLevel="0" collapsed="false">
      <c r="A1467" s="33"/>
      <c r="B1467" s="32"/>
      <c r="C1467" s="32"/>
      <c r="D1467" s="32"/>
      <c r="E1467" s="32"/>
      <c r="F1467" s="30"/>
      <c r="G1467" s="32"/>
      <c r="H1467" s="34" t="n">
        <f aca="false">IF($G1467="",0,IFERROR(INDEX(Einstellungen!$G$5:$G$11,MATCH($G1467,Einstellungen!$E$5:$E$11,0)),0))</f>
        <v>0</v>
      </c>
      <c r="I1467" s="35" t="str">
        <f aca="false">IF($G1467="","-",IFERROR(INDEX(Einstellungen!$H$5:$H$11,MATCH($G1467,Einstellungen!$E$5:$E$11,0)),"-"))</f>
        <v>-</v>
      </c>
      <c r="J1467" s="35" t="str">
        <f aca="false">IF(AND(Einstellungen!$B$8="Ja",Einstellungen!$B$9="Effektiv"),$I1467,"-")</f>
        <v>-</v>
      </c>
      <c r="K1467" s="31" t="n">
        <f aca="false">IF(OR($F1467="",$J1467="-"),0,ROUND($F1467-$F1467/(1+$H1467),2))</f>
        <v>0</v>
      </c>
      <c r="L1467" s="31" t="n">
        <f aca="false">IF($F1467="",0,$F1467-$K1467)</f>
        <v>0</v>
      </c>
      <c r="M1467" s="31" t="n">
        <f aca="false">IF($F1467="",0,IF($J1467="V",$L1467,$F1467))</f>
        <v>0</v>
      </c>
      <c r="N1467" s="31" t="n">
        <f aca="false">IF($F1467="",0,IF($J1467="U",$L1467,$F1467))</f>
        <v>0</v>
      </c>
      <c r="O1467" s="35" t="str">
        <f aca="false">IF($A1467="","",MONTH($A1467))</f>
        <v/>
      </c>
      <c r="P1467" s="35" t="str">
        <f aca="false">IF($A1467="","",ROUNDUP(MONTH($A1467)/3,0))</f>
        <v/>
      </c>
      <c r="Q1467" s="35" t="str">
        <f aca="false">IF($A1467="","",IF(MONTH($A1467)&lt;=6,1,2))</f>
        <v/>
      </c>
      <c r="R1467" s="35" t="str">
        <f aca="false">IF($E1467="","",IFERROR(INDEX(Kontenplan!$F$5:$F$90,MATCH($E1467,Kontenplan!$A$5:$A$90,0)),""))</f>
        <v/>
      </c>
      <c r="S1467" s="35" t="str">
        <f aca="false">IF($D1467="","",IFERROR(INDEX(Kontenplan!$F$5:$F$90,MATCH($D1467,Kontenplan!$A$5:$A$90,0)),""))</f>
        <v/>
      </c>
      <c r="T1467" s="35" t="str">
        <f aca="false">IF($D1467="","",IFERROR(INDEX(Kontenplan!$C$5:$C$90,MATCH($D1467,Kontenplan!$A$5:$A$90,0)),"?"))</f>
        <v/>
      </c>
      <c r="U1467" s="35" t="str">
        <f aca="false">IF($E1467="","",IFERROR(INDEX(Kontenplan!$C$5:$C$90,MATCH($E1467,Kontenplan!$A$5:$A$90,0)),"?"))</f>
        <v/>
      </c>
      <c r="V1467" s="35" t="str">
        <f aca="false">IF($F1467="","",IF(OR($D1467="",$E1467="",$T1467="?",$U1467="?"),"Konto prüfen!",IF($A1467="","Datum fehlt",IF(YEAR($A1467)&lt;&gt;Einstellungen!$B$7,"anderes Jahr!",IF($G1467="","MWST-Code fehlt","OK")))))</f>
        <v/>
      </c>
      <c r="W1467" s="35" t="str">
        <f aca="false">IF($F1467="","",IF(OR($D1467=Kontoauszug!$C$4,$E1467=Kontoauszug!$C$4),MAX(W$4:W1466)+1,""))</f>
        <v/>
      </c>
    </row>
    <row r="1468" customFormat="false" ht="15" hidden="false" customHeight="false" outlineLevel="0" collapsed="false">
      <c r="A1468" s="33"/>
      <c r="B1468" s="32"/>
      <c r="C1468" s="32"/>
      <c r="D1468" s="32"/>
      <c r="E1468" s="32"/>
      <c r="F1468" s="30"/>
      <c r="G1468" s="32"/>
      <c r="H1468" s="34" t="n">
        <f aca="false">IF($G1468="",0,IFERROR(INDEX(Einstellungen!$G$5:$G$11,MATCH($G1468,Einstellungen!$E$5:$E$11,0)),0))</f>
        <v>0</v>
      </c>
      <c r="I1468" s="35" t="str">
        <f aca="false">IF($G1468="","-",IFERROR(INDEX(Einstellungen!$H$5:$H$11,MATCH($G1468,Einstellungen!$E$5:$E$11,0)),"-"))</f>
        <v>-</v>
      </c>
      <c r="J1468" s="35" t="str">
        <f aca="false">IF(AND(Einstellungen!$B$8="Ja",Einstellungen!$B$9="Effektiv"),$I1468,"-")</f>
        <v>-</v>
      </c>
      <c r="K1468" s="31" t="n">
        <f aca="false">IF(OR($F1468="",$J1468="-"),0,ROUND($F1468-$F1468/(1+$H1468),2))</f>
        <v>0</v>
      </c>
      <c r="L1468" s="31" t="n">
        <f aca="false">IF($F1468="",0,$F1468-$K1468)</f>
        <v>0</v>
      </c>
      <c r="M1468" s="31" t="n">
        <f aca="false">IF($F1468="",0,IF($J1468="V",$L1468,$F1468))</f>
        <v>0</v>
      </c>
      <c r="N1468" s="31" t="n">
        <f aca="false">IF($F1468="",0,IF($J1468="U",$L1468,$F1468))</f>
        <v>0</v>
      </c>
      <c r="O1468" s="35" t="str">
        <f aca="false">IF($A1468="","",MONTH($A1468))</f>
        <v/>
      </c>
      <c r="P1468" s="35" t="str">
        <f aca="false">IF($A1468="","",ROUNDUP(MONTH($A1468)/3,0))</f>
        <v/>
      </c>
      <c r="Q1468" s="35" t="str">
        <f aca="false">IF($A1468="","",IF(MONTH($A1468)&lt;=6,1,2))</f>
        <v/>
      </c>
      <c r="R1468" s="35" t="str">
        <f aca="false">IF($E1468="","",IFERROR(INDEX(Kontenplan!$F$5:$F$90,MATCH($E1468,Kontenplan!$A$5:$A$90,0)),""))</f>
        <v/>
      </c>
      <c r="S1468" s="35" t="str">
        <f aca="false">IF($D1468="","",IFERROR(INDEX(Kontenplan!$F$5:$F$90,MATCH($D1468,Kontenplan!$A$5:$A$90,0)),""))</f>
        <v/>
      </c>
      <c r="T1468" s="35" t="str">
        <f aca="false">IF($D1468="","",IFERROR(INDEX(Kontenplan!$C$5:$C$90,MATCH($D1468,Kontenplan!$A$5:$A$90,0)),"?"))</f>
        <v/>
      </c>
      <c r="U1468" s="35" t="str">
        <f aca="false">IF($E1468="","",IFERROR(INDEX(Kontenplan!$C$5:$C$90,MATCH($E1468,Kontenplan!$A$5:$A$90,0)),"?"))</f>
        <v/>
      </c>
      <c r="V1468" s="35" t="str">
        <f aca="false">IF($F1468="","",IF(OR($D1468="",$E1468="",$T1468="?",$U1468="?"),"Konto prüfen!",IF($A1468="","Datum fehlt",IF(YEAR($A1468)&lt;&gt;Einstellungen!$B$7,"anderes Jahr!",IF($G1468="","MWST-Code fehlt","OK")))))</f>
        <v/>
      </c>
      <c r="W1468" s="35" t="str">
        <f aca="false">IF($F1468="","",IF(OR($D1468=Kontoauszug!$C$4,$E1468=Kontoauszug!$C$4),MAX(W$4:W1467)+1,""))</f>
        <v/>
      </c>
    </row>
    <row r="1469" customFormat="false" ht="15" hidden="false" customHeight="false" outlineLevel="0" collapsed="false">
      <c r="A1469" s="33"/>
      <c r="B1469" s="32"/>
      <c r="C1469" s="32"/>
      <c r="D1469" s="32"/>
      <c r="E1469" s="32"/>
      <c r="F1469" s="30"/>
      <c r="G1469" s="32"/>
      <c r="H1469" s="34" t="n">
        <f aca="false">IF($G1469="",0,IFERROR(INDEX(Einstellungen!$G$5:$G$11,MATCH($G1469,Einstellungen!$E$5:$E$11,0)),0))</f>
        <v>0</v>
      </c>
      <c r="I1469" s="35" t="str">
        <f aca="false">IF($G1469="","-",IFERROR(INDEX(Einstellungen!$H$5:$H$11,MATCH($G1469,Einstellungen!$E$5:$E$11,0)),"-"))</f>
        <v>-</v>
      </c>
      <c r="J1469" s="35" t="str">
        <f aca="false">IF(AND(Einstellungen!$B$8="Ja",Einstellungen!$B$9="Effektiv"),$I1469,"-")</f>
        <v>-</v>
      </c>
      <c r="K1469" s="31" t="n">
        <f aca="false">IF(OR($F1469="",$J1469="-"),0,ROUND($F1469-$F1469/(1+$H1469),2))</f>
        <v>0</v>
      </c>
      <c r="L1469" s="31" t="n">
        <f aca="false">IF($F1469="",0,$F1469-$K1469)</f>
        <v>0</v>
      </c>
      <c r="M1469" s="31" t="n">
        <f aca="false">IF($F1469="",0,IF($J1469="V",$L1469,$F1469))</f>
        <v>0</v>
      </c>
      <c r="N1469" s="31" t="n">
        <f aca="false">IF($F1469="",0,IF($J1469="U",$L1469,$F1469))</f>
        <v>0</v>
      </c>
      <c r="O1469" s="35" t="str">
        <f aca="false">IF($A1469="","",MONTH($A1469))</f>
        <v/>
      </c>
      <c r="P1469" s="35" t="str">
        <f aca="false">IF($A1469="","",ROUNDUP(MONTH($A1469)/3,0))</f>
        <v/>
      </c>
      <c r="Q1469" s="35" t="str">
        <f aca="false">IF($A1469="","",IF(MONTH($A1469)&lt;=6,1,2))</f>
        <v/>
      </c>
      <c r="R1469" s="35" t="str">
        <f aca="false">IF($E1469="","",IFERROR(INDEX(Kontenplan!$F$5:$F$90,MATCH($E1469,Kontenplan!$A$5:$A$90,0)),""))</f>
        <v/>
      </c>
      <c r="S1469" s="35" t="str">
        <f aca="false">IF($D1469="","",IFERROR(INDEX(Kontenplan!$F$5:$F$90,MATCH($D1469,Kontenplan!$A$5:$A$90,0)),""))</f>
        <v/>
      </c>
      <c r="T1469" s="35" t="str">
        <f aca="false">IF($D1469="","",IFERROR(INDEX(Kontenplan!$C$5:$C$90,MATCH($D1469,Kontenplan!$A$5:$A$90,0)),"?"))</f>
        <v/>
      </c>
      <c r="U1469" s="35" t="str">
        <f aca="false">IF($E1469="","",IFERROR(INDEX(Kontenplan!$C$5:$C$90,MATCH($E1469,Kontenplan!$A$5:$A$90,0)),"?"))</f>
        <v/>
      </c>
      <c r="V1469" s="35" t="str">
        <f aca="false">IF($F1469="","",IF(OR($D1469="",$E1469="",$T1469="?",$U1469="?"),"Konto prüfen!",IF($A1469="","Datum fehlt",IF(YEAR($A1469)&lt;&gt;Einstellungen!$B$7,"anderes Jahr!",IF($G1469="","MWST-Code fehlt","OK")))))</f>
        <v/>
      </c>
      <c r="W1469" s="35" t="str">
        <f aca="false">IF($F1469="","",IF(OR($D1469=Kontoauszug!$C$4,$E1469=Kontoauszug!$C$4),MAX(W$4:W1468)+1,""))</f>
        <v/>
      </c>
    </row>
    <row r="1470" customFormat="false" ht="15" hidden="false" customHeight="false" outlineLevel="0" collapsed="false">
      <c r="A1470" s="33"/>
      <c r="B1470" s="32"/>
      <c r="C1470" s="32"/>
      <c r="D1470" s="32"/>
      <c r="E1470" s="32"/>
      <c r="F1470" s="30"/>
      <c r="G1470" s="32"/>
      <c r="H1470" s="34" t="n">
        <f aca="false">IF($G1470="",0,IFERROR(INDEX(Einstellungen!$G$5:$G$11,MATCH($G1470,Einstellungen!$E$5:$E$11,0)),0))</f>
        <v>0</v>
      </c>
      <c r="I1470" s="35" t="str">
        <f aca="false">IF($G1470="","-",IFERROR(INDEX(Einstellungen!$H$5:$H$11,MATCH($G1470,Einstellungen!$E$5:$E$11,0)),"-"))</f>
        <v>-</v>
      </c>
      <c r="J1470" s="35" t="str">
        <f aca="false">IF(AND(Einstellungen!$B$8="Ja",Einstellungen!$B$9="Effektiv"),$I1470,"-")</f>
        <v>-</v>
      </c>
      <c r="K1470" s="31" t="n">
        <f aca="false">IF(OR($F1470="",$J1470="-"),0,ROUND($F1470-$F1470/(1+$H1470),2))</f>
        <v>0</v>
      </c>
      <c r="L1470" s="31" t="n">
        <f aca="false">IF($F1470="",0,$F1470-$K1470)</f>
        <v>0</v>
      </c>
      <c r="M1470" s="31" t="n">
        <f aca="false">IF($F1470="",0,IF($J1470="V",$L1470,$F1470))</f>
        <v>0</v>
      </c>
      <c r="N1470" s="31" t="n">
        <f aca="false">IF($F1470="",0,IF($J1470="U",$L1470,$F1470))</f>
        <v>0</v>
      </c>
      <c r="O1470" s="35" t="str">
        <f aca="false">IF($A1470="","",MONTH($A1470))</f>
        <v/>
      </c>
      <c r="P1470" s="35" t="str">
        <f aca="false">IF($A1470="","",ROUNDUP(MONTH($A1470)/3,0))</f>
        <v/>
      </c>
      <c r="Q1470" s="35" t="str">
        <f aca="false">IF($A1470="","",IF(MONTH($A1470)&lt;=6,1,2))</f>
        <v/>
      </c>
      <c r="R1470" s="35" t="str">
        <f aca="false">IF($E1470="","",IFERROR(INDEX(Kontenplan!$F$5:$F$90,MATCH($E1470,Kontenplan!$A$5:$A$90,0)),""))</f>
        <v/>
      </c>
      <c r="S1470" s="35" t="str">
        <f aca="false">IF($D1470="","",IFERROR(INDEX(Kontenplan!$F$5:$F$90,MATCH($D1470,Kontenplan!$A$5:$A$90,0)),""))</f>
        <v/>
      </c>
      <c r="T1470" s="35" t="str">
        <f aca="false">IF($D1470="","",IFERROR(INDEX(Kontenplan!$C$5:$C$90,MATCH($D1470,Kontenplan!$A$5:$A$90,0)),"?"))</f>
        <v/>
      </c>
      <c r="U1470" s="35" t="str">
        <f aca="false">IF($E1470="","",IFERROR(INDEX(Kontenplan!$C$5:$C$90,MATCH($E1470,Kontenplan!$A$5:$A$90,0)),"?"))</f>
        <v/>
      </c>
      <c r="V1470" s="35" t="str">
        <f aca="false">IF($F1470="","",IF(OR($D1470="",$E1470="",$T1470="?",$U1470="?"),"Konto prüfen!",IF($A1470="","Datum fehlt",IF(YEAR($A1470)&lt;&gt;Einstellungen!$B$7,"anderes Jahr!",IF($G1470="","MWST-Code fehlt","OK")))))</f>
        <v/>
      </c>
      <c r="W1470" s="35" t="str">
        <f aca="false">IF($F1470="","",IF(OR($D1470=Kontoauszug!$C$4,$E1470=Kontoauszug!$C$4),MAX(W$4:W1469)+1,""))</f>
        <v/>
      </c>
    </row>
    <row r="1471" customFormat="false" ht="15" hidden="false" customHeight="false" outlineLevel="0" collapsed="false">
      <c r="A1471" s="33"/>
      <c r="B1471" s="32"/>
      <c r="C1471" s="32"/>
      <c r="D1471" s="32"/>
      <c r="E1471" s="32"/>
      <c r="F1471" s="30"/>
      <c r="G1471" s="32"/>
      <c r="H1471" s="34" t="n">
        <f aca="false">IF($G1471="",0,IFERROR(INDEX(Einstellungen!$G$5:$G$11,MATCH($G1471,Einstellungen!$E$5:$E$11,0)),0))</f>
        <v>0</v>
      </c>
      <c r="I1471" s="35" t="str">
        <f aca="false">IF($G1471="","-",IFERROR(INDEX(Einstellungen!$H$5:$H$11,MATCH($G1471,Einstellungen!$E$5:$E$11,0)),"-"))</f>
        <v>-</v>
      </c>
      <c r="J1471" s="35" t="str">
        <f aca="false">IF(AND(Einstellungen!$B$8="Ja",Einstellungen!$B$9="Effektiv"),$I1471,"-")</f>
        <v>-</v>
      </c>
      <c r="K1471" s="31" t="n">
        <f aca="false">IF(OR($F1471="",$J1471="-"),0,ROUND($F1471-$F1471/(1+$H1471),2))</f>
        <v>0</v>
      </c>
      <c r="L1471" s="31" t="n">
        <f aca="false">IF($F1471="",0,$F1471-$K1471)</f>
        <v>0</v>
      </c>
      <c r="M1471" s="31" t="n">
        <f aca="false">IF($F1471="",0,IF($J1471="V",$L1471,$F1471))</f>
        <v>0</v>
      </c>
      <c r="N1471" s="31" t="n">
        <f aca="false">IF($F1471="",0,IF($J1471="U",$L1471,$F1471))</f>
        <v>0</v>
      </c>
      <c r="O1471" s="35" t="str">
        <f aca="false">IF($A1471="","",MONTH($A1471))</f>
        <v/>
      </c>
      <c r="P1471" s="35" t="str">
        <f aca="false">IF($A1471="","",ROUNDUP(MONTH($A1471)/3,0))</f>
        <v/>
      </c>
      <c r="Q1471" s="35" t="str">
        <f aca="false">IF($A1471="","",IF(MONTH($A1471)&lt;=6,1,2))</f>
        <v/>
      </c>
      <c r="R1471" s="35" t="str">
        <f aca="false">IF($E1471="","",IFERROR(INDEX(Kontenplan!$F$5:$F$90,MATCH($E1471,Kontenplan!$A$5:$A$90,0)),""))</f>
        <v/>
      </c>
      <c r="S1471" s="35" t="str">
        <f aca="false">IF($D1471="","",IFERROR(INDEX(Kontenplan!$F$5:$F$90,MATCH($D1471,Kontenplan!$A$5:$A$90,0)),""))</f>
        <v/>
      </c>
      <c r="T1471" s="35" t="str">
        <f aca="false">IF($D1471="","",IFERROR(INDEX(Kontenplan!$C$5:$C$90,MATCH($D1471,Kontenplan!$A$5:$A$90,0)),"?"))</f>
        <v/>
      </c>
      <c r="U1471" s="35" t="str">
        <f aca="false">IF($E1471="","",IFERROR(INDEX(Kontenplan!$C$5:$C$90,MATCH($E1471,Kontenplan!$A$5:$A$90,0)),"?"))</f>
        <v/>
      </c>
      <c r="V1471" s="35" t="str">
        <f aca="false">IF($F1471="","",IF(OR($D1471="",$E1471="",$T1471="?",$U1471="?"),"Konto prüfen!",IF($A1471="","Datum fehlt",IF(YEAR($A1471)&lt;&gt;Einstellungen!$B$7,"anderes Jahr!",IF($G1471="","MWST-Code fehlt","OK")))))</f>
        <v/>
      </c>
      <c r="W1471" s="35" t="str">
        <f aca="false">IF($F1471="","",IF(OR($D1471=Kontoauszug!$C$4,$E1471=Kontoauszug!$C$4),MAX(W$4:W1470)+1,""))</f>
        <v/>
      </c>
    </row>
    <row r="1472" customFormat="false" ht="15" hidden="false" customHeight="false" outlineLevel="0" collapsed="false">
      <c r="A1472" s="33"/>
      <c r="B1472" s="32"/>
      <c r="C1472" s="32"/>
      <c r="D1472" s="32"/>
      <c r="E1472" s="32"/>
      <c r="F1472" s="30"/>
      <c r="G1472" s="32"/>
      <c r="H1472" s="34" t="n">
        <f aca="false">IF($G1472="",0,IFERROR(INDEX(Einstellungen!$G$5:$G$11,MATCH($G1472,Einstellungen!$E$5:$E$11,0)),0))</f>
        <v>0</v>
      </c>
      <c r="I1472" s="35" t="str">
        <f aca="false">IF($G1472="","-",IFERROR(INDEX(Einstellungen!$H$5:$H$11,MATCH($G1472,Einstellungen!$E$5:$E$11,0)),"-"))</f>
        <v>-</v>
      </c>
      <c r="J1472" s="35" t="str">
        <f aca="false">IF(AND(Einstellungen!$B$8="Ja",Einstellungen!$B$9="Effektiv"),$I1472,"-")</f>
        <v>-</v>
      </c>
      <c r="K1472" s="31" t="n">
        <f aca="false">IF(OR($F1472="",$J1472="-"),0,ROUND($F1472-$F1472/(1+$H1472),2))</f>
        <v>0</v>
      </c>
      <c r="L1472" s="31" t="n">
        <f aca="false">IF($F1472="",0,$F1472-$K1472)</f>
        <v>0</v>
      </c>
      <c r="M1472" s="31" t="n">
        <f aca="false">IF($F1472="",0,IF($J1472="V",$L1472,$F1472))</f>
        <v>0</v>
      </c>
      <c r="N1472" s="31" t="n">
        <f aca="false">IF($F1472="",0,IF($J1472="U",$L1472,$F1472))</f>
        <v>0</v>
      </c>
      <c r="O1472" s="35" t="str">
        <f aca="false">IF($A1472="","",MONTH($A1472))</f>
        <v/>
      </c>
      <c r="P1472" s="35" t="str">
        <f aca="false">IF($A1472="","",ROUNDUP(MONTH($A1472)/3,0))</f>
        <v/>
      </c>
      <c r="Q1472" s="35" t="str">
        <f aca="false">IF($A1472="","",IF(MONTH($A1472)&lt;=6,1,2))</f>
        <v/>
      </c>
      <c r="R1472" s="35" t="str">
        <f aca="false">IF($E1472="","",IFERROR(INDEX(Kontenplan!$F$5:$F$90,MATCH($E1472,Kontenplan!$A$5:$A$90,0)),""))</f>
        <v/>
      </c>
      <c r="S1472" s="35" t="str">
        <f aca="false">IF($D1472="","",IFERROR(INDEX(Kontenplan!$F$5:$F$90,MATCH($D1472,Kontenplan!$A$5:$A$90,0)),""))</f>
        <v/>
      </c>
      <c r="T1472" s="35" t="str">
        <f aca="false">IF($D1472="","",IFERROR(INDEX(Kontenplan!$C$5:$C$90,MATCH($D1472,Kontenplan!$A$5:$A$90,0)),"?"))</f>
        <v/>
      </c>
      <c r="U1472" s="35" t="str">
        <f aca="false">IF($E1472="","",IFERROR(INDEX(Kontenplan!$C$5:$C$90,MATCH($E1472,Kontenplan!$A$5:$A$90,0)),"?"))</f>
        <v/>
      </c>
      <c r="V1472" s="35" t="str">
        <f aca="false">IF($F1472="","",IF(OR($D1472="",$E1472="",$T1472="?",$U1472="?"),"Konto prüfen!",IF($A1472="","Datum fehlt",IF(YEAR($A1472)&lt;&gt;Einstellungen!$B$7,"anderes Jahr!",IF($G1472="","MWST-Code fehlt","OK")))))</f>
        <v/>
      </c>
      <c r="W1472" s="35" t="str">
        <f aca="false">IF($F1472="","",IF(OR($D1472=Kontoauszug!$C$4,$E1472=Kontoauszug!$C$4),MAX(W$4:W1471)+1,""))</f>
        <v/>
      </c>
    </row>
    <row r="1473" customFormat="false" ht="15" hidden="false" customHeight="false" outlineLevel="0" collapsed="false">
      <c r="A1473" s="33"/>
      <c r="B1473" s="32"/>
      <c r="C1473" s="32"/>
      <c r="D1473" s="32"/>
      <c r="E1473" s="32"/>
      <c r="F1473" s="30"/>
      <c r="G1473" s="32"/>
      <c r="H1473" s="34" t="n">
        <f aca="false">IF($G1473="",0,IFERROR(INDEX(Einstellungen!$G$5:$G$11,MATCH($G1473,Einstellungen!$E$5:$E$11,0)),0))</f>
        <v>0</v>
      </c>
      <c r="I1473" s="35" t="str">
        <f aca="false">IF($G1473="","-",IFERROR(INDEX(Einstellungen!$H$5:$H$11,MATCH($G1473,Einstellungen!$E$5:$E$11,0)),"-"))</f>
        <v>-</v>
      </c>
      <c r="J1473" s="35" t="str">
        <f aca="false">IF(AND(Einstellungen!$B$8="Ja",Einstellungen!$B$9="Effektiv"),$I1473,"-")</f>
        <v>-</v>
      </c>
      <c r="K1473" s="31" t="n">
        <f aca="false">IF(OR($F1473="",$J1473="-"),0,ROUND($F1473-$F1473/(1+$H1473),2))</f>
        <v>0</v>
      </c>
      <c r="L1473" s="31" t="n">
        <f aca="false">IF($F1473="",0,$F1473-$K1473)</f>
        <v>0</v>
      </c>
      <c r="M1473" s="31" t="n">
        <f aca="false">IF($F1473="",0,IF($J1473="V",$L1473,$F1473))</f>
        <v>0</v>
      </c>
      <c r="N1473" s="31" t="n">
        <f aca="false">IF($F1473="",0,IF($J1473="U",$L1473,$F1473))</f>
        <v>0</v>
      </c>
      <c r="O1473" s="35" t="str">
        <f aca="false">IF($A1473="","",MONTH($A1473))</f>
        <v/>
      </c>
      <c r="P1473" s="35" t="str">
        <f aca="false">IF($A1473="","",ROUNDUP(MONTH($A1473)/3,0))</f>
        <v/>
      </c>
      <c r="Q1473" s="35" t="str">
        <f aca="false">IF($A1473="","",IF(MONTH($A1473)&lt;=6,1,2))</f>
        <v/>
      </c>
      <c r="R1473" s="35" t="str">
        <f aca="false">IF($E1473="","",IFERROR(INDEX(Kontenplan!$F$5:$F$90,MATCH($E1473,Kontenplan!$A$5:$A$90,0)),""))</f>
        <v/>
      </c>
      <c r="S1473" s="35" t="str">
        <f aca="false">IF($D1473="","",IFERROR(INDEX(Kontenplan!$F$5:$F$90,MATCH($D1473,Kontenplan!$A$5:$A$90,0)),""))</f>
        <v/>
      </c>
      <c r="T1473" s="35" t="str">
        <f aca="false">IF($D1473="","",IFERROR(INDEX(Kontenplan!$C$5:$C$90,MATCH($D1473,Kontenplan!$A$5:$A$90,0)),"?"))</f>
        <v/>
      </c>
      <c r="U1473" s="35" t="str">
        <f aca="false">IF($E1473="","",IFERROR(INDEX(Kontenplan!$C$5:$C$90,MATCH($E1473,Kontenplan!$A$5:$A$90,0)),"?"))</f>
        <v/>
      </c>
      <c r="V1473" s="35" t="str">
        <f aca="false">IF($F1473="","",IF(OR($D1473="",$E1473="",$T1473="?",$U1473="?"),"Konto prüfen!",IF($A1473="","Datum fehlt",IF(YEAR($A1473)&lt;&gt;Einstellungen!$B$7,"anderes Jahr!",IF($G1473="","MWST-Code fehlt","OK")))))</f>
        <v/>
      </c>
      <c r="W1473" s="35" t="str">
        <f aca="false">IF($F1473="","",IF(OR($D1473=Kontoauszug!$C$4,$E1473=Kontoauszug!$C$4),MAX(W$4:W1472)+1,""))</f>
        <v/>
      </c>
    </row>
    <row r="1474" customFormat="false" ht="15" hidden="false" customHeight="false" outlineLevel="0" collapsed="false">
      <c r="A1474" s="33"/>
      <c r="B1474" s="32"/>
      <c r="C1474" s="32"/>
      <c r="D1474" s="32"/>
      <c r="E1474" s="32"/>
      <c r="F1474" s="30"/>
      <c r="G1474" s="32"/>
      <c r="H1474" s="34" t="n">
        <f aca="false">IF($G1474="",0,IFERROR(INDEX(Einstellungen!$G$5:$G$11,MATCH($G1474,Einstellungen!$E$5:$E$11,0)),0))</f>
        <v>0</v>
      </c>
      <c r="I1474" s="35" t="str">
        <f aca="false">IF($G1474="","-",IFERROR(INDEX(Einstellungen!$H$5:$H$11,MATCH($G1474,Einstellungen!$E$5:$E$11,0)),"-"))</f>
        <v>-</v>
      </c>
      <c r="J1474" s="35" t="str">
        <f aca="false">IF(AND(Einstellungen!$B$8="Ja",Einstellungen!$B$9="Effektiv"),$I1474,"-")</f>
        <v>-</v>
      </c>
      <c r="K1474" s="31" t="n">
        <f aca="false">IF(OR($F1474="",$J1474="-"),0,ROUND($F1474-$F1474/(1+$H1474),2))</f>
        <v>0</v>
      </c>
      <c r="L1474" s="31" t="n">
        <f aca="false">IF($F1474="",0,$F1474-$K1474)</f>
        <v>0</v>
      </c>
      <c r="M1474" s="31" t="n">
        <f aca="false">IF($F1474="",0,IF($J1474="V",$L1474,$F1474))</f>
        <v>0</v>
      </c>
      <c r="N1474" s="31" t="n">
        <f aca="false">IF($F1474="",0,IF($J1474="U",$L1474,$F1474))</f>
        <v>0</v>
      </c>
      <c r="O1474" s="35" t="str">
        <f aca="false">IF($A1474="","",MONTH($A1474))</f>
        <v/>
      </c>
      <c r="P1474" s="35" t="str">
        <f aca="false">IF($A1474="","",ROUNDUP(MONTH($A1474)/3,0))</f>
        <v/>
      </c>
      <c r="Q1474" s="35" t="str">
        <f aca="false">IF($A1474="","",IF(MONTH($A1474)&lt;=6,1,2))</f>
        <v/>
      </c>
      <c r="R1474" s="35" t="str">
        <f aca="false">IF($E1474="","",IFERROR(INDEX(Kontenplan!$F$5:$F$90,MATCH($E1474,Kontenplan!$A$5:$A$90,0)),""))</f>
        <v/>
      </c>
      <c r="S1474" s="35" t="str">
        <f aca="false">IF($D1474="","",IFERROR(INDEX(Kontenplan!$F$5:$F$90,MATCH($D1474,Kontenplan!$A$5:$A$90,0)),""))</f>
        <v/>
      </c>
      <c r="T1474" s="35" t="str">
        <f aca="false">IF($D1474="","",IFERROR(INDEX(Kontenplan!$C$5:$C$90,MATCH($D1474,Kontenplan!$A$5:$A$90,0)),"?"))</f>
        <v/>
      </c>
      <c r="U1474" s="35" t="str">
        <f aca="false">IF($E1474="","",IFERROR(INDEX(Kontenplan!$C$5:$C$90,MATCH($E1474,Kontenplan!$A$5:$A$90,0)),"?"))</f>
        <v/>
      </c>
      <c r="V1474" s="35" t="str">
        <f aca="false">IF($F1474="","",IF(OR($D1474="",$E1474="",$T1474="?",$U1474="?"),"Konto prüfen!",IF($A1474="","Datum fehlt",IF(YEAR($A1474)&lt;&gt;Einstellungen!$B$7,"anderes Jahr!",IF($G1474="","MWST-Code fehlt","OK")))))</f>
        <v/>
      </c>
      <c r="W1474" s="35" t="str">
        <f aca="false">IF($F1474="","",IF(OR($D1474=Kontoauszug!$C$4,$E1474=Kontoauszug!$C$4),MAX(W$4:W1473)+1,""))</f>
        <v/>
      </c>
    </row>
    <row r="1475" customFormat="false" ht="15" hidden="false" customHeight="false" outlineLevel="0" collapsed="false">
      <c r="A1475" s="33"/>
      <c r="B1475" s="32"/>
      <c r="C1475" s="32"/>
      <c r="D1475" s="32"/>
      <c r="E1475" s="32"/>
      <c r="F1475" s="30"/>
      <c r="G1475" s="32"/>
      <c r="H1475" s="34" t="n">
        <f aca="false">IF($G1475="",0,IFERROR(INDEX(Einstellungen!$G$5:$G$11,MATCH($G1475,Einstellungen!$E$5:$E$11,0)),0))</f>
        <v>0</v>
      </c>
      <c r="I1475" s="35" t="str">
        <f aca="false">IF($G1475="","-",IFERROR(INDEX(Einstellungen!$H$5:$H$11,MATCH($G1475,Einstellungen!$E$5:$E$11,0)),"-"))</f>
        <v>-</v>
      </c>
      <c r="J1475" s="35" t="str">
        <f aca="false">IF(AND(Einstellungen!$B$8="Ja",Einstellungen!$B$9="Effektiv"),$I1475,"-")</f>
        <v>-</v>
      </c>
      <c r="K1475" s="31" t="n">
        <f aca="false">IF(OR($F1475="",$J1475="-"),0,ROUND($F1475-$F1475/(1+$H1475),2))</f>
        <v>0</v>
      </c>
      <c r="L1475" s="31" t="n">
        <f aca="false">IF($F1475="",0,$F1475-$K1475)</f>
        <v>0</v>
      </c>
      <c r="M1475" s="31" t="n">
        <f aca="false">IF($F1475="",0,IF($J1475="V",$L1475,$F1475))</f>
        <v>0</v>
      </c>
      <c r="N1475" s="31" t="n">
        <f aca="false">IF($F1475="",0,IF($J1475="U",$L1475,$F1475))</f>
        <v>0</v>
      </c>
      <c r="O1475" s="35" t="str">
        <f aca="false">IF($A1475="","",MONTH($A1475))</f>
        <v/>
      </c>
      <c r="P1475" s="35" t="str">
        <f aca="false">IF($A1475="","",ROUNDUP(MONTH($A1475)/3,0))</f>
        <v/>
      </c>
      <c r="Q1475" s="35" t="str">
        <f aca="false">IF($A1475="","",IF(MONTH($A1475)&lt;=6,1,2))</f>
        <v/>
      </c>
      <c r="R1475" s="35" t="str">
        <f aca="false">IF($E1475="","",IFERROR(INDEX(Kontenplan!$F$5:$F$90,MATCH($E1475,Kontenplan!$A$5:$A$90,0)),""))</f>
        <v/>
      </c>
      <c r="S1475" s="35" t="str">
        <f aca="false">IF($D1475="","",IFERROR(INDEX(Kontenplan!$F$5:$F$90,MATCH($D1475,Kontenplan!$A$5:$A$90,0)),""))</f>
        <v/>
      </c>
      <c r="T1475" s="35" t="str">
        <f aca="false">IF($D1475="","",IFERROR(INDEX(Kontenplan!$C$5:$C$90,MATCH($D1475,Kontenplan!$A$5:$A$90,0)),"?"))</f>
        <v/>
      </c>
      <c r="U1475" s="35" t="str">
        <f aca="false">IF($E1475="","",IFERROR(INDEX(Kontenplan!$C$5:$C$90,MATCH($E1475,Kontenplan!$A$5:$A$90,0)),"?"))</f>
        <v/>
      </c>
      <c r="V1475" s="35" t="str">
        <f aca="false">IF($F1475="","",IF(OR($D1475="",$E1475="",$T1475="?",$U1475="?"),"Konto prüfen!",IF($A1475="","Datum fehlt",IF(YEAR($A1475)&lt;&gt;Einstellungen!$B$7,"anderes Jahr!",IF($G1475="","MWST-Code fehlt","OK")))))</f>
        <v/>
      </c>
      <c r="W1475" s="35" t="str">
        <f aca="false">IF($F1475="","",IF(OR($D1475=Kontoauszug!$C$4,$E1475=Kontoauszug!$C$4),MAX(W$4:W1474)+1,""))</f>
        <v/>
      </c>
    </row>
    <row r="1476" customFormat="false" ht="15" hidden="false" customHeight="false" outlineLevel="0" collapsed="false">
      <c r="A1476" s="33"/>
      <c r="B1476" s="32"/>
      <c r="C1476" s="32"/>
      <c r="D1476" s="32"/>
      <c r="E1476" s="32"/>
      <c r="F1476" s="30"/>
      <c r="G1476" s="32"/>
      <c r="H1476" s="34" t="n">
        <f aca="false">IF($G1476="",0,IFERROR(INDEX(Einstellungen!$G$5:$G$11,MATCH($G1476,Einstellungen!$E$5:$E$11,0)),0))</f>
        <v>0</v>
      </c>
      <c r="I1476" s="35" t="str">
        <f aca="false">IF($G1476="","-",IFERROR(INDEX(Einstellungen!$H$5:$H$11,MATCH($G1476,Einstellungen!$E$5:$E$11,0)),"-"))</f>
        <v>-</v>
      </c>
      <c r="J1476" s="35" t="str">
        <f aca="false">IF(AND(Einstellungen!$B$8="Ja",Einstellungen!$B$9="Effektiv"),$I1476,"-")</f>
        <v>-</v>
      </c>
      <c r="K1476" s="31" t="n">
        <f aca="false">IF(OR($F1476="",$J1476="-"),0,ROUND($F1476-$F1476/(1+$H1476),2))</f>
        <v>0</v>
      </c>
      <c r="L1476" s="31" t="n">
        <f aca="false">IF($F1476="",0,$F1476-$K1476)</f>
        <v>0</v>
      </c>
      <c r="M1476" s="31" t="n">
        <f aca="false">IF($F1476="",0,IF($J1476="V",$L1476,$F1476))</f>
        <v>0</v>
      </c>
      <c r="N1476" s="31" t="n">
        <f aca="false">IF($F1476="",0,IF($J1476="U",$L1476,$F1476))</f>
        <v>0</v>
      </c>
      <c r="O1476" s="35" t="str">
        <f aca="false">IF($A1476="","",MONTH($A1476))</f>
        <v/>
      </c>
      <c r="P1476" s="35" t="str">
        <f aca="false">IF($A1476="","",ROUNDUP(MONTH($A1476)/3,0))</f>
        <v/>
      </c>
      <c r="Q1476" s="35" t="str">
        <f aca="false">IF($A1476="","",IF(MONTH($A1476)&lt;=6,1,2))</f>
        <v/>
      </c>
      <c r="R1476" s="35" t="str">
        <f aca="false">IF($E1476="","",IFERROR(INDEX(Kontenplan!$F$5:$F$90,MATCH($E1476,Kontenplan!$A$5:$A$90,0)),""))</f>
        <v/>
      </c>
      <c r="S1476" s="35" t="str">
        <f aca="false">IF($D1476="","",IFERROR(INDEX(Kontenplan!$F$5:$F$90,MATCH($D1476,Kontenplan!$A$5:$A$90,0)),""))</f>
        <v/>
      </c>
      <c r="T1476" s="35" t="str">
        <f aca="false">IF($D1476="","",IFERROR(INDEX(Kontenplan!$C$5:$C$90,MATCH($D1476,Kontenplan!$A$5:$A$90,0)),"?"))</f>
        <v/>
      </c>
      <c r="U1476" s="35" t="str">
        <f aca="false">IF($E1476="","",IFERROR(INDEX(Kontenplan!$C$5:$C$90,MATCH($E1476,Kontenplan!$A$5:$A$90,0)),"?"))</f>
        <v/>
      </c>
      <c r="V1476" s="35" t="str">
        <f aca="false">IF($F1476="","",IF(OR($D1476="",$E1476="",$T1476="?",$U1476="?"),"Konto prüfen!",IF($A1476="","Datum fehlt",IF(YEAR($A1476)&lt;&gt;Einstellungen!$B$7,"anderes Jahr!",IF($G1476="","MWST-Code fehlt","OK")))))</f>
        <v/>
      </c>
      <c r="W1476" s="35" t="str">
        <f aca="false">IF($F1476="","",IF(OR($D1476=Kontoauszug!$C$4,$E1476=Kontoauszug!$C$4),MAX(W$4:W1475)+1,""))</f>
        <v/>
      </c>
    </row>
    <row r="1477" customFormat="false" ht="15" hidden="false" customHeight="false" outlineLevel="0" collapsed="false">
      <c r="A1477" s="33"/>
      <c r="B1477" s="32"/>
      <c r="C1477" s="32"/>
      <c r="D1477" s="32"/>
      <c r="E1477" s="32"/>
      <c r="F1477" s="30"/>
      <c r="G1477" s="32"/>
      <c r="H1477" s="34" t="n">
        <f aca="false">IF($G1477="",0,IFERROR(INDEX(Einstellungen!$G$5:$G$11,MATCH($G1477,Einstellungen!$E$5:$E$11,0)),0))</f>
        <v>0</v>
      </c>
      <c r="I1477" s="35" t="str">
        <f aca="false">IF($G1477="","-",IFERROR(INDEX(Einstellungen!$H$5:$H$11,MATCH($G1477,Einstellungen!$E$5:$E$11,0)),"-"))</f>
        <v>-</v>
      </c>
      <c r="J1477" s="35" t="str">
        <f aca="false">IF(AND(Einstellungen!$B$8="Ja",Einstellungen!$B$9="Effektiv"),$I1477,"-")</f>
        <v>-</v>
      </c>
      <c r="K1477" s="31" t="n">
        <f aca="false">IF(OR($F1477="",$J1477="-"),0,ROUND($F1477-$F1477/(1+$H1477),2))</f>
        <v>0</v>
      </c>
      <c r="L1477" s="31" t="n">
        <f aca="false">IF($F1477="",0,$F1477-$K1477)</f>
        <v>0</v>
      </c>
      <c r="M1477" s="31" t="n">
        <f aca="false">IF($F1477="",0,IF($J1477="V",$L1477,$F1477))</f>
        <v>0</v>
      </c>
      <c r="N1477" s="31" t="n">
        <f aca="false">IF($F1477="",0,IF($J1477="U",$L1477,$F1477))</f>
        <v>0</v>
      </c>
      <c r="O1477" s="35" t="str">
        <f aca="false">IF($A1477="","",MONTH($A1477))</f>
        <v/>
      </c>
      <c r="P1477" s="35" t="str">
        <f aca="false">IF($A1477="","",ROUNDUP(MONTH($A1477)/3,0))</f>
        <v/>
      </c>
      <c r="Q1477" s="35" t="str">
        <f aca="false">IF($A1477="","",IF(MONTH($A1477)&lt;=6,1,2))</f>
        <v/>
      </c>
      <c r="R1477" s="35" t="str">
        <f aca="false">IF($E1477="","",IFERROR(INDEX(Kontenplan!$F$5:$F$90,MATCH($E1477,Kontenplan!$A$5:$A$90,0)),""))</f>
        <v/>
      </c>
      <c r="S1477" s="35" t="str">
        <f aca="false">IF($D1477="","",IFERROR(INDEX(Kontenplan!$F$5:$F$90,MATCH($D1477,Kontenplan!$A$5:$A$90,0)),""))</f>
        <v/>
      </c>
      <c r="T1477" s="35" t="str">
        <f aca="false">IF($D1477="","",IFERROR(INDEX(Kontenplan!$C$5:$C$90,MATCH($D1477,Kontenplan!$A$5:$A$90,0)),"?"))</f>
        <v/>
      </c>
      <c r="U1477" s="35" t="str">
        <f aca="false">IF($E1477="","",IFERROR(INDEX(Kontenplan!$C$5:$C$90,MATCH($E1477,Kontenplan!$A$5:$A$90,0)),"?"))</f>
        <v/>
      </c>
      <c r="V1477" s="35" t="str">
        <f aca="false">IF($F1477="","",IF(OR($D1477="",$E1477="",$T1477="?",$U1477="?"),"Konto prüfen!",IF($A1477="","Datum fehlt",IF(YEAR($A1477)&lt;&gt;Einstellungen!$B$7,"anderes Jahr!",IF($G1477="","MWST-Code fehlt","OK")))))</f>
        <v/>
      </c>
      <c r="W1477" s="35" t="str">
        <f aca="false">IF($F1477="","",IF(OR($D1477=Kontoauszug!$C$4,$E1477=Kontoauszug!$C$4),MAX(W$4:W1476)+1,""))</f>
        <v/>
      </c>
    </row>
    <row r="1478" customFormat="false" ht="15" hidden="false" customHeight="false" outlineLevel="0" collapsed="false">
      <c r="A1478" s="33"/>
      <c r="B1478" s="32"/>
      <c r="C1478" s="32"/>
      <c r="D1478" s="32"/>
      <c r="E1478" s="32"/>
      <c r="F1478" s="30"/>
      <c r="G1478" s="32"/>
      <c r="H1478" s="34" t="n">
        <f aca="false">IF($G1478="",0,IFERROR(INDEX(Einstellungen!$G$5:$G$11,MATCH($G1478,Einstellungen!$E$5:$E$11,0)),0))</f>
        <v>0</v>
      </c>
      <c r="I1478" s="35" t="str">
        <f aca="false">IF($G1478="","-",IFERROR(INDEX(Einstellungen!$H$5:$H$11,MATCH($G1478,Einstellungen!$E$5:$E$11,0)),"-"))</f>
        <v>-</v>
      </c>
      <c r="J1478" s="35" t="str">
        <f aca="false">IF(AND(Einstellungen!$B$8="Ja",Einstellungen!$B$9="Effektiv"),$I1478,"-")</f>
        <v>-</v>
      </c>
      <c r="K1478" s="31" t="n">
        <f aca="false">IF(OR($F1478="",$J1478="-"),0,ROUND($F1478-$F1478/(1+$H1478),2))</f>
        <v>0</v>
      </c>
      <c r="L1478" s="31" t="n">
        <f aca="false">IF($F1478="",0,$F1478-$K1478)</f>
        <v>0</v>
      </c>
      <c r="M1478" s="31" t="n">
        <f aca="false">IF($F1478="",0,IF($J1478="V",$L1478,$F1478))</f>
        <v>0</v>
      </c>
      <c r="N1478" s="31" t="n">
        <f aca="false">IF($F1478="",0,IF($J1478="U",$L1478,$F1478))</f>
        <v>0</v>
      </c>
      <c r="O1478" s="35" t="str">
        <f aca="false">IF($A1478="","",MONTH($A1478))</f>
        <v/>
      </c>
      <c r="P1478" s="35" t="str">
        <f aca="false">IF($A1478="","",ROUNDUP(MONTH($A1478)/3,0))</f>
        <v/>
      </c>
      <c r="Q1478" s="35" t="str">
        <f aca="false">IF($A1478="","",IF(MONTH($A1478)&lt;=6,1,2))</f>
        <v/>
      </c>
      <c r="R1478" s="35" t="str">
        <f aca="false">IF($E1478="","",IFERROR(INDEX(Kontenplan!$F$5:$F$90,MATCH($E1478,Kontenplan!$A$5:$A$90,0)),""))</f>
        <v/>
      </c>
      <c r="S1478" s="35" t="str">
        <f aca="false">IF($D1478="","",IFERROR(INDEX(Kontenplan!$F$5:$F$90,MATCH($D1478,Kontenplan!$A$5:$A$90,0)),""))</f>
        <v/>
      </c>
      <c r="T1478" s="35" t="str">
        <f aca="false">IF($D1478="","",IFERROR(INDEX(Kontenplan!$C$5:$C$90,MATCH($D1478,Kontenplan!$A$5:$A$90,0)),"?"))</f>
        <v/>
      </c>
      <c r="U1478" s="35" t="str">
        <f aca="false">IF($E1478="","",IFERROR(INDEX(Kontenplan!$C$5:$C$90,MATCH($E1478,Kontenplan!$A$5:$A$90,0)),"?"))</f>
        <v/>
      </c>
      <c r="V1478" s="35" t="str">
        <f aca="false">IF($F1478="","",IF(OR($D1478="",$E1478="",$T1478="?",$U1478="?"),"Konto prüfen!",IF($A1478="","Datum fehlt",IF(YEAR($A1478)&lt;&gt;Einstellungen!$B$7,"anderes Jahr!",IF($G1478="","MWST-Code fehlt","OK")))))</f>
        <v/>
      </c>
      <c r="W1478" s="35" t="str">
        <f aca="false">IF($F1478="","",IF(OR($D1478=Kontoauszug!$C$4,$E1478=Kontoauszug!$C$4),MAX(W$4:W1477)+1,""))</f>
        <v/>
      </c>
    </row>
    <row r="1479" customFormat="false" ht="15" hidden="false" customHeight="false" outlineLevel="0" collapsed="false">
      <c r="A1479" s="33"/>
      <c r="B1479" s="32"/>
      <c r="C1479" s="32"/>
      <c r="D1479" s="32"/>
      <c r="E1479" s="32"/>
      <c r="F1479" s="30"/>
      <c r="G1479" s="32"/>
      <c r="H1479" s="34" t="n">
        <f aca="false">IF($G1479="",0,IFERROR(INDEX(Einstellungen!$G$5:$G$11,MATCH($G1479,Einstellungen!$E$5:$E$11,0)),0))</f>
        <v>0</v>
      </c>
      <c r="I1479" s="35" t="str">
        <f aca="false">IF($G1479="","-",IFERROR(INDEX(Einstellungen!$H$5:$H$11,MATCH($G1479,Einstellungen!$E$5:$E$11,0)),"-"))</f>
        <v>-</v>
      </c>
      <c r="J1479" s="35" t="str">
        <f aca="false">IF(AND(Einstellungen!$B$8="Ja",Einstellungen!$B$9="Effektiv"),$I1479,"-")</f>
        <v>-</v>
      </c>
      <c r="K1479" s="31" t="n">
        <f aca="false">IF(OR($F1479="",$J1479="-"),0,ROUND($F1479-$F1479/(1+$H1479),2))</f>
        <v>0</v>
      </c>
      <c r="L1479" s="31" t="n">
        <f aca="false">IF($F1479="",0,$F1479-$K1479)</f>
        <v>0</v>
      </c>
      <c r="M1479" s="31" t="n">
        <f aca="false">IF($F1479="",0,IF($J1479="V",$L1479,$F1479))</f>
        <v>0</v>
      </c>
      <c r="N1479" s="31" t="n">
        <f aca="false">IF($F1479="",0,IF($J1479="U",$L1479,$F1479))</f>
        <v>0</v>
      </c>
      <c r="O1479" s="35" t="str">
        <f aca="false">IF($A1479="","",MONTH($A1479))</f>
        <v/>
      </c>
      <c r="P1479" s="35" t="str">
        <f aca="false">IF($A1479="","",ROUNDUP(MONTH($A1479)/3,0))</f>
        <v/>
      </c>
      <c r="Q1479" s="35" t="str">
        <f aca="false">IF($A1479="","",IF(MONTH($A1479)&lt;=6,1,2))</f>
        <v/>
      </c>
      <c r="R1479" s="35" t="str">
        <f aca="false">IF($E1479="","",IFERROR(INDEX(Kontenplan!$F$5:$F$90,MATCH($E1479,Kontenplan!$A$5:$A$90,0)),""))</f>
        <v/>
      </c>
      <c r="S1479" s="35" t="str">
        <f aca="false">IF($D1479="","",IFERROR(INDEX(Kontenplan!$F$5:$F$90,MATCH($D1479,Kontenplan!$A$5:$A$90,0)),""))</f>
        <v/>
      </c>
      <c r="T1479" s="35" t="str">
        <f aca="false">IF($D1479="","",IFERROR(INDEX(Kontenplan!$C$5:$C$90,MATCH($D1479,Kontenplan!$A$5:$A$90,0)),"?"))</f>
        <v/>
      </c>
      <c r="U1479" s="35" t="str">
        <f aca="false">IF($E1479="","",IFERROR(INDEX(Kontenplan!$C$5:$C$90,MATCH($E1479,Kontenplan!$A$5:$A$90,0)),"?"))</f>
        <v/>
      </c>
      <c r="V1479" s="35" t="str">
        <f aca="false">IF($F1479="","",IF(OR($D1479="",$E1479="",$T1479="?",$U1479="?"),"Konto prüfen!",IF($A1479="","Datum fehlt",IF(YEAR($A1479)&lt;&gt;Einstellungen!$B$7,"anderes Jahr!",IF($G1479="","MWST-Code fehlt","OK")))))</f>
        <v/>
      </c>
      <c r="W1479" s="35" t="str">
        <f aca="false">IF($F1479="","",IF(OR($D1479=Kontoauszug!$C$4,$E1479=Kontoauszug!$C$4),MAX(W$4:W1478)+1,""))</f>
        <v/>
      </c>
    </row>
    <row r="1480" customFormat="false" ht="15" hidden="false" customHeight="false" outlineLevel="0" collapsed="false">
      <c r="A1480" s="33"/>
      <c r="B1480" s="32"/>
      <c r="C1480" s="32"/>
      <c r="D1480" s="32"/>
      <c r="E1480" s="32"/>
      <c r="F1480" s="30"/>
      <c r="G1480" s="32"/>
      <c r="H1480" s="34" t="n">
        <f aca="false">IF($G1480="",0,IFERROR(INDEX(Einstellungen!$G$5:$G$11,MATCH($G1480,Einstellungen!$E$5:$E$11,0)),0))</f>
        <v>0</v>
      </c>
      <c r="I1480" s="35" t="str">
        <f aca="false">IF($G1480="","-",IFERROR(INDEX(Einstellungen!$H$5:$H$11,MATCH($G1480,Einstellungen!$E$5:$E$11,0)),"-"))</f>
        <v>-</v>
      </c>
      <c r="J1480" s="35" t="str">
        <f aca="false">IF(AND(Einstellungen!$B$8="Ja",Einstellungen!$B$9="Effektiv"),$I1480,"-")</f>
        <v>-</v>
      </c>
      <c r="K1480" s="31" t="n">
        <f aca="false">IF(OR($F1480="",$J1480="-"),0,ROUND($F1480-$F1480/(1+$H1480),2))</f>
        <v>0</v>
      </c>
      <c r="L1480" s="31" t="n">
        <f aca="false">IF($F1480="",0,$F1480-$K1480)</f>
        <v>0</v>
      </c>
      <c r="M1480" s="31" t="n">
        <f aca="false">IF($F1480="",0,IF($J1480="V",$L1480,$F1480))</f>
        <v>0</v>
      </c>
      <c r="N1480" s="31" t="n">
        <f aca="false">IF($F1480="",0,IF($J1480="U",$L1480,$F1480))</f>
        <v>0</v>
      </c>
      <c r="O1480" s="35" t="str">
        <f aca="false">IF($A1480="","",MONTH($A1480))</f>
        <v/>
      </c>
      <c r="P1480" s="35" t="str">
        <f aca="false">IF($A1480="","",ROUNDUP(MONTH($A1480)/3,0))</f>
        <v/>
      </c>
      <c r="Q1480" s="35" t="str">
        <f aca="false">IF($A1480="","",IF(MONTH($A1480)&lt;=6,1,2))</f>
        <v/>
      </c>
      <c r="R1480" s="35" t="str">
        <f aca="false">IF($E1480="","",IFERROR(INDEX(Kontenplan!$F$5:$F$90,MATCH($E1480,Kontenplan!$A$5:$A$90,0)),""))</f>
        <v/>
      </c>
      <c r="S1480" s="35" t="str">
        <f aca="false">IF($D1480="","",IFERROR(INDEX(Kontenplan!$F$5:$F$90,MATCH($D1480,Kontenplan!$A$5:$A$90,0)),""))</f>
        <v/>
      </c>
      <c r="T1480" s="35" t="str">
        <f aca="false">IF($D1480="","",IFERROR(INDEX(Kontenplan!$C$5:$C$90,MATCH($D1480,Kontenplan!$A$5:$A$90,0)),"?"))</f>
        <v/>
      </c>
      <c r="U1480" s="35" t="str">
        <f aca="false">IF($E1480="","",IFERROR(INDEX(Kontenplan!$C$5:$C$90,MATCH($E1480,Kontenplan!$A$5:$A$90,0)),"?"))</f>
        <v/>
      </c>
      <c r="V1480" s="35" t="str">
        <f aca="false">IF($F1480="","",IF(OR($D1480="",$E1480="",$T1480="?",$U1480="?"),"Konto prüfen!",IF($A1480="","Datum fehlt",IF(YEAR($A1480)&lt;&gt;Einstellungen!$B$7,"anderes Jahr!",IF($G1480="","MWST-Code fehlt","OK")))))</f>
        <v/>
      </c>
      <c r="W1480" s="35" t="str">
        <f aca="false">IF($F1480="","",IF(OR($D1480=Kontoauszug!$C$4,$E1480=Kontoauszug!$C$4),MAX(W$4:W1479)+1,""))</f>
        <v/>
      </c>
    </row>
    <row r="1481" customFormat="false" ht="15" hidden="false" customHeight="false" outlineLevel="0" collapsed="false">
      <c r="A1481" s="33"/>
      <c r="B1481" s="32"/>
      <c r="C1481" s="32"/>
      <c r="D1481" s="32"/>
      <c r="E1481" s="32"/>
      <c r="F1481" s="30"/>
      <c r="G1481" s="32"/>
      <c r="H1481" s="34" t="n">
        <f aca="false">IF($G1481="",0,IFERROR(INDEX(Einstellungen!$G$5:$G$11,MATCH($G1481,Einstellungen!$E$5:$E$11,0)),0))</f>
        <v>0</v>
      </c>
      <c r="I1481" s="35" t="str">
        <f aca="false">IF($G1481="","-",IFERROR(INDEX(Einstellungen!$H$5:$H$11,MATCH($G1481,Einstellungen!$E$5:$E$11,0)),"-"))</f>
        <v>-</v>
      </c>
      <c r="J1481" s="35" t="str">
        <f aca="false">IF(AND(Einstellungen!$B$8="Ja",Einstellungen!$B$9="Effektiv"),$I1481,"-")</f>
        <v>-</v>
      </c>
      <c r="K1481" s="31" t="n">
        <f aca="false">IF(OR($F1481="",$J1481="-"),0,ROUND($F1481-$F1481/(1+$H1481),2))</f>
        <v>0</v>
      </c>
      <c r="L1481" s="31" t="n">
        <f aca="false">IF($F1481="",0,$F1481-$K1481)</f>
        <v>0</v>
      </c>
      <c r="M1481" s="31" t="n">
        <f aca="false">IF($F1481="",0,IF($J1481="V",$L1481,$F1481))</f>
        <v>0</v>
      </c>
      <c r="N1481" s="31" t="n">
        <f aca="false">IF($F1481="",0,IF($J1481="U",$L1481,$F1481))</f>
        <v>0</v>
      </c>
      <c r="O1481" s="35" t="str">
        <f aca="false">IF($A1481="","",MONTH($A1481))</f>
        <v/>
      </c>
      <c r="P1481" s="35" t="str">
        <f aca="false">IF($A1481="","",ROUNDUP(MONTH($A1481)/3,0))</f>
        <v/>
      </c>
      <c r="Q1481" s="35" t="str">
        <f aca="false">IF($A1481="","",IF(MONTH($A1481)&lt;=6,1,2))</f>
        <v/>
      </c>
      <c r="R1481" s="35" t="str">
        <f aca="false">IF($E1481="","",IFERROR(INDEX(Kontenplan!$F$5:$F$90,MATCH($E1481,Kontenplan!$A$5:$A$90,0)),""))</f>
        <v/>
      </c>
      <c r="S1481" s="35" t="str">
        <f aca="false">IF($D1481="","",IFERROR(INDEX(Kontenplan!$F$5:$F$90,MATCH($D1481,Kontenplan!$A$5:$A$90,0)),""))</f>
        <v/>
      </c>
      <c r="T1481" s="35" t="str">
        <f aca="false">IF($D1481="","",IFERROR(INDEX(Kontenplan!$C$5:$C$90,MATCH($D1481,Kontenplan!$A$5:$A$90,0)),"?"))</f>
        <v/>
      </c>
      <c r="U1481" s="35" t="str">
        <f aca="false">IF($E1481="","",IFERROR(INDEX(Kontenplan!$C$5:$C$90,MATCH($E1481,Kontenplan!$A$5:$A$90,0)),"?"))</f>
        <v/>
      </c>
      <c r="V1481" s="35" t="str">
        <f aca="false">IF($F1481="","",IF(OR($D1481="",$E1481="",$T1481="?",$U1481="?"),"Konto prüfen!",IF($A1481="","Datum fehlt",IF(YEAR($A1481)&lt;&gt;Einstellungen!$B$7,"anderes Jahr!",IF($G1481="","MWST-Code fehlt","OK")))))</f>
        <v/>
      </c>
      <c r="W1481" s="35" t="str">
        <f aca="false">IF($F1481="","",IF(OR($D1481=Kontoauszug!$C$4,$E1481=Kontoauszug!$C$4),MAX(W$4:W1480)+1,""))</f>
        <v/>
      </c>
    </row>
    <row r="1482" customFormat="false" ht="15" hidden="false" customHeight="false" outlineLevel="0" collapsed="false">
      <c r="A1482" s="33"/>
      <c r="B1482" s="32"/>
      <c r="C1482" s="32"/>
      <c r="D1482" s="32"/>
      <c r="E1482" s="32"/>
      <c r="F1482" s="30"/>
      <c r="G1482" s="32"/>
      <c r="H1482" s="34" t="n">
        <f aca="false">IF($G1482="",0,IFERROR(INDEX(Einstellungen!$G$5:$G$11,MATCH($G1482,Einstellungen!$E$5:$E$11,0)),0))</f>
        <v>0</v>
      </c>
      <c r="I1482" s="35" t="str">
        <f aca="false">IF($G1482="","-",IFERROR(INDEX(Einstellungen!$H$5:$H$11,MATCH($G1482,Einstellungen!$E$5:$E$11,0)),"-"))</f>
        <v>-</v>
      </c>
      <c r="J1482" s="35" t="str">
        <f aca="false">IF(AND(Einstellungen!$B$8="Ja",Einstellungen!$B$9="Effektiv"),$I1482,"-")</f>
        <v>-</v>
      </c>
      <c r="K1482" s="31" t="n">
        <f aca="false">IF(OR($F1482="",$J1482="-"),0,ROUND($F1482-$F1482/(1+$H1482),2))</f>
        <v>0</v>
      </c>
      <c r="L1482" s="31" t="n">
        <f aca="false">IF($F1482="",0,$F1482-$K1482)</f>
        <v>0</v>
      </c>
      <c r="M1482" s="31" t="n">
        <f aca="false">IF($F1482="",0,IF($J1482="V",$L1482,$F1482))</f>
        <v>0</v>
      </c>
      <c r="N1482" s="31" t="n">
        <f aca="false">IF($F1482="",0,IF($J1482="U",$L1482,$F1482))</f>
        <v>0</v>
      </c>
      <c r="O1482" s="35" t="str">
        <f aca="false">IF($A1482="","",MONTH($A1482))</f>
        <v/>
      </c>
      <c r="P1482" s="35" t="str">
        <f aca="false">IF($A1482="","",ROUNDUP(MONTH($A1482)/3,0))</f>
        <v/>
      </c>
      <c r="Q1482" s="35" t="str">
        <f aca="false">IF($A1482="","",IF(MONTH($A1482)&lt;=6,1,2))</f>
        <v/>
      </c>
      <c r="R1482" s="35" t="str">
        <f aca="false">IF($E1482="","",IFERROR(INDEX(Kontenplan!$F$5:$F$90,MATCH($E1482,Kontenplan!$A$5:$A$90,0)),""))</f>
        <v/>
      </c>
      <c r="S1482" s="35" t="str">
        <f aca="false">IF($D1482="","",IFERROR(INDEX(Kontenplan!$F$5:$F$90,MATCH($D1482,Kontenplan!$A$5:$A$90,0)),""))</f>
        <v/>
      </c>
      <c r="T1482" s="35" t="str">
        <f aca="false">IF($D1482="","",IFERROR(INDEX(Kontenplan!$C$5:$C$90,MATCH($D1482,Kontenplan!$A$5:$A$90,0)),"?"))</f>
        <v/>
      </c>
      <c r="U1482" s="35" t="str">
        <f aca="false">IF($E1482="","",IFERROR(INDEX(Kontenplan!$C$5:$C$90,MATCH($E1482,Kontenplan!$A$5:$A$90,0)),"?"))</f>
        <v/>
      </c>
      <c r="V1482" s="35" t="str">
        <f aca="false">IF($F1482="","",IF(OR($D1482="",$E1482="",$T1482="?",$U1482="?"),"Konto prüfen!",IF($A1482="","Datum fehlt",IF(YEAR($A1482)&lt;&gt;Einstellungen!$B$7,"anderes Jahr!",IF($G1482="","MWST-Code fehlt","OK")))))</f>
        <v/>
      </c>
      <c r="W1482" s="35" t="str">
        <f aca="false">IF($F1482="","",IF(OR($D1482=Kontoauszug!$C$4,$E1482=Kontoauszug!$C$4),MAX(W$4:W1481)+1,""))</f>
        <v/>
      </c>
    </row>
    <row r="1483" customFormat="false" ht="15" hidden="false" customHeight="false" outlineLevel="0" collapsed="false">
      <c r="A1483" s="33"/>
      <c r="B1483" s="32"/>
      <c r="C1483" s="32"/>
      <c r="D1483" s="32"/>
      <c r="E1483" s="32"/>
      <c r="F1483" s="30"/>
      <c r="G1483" s="32"/>
      <c r="H1483" s="34" t="n">
        <f aca="false">IF($G1483="",0,IFERROR(INDEX(Einstellungen!$G$5:$G$11,MATCH($G1483,Einstellungen!$E$5:$E$11,0)),0))</f>
        <v>0</v>
      </c>
      <c r="I1483" s="35" t="str">
        <f aca="false">IF($G1483="","-",IFERROR(INDEX(Einstellungen!$H$5:$H$11,MATCH($G1483,Einstellungen!$E$5:$E$11,0)),"-"))</f>
        <v>-</v>
      </c>
      <c r="J1483" s="35" t="str">
        <f aca="false">IF(AND(Einstellungen!$B$8="Ja",Einstellungen!$B$9="Effektiv"),$I1483,"-")</f>
        <v>-</v>
      </c>
      <c r="K1483" s="31" t="n">
        <f aca="false">IF(OR($F1483="",$J1483="-"),0,ROUND($F1483-$F1483/(1+$H1483),2))</f>
        <v>0</v>
      </c>
      <c r="L1483" s="31" t="n">
        <f aca="false">IF($F1483="",0,$F1483-$K1483)</f>
        <v>0</v>
      </c>
      <c r="M1483" s="31" t="n">
        <f aca="false">IF($F1483="",0,IF($J1483="V",$L1483,$F1483))</f>
        <v>0</v>
      </c>
      <c r="N1483" s="31" t="n">
        <f aca="false">IF($F1483="",0,IF($J1483="U",$L1483,$F1483))</f>
        <v>0</v>
      </c>
      <c r="O1483" s="35" t="str">
        <f aca="false">IF($A1483="","",MONTH($A1483))</f>
        <v/>
      </c>
      <c r="P1483" s="35" t="str">
        <f aca="false">IF($A1483="","",ROUNDUP(MONTH($A1483)/3,0))</f>
        <v/>
      </c>
      <c r="Q1483" s="35" t="str">
        <f aca="false">IF($A1483="","",IF(MONTH($A1483)&lt;=6,1,2))</f>
        <v/>
      </c>
      <c r="R1483" s="35" t="str">
        <f aca="false">IF($E1483="","",IFERROR(INDEX(Kontenplan!$F$5:$F$90,MATCH($E1483,Kontenplan!$A$5:$A$90,0)),""))</f>
        <v/>
      </c>
      <c r="S1483" s="35" t="str">
        <f aca="false">IF($D1483="","",IFERROR(INDEX(Kontenplan!$F$5:$F$90,MATCH($D1483,Kontenplan!$A$5:$A$90,0)),""))</f>
        <v/>
      </c>
      <c r="T1483" s="35" t="str">
        <f aca="false">IF($D1483="","",IFERROR(INDEX(Kontenplan!$C$5:$C$90,MATCH($D1483,Kontenplan!$A$5:$A$90,0)),"?"))</f>
        <v/>
      </c>
      <c r="U1483" s="35" t="str">
        <f aca="false">IF($E1483="","",IFERROR(INDEX(Kontenplan!$C$5:$C$90,MATCH($E1483,Kontenplan!$A$5:$A$90,0)),"?"))</f>
        <v/>
      </c>
      <c r="V1483" s="35" t="str">
        <f aca="false">IF($F1483="","",IF(OR($D1483="",$E1483="",$T1483="?",$U1483="?"),"Konto prüfen!",IF($A1483="","Datum fehlt",IF(YEAR($A1483)&lt;&gt;Einstellungen!$B$7,"anderes Jahr!",IF($G1483="","MWST-Code fehlt","OK")))))</f>
        <v/>
      </c>
      <c r="W1483" s="35" t="str">
        <f aca="false">IF($F1483="","",IF(OR($D1483=Kontoauszug!$C$4,$E1483=Kontoauszug!$C$4),MAX(W$4:W1482)+1,""))</f>
        <v/>
      </c>
    </row>
    <row r="1484" customFormat="false" ht="15" hidden="false" customHeight="false" outlineLevel="0" collapsed="false">
      <c r="A1484" s="33"/>
      <c r="B1484" s="32"/>
      <c r="C1484" s="32"/>
      <c r="D1484" s="32"/>
      <c r="E1484" s="32"/>
      <c r="F1484" s="30"/>
      <c r="G1484" s="32"/>
      <c r="H1484" s="34" t="n">
        <f aca="false">IF($G1484="",0,IFERROR(INDEX(Einstellungen!$G$5:$G$11,MATCH($G1484,Einstellungen!$E$5:$E$11,0)),0))</f>
        <v>0</v>
      </c>
      <c r="I1484" s="35" t="str">
        <f aca="false">IF($G1484="","-",IFERROR(INDEX(Einstellungen!$H$5:$H$11,MATCH($G1484,Einstellungen!$E$5:$E$11,0)),"-"))</f>
        <v>-</v>
      </c>
      <c r="J1484" s="35" t="str">
        <f aca="false">IF(AND(Einstellungen!$B$8="Ja",Einstellungen!$B$9="Effektiv"),$I1484,"-")</f>
        <v>-</v>
      </c>
      <c r="K1484" s="31" t="n">
        <f aca="false">IF(OR($F1484="",$J1484="-"),0,ROUND($F1484-$F1484/(1+$H1484),2))</f>
        <v>0</v>
      </c>
      <c r="L1484" s="31" t="n">
        <f aca="false">IF($F1484="",0,$F1484-$K1484)</f>
        <v>0</v>
      </c>
      <c r="M1484" s="31" t="n">
        <f aca="false">IF($F1484="",0,IF($J1484="V",$L1484,$F1484))</f>
        <v>0</v>
      </c>
      <c r="N1484" s="31" t="n">
        <f aca="false">IF($F1484="",0,IF($J1484="U",$L1484,$F1484))</f>
        <v>0</v>
      </c>
      <c r="O1484" s="35" t="str">
        <f aca="false">IF($A1484="","",MONTH($A1484))</f>
        <v/>
      </c>
      <c r="P1484" s="35" t="str">
        <f aca="false">IF($A1484="","",ROUNDUP(MONTH($A1484)/3,0))</f>
        <v/>
      </c>
      <c r="Q1484" s="35" t="str">
        <f aca="false">IF($A1484="","",IF(MONTH($A1484)&lt;=6,1,2))</f>
        <v/>
      </c>
      <c r="R1484" s="35" t="str">
        <f aca="false">IF($E1484="","",IFERROR(INDEX(Kontenplan!$F$5:$F$90,MATCH($E1484,Kontenplan!$A$5:$A$90,0)),""))</f>
        <v/>
      </c>
      <c r="S1484" s="35" t="str">
        <f aca="false">IF($D1484="","",IFERROR(INDEX(Kontenplan!$F$5:$F$90,MATCH($D1484,Kontenplan!$A$5:$A$90,0)),""))</f>
        <v/>
      </c>
      <c r="T1484" s="35" t="str">
        <f aca="false">IF($D1484="","",IFERROR(INDEX(Kontenplan!$C$5:$C$90,MATCH($D1484,Kontenplan!$A$5:$A$90,0)),"?"))</f>
        <v/>
      </c>
      <c r="U1484" s="35" t="str">
        <f aca="false">IF($E1484="","",IFERROR(INDEX(Kontenplan!$C$5:$C$90,MATCH($E1484,Kontenplan!$A$5:$A$90,0)),"?"))</f>
        <v/>
      </c>
      <c r="V1484" s="35" t="str">
        <f aca="false">IF($F1484="","",IF(OR($D1484="",$E1484="",$T1484="?",$U1484="?"),"Konto prüfen!",IF($A1484="","Datum fehlt",IF(YEAR($A1484)&lt;&gt;Einstellungen!$B$7,"anderes Jahr!",IF($G1484="","MWST-Code fehlt","OK")))))</f>
        <v/>
      </c>
      <c r="W1484" s="35" t="str">
        <f aca="false">IF($F1484="","",IF(OR($D1484=Kontoauszug!$C$4,$E1484=Kontoauszug!$C$4),MAX(W$4:W1483)+1,""))</f>
        <v/>
      </c>
    </row>
    <row r="1485" customFormat="false" ht="15" hidden="false" customHeight="false" outlineLevel="0" collapsed="false">
      <c r="A1485" s="33"/>
      <c r="B1485" s="32"/>
      <c r="C1485" s="32"/>
      <c r="D1485" s="32"/>
      <c r="E1485" s="32"/>
      <c r="F1485" s="30"/>
      <c r="G1485" s="32"/>
      <c r="H1485" s="34" t="n">
        <f aca="false">IF($G1485="",0,IFERROR(INDEX(Einstellungen!$G$5:$G$11,MATCH($G1485,Einstellungen!$E$5:$E$11,0)),0))</f>
        <v>0</v>
      </c>
      <c r="I1485" s="35" t="str">
        <f aca="false">IF($G1485="","-",IFERROR(INDEX(Einstellungen!$H$5:$H$11,MATCH($G1485,Einstellungen!$E$5:$E$11,0)),"-"))</f>
        <v>-</v>
      </c>
      <c r="J1485" s="35" t="str">
        <f aca="false">IF(AND(Einstellungen!$B$8="Ja",Einstellungen!$B$9="Effektiv"),$I1485,"-")</f>
        <v>-</v>
      </c>
      <c r="K1485" s="31" t="n">
        <f aca="false">IF(OR($F1485="",$J1485="-"),0,ROUND($F1485-$F1485/(1+$H1485),2))</f>
        <v>0</v>
      </c>
      <c r="L1485" s="31" t="n">
        <f aca="false">IF($F1485="",0,$F1485-$K1485)</f>
        <v>0</v>
      </c>
      <c r="M1485" s="31" t="n">
        <f aca="false">IF($F1485="",0,IF($J1485="V",$L1485,$F1485))</f>
        <v>0</v>
      </c>
      <c r="N1485" s="31" t="n">
        <f aca="false">IF($F1485="",0,IF($J1485="U",$L1485,$F1485))</f>
        <v>0</v>
      </c>
      <c r="O1485" s="35" t="str">
        <f aca="false">IF($A1485="","",MONTH($A1485))</f>
        <v/>
      </c>
      <c r="P1485" s="35" t="str">
        <f aca="false">IF($A1485="","",ROUNDUP(MONTH($A1485)/3,0))</f>
        <v/>
      </c>
      <c r="Q1485" s="35" t="str">
        <f aca="false">IF($A1485="","",IF(MONTH($A1485)&lt;=6,1,2))</f>
        <v/>
      </c>
      <c r="R1485" s="35" t="str">
        <f aca="false">IF($E1485="","",IFERROR(INDEX(Kontenplan!$F$5:$F$90,MATCH($E1485,Kontenplan!$A$5:$A$90,0)),""))</f>
        <v/>
      </c>
      <c r="S1485" s="35" t="str">
        <f aca="false">IF($D1485="","",IFERROR(INDEX(Kontenplan!$F$5:$F$90,MATCH($D1485,Kontenplan!$A$5:$A$90,0)),""))</f>
        <v/>
      </c>
      <c r="T1485" s="35" t="str">
        <f aca="false">IF($D1485="","",IFERROR(INDEX(Kontenplan!$C$5:$C$90,MATCH($D1485,Kontenplan!$A$5:$A$90,0)),"?"))</f>
        <v/>
      </c>
      <c r="U1485" s="35" t="str">
        <f aca="false">IF($E1485="","",IFERROR(INDEX(Kontenplan!$C$5:$C$90,MATCH($E1485,Kontenplan!$A$5:$A$90,0)),"?"))</f>
        <v/>
      </c>
      <c r="V1485" s="35" t="str">
        <f aca="false">IF($F1485="","",IF(OR($D1485="",$E1485="",$T1485="?",$U1485="?"),"Konto prüfen!",IF($A1485="","Datum fehlt",IF(YEAR($A1485)&lt;&gt;Einstellungen!$B$7,"anderes Jahr!",IF($G1485="","MWST-Code fehlt","OK")))))</f>
        <v/>
      </c>
      <c r="W1485" s="35" t="str">
        <f aca="false">IF($F1485="","",IF(OR($D1485=Kontoauszug!$C$4,$E1485=Kontoauszug!$C$4),MAX(W$4:W1484)+1,""))</f>
        <v/>
      </c>
    </row>
    <row r="1486" customFormat="false" ht="15" hidden="false" customHeight="false" outlineLevel="0" collapsed="false">
      <c r="A1486" s="33"/>
      <c r="B1486" s="32"/>
      <c r="C1486" s="32"/>
      <c r="D1486" s="32"/>
      <c r="E1486" s="32"/>
      <c r="F1486" s="30"/>
      <c r="G1486" s="32"/>
      <c r="H1486" s="34" t="n">
        <f aca="false">IF($G1486="",0,IFERROR(INDEX(Einstellungen!$G$5:$G$11,MATCH($G1486,Einstellungen!$E$5:$E$11,0)),0))</f>
        <v>0</v>
      </c>
      <c r="I1486" s="35" t="str">
        <f aca="false">IF($G1486="","-",IFERROR(INDEX(Einstellungen!$H$5:$H$11,MATCH($G1486,Einstellungen!$E$5:$E$11,0)),"-"))</f>
        <v>-</v>
      </c>
      <c r="J1486" s="35" t="str">
        <f aca="false">IF(AND(Einstellungen!$B$8="Ja",Einstellungen!$B$9="Effektiv"),$I1486,"-")</f>
        <v>-</v>
      </c>
      <c r="K1486" s="31" t="n">
        <f aca="false">IF(OR($F1486="",$J1486="-"),0,ROUND($F1486-$F1486/(1+$H1486),2))</f>
        <v>0</v>
      </c>
      <c r="L1486" s="31" t="n">
        <f aca="false">IF($F1486="",0,$F1486-$K1486)</f>
        <v>0</v>
      </c>
      <c r="M1486" s="31" t="n">
        <f aca="false">IF($F1486="",0,IF($J1486="V",$L1486,$F1486))</f>
        <v>0</v>
      </c>
      <c r="N1486" s="31" t="n">
        <f aca="false">IF($F1486="",0,IF($J1486="U",$L1486,$F1486))</f>
        <v>0</v>
      </c>
      <c r="O1486" s="35" t="str">
        <f aca="false">IF($A1486="","",MONTH($A1486))</f>
        <v/>
      </c>
      <c r="P1486" s="35" t="str">
        <f aca="false">IF($A1486="","",ROUNDUP(MONTH($A1486)/3,0))</f>
        <v/>
      </c>
      <c r="Q1486" s="35" t="str">
        <f aca="false">IF($A1486="","",IF(MONTH($A1486)&lt;=6,1,2))</f>
        <v/>
      </c>
      <c r="R1486" s="35" t="str">
        <f aca="false">IF($E1486="","",IFERROR(INDEX(Kontenplan!$F$5:$F$90,MATCH($E1486,Kontenplan!$A$5:$A$90,0)),""))</f>
        <v/>
      </c>
      <c r="S1486" s="35" t="str">
        <f aca="false">IF($D1486="","",IFERROR(INDEX(Kontenplan!$F$5:$F$90,MATCH($D1486,Kontenplan!$A$5:$A$90,0)),""))</f>
        <v/>
      </c>
      <c r="T1486" s="35" t="str">
        <f aca="false">IF($D1486="","",IFERROR(INDEX(Kontenplan!$C$5:$C$90,MATCH($D1486,Kontenplan!$A$5:$A$90,0)),"?"))</f>
        <v/>
      </c>
      <c r="U1486" s="35" t="str">
        <f aca="false">IF($E1486="","",IFERROR(INDEX(Kontenplan!$C$5:$C$90,MATCH($E1486,Kontenplan!$A$5:$A$90,0)),"?"))</f>
        <v/>
      </c>
      <c r="V1486" s="35" t="str">
        <f aca="false">IF($F1486="","",IF(OR($D1486="",$E1486="",$T1486="?",$U1486="?"),"Konto prüfen!",IF($A1486="","Datum fehlt",IF(YEAR($A1486)&lt;&gt;Einstellungen!$B$7,"anderes Jahr!",IF($G1486="","MWST-Code fehlt","OK")))))</f>
        <v/>
      </c>
      <c r="W1486" s="35" t="str">
        <f aca="false">IF($F1486="","",IF(OR($D1486=Kontoauszug!$C$4,$E1486=Kontoauszug!$C$4),MAX(W$4:W1485)+1,""))</f>
        <v/>
      </c>
    </row>
    <row r="1487" customFormat="false" ht="15" hidden="false" customHeight="false" outlineLevel="0" collapsed="false">
      <c r="A1487" s="33"/>
      <c r="B1487" s="32"/>
      <c r="C1487" s="32"/>
      <c r="D1487" s="32"/>
      <c r="E1487" s="32"/>
      <c r="F1487" s="30"/>
      <c r="G1487" s="32"/>
      <c r="H1487" s="34" t="n">
        <f aca="false">IF($G1487="",0,IFERROR(INDEX(Einstellungen!$G$5:$G$11,MATCH($G1487,Einstellungen!$E$5:$E$11,0)),0))</f>
        <v>0</v>
      </c>
      <c r="I1487" s="35" t="str">
        <f aca="false">IF($G1487="","-",IFERROR(INDEX(Einstellungen!$H$5:$H$11,MATCH($G1487,Einstellungen!$E$5:$E$11,0)),"-"))</f>
        <v>-</v>
      </c>
      <c r="J1487" s="35" t="str">
        <f aca="false">IF(AND(Einstellungen!$B$8="Ja",Einstellungen!$B$9="Effektiv"),$I1487,"-")</f>
        <v>-</v>
      </c>
      <c r="K1487" s="31" t="n">
        <f aca="false">IF(OR($F1487="",$J1487="-"),0,ROUND($F1487-$F1487/(1+$H1487),2))</f>
        <v>0</v>
      </c>
      <c r="L1487" s="31" t="n">
        <f aca="false">IF($F1487="",0,$F1487-$K1487)</f>
        <v>0</v>
      </c>
      <c r="M1487" s="31" t="n">
        <f aca="false">IF($F1487="",0,IF($J1487="V",$L1487,$F1487))</f>
        <v>0</v>
      </c>
      <c r="N1487" s="31" t="n">
        <f aca="false">IF($F1487="",0,IF($J1487="U",$L1487,$F1487))</f>
        <v>0</v>
      </c>
      <c r="O1487" s="35" t="str">
        <f aca="false">IF($A1487="","",MONTH($A1487))</f>
        <v/>
      </c>
      <c r="P1487" s="35" t="str">
        <f aca="false">IF($A1487="","",ROUNDUP(MONTH($A1487)/3,0))</f>
        <v/>
      </c>
      <c r="Q1487" s="35" t="str">
        <f aca="false">IF($A1487="","",IF(MONTH($A1487)&lt;=6,1,2))</f>
        <v/>
      </c>
      <c r="R1487" s="35" t="str">
        <f aca="false">IF($E1487="","",IFERROR(INDEX(Kontenplan!$F$5:$F$90,MATCH($E1487,Kontenplan!$A$5:$A$90,0)),""))</f>
        <v/>
      </c>
      <c r="S1487" s="35" t="str">
        <f aca="false">IF($D1487="","",IFERROR(INDEX(Kontenplan!$F$5:$F$90,MATCH($D1487,Kontenplan!$A$5:$A$90,0)),""))</f>
        <v/>
      </c>
      <c r="T1487" s="35" t="str">
        <f aca="false">IF($D1487="","",IFERROR(INDEX(Kontenplan!$C$5:$C$90,MATCH($D1487,Kontenplan!$A$5:$A$90,0)),"?"))</f>
        <v/>
      </c>
      <c r="U1487" s="35" t="str">
        <f aca="false">IF($E1487="","",IFERROR(INDEX(Kontenplan!$C$5:$C$90,MATCH($E1487,Kontenplan!$A$5:$A$90,0)),"?"))</f>
        <v/>
      </c>
      <c r="V1487" s="35" t="str">
        <f aca="false">IF($F1487="","",IF(OR($D1487="",$E1487="",$T1487="?",$U1487="?"),"Konto prüfen!",IF($A1487="","Datum fehlt",IF(YEAR($A1487)&lt;&gt;Einstellungen!$B$7,"anderes Jahr!",IF($G1487="","MWST-Code fehlt","OK")))))</f>
        <v/>
      </c>
      <c r="W1487" s="35" t="str">
        <f aca="false">IF($F1487="","",IF(OR($D1487=Kontoauszug!$C$4,$E1487=Kontoauszug!$C$4),MAX(W$4:W1486)+1,""))</f>
        <v/>
      </c>
    </row>
    <row r="1488" customFormat="false" ht="15" hidden="false" customHeight="false" outlineLevel="0" collapsed="false">
      <c r="A1488" s="33"/>
      <c r="B1488" s="32"/>
      <c r="C1488" s="32"/>
      <c r="D1488" s="32"/>
      <c r="E1488" s="32"/>
      <c r="F1488" s="30"/>
      <c r="G1488" s="32"/>
      <c r="H1488" s="34" t="n">
        <f aca="false">IF($G1488="",0,IFERROR(INDEX(Einstellungen!$G$5:$G$11,MATCH($G1488,Einstellungen!$E$5:$E$11,0)),0))</f>
        <v>0</v>
      </c>
      <c r="I1488" s="35" t="str">
        <f aca="false">IF($G1488="","-",IFERROR(INDEX(Einstellungen!$H$5:$H$11,MATCH($G1488,Einstellungen!$E$5:$E$11,0)),"-"))</f>
        <v>-</v>
      </c>
      <c r="J1488" s="35" t="str">
        <f aca="false">IF(AND(Einstellungen!$B$8="Ja",Einstellungen!$B$9="Effektiv"),$I1488,"-")</f>
        <v>-</v>
      </c>
      <c r="K1488" s="31" t="n">
        <f aca="false">IF(OR($F1488="",$J1488="-"),0,ROUND($F1488-$F1488/(1+$H1488),2))</f>
        <v>0</v>
      </c>
      <c r="L1488" s="31" t="n">
        <f aca="false">IF($F1488="",0,$F1488-$K1488)</f>
        <v>0</v>
      </c>
      <c r="M1488" s="31" t="n">
        <f aca="false">IF($F1488="",0,IF($J1488="V",$L1488,$F1488))</f>
        <v>0</v>
      </c>
      <c r="N1488" s="31" t="n">
        <f aca="false">IF($F1488="",0,IF($J1488="U",$L1488,$F1488))</f>
        <v>0</v>
      </c>
      <c r="O1488" s="35" t="str">
        <f aca="false">IF($A1488="","",MONTH($A1488))</f>
        <v/>
      </c>
      <c r="P1488" s="35" t="str">
        <f aca="false">IF($A1488="","",ROUNDUP(MONTH($A1488)/3,0))</f>
        <v/>
      </c>
      <c r="Q1488" s="35" t="str">
        <f aca="false">IF($A1488="","",IF(MONTH($A1488)&lt;=6,1,2))</f>
        <v/>
      </c>
      <c r="R1488" s="35" t="str">
        <f aca="false">IF($E1488="","",IFERROR(INDEX(Kontenplan!$F$5:$F$90,MATCH($E1488,Kontenplan!$A$5:$A$90,0)),""))</f>
        <v/>
      </c>
      <c r="S1488" s="35" t="str">
        <f aca="false">IF($D1488="","",IFERROR(INDEX(Kontenplan!$F$5:$F$90,MATCH($D1488,Kontenplan!$A$5:$A$90,0)),""))</f>
        <v/>
      </c>
      <c r="T1488" s="35" t="str">
        <f aca="false">IF($D1488="","",IFERROR(INDEX(Kontenplan!$C$5:$C$90,MATCH($D1488,Kontenplan!$A$5:$A$90,0)),"?"))</f>
        <v/>
      </c>
      <c r="U1488" s="35" t="str">
        <f aca="false">IF($E1488="","",IFERROR(INDEX(Kontenplan!$C$5:$C$90,MATCH($E1488,Kontenplan!$A$5:$A$90,0)),"?"))</f>
        <v/>
      </c>
      <c r="V1488" s="35" t="str">
        <f aca="false">IF($F1488="","",IF(OR($D1488="",$E1488="",$T1488="?",$U1488="?"),"Konto prüfen!",IF($A1488="","Datum fehlt",IF(YEAR($A1488)&lt;&gt;Einstellungen!$B$7,"anderes Jahr!",IF($G1488="","MWST-Code fehlt","OK")))))</f>
        <v/>
      </c>
      <c r="W1488" s="35" t="str">
        <f aca="false">IF($F1488="","",IF(OR($D1488=Kontoauszug!$C$4,$E1488=Kontoauszug!$C$4),MAX(W$4:W1487)+1,""))</f>
        <v/>
      </c>
    </row>
    <row r="1489" customFormat="false" ht="15" hidden="false" customHeight="false" outlineLevel="0" collapsed="false">
      <c r="A1489" s="33"/>
      <c r="B1489" s="32"/>
      <c r="C1489" s="32"/>
      <c r="D1489" s="32"/>
      <c r="E1489" s="32"/>
      <c r="F1489" s="30"/>
      <c r="G1489" s="32"/>
      <c r="H1489" s="34" t="n">
        <f aca="false">IF($G1489="",0,IFERROR(INDEX(Einstellungen!$G$5:$G$11,MATCH($G1489,Einstellungen!$E$5:$E$11,0)),0))</f>
        <v>0</v>
      </c>
      <c r="I1489" s="35" t="str">
        <f aca="false">IF($G1489="","-",IFERROR(INDEX(Einstellungen!$H$5:$H$11,MATCH($G1489,Einstellungen!$E$5:$E$11,0)),"-"))</f>
        <v>-</v>
      </c>
      <c r="J1489" s="35" t="str">
        <f aca="false">IF(AND(Einstellungen!$B$8="Ja",Einstellungen!$B$9="Effektiv"),$I1489,"-")</f>
        <v>-</v>
      </c>
      <c r="K1489" s="31" t="n">
        <f aca="false">IF(OR($F1489="",$J1489="-"),0,ROUND($F1489-$F1489/(1+$H1489),2))</f>
        <v>0</v>
      </c>
      <c r="L1489" s="31" t="n">
        <f aca="false">IF($F1489="",0,$F1489-$K1489)</f>
        <v>0</v>
      </c>
      <c r="M1489" s="31" t="n">
        <f aca="false">IF($F1489="",0,IF($J1489="V",$L1489,$F1489))</f>
        <v>0</v>
      </c>
      <c r="N1489" s="31" t="n">
        <f aca="false">IF($F1489="",0,IF($J1489="U",$L1489,$F1489))</f>
        <v>0</v>
      </c>
      <c r="O1489" s="35" t="str">
        <f aca="false">IF($A1489="","",MONTH($A1489))</f>
        <v/>
      </c>
      <c r="P1489" s="35" t="str">
        <f aca="false">IF($A1489="","",ROUNDUP(MONTH($A1489)/3,0))</f>
        <v/>
      </c>
      <c r="Q1489" s="35" t="str">
        <f aca="false">IF($A1489="","",IF(MONTH($A1489)&lt;=6,1,2))</f>
        <v/>
      </c>
      <c r="R1489" s="35" t="str">
        <f aca="false">IF($E1489="","",IFERROR(INDEX(Kontenplan!$F$5:$F$90,MATCH($E1489,Kontenplan!$A$5:$A$90,0)),""))</f>
        <v/>
      </c>
      <c r="S1489" s="35" t="str">
        <f aca="false">IF($D1489="","",IFERROR(INDEX(Kontenplan!$F$5:$F$90,MATCH($D1489,Kontenplan!$A$5:$A$90,0)),""))</f>
        <v/>
      </c>
      <c r="T1489" s="35" t="str">
        <f aca="false">IF($D1489="","",IFERROR(INDEX(Kontenplan!$C$5:$C$90,MATCH($D1489,Kontenplan!$A$5:$A$90,0)),"?"))</f>
        <v/>
      </c>
      <c r="U1489" s="35" t="str">
        <f aca="false">IF($E1489="","",IFERROR(INDEX(Kontenplan!$C$5:$C$90,MATCH($E1489,Kontenplan!$A$5:$A$90,0)),"?"))</f>
        <v/>
      </c>
      <c r="V1489" s="35" t="str">
        <f aca="false">IF($F1489="","",IF(OR($D1489="",$E1489="",$T1489="?",$U1489="?"),"Konto prüfen!",IF($A1489="","Datum fehlt",IF(YEAR($A1489)&lt;&gt;Einstellungen!$B$7,"anderes Jahr!",IF($G1489="","MWST-Code fehlt","OK")))))</f>
        <v/>
      </c>
      <c r="W1489" s="35" t="str">
        <f aca="false">IF($F1489="","",IF(OR($D1489=Kontoauszug!$C$4,$E1489=Kontoauszug!$C$4),MAX(W$4:W1488)+1,""))</f>
        <v/>
      </c>
    </row>
    <row r="1490" customFormat="false" ht="15" hidden="false" customHeight="false" outlineLevel="0" collapsed="false">
      <c r="A1490" s="33"/>
      <c r="B1490" s="32"/>
      <c r="C1490" s="32"/>
      <c r="D1490" s="32"/>
      <c r="E1490" s="32"/>
      <c r="F1490" s="30"/>
      <c r="G1490" s="32"/>
      <c r="H1490" s="34" t="n">
        <f aca="false">IF($G1490="",0,IFERROR(INDEX(Einstellungen!$G$5:$G$11,MATCH($G1490,Einstellungen!$E$5:$E$11,0)),0))</f>
        <v>0</v>
      </c>
      <c r="I1490" s="35" t="str">
        <f aca="false">IF($G1490="","-",IFERROR(INDEX(Einstellungen!$H$5:$H$11,MATCH($G1490,Einstellungen!$E$5:$E$11,0)),"-"))</f>
        <v>-</v>
      </c>
      <c r="J1490" s="35" t="str">
        <f aca="false">IF(AND(Einstellungen!$B$8="Ja",Einstellungen!$B$9="Effektiv"),$I1490,"-")</f>
        <v>-</v>
      </c>
      <c r="K1490" s="31" t="n">
        <f aca="false">IF(OR($F1490="",$J1490="-"),0,ROUND($F1490-$F1490/(1+$H1490),2))</f>
        <v>0</v>
      </c>
      <c r="L1490" s="31" t="n">
        <f aca="false">IF($F1490="",0,$F1490-$K1490)</f>
        <v>0</v>
      </c>
      <c r="M1490" s="31" t="n">
        <f aca="false">IF($F1490="",0,IF($J1490="V",$L1490,$F1490))</f>
        <v>0</v>
      </c>
      <c r="N1490" s="31" t="n">
        <f aca="false">IF($F1490="",0,IF($J1490="U",$L1490,$F1490))</f>
        <v>0</v>
      </c>
      <c r="O1490" s="35" t="str">
        <f aca="false">IF($A1490="","",MONTH($A1490))</f>
        <v/>
      </c>
      <c r="P1490" s="35" t="str">
        <f aca="false">IF($A1490="","",ROUNDUP(MONTH($A1490)/3,0))</f>
        <v/>
      </c>
      <c r="Q1490" s="35" t="str">
        <f aca="false">IF($A1490="","",IF(MONTH($A1490)&lt;=6,1,2))</f>
        <v/>
      </c>
      <c r="R1490" s="35" t="str">
        <f aca="false">IF($E1490="","",IFERROR(INDEX(Kontenplan!$F$5:$F$90,MATCH($E1490,Kontenplan!$A$5:$A$90,0)),""))</f>
        <v/>
      </c>
      <c r="S1490" s="35" t="str">
        <f aca="false">IF($D1490="","",IFERROR(INDEX(Kontenplan!$F$5:$F$90,MATCH($D1490,Kontenplan!$A$5:$A$90,0)),""))</f>
        <v/>
      </c>
      <c r="T1490" s="35" t="str">
        <f aca="false">IF($D1490="","",IFERROR(INDEX(Kontenplan!$C$5:$C$90,MATCH($D1490,Kontenplan!$A$5:$A$90,0)),"?"))</f>
        <v/>
      </c>
      <c r="U1490" s="35" t="str">
        <f aca="false">IF($E1490="","",IFERROR(INDEX(Kontenplan!$C$5:$C$90,MATCH($E1490,Kontenplan!$A$5:$A$90,0)),"?"))</f>
        <v/>
      </c>
      <c r="V1490" s="35" t="str">
        <f aca="false">IF($F1490="","",IF(OR($D1490="",$E1490="",$T1490="?",$U1490="?"),"Konto prüfen!",IF($A1490="","Datum fehlt",IF(YEAR($A1490)&lt;&gt;Einstellungen!$B$7,"anderes Jahr!",IF($G1490="","MWST-Code fehlt","OK")))))</f>
        <v/>
      </c>
      <c r="W1490" s="35" t="str">
        <f aca="false">IF($F1490="","",IF(OR($D1490=Kontoauszug!$C$4,$E1490=Kontoauszug!$C$4),MAX(W$4:W1489)+1,""))</f>
        <v/>
      </c>
    </row>
    <row r="1491" customFormat="false" ht="15" hidden="false" customHeight="false" outlineLevel="0" collapsed="false">
      <c r="A1491" s="33"/>
      <c r="B1491" s="32"/>
      <c r="C1491" s="32"/>
      <c r="D1491" s="32"/>
      <c r="E1491" s="32"/>
      <c r="F1491" s="30"/>
      <c r="G1491" s="32"/>
      <c r="H1491" s="34" t="n">
        <f aca="false">IF($G1491="",0,IFERROR(INDEX(Einstellungen!$G$5:$G$11,MATCH($G1491,Einstellungen!$E$5:$E$11,0)),0))</f>
        <v>0</v>
      </c>
      <c r="I1491" s="35" t="str">
        <f aca="false">IF($G1491="","-",IFERROR(INDEX(Einstellungen!$H$5:$H$11,MATCH($G1491,Einstellungen!$E$5:$E$11,0)),"-"))</f>
        <v>-</v>
      </c>
      <c r="J1491" s="35" t="str">
        <f aca="false">IF(AND(Einstellungen!$B$8="Ja",Einstellungen!$B$9="Effektiv"),$I1491,"-")</f>
        <v>-</v>
      </c>
      <c r="K1491" s="31" t="n">
        <f aca="false">IF(OR($F1491="",$J1491="-"),0,ROUND($F1491-$F1491/(1+$H1491),2))</f>
        <v>0</v>
      </c>
      <c r="L1491" s="31" t="n">
        <f aca="false">IF($F1491="",0,$F1491-$K1491)</f>
        <v>0</v>
      </c>
      <c r="M1491" s="31" t="n">
        <f aca="false">IF($F1491="",0,IF($J1491="V",$L1491,$F1491))</f>
        <v>0</v>
      </c>
      <c r="N1491" s="31" t="n">
        <f aca="false">IF($F1491="",0,IF($J1491="U",$L1491,$F1491))</f>
        <v>0</v>
      </c>
      <c r="O1491" s="35" t="str">
        <f aca="false">IF($A1491="","",MONTH($A1491))</f>
        <v/>
      </c>
      <c r="P1491" s="35" t="str">
        <f aca="false">IF($A1491="","",ROUNDUP(MONTH($A1491)/3,0))</f>
        <v/>
      </c>
      <c r="Q1491" s="35" t="str">
        <f aca="false">IF($A1491="","",IF(MONTH($A1491)&lt;=6,1,2))</f>
        <v/>
      </c>
      <c r="R1491" s="35" t="str">
        <f aca="false">IF($E1491="","",IFERROR(INDEX(Kontenplan!$F$5:$F$90,MATCH($E1491,Kontenplan!$A$5:$A$90,0)),""))</f>
        <v/>
      </c>
      <c r="S1491" s="35" t="str">
        <f aca="false">IF($D1491="","",IFERROR(INDEX(Kontenplan!$F$5:$F$90,MATCH($D1491,Kontenplan!$A$5:$A$90,0)),""))</f>
        <v/>
      </c>
      <c r="T1491" s="35" t="str">
        <f aca="false">IF($D1491="","",IFERROR(INDEX(Kontenplan!$C$5:$C$90,MATCH($D1491,Kontenplan!$A$5:$A$90,0)),"?"))</f>
        <v/>
      </c>
      <c r="U1491" s="35" t="str">
        <f aca="false">IF($E1491="","",IFERROR(INDEX(Kontenplan!$C$5:$C$90,MATCH($E1491,Kontenplan!$A$5:$A$90,0)),"?"))</f>
        <v/>
      </c>
      <c r="V1491" s="35" t="str">
        <f aca="false">IF($F1491="","",IF(OR($D1491="",$E1491="",$T1491="?",$U1491="?"),"Konto prüfen!",IF($A1491="","Datum fehlt",IF(YEAR($A1491)&lt;&gt;Einstellungen!$B$7,"anderes Jahr!",IF($G1491="","MWST-Code fehlt","OK")))))</f>
        <v/>
      </c>
      <c r="W1491" s="35" t="str">
        <f aca="false">IF($F1491="","",IF(OR($D1491=Kontoauszug!$C$4,$E1491=Kontoauszug!$C$4),MAX(W$4:W1490)+1,""))</f>
        <v/>
      </c>
    </row>
    <row r="1492" customFormat="false" ht="15" hidden="false" customHeight="false" outlineLevel="0" collapsed="false">
      <c r="A1492" s="33"/>
      <c r="B1492" s="32"/>
      <c r="C1492" s="32"/>
      <c r="D1492" s="32"/>
      <c r="E1492" s="32"/>
      <c r="F1492" s="30"/>
      <c r="G1492" s="32"/>
      <c r="H1492" s="34" t="n">
        <f aca="false">IF($G1492="",0,IFERROR(INDEX(Einstellungen!$G$5:$G$11,MATCH($G1492,Einstellungen!$E$5:$E$11,0)),0))</f>
        <v>0</v>
      </c>
      <c r="I1492" s="35" t="str">
        <f aca="false">IF($G1492="","-",IFERROR(INDEX(Einstellungen!$H$5:$H$11,MATCH($G1492,Einstellungen!$E$5:$E$11,0)),"-"))</f>
        <v>-</v>
      </c>
      <c r="J1492" s="35" t="str">
        <f aca="false">IF(AND(Einstellungen!$B$8="Ja",Einstellungen!$B$9="Effektiv"),$I1492,"-")</f>
        <v>-</v>
      </c>
      <c r="K1492" s="31" t="n">
        <f aca="false">IF(OR($F1492="",$J1492="-"),0,ROUND($F1492-$F1492/(1+$H1492),2))</f>
        <v>0</v>
      </c>
      <c r="L1492" s="31" t="n">
        <f aca="false">IF($F1492="",0,$F1492-$K1492)</f>
        <v>0</v>
      </c>
      <c r="M1492" s="31" t="n">
        <f aca="false">IF($F1492="",0,IF($J1492="V",$L1492,$F1492))</f>
        <v>0</v>
      </c>
      <c r="N1492" s="31" t="n">
        <f aca="false">IF($F1492="",0,IF($J1492="U",$L1492,$F1492))</f>
        <v>0</v>
      </c>
      <c r="O1492" s="35" t="str">
        <f aca="false">IF($A1492="","",MONTH($A1492))</f>
        <v/>
      </c>
      <c r="P1492" s="35" t="str">
        <f aca="false">IF($A1492="","",ROUNDUP(MONTH($A1492)/3,0))</f>
        <v/>
      </c>
      <c r="Q1492" s="35" t="str">
        <f aca="false">IF($A1492="","",IF(MONTH($A1492)&lt;=6,1,2))</f>
        <v/>
      </c>
      <c r="R1492" s="35" t="str">
        <f aca="false">IF($E1492="","",IFERROR(INDEX(Kontenplan!$F$5:$F$90,MATCH($E1492,Kontenplan!$A$5:$A$90,0)),""))</f>
        <v/>
      </c>
      <c r="S1492" s="35" t="str">
        <f aca="false">IF($D1492="","",IFERROR(INDEX(Kontenplan!$F$5:$F$90,MATCH($D1492,Kontenplan!$A$5:$A$90,0)),""))</f>
        <v/>
      </c>
      <c r="T1492" s="35" t="str">
        <f aca="false">IF($D1492="","",IFERROR(INDEX(Kontenplan!$C$5:$C$90,MATCH($D1492,Kontenplan!$A$5:$A$90,0)),"?"))</f>
        <v/>
      </c>
      <c r="U1492" s="35" t="str">
        <f aca="false">IF($E1492="","",IFERROR(INDEX(Kontenplan!$C$5:$C$90,MATCH($E1492,Kontenplan!$A$5:$A$90,0)),"?"))</f>
        <v/>
      </c>
      <c r="V1492" s="35" t="str">
        <f aca="false">IF($F1492="","",IF(OR($D1492="",$E1492="",$T1492="?",$U1492="?"),"Konto prüfen!",IF($A1492="","Datum fehlt",IF(YEAR($A1492)&lt;&gt;Einstellungen!$B$7,"anderes Jahr!",IF($G1492="","MWST-Code fehlt","OK")))))</f>
        <v/>
      </c>
      <c r="W1492" s="35" t="str">
        <f aca="false">IF($F1492="","",IF(OR($D1492=Kontoauszug!$C$4,$E1492=Kontoauszug!$C$4),MAX(W$4:W1491)+1,""))</f>
        <v/>
      </c>
    </row>
    <row r="1493" customFormat="false" ht="15" hidden="false" customHeight="false" outlineLevel="0" collapsed="false">
      <c r="A1493" s="33"/>
      <c r="B1493" s="32"/>
      <c r="C1493" s="32"/>
      <c r="D1493" s="32"/>
      <c r="E1493" s="32"/>
      <c r="F1493" s="30"/>
      <c r="G1493" s="32"/>
      <c r="H1493" s="34" t="n">
        <f aca="false">IF($G1493="",0,IFERROR(INDEX(Einstellungen!$G$5:$G$11,MATCH($G1493,Einstellungen!$E$5:$E$11,0)),0))</f>
        <v>0</v>
      </c>
      <c r="I1493" s="35" t="str">
        <f aca="false">IF($G1493="","-",IFERROR(INDEX(Einstellungen!$H$5:$H$11,MATCH($G1493,Einstellungen!$E$5:$E$11,0)),"-"))</f>
        <v>-</v>
      </c>
      <c r="J1493" s="35" t="str">
        <f aca="false">IF(AND(Einstellungen!$B$8="Ja",Einstellungen!$B$9="Effektiv"),$I1493,"-")</f>
        <v>-</v>
      </c>
      <c r="K1493" s="31" t="n">
        <f aca="false">IF(OR($F1493="",$J1493="-"),0,ROUND($F1493-$F1493/(1+$H1493),2))</f>
        <v>0</v>
      </c>
      <c r="L1493" s="31" t="n">
        <f aca="false">IF($F1493="",0,$F1493-$K1493)</f>
        <v>0</v>
      </c>
      <c r="M1493" s="31" t="n">
        <f aca="false">IF($F1493="",0,IF($J1493="V",$L1493,$F1493))</f>
        <v>0</v>
      </c>
      <c r="N1493" s="31" t="n">
        <f aca="false">IF($F1493="",0,IF($J1493="U",$L1493,$F1493))</f>
        <v>0</v>
      </c>
      <c r="O1493" s="35" t="str">
        <f aca="false">IF($A1493="","",MONTH($A1493))</f>
        <v/>
      </c>
      <c r="P1493" s="35" t="str">
        <f aca="false">IF($A1493="","",ROUNDUP(MONTH($A1493)/3,0))</f>
        <v/>
      </c>
      <c r="Q1493" s="35" t="str">
        <f aca="false">IF($A1493="","",IF(MONTH($A1493)&lt;=6,1,2))</f>
        <v/>
      </c>
      <c r="R1493" s="35" t="str">
        <f aca="false">IF($E1493="","",IFERROR(INDEX(Kontenplan!$F$5:$F$90,MATCH($E1493,Kontenplan!$A$5:$A$90,0)),""))</f>
        <v/>
      </c>
      <c r="S1493" s="35" t="str">
        <f aca="false">IF($D1493="","",IFERROR(INDEX(Kontenplan!$F$5:$F$90,MATCH($D1493,Kontenplan!$A$5:$A$90,0)),""))</f>
        <v/>
      </c>
      <c r="T1493" s="35" t="str">
        <f aca="false">IF($D1493="","",IFERROR(INDEX(Kontenplan!$C$5:$C$90,MATCH($D1493,Kontenplan!$A$5:$A$90,0)),"?"))</f>
        <v/>
      </c>
      <c r="U1493" s="35" t="str">
        <f aca="false">IF($E1493="","",IFERROR(INDEX(Kontenplan!$C$5:$C$90,MATCH($E1493,Kontenplan!$A$5:$A$90,0)),"?"))</f>
        <v/>
      </c>
      <c r="V1493" s="35" t="str">
        <f aca="false">IF($F1493="","",IF(OR($D1493="",$E1493="",$T1493="?",$U1493="?"),"Konto prüfen!",IF($A1493="","Datum fehlt",IF(YEAR($A1493)&lt;&gt;Einstellungen!$B$7,"anderes Jahr!",IF($G1493="","MWST-Code fehlt","OK")))))</f>
        <v/>
      </c>
      <c r="W1493" s="35" t="str">
        <f aca="false">IF($F1493="","",IF(OR($D1493=Kontoauszug!$C$4,$E1493=Kontoauszug!$C$4),MAX(W$4:W1492)+1,""))</f>
        <v/>
      </c>
    </row>
    <row r="1494" customFormat="false" ht="15" hidden="false" customHeight="false" outlineLevel="0" collapsed="false">
      <c r="A1494" s="33"/>
      <c r="B1494" s="32"/>
      <c r="C1494" s="32"/>
      <c r="D1494" s="32"/>
      <c r="E1494" s="32"/>
      <c r="F1494" s="30"/>
      <c r="G1494" s="32"/>
      <c r="H1494" s="34" t="n">
        <f aca="false">IF($G1494="",0,IFERROR(INDEX(Einstellungen!$G$5:$G$11,MATCH($G1494,Einstellungen!$E$5:$E$11,0)),0))</f>
        <v>0</v>
      </c>
      <c r="I1494" s="35" t="str">
        <f aca="false">IF($G1494="","-",IFERROR(INDEX(Einstellungen!$H$5:$H$11,MATCH($G1494,Einstellungen!$E$5:$E$11,0)),"-"))</f>
        <v>-</v>
      </c>
      <c r="J1494" s="35" t="str">
        <f aca="false">IF(AND(Einstellungen!$B$8="Ja",Einstellungen!$B$9="Effektiv"),$I1494,"-")</f>
        <v>-</v>
      </c>
      <c r="K1494" s="31" t="n">
        <f aca="false">IF(OR($F1494="",$J1494="-"),0,ROUND($F1494-$F1494/(1+$H1494),2))</f>
        <v>0</v>
      </c>
      <c r="L1494" s="31" t="n">
        <f aca="false">IF($F1494="",0,$F1494-$K1494)</f>
        <v>0</v>
      </c>
      <c r="M1494" s="31" t="n">
        <f aca="false">IF($F1494="",0,IF($J1494="V",$L1494,$F1494))</f>
        <v>0</v>
      </c>
      <c r="N1494" s="31" t="n">
        <f aca="false">IF($F1494="",0,IF($J1494="U",$L1494,$F1494))</f>
        <v>0</v>
      </c>
      <c r="O1494" s="35" t="str">
        <f aca="false">IF($A1494="","",MONTH($A1494))</f>
        <v/>
      </c>
      <c r="P1494" s="35" t="str">
        <f aca="false">IF($A1494="","",ROUNDUP(MONTH($A1494)/3,0))</f>
        <v/>
      </c>
      <c r="Q1494" s="35" t="str">
        <f aca="false">IF($A1494="","",IF(MONTH($A1494)&lt;=6,1,2))</f>
        <v/>
      </c>
      <c r="R1494" s="35" t="str">
        <f aca="false">IF($E1494="","",IFERROR(INDEX(Kontenplan!$F$5:$F$90,MATCH($E1494,Kontenplan!$A$5:$A$90,0)),""))</f>
        <v/>
      </c>
      <c r="S1494" s="35" t="str">
        <f aca="false">IF($D1494="","",IFERROR(INDEX(Kontenplan!$F$5:$F$90,MATCH($D1494,Kontenplan!$A$5:$A$90,0)),""))</f>
        <v/>
      </c>
      <c r="T1494" s="35" t="str">
        <f aca="false">IF($D1494="","",IFERROR(INDEX(Kontenplan!$C$5:$C$90,MATCH($D1494,Kontenplan!$A$5:$A$90,0)),"?"))</f>
        <v/>
      </c>
      <c r="U1494" s="35" t="str">
        <f aca="false">IF($E1494="","",IFERROR(INDEX(Kontenplan!$C$5:$C$90,MATCH($E1494,Kontenplan!$A$5:$A$90,0)),"?"))</f>
        <v/>
      </c>
      <c r="V1494" s="35" t="str">
        <f aca="false">IF($F1494="","",IF(OR($D1494="",$E1494="",$T1494="?",$U1494="?"),"Konto prüfen!",IF($A1494="","Datum fehlt",IF(YEAR($A1494)&lt;&gt;Einstellungen!$B$7,"anderes Jahr!",IF($G1494="","MWST-Code fehlt","OK")))))</f>
        <v/>
      </c>
      <c r="W1494" s="35" t="str">
        <f aca="false">IF($F1494="","",IF(OR($D1494=Kontoauszug!$C$4,$E1494=Kontoauszug!$C$4),MAX(W$4:W1493)+1,""))</f>
        <v/>
      </c>
    </row>
    <row r="1495" customFormat="false" ht="15" hidden="false" customHeight="false" outlineLevel="0" collapsed="false">
      <c r="A1495" s="33"/>
      <c r="B1495" s="32"/>
      <c r="C1495" s="32"/>
      <c r="D1495" s="32"/>
      <c r="E1495" s="32"/>
      <c r="F1495" s="30"/>
      <c r="G1495" s="32"/>
      <c r="H1495" s="34" t="n">
        <f aca="false">IF($G1495="",0,IFERROR(INDEX(Einstellungen!$G$5:$G$11,MATCH($G1495,Einstellungen!$E$5:$E$11,0)),0))</f>
        <v>0</v>
      </c>
      <c r="I1495" s="35" t="str">
        <f aca="false">IF($G1495="","-",IFERROR(INDEX(Einstellungen!$H$5:$H$11,MATCH($G1495,Einstellungen!$E$5:$E$11,0)),"-"))</f>
        <v>-</v>
      </c>
      <c r="J1495" s="35" t="str">
        <f aca="false">IF(AND(Einstellungen!$B$8="Ja",Einstellungen!$B$9="Effektiv"),$I1495,"-")</f>
        <v>-</v>
      </c>
      <c r="K1495" s="31" t="n">
        <f aca="false">IF(OR($F1495="",$J1495="-"),0,ROUND($F1495-$F1495/(1+$H1495),2))</f>
        <v>0</v>
      </c>
      <c r="L1495" s="31" t="n">
        <f aca="false">IF($F1495="",0,$F1495-$K1495)</f>
        <v>0</v>
      </c>
      <c r="M1495" s="31" t="n">
        <f aca="false">IF($F1495="",0,IF($J1495="V",$L1495,$F1495))</f>
        <v>0</v>
      </c>
      <c r="N1495" s="31" t="n">
        <f aca="false">IF($F1495="",0,IF($J1495="U",$L1495,$F1495))</f>
        <v>0</v>
      </c>
      <c r="O1495" s="35" t="str">
        <f aca="false">IF($A1495="","",MONTH($A1495))</f>
        <v/>
      </c>
      <c r="P1495" s="35" t="str">
        <f aca="false">IF($A1495="","",ROUNDUP(MONTH($A1495)/3,0))</f>
        <v/>
      </c>
      <c r="Q1495" s="35" t="str">
        <f aca="false">IF($A1495="","",IF(MONTH($A1495)&lt;=6,1,2))</f>
        <v/>
      </c>
      <c r="R1495" s="35" t="str">
        <f aca="false">IF($E1495="","",IFERROR(INDEX(Kontenplan!$F$5:$F$90,MATCH($E1495,Kontenplan!$A$5:$A$90,0)),""))</f>
        <v/>
      </c>
      <c r="S1495" s="35" t="str">
        <f aca="false">IF($D1495="","",IFERROR(INDEX(Kontenplan!$F$5:$F$90,MATCH($D1495,Kontenplan!$A$5:$A$90,0)),""))</f>
        <v/>
      </c>
      <c r="T1495" s="35" t="str">
        <f aca="false">IF($D1495="","",IFERROR(INDEX(Kontenplan!$C$5:$C$90,MATCH($D1495,Kontenplan!$A$5:$A$90,0)),"?"))</f>
        <v/>
      </c>
      <c r="U1495" s="35" t="str">
        <f aca="false">IF($E1495="","",IFERROR(INDEX(Kontenplan!$C$5:$C$90,MATCH($E1495,Kontenplan!$A$5:$A$90,0)),"?"))</f>
        <v/>
      </c>
      <c r="V1495" s="35" t="str">
        <f aca="false">IF($F1495="","",IF(OR($D1495="",$E1495="",$T1495="?",$U1495="?"),"Konto prüfen!",IF($A1495="","Datum fehlt",IF(YEAR($A1495)&lt;&gt;Einstellungen!$B$7,"anderes Jahr!",IF($G1495="","MWST-Code fehlt","OK")))))</f>
        <v/>
      </c>
      <c r="W1495" s="35" t="str">
        <f aca="false">IF($F1495="","",IF(OR($D1495=Kontoauszug!$C$4,$E1495=Kontoauszug!$C$4),MAX(W$4:W1494)+1,""))</f>
        <v/>
      </c>
    </row>
    <row r="1496" customFormat="false" ht="15" hidden="false" customHeight="false" outlineLevel="0" collapsed="false">
      <c r="A1496" s="33"/>
      <c r="B1496" s="32"/>
      <c r="C1496" s="32"/>
      <c r="D1496" s="32"/>
      <c r="E1496" s="32"/>
      <c r="F1496" s="30"/>
      <c r="G1496" s="32"/>
      <c r="H1496" s="34" t="n">
        <f aca="false">IF($G1496="",0,IFERROR(INDEX(Einstellungen!$G$5:$G$11,MATCH($G1496,Einstellungen!$E$5:$E$11,0)),0))</f>
        <v>0</v>
      </c>
      <c r="I1496" s="35" t="str">
        <f aca="false">IF($G1496="","-",IFERROR(INDEX(Einstellungen!$H$5:$H$11,MATCH($G1496,Einstellungen!$E$5:$E$11,0)),"-"))</f>
        <v>-</v>
      </c>
      <c r="J1496" s="35" t="str">
        <f aca="false">IF(AND(Einstellungen!$B$8="Ja",Einstellungen!$B$9="Effektiv"),$I1496,"-")</f>
        <v>-</v>
      </c>
      <c r="K1496" s="31" t="n">
        <f aca="false">IF(OR($F1496="",$J1496="-"),0,ROUND($F1496-$F1496/(1+$H1496),2))</f>
        <v>0</v>
      </c>
      <c r="L1496" s="31" t="n">
        <f aca="false">IF($F1496="",0,$F1496-$K1496)</f>
        <v>0</v>
      </c>
      <c r="M1496" s="31" t="n">
        <f aca="false">IF($F1496="",0,IF($J1496="V",$L1496,$F1496))</f>
        <v>0</v>
      </c>
      <c r="N1496" s="31" t="n">
        <f aca="false">IF($F1496="",0,IF($J1496="U",$L1496,$F1496))</f>
        <v>0</v>
      </c>
      <c r="O1496" s="35" t="str">
        <f aca="false">IF($A1496="","",MONTH($A1496))</f>
        <v/>
      </c>
      <c r="P1496" s="35" t="str">
        <f aca="false">IF($A1496="","",ROUNDUP(MONTH($A1496)/3,0))</f>
        <v/>
      </c>
      <c r="Q1496" s="35" t="str">
        <f aca="false">IF($A1496="","",IF(MONTH($A1496)&lt;=6,1,2))</f>
        <v/>
      </c>
      <c r="R1496" s="35" t="str">
        <f aca="false">IF($E1496="","",IFERROR(INDEX(Kontenplan!$F$5:$F$90,MATCH($E1496,Kontenplan!$A$5:$A$90,0)),""))</f>
        <v/>
      </c>
      <c r="S1496" s="35" t="str">
        <f aca="false">IF($D1496="","",IFERROR(INDEX(Kontenplan!$F$5:$F$90,MATCH($D1496,Kontenplan!$A$5:$A$90,0)),""))</f>
        <v/>
      </c>
      <c r="T1496" s="35" t="str">
        <f aca="false">IF($D1496="","",IFERROR(INDEX(Kontenplan!$C$5:$C$90,MATCH($D1496,Kontenplan!$A$5:$A$90,0)),"?"))</f>
        <v/>
      </c>
      <c r="U1496" s="35" t="str">
        <f aca="false">IF($E1496="","",IFERROR(INDEX(Kontenplan!$C$5:$C$90,MATCH($E1496,Kontenplan!$A$5:$A$90,0)),"?"))</f>
        <v/>
      </c>
      <c r="V1496" s="35" t="str">
        <f aca="false">IF($F1496="","",IF(OR($D1496="",$E1496="",$T1496="?",$U1496="?"),"Konto prüfen!",IF($A1496="","Datum fehlt",IF(YEAR($A1496)&lt;&gt;Einstellungen!$B$7,"anderes Jahr!",IF($G1496="","MWST-Code fehlt","OK")))))</f>
        <v/>
      </c>
      <c r="W1496" s="35" t="str">
        <f aca="false">IF($F1496="","",IF(OR($D1496=Kontoauszug!$C$4,$E1496=Kontoauszug!$C$4),MAX(W$4:W1495)+1,""))</f>
        <v/>
      </c>
    </row>
    <row r="1497" customFormat="false" ht="15" hidden="false" customHeight="false" outlineLevel="0" collapsed="false">
      <c r="A1497" s="33"/>
      <c r="B1497" s="32"/>
      <c r="C1497" s="32"/>
      <c r="D1497" s="32"/>
      <c r="E1497" s="32"/>
      <c r="F1497" s="30"/>
      <c r="G1497" s="32"/>
      <c r="H1497" s="34" t="n">
        <f aca="false">IF($G1497="",0,IFERROR(INDEX(Einstellungen!$G$5:$G$11,MATCH($G1497,Einstellungen!$E$5:$E$11,0)),0))</f>
        <v>0</v>
      </c>
      <c r="I1497" s="35" t="str">
        <f aca="false">IF($G1497="","-",IFERROR(INDEX(Einstellungen!$H$5:$H$11,MATCH($G1497,Einstellungen!$E$5:$E$11,0)),"-"))</f>
        <v>-</v>
      </c>
      <c r="J1497" s="35" t="str">
        <f aca="false">IF(AND(Einstellungen!$B$8="Ja",Einstellungen!$B$9="Effektiv"),$I1497,"-")</f>
        <v>-</v>
      </c>
      <c r="K1497" s="31" t="n">
        <f aca="false">IF(OR($F1497="",$J1497="-"),0,ROUND($F1497-$F1497/(1+$H1497),2))</f>
        <v>0</v>
      </c>
      <c r="L1497" s="31" t="n">
        <f aca="false">IF($F1497="",0,$F1497-$K1497)</f>
        <v>0</v>
      </c>
      <c r="M1497" s="31" t="n">
        <f aca="false">IF($F1497="",0,IF($J1497="V",$L1497,$F1497))</f>
        <v>0</v>
      </c>
      <c r="N1497" s="31" t="n">
        <f aca="false">IF($F1497="",0,IF($J1497="U",$L1497,$F1497))</f>
        <v>0</v>
      </c>
      <c r="O1497" s="35" t="str">
        <f aca="false">IF($A1497="","",MONTH($A1497))</f>
        <v/>
      </c>
      <c r="P1497" s="35" t="str">
        <f aca="false">IF($A1497="","",ROUNDUP(MONTH($A1497)/3,0))</f>
        <v/>
      </c>
      <c r="Q1497" s="35" t="str">
        <f aca="false">IF($A1497="","",IF(MONTH($A1497)&lt;=6,1,2))</f>
        <v/>
      </c>
      <c r="R1497" s="35" t="str">
        <f aca="false">IF($E1497="","",IFERROR(INDEX(Kontenplan!$F$5:$F$90,MATCH($E1497,Kontenplan!$A$5:$A$90,0)),""))</f>
        <v/>
      </c>
      <c r="S1497" s="35" t="str">
        <f aca="false">IF($D1497="","",IFERROR(INDEX(Kontenplan!$F$5:$F$90,MATCH($D1497,Kontenplan!$A$5:$A$90,0)),""))</f>
        <v/>
      </c>
      <c r="T1497" s="35" t="str">
        <f aca="false">IF($D1497="","",IFERROR(INDEX(Kontenplan!$C$5:$C$90,MATCH($D1497,Kontenplan!$A$5:$A$90,0)),"?"))</f>
        <v/>
      </c>
      <c r="U1497" s="35" t="str">
        <f aca="false">IF($E1497="","",IFERROR(INDEX(Kontenplan!$C$5:$C$90,MATCH($E1497,Kontenplan!$A$5:$A$90,0)),"?"))</f>
        <v/>
      </c>
      <c r="V1497" s="35" t="str">
        <f aca="false">IF($F1497="","",IF(OR($D1497="",$E1497="",$T1497="?",$U1497="?"),"Konto prüfen!",IF($A1497="","Datum fehlt",IF(YEAR($A1497)&lt;&gt;Einstellungen!$B$7,"anderes Jahr!",IF($G1497="","MWST-Code fehlt","OK")))))</f>
        <v/>
      </c>
      <c r="W1497" s="35" t="str">
        <f aca="false">IF($F1497="","",IF(OR($D1497=Kontoauszug!$C$4,$E1497=Kontoauszug!$C$4),MAX(W$4:W1496)+1,""))</f>
        <v/>
      </c>
    </row>
    <row r="1498" customFormat="false" ht="15" hidden="false" customHeight="false" outlineLevel="0" collapsed="false">
      <c r="A1498" s="33"/>
      <c r="B1498" s="32"/>
      <c r="C1498" s="32"/>
      <c r="D1498" s="32"/>
      <c r="E1498" s="32"/>
      <c r="F1498" s="30"/>
      <c r="G1498" s="32"/>
      <c r="H1498" s="34" t="n">
        <f aca="false">IF($G1498="",0,IFERROR(INDEX(Einstellungen!$G$5:$G$11,MATCH($G1498,Einstellungen!$E$5:$E$11,0)),0))</f>
        <v>0</v>
      </c>
      <c r="I1498" s="35" t="str">
        <f aca="false">IF($G1498="","-",IFERROR(INDEX(Einstellungen!$H$5:$H$11,MATCH($G1498,Einstellungen!$E$5:$E$11,0)),"-"))</f>
        <v>-</v>
      </c>
      <c r="J1498" s="35" t="str">
        <f aca="false">IF(AND(Einstellungen!$B$8="Ja",Einstellungen!$B$9="Effektiv"),$I1498,"-")</f>
        <v>-</v>
      </c>
      <c r="K1498" s="31" t="n">
        <f aca="false">IF(OR($F1498="",$J1498="-"),0,ROUND($F1498-$F1498/(1+$H1498),2))</f>
        <v>0</v>
      </c>
      <c r="L1498" s="31" t="n">
        <f aca="false">IF($F1498="",0,$F1498-$K1498)</f>
        <v>0</v>
      </c>
      <c r="M1498" s="31" t="n">
        <f aca="false">IF($F1498="",0,IF($J1498="V",$L1498,$F1498))</f>
        <v>0</v>
      </c>
      <c r="N1498" s="31" t="n">
        <f aca="false">IF($F1498="",0,IF($J1498="U",$L1498,$F1498))</f>
        <v>0</v>
      </c>
      <c r="O1498" s="35" t="str">
        <f aca="false">IF($A1498="","",MONTH($A1498))</f>
        <v/>
      </c>
      <c r="P1498" s="35" t="str">
        <f aca="false">IF($A1498="","",ROUNDUP(MONTH($A1498)/3,0))</f>
        <v/>
      </c>
      <c r="Q1498" s="35" t="str">
        <f aca="false">IF($A1498="","",IF(MONTH($A1498)&lt;=6,1,2))</f>
        <v/>
      </c>
      <c r="R1498" s="35" t="str">
        <f aca="false">IF($E1498="","",IFERROR(INDEX(Kontenplan!$F$5:$F$90,MATCH($E1498,Kontenplan!$A$5:$A$90,0)),""))</f>
        <v/>
      </c>
      <c r="S1498" s="35" t="str">
        <f aca="false">IF($D1498="","",IFERROR(INDEX(Kontenplan!$F$5:$F$90,MATCH($D1498,Kontenplan!$A$5:$A$90,0)),""))</f>
        <v/>
      </c>
      <c r="T1498" s="35" t="str">
        <f aca="false">IF($D1498="","",IFERROR(INDEX(Kontenplan!$C$5:$C$90,MATCH($D1498,Kontenplan!$A$5:$A$90,0)),"?"))</f>
        <v/>
      </c>
      <c r="U1498" s="35" t="str">
        <f aca="false">IF($E1498="","",IFERROR(INDEX(Kontenplan!$C$5:$C$90,MATCH($E1498,Kontenplan!$A$5:$A$90,0)),"?"))</f>
        <v/>
      </c>
      <c r="V1498" s="35" t="str">
        <f aca="false">IF($F1498="","",IF(OR($D1498="",$E1498="",$T1498="?",$U1498="?"),"Konto prüfen!",IF($A1498="","Datum fehlt",IF(YEAR($A1498)&lt;&gt;Einstellungen!$B$7,"anderes Jahr!",IF($G1498="","MWST-Code fehlt","OK")))))</f>
        <v/>
      </c>
      <c r="W1498" s="35" t="str">
        <f aca="false">IF($F1498="","",IF(OR($D1498=Kontoauszug!$C$4,$E1498=Kontoauszug!$C$4),MAX(W$4:W1497)+1,""))</f>
        <v/>
      </c>
    </row>
    <row r="1499" customFormat="false" ht="15" hidden="false" customHeight="false" outlineLevel="0" collapsed="false">
      <c r="A1499" s="33"/>
      <c r="B1499" s="32"/>
      <c r="C1499" s="32"/>
      <c r="D1499" s="32"/>
      <c r="E1499" s="32"/>
      <c r="F1499" s="30"/>
      <c r="G1499" s="32"/>
      <c r="H1499" s="34" t="n">
        <f aca="false">IF($G1499="",0,IFERROR(INDEX(Einstellungen!$G$5:$G$11,MATCH($G1499,Einstellungen!$E$5:$E$11,0)),0))</f>
        <v>0</v>
      </c>
      <c r="I1499" s="35" t="str">
        <f aca="false">IF($G1499="","-",IFERROR(INDEX(Einstellungen!$H$5:$H$11,MATCH($G1499,Einstellungen!$E$5:$E$11,0)),"-"))</f>
        <v>-</v>
      </c>
      <c r="J1499" s="35" t="str">
        <f aca="false">IF(AND(Einstellungen!$B$8="Ja",Einstellungen!$B$9="Effektiv"),$I1499,"-")</f>
        <v>-</v>
      </c>
      <c r="K1499" s="31" t="n">
        <f aca="false">IF(OR($F1499="",$J1499="-"),0,ROUND($F1499-$F1499/(1+$H1499),2))</f>
        <v>0</v>
      </c>
      <c r="L1499" s="31" t="n">
        <f aca="false">IF($F1499="",0,$F1499-$K1499)</f>
        <v>0</v>
      </c>
      <c r="M1499" s="31" t="n">
        <f aca="false">IF($F1499="",0,IF($J1499="V",$L1499,$F1499))</f>
        <v>0</v>
      </c>
      <c r="N1499" s="31" t="n">
        <f aca="false">IF($F1499="",0,IF($J1499="U",$L1499,$F1499))</f>
        <v>0</v>
      </c>
      <c r="O1499" s="35" t="str">
        <f aca="false">IF($A1499="","",MONTH($A1499))</f>
        <v/>
      </c>
      <c r="P1499" s="35" t="str">
        <f aca="false">IF($A1499="","",ROUNDUP(MONTH($A1499)/3,0))</f>
        <v/>
      </c>
      <c r="Q1499" s="35" t="str">
        <f aca="false">IF($A1499="","",IF(MONTH($A1499)&lt;=6,1,2))</f>
        <v/>
      </c>
      <c r="R1499" s="35" t="str">
        <f aca="false">IF($E1499="","",IFERROR(INDEX(Kontenplan!$F$5:$F$90,MATCH($E1499,Kontenplan!$A$5:$A$90,0)),""))</f>
        <v/>
      </c>
      <c r="S1499" s="35" t="str">
        <f aca="false">IF($D1499="","",IFERROR(INDEX(Kontenplan!$F$5:$F$90,MATCH($D1499,Kontenplan!$A$5:$A$90,0)),""))</f>
        <v/>
      </c>
      <c r="T1499" s="35" t="str">
        <f aca="false">IF($D1499="","",IFERROR(INDEX(Kontenplan!$C$5:$C$90,MATCH($D1499,Kontenplan!$A$5:$A$90,0)),"?"))</f>
        <v/>
      </c>
      <c r="U1499" s="35" t="str">
        <f aca="false">IF($E1499="","",IFERROR(INDEX(Kontenplan!$C$5:$C$90,MATCH($E1499,Kontenplan!$A$5:$A$90,0)),"?"))</f>
        <v/>
      </c>
      <c r="V1499" s="35" t="str">
        <f aca="false">IF($F1499="","",IF(OR($D1499="",$E1499="",$T1499="?",$U1499="?"),"Konto prüfen!",IF($A1499="","Datum fehlt",IF(YEAR($A1499)&lt;&gt;Einstellungen!$B$7,"anderes Jahr!",IF($G1499="","MWST-Code fehlt","OK")))))</f>
        <v/>
      </c>
      <c r="W1499" s="35" t="str">
        <f aca="false">IF($F1499="","",IF(OR($D1499=Kontoauszug!$C$4,$E1499=Kontoauszug!$C$4),MAX(W$4:W1498)+1,""))</f>
        <v/>
      </c>
    </row>
    <row r="1500" customFormat="false" ht="15" hidden="false" customHeight="false" outlineLevel="0" collapsed="false">
      <c r="A1500" s="33"/>
      <c r="B1500" s="32"/>
      <c r="C1500" s="32"/>
      <c r="D1500" s="32"/>
      <c r="E1500" s="32"/>
      <c r="F1500" s="30"/>
      <c r="G1500" s="32"/>
      <c r="H1500" s="34" t="n">
        <f aca="false">IF($G1500="",0,IFERROR(INDEX(Einstellungen!$G$5:$G$11,MATCH($G1500,Einstellungen!$E$5:$E$11,0)),0))</f>
        <v>0</v>
      </c>
      <c r="I1500" s="35" t="str">
        <f aca="false">IF($G1500="","-",IFERROR(INDEX(Einstellungen!$H$5:$H$11,MATCH($G1500,Einstellungen!$E$5:$E$11,0)),"-"))</f>
        <v>-</v>
      </c>
      <c r="J1500" s="35" t="str">
        <f aca="false">IF(AND(Einstellungen!$B$8="Ja",Einstellungen!$B$9="Effektiv"),$I1500,"-")</f>
        <v>-</v>
      </c>
      <c r="K1500" s="31" t="n">
        <f aca="false">IF(OR($F1500="",$J1500="-"),0,ROUND($F1500-$F1500/(1+$H1500),2))</f>
        <v>0</v>
      </c>
      <c r="L1500" s="31" t="n">
        <f aca="false">IF($F1500="",0,$F1500-$K1500)</f>
        <v>0</v>
      </c>
      <c r="M1500" s="31" t="n">
        <f aca="false">IF($F1500="",0,IF($J1500="V",$L1500,$F1500))</f>
        <v>0</v>
      </c>
      <c r="N1500" s="31" t="n">
        <f aca="false">IF($F1500="",0,IF($J1500="U",$L1500,$F1500))</f>
        <v>0</v>
      </c>
      <c r="O1500" s="35" t="str">
        <f aca="false">IF($A1500="","",MONTH($A1500))</f>
        <v/>
      </c>
      <c r="P1500" s="35" t="str">
        <f aca="false">IF($A1500="","",ROUNDUP(MONTH($A1500)/3,0))</f>
        <v/>
      </c>
      <c r="Q1500" s="35" t="str">
        <f aca="false">IF($A1500="","",IF(MONTH($A1500)&lt;=6,1,2))</f>
        <v/>
      </c>
      <c r="R1500" s="35" t="str">
        <f aca="false">IF($E1500="","",IFERROR(INDEX(Kontenplan!$F$5:$F$90,MATCH($E1500,Kontenplan!$A$5:$A$90,0)),""))</f>
        <v/>
      </c>
      <c r="S1500" s="35" t="str">
        <f aca="false">IF($D1500="","",IFERROR(INDEX(Kontenplan!$F$5:$F$90,MATCH($D1500,Kontenplan!$A$5:$A$90,0)),""))</f>
        <v/>
      </c>
      <c r="T1500" s="35" t="str">
        <f aca="false">IF($D1500="","",IFERROR(INDEX(Kontenplan!$C$5:$C$90,MATCH($D1500,Kontenplan!$A$5:$A$90,0)),"?"))</f>
        <v/>
      </c>
      <c r="U1500" s="35" t="str">
        <f aca="false">IF($E1500="","",IFERROR(INDEX(Kontenplan!$C$5:$C$90,MATCH($E1500,Kontenplan!$A$5:$A$90,0)),"?"))</f>
        <v/>
      </c>
      <c r="V1500" s="35" t="str">
        <f aca="false">IF($F1500="","",IF(OR($D1500="",$E1500="",$T1500="?",$U1500="?"),"Konto prüfen!",IF($A1500="","Datum fehlt",IF(YEAR($A1500)&lt;&gt;Einstellungen!$B$7,"anderes Jahr!",IF($G1500="","MWST-Code fehlt","OK")))))</f>
        <v/>
      </c>
      <c r="W1500" s="35" t="str">
        <f aca="false">IF($F1500="","",IF(OR($D1500=Kontoauszug!$C$4,$E1500=Kontoauszug!$C$4),MAX(W$4:W1499)+1,""))</f>
        <v/>
      </c>
    </row>
    <row r="1501" customFormat="false" ht="15" hidden="false" customHeight="false" outlineLevel="0" collapsed="false">
      <c r="A1501" s="33"/>
      <c r="B1501" s="32"/>
      <c r="C1501" s="32"/>
      <c r="D1501" s="32"/>
      <c r="E1501" s="32"/>
      <c r="F1501" s="30"/>
      <c r="G1501" s="32"/>
      <c r="H1501" s="34" t="n">
        <f aca="false">IF($G1501="",0,IFERROR(INDEX(Einstellungen!$G$5:$G$11,MATCH($G1501,Einstellungen!$E$5:$E$11,0)),0))</f>
        <v>0</v>
      </c>
      <c r="I1501" s="35" t="str">
        <f aca="false">IF($G1501="","-",IFERROR(INDEX(Einstellungen!$H$5:$H$11,MATCH($G1501,Einstellungen!$E$5:$E$11,0)),"-"))</f>
        <v>-</v>
      </c>
      <c r="J1501" s="35" t="str">
        <f aca="false">IF(AND(Einstellungen!$B$8="Ja",Einstellungen!$B$9="Effektiv"),$I1501,"-")</f>
        <v>-</v>
      </c>
      <c r="K1501" s="31" t="n">
        <f aca="false">IF(OR($F1501="",$J1501="-"),0,ROUND($F1501-$F1501/(1+$H1501),2))</f>
        <v>0</v>
      </c>
      <c r="L1501" s="31" t="n">
        <f aca="false">IF($F1501="",0,$F1501-$K1501)</f>
        <v>0</v>
      </c>
      <c r="M1501" s="31" t="n">
        <f aca="false">IF($F1501="",0,IF($J1501="V",$L1501,$F1501))</f>
        <v>0</v>
      </c>
      <c r="N1501" s="31" t="n">
        <f aca="false">IF($F1501="",0,IF($J1501="U",$L1501,$F1501))</f>
        <v>0</v>
      </c>
      <c r="O1501" s="35" t="str">
        <f aca="false">IF($A1501="","",MONTH($A1501))</f>
        <v/>
      </c>
      <c r="P1501" s="35" t="str">
        <f aca="false">IF($A1501="","",ROUNDUP(MONTH($A1501)/3,0))</f>
        <v/>
      </c>
      <c r="Q1501" s="35" t="str">
        <f aca="false">IF($A1501="","",IF(MONTH($A1501)&lt;=6,1,2))</f>
        <v/>
      </c>
      <c r="R1501" s="35" t="str">
        <f aca="false">IF($E1501="","",IFERROR(INDEX(Kontenplan!$F$5:$F$90,MATCH($E1501,Kontenplan!$A$5:$A$90,0)),""))</f>
        <v/>
      </c>
      <c r="S1501" s="35" t="str">
        <f aca="false">IF($D1501="","",IFERROR(INDEX(Kontenplan!$F$5:$F$90,MATCH($D1501,Kontenplan!$A$5:$A$90,0)),""))</f>
        <v/>
      </c>
      <c r="T1501" s="35" t="str">
        <f aca="false">IF($D1501="","",IFERROR(INDEX(Kontenplan!$C$5:$C$90,MATCH($D1501,Kontenplan!$A$5:$A$90,0)),"?"))</f>
        <v/>
      </c>
      <c r="U1501" s="35" t="str">
        <f aca="false">IF($E1501="","",IFERROR(INDEX(Kontenplan!$C$5:$C$90,MATCH($E1501,Kontenplan!$A$5:$A$90,0)),"?"))</f>
        <v/>
      </c>
      <c r="V1501" s="35" t="str">
        <f aca="false">IF($F1501="","",IF(OR($D1501="",$E1501="",$T1501="?",$U1501="?"),"Konto prüfen!",IF($A1501="","Datum fehlt",IF(YEAR($A1501)&lt;&gt;Einstellungen!$B$7,"anderes Jahr!",IF($G1501="","MWST-Code fehlt","OK")))))</f>
        <v/>
      </c>
      <c r="W1501" s="35" t="str">
        <f aca="false">IF($F1501="","",IF(OR($D1501=Kontoauszug!$C$4,$E1501=Kontoauszug!$C$4),MAX(W$4:W1500)+1,""))</f>
        <v/>
      </c>
    </row>
    <row r="1502" customFormat="false" ht="15" hidden="false" customHeight="false" outlineLevel="0" collapsed="false">
      <c r="A1502" s="33"/>
      <c r="B1502" s="32"/>
      <c r="C1502" s="32"/>
      <c r="D1502" s="32"/>
      <c r="E1502" s="32"/>
      <c r="F1502" s="30"/>
      <c r="G1502" s="32"/>
      <c r="H1502" s="34" t="n">
        <f aca="false">IF($G1502="",0,IFERROR(INDEX(Einstellungen!$G$5:$G$11,MATCH($G1502,Einstellungen!$E$5:$E$11,0)),0))</f>
        <v>0</v>
      </c>
      <c r="I1502" s="35" t="str">
        <f aca="false">IF($G1502="","-",IFERROR(INDEX(Einstellungen!$H$5:$H$11,MATCH($G1502,Einstellungen!$E$5:$E$11,0)),"-"))</f>
        <v>-</v>
      </c>
      <c r="J1502" s="35" t="str">
        <f aca="false">IF(AND(Einstellungen!$B$8="Ja",Einstellungen!$B$9="Effektiv"),$I1502,"-")</f>
        <v>-</v>
      </c>
      <c r="K1502" s="31" t="n">
        <f aca="false">IF(OR($F1502="",$J1502="-"),0,ROUND($F1502-$F1502/(1+$H1502),2))</f>
        <v>0</v>
      </c>
      <c r="L1502" s="31" t="n">
        <f aca="false">IF($F1502="",0,$F1502-$K1502)</f>
        <v>0</v>
      </c>
      <c r="M1502" s="31" t="n">
        <f aca="false">IF($F1502="",0,IF($J1502="V",$L1502,$F1502))</f>
        <v>0</v>
      </c>
      <c r="N1502" s="31" t="n">
        <f aca="false">IF($F1502="",0,IF($J1502="U",$L1502,$F1502))</f>
        <v>0</v>
      </c>
      <c r="O1502" s="35" t="str">
        <f aca="false">IF($A1502="","",MONTH($A1502))</f>
        <v/>
      </c>
      <c r="P1502" s="35" t="str">
        <f aca="false">IF($A1502="","",ROUNDUP(MONTH($A1502)/3,0))</f>
        <v/>
      </c>
      <c r="Q1502" s="35" t="str">
        <f aca="false">IF($A1502="","",IF(MONTH($A1502)&lt;=6,1,2))</f>
        <v/>
      </c>
      <c r="R1502" s="35" t="str">
        <f aca="false">IF($E1502="","",IFERROR(INDEX(Kontenplan!$F$5:$F$90,MATCH($E1502,Kontenplan!$A$5:$A$90,0)),""))</f>
        <v/>
      </c>
      <c r="S1502" s="35" t="str">
        <f aca="false">IF($D1502="","",IFERROR(INDEX(Kontenplan!$F$5:$F$90,MATCH($D1502,Kontenplan!$A$5:$A$90,0)),""))</f>
        <v/>
      </c>
      <c r="T1502" s="35" t="str">
        <f aca="false">IF($D1502="","",IFERROR(INDEX(Kontenplan!$C$5:$C$90,MATCH($D1502,Kontenplan!$A$5:$A$90,0)),"?"))</f>
        <v/>
      </c>
      <c r="U1502" s="35" t="str">
        <f aca="false">IF($E1502="","",IFERROR(INDEX(Kontenplan!$C$5:$C$90,MATCH($E1502,Kontenplan!$A$5:$A$90,0)),"?"))</f>
        <v/>
      </c>
      <c r="V1502" s="35" t="str">
        <f aca="false">IF($F1502="","",IF(OR($D1502="",$E1502="",$T1502="?",$U1502="?"),"Konto prüfen!",IF($A1502="","Datum fehlt",IF(YEAR($A1502)&lt;&gt;Einstellungen!$B$7,"anderes Jahr!",IF($G1502="","MWST-Code fehlt","OK")))))</f>
        <v/>
      </c>
      <c r="W1502" s="35" t="str">
        <f aca="false">IF($F1502="","",IF(OR($D1502=Kontoauszug!$C$4,$E1502=Kontoauszug!$C$4),MAX(W$4:W1501)+1,""))</f>
        <v/>
      </c>
    </row>
    <row r="1503" customFormat="false" ht="15" hidden="false" customHeight="false" outlineLevel="0" collapsed="false">
      <c r="A1503" s="33"/>
      <c r="B1503" s="32"/>
      <c r="C1503" s="32"/>
      <c r="D1503" s="32"/>
      <c r="E1503" s="32"/>
      <c r="F1503" s="30"/>
      <c r="G1503" s="32"/>
      <c r="H1503" s="34" t="n">
        <f aca="false">IF($G1503="",0,IFERROR(INDEX(Einstellungen!$G$5:$G$11,MATCH($G1503,Einstellungen!$E$5:$E$11,0)),0))</f>
        <v>0</v>
      </c>
      <c r="I1503" s="35" t="str">
        <f aca="false">IF($G1503="","-",IFERROR(INDEX(Einstellungen!$H$5:$H$11,MATCH($G1503,Einstellungen!$E$5:$E$11,0)),"-"))</f>
        <v>-</v>
      </c>
      <c r="J1503" s="35" t="str">
        <f aca="false">IF(AND(Einstellungen!$B$8="Ja",Einstellungen!$B$9="Effektiv"),$I1503,"-")</f>
        <v>-</v>
      </c>
      <c r="K1503" s="31" t="n">
        <f aca="false">IF(OR($F1503="",$J1503="-"),0,ROUND($F1503-$F1503/(1+$H1503),2))</f>
        <v>0</v>
      </c>
      <c r="L1503" s="31" t="n">
        <f aca="false">IF($F1503="",0,$F1503-$K1503)</f>
        <v>0</v>
      </c>
      <c r="M1503" s="31" t="n">
        <f aca="false">IF($F1503="",0,IF($J1503="V",$L1503,$F1503))</f>
        <v>0</v>
      </c>
      <c r="N1503" s="31" t="n">
        <f aca="false">IF($F1503="",0,IF($J1503="U",$L1503,$F1503))</f>
        <v>0</v>
      </c>
      <c r="O1503" s="35" t="str">
        <f aca="false">IF($A1503="","",MONTH($A1503))</f>
        <v/>
      </c>
      <c r="P1503" s="35" t="str">
        <f aca="false">IF($A1503="","",ROUNDUP(MONTH($A1503)/3,0))</f>
        <v/>
      </c>
      <c r="Q1503" s="35" t="str">
        <f aca="false">IF($A1503="","",IF(MONTH($A1503)&lt;=6,1,2))</f>
        <v/>
      </c>
      <c r="R1503" s="35" t="str">
        <f aca="false">IF($E1503="","",IFERROR(INDEX(Kontenplan!$F$5:$F$90,MATCH($E1503,Kontenplan!$A$5:$A$90,0)),""))</f>
        <v/>
      </c>
      <c r="S1503" s="35" t="str">
        <f aca="false">IF($D1503="","",IFERROR(INDEX(Kontenplan!$F$5:$F$90,MATCH($D1503,Kontenplan!$A$5:$A$90,0)),""))</f>
        <v/>
      </c>
      <c r="T1503" s="35" t="str">
        <f aca="false">IF($D1503="","",IFERROR(INDEX(Kontenplan!$C$5:$C$90,MATCH($D1503,Kontenplan!$A$5:$A$90,0)),"?"))</f>
        <v/>
      </c>
      <c r="U1503" s="35" t="str">
        <f aca="false">IF($E1503="","",IFERROR(INDEX(Kontenplan!$C$5:$C$90,MATCH($E1503,Kontenplan!$A$5:$A$90,0)),"?"))</f>
        <v/>
      </c>
      <c r="V1503" s="35" t="str">
        <f aca="false">IF($F1503="","",IF(OR($D1503="",$E1503="",$T1503="?",$U1503="?"),"Konto prüfen!",IF($A1503="","Datum fehlt",IF(YEAR($A1503)&lt;&gt;Einstellungen!$B$7,"anderes Jahr!",IF($G1503="","MWST-Code fehlt","OK")))))</f>
        <v/>
      </c>
      <c r="W1503" s="35" t="str">
        <f aca="false">IF($F1503="","",IF(OR($D1503=Kontoauszug!$C$4,$E1503=Kontoauszug!$C$4),MAX(W$4:W1502)+1,""))</f>
        <v/>
      </c>
    </row>
    <row r="1504" customFormat="false" ht="15" hidden="false" customHeight="false" outlineLevel="0" collapsed="false">
      <c r="A1504" s="33"/>
      <c r="B1504" s="32"/>
      <c r="C1504" s="32"/>
      <c r="D1504" s="32"/>
      <c r="E1504" s="32"/>
      <c r="F1504" s="30"/>
      <c r="G1504" s="32"/>
      <c r="H1504" s="34" t="n">
        <f aca="false">IF($G1504="",0,IFERROR(INDEX(Einstellungen!$G$5:$G$11,MATCH($G1504,Einstellungen!$E$5:$E$11,0)),0))</f>
        <v>0</v>
      </c>
      <c r="I1504" s="35" t="str">
        <f aca="false">IF($G1504="","-",IFERROR(INDEX(Einstellungen!$H$5:$H$11,MATCH($G1504,Einstellungen!$E$5:$E$11,0)),"-"))</f>
        <v>-</v>
      </c>
      <c r="J1504" s="35" t="str">
        <f aca="false">IF(AND(Einstellungen!$B$8="Ja",Einstellungen!$B$9="Effektiv"),$I1504,"-")</f>
        <v>-</v>
      </c>
      <c r="K1504" s="31" t="n">
        <f aca="false">IF(OR($F1504="",$J1504="-"),0,ROUND($F1504-$F1504/(1+$H1504),2))</f>
        <v>0</v>
      </c>
      <c r="L1504" s="31" t="n">
        <f aca="false">IF($F1504="",0,$F1504-$K1504)</f>
        <v>0</v>
      </c>
      <c r="M1504" s="31" t="n">
        <f aca="false">IF($F1504="",0,IF($J1504="V",$L1504,$F1504))</f>
        <v>0</v>
      </c>
      <c r="N1504" s="31" t="n">
        <f aca="false">IF($F1504="",0,IF($J1504="U",$L1504,$F1504))</f>
        <v>0</v>
      </c>
      <c r="O1504" s="35" t="str">
        <f aca="false">IF($A1504="","",MONTH($A1504))</f>
        <v/>
      </c>
      <c r="P1504" s="35" t="str">
        <f aca="false">IF($A1504="","",ROUNDUP(MONTH($A1504)/3,0))</f>
        <v/>
      </c>
      <c r="Q1504" s="35" t="str">
        <f aca="false">IF($A1504="","",IF(MONTH($A1504)&lt;=6,1,2))</f>
        <v/>
      </c>
      <c r="R1504" s="35" t="str">
        <f aca="false">IF($E1504="","",IFERROR(INDEX(Kontenplan!$F$5:$F$90,MATCH($E1504,Kontenplan!$A$5:$A$90,0)),""))</f>
        <v/>
      </c>
      <c r="S1504" s="35" t="str">
        <f aca="false">IF($D1504="","",IFERROR(INDEX(Kontenplan!$F$5:$F$90,MATCH($D1504,Kontenplan!$A$5:$A$90,0)),""))</f>
        <v/>
      </c>
      <c r="T1504" s="35" t="str">
        <f aca="false">IF($D1504="","",IFERROR(INDEX(Kontenplan!$C$5:$C$90,MATCH($D1504,Kontenplan!$A$5:$A$90,0)),"?"))</f>
        <v/>
      </c>
      <c r="U1504" s="35" t="str">
        <f aca="false">IF($E1504="","",IFERROR(INDEX(Kontenplan!$C$5:$C$90,MATCH($E1504,Kontenplan!$A$5:$A$90,0)),"?"))</f>
        <v/>
      </c>
      <c r="V1504" s="35" t="str">
        <f aca="false">IF($F1504="","",IF(OR($D1504="",$E1504="",$T1504="?",$U1504="?"),"Konto prüfen!",IF($A1504="","Datum fehlt",IF(YEAR($A1504)&lt;&gt;Einstellungen!$B$7,"anderes Jahr!",IF($G1504="","MWST-Code fehlt","OK")))))</f>
        <v/>
      </c>
      <c r="W1504" s="35" t="str">
        <f aca="false">IF($F1504="","",IF(OR($D1504=Kontoauszug!$C$4,$E1504=Kontoauszug!$C$4),MAX(W$4:W1503)+1,""))</f>
        <v/>
      </c>
    </row>
  </sheetData>
  <autoFilter ref="A4:W1504"/>
  <dataValidations count="2">
    <dataValidation allowBlank="true" errorStyle="stop" operator="between" showDropDown="false" showErrorMessage="false" showInputMessage="false" sqref="D5:E1504" type="list">
      <formula1>Kontenplan!$A$5:$A$90</formula1>
      <formula2>0</formula2>
    </dataValidation>
    <dataValidation allowBlank="true" errorStyle="stop" operator="between" showDropDown="false" showErrorMessage="false" showInputMessage="false" sqref="G5:G1504" type="list">
      <formula1>Einstellungen!$E$5:$E$11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F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8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1" t="s">
        <v>393</v>
      </c>
    </row>
    <row r="2" customFormat="false" ht="15" hidden="false" customHeight="false" outlineLevel="0" collapsed="false">
      <c r="A2" s="2" t="s">
        <v>394</v>
      </c>
    </row>
    <row r="4" customFormat="false" ht="31.5" hidden="false" customHeight="true" outlineLevel="0" collapsed="false">
      <c r="A4" s="10" t="s">
        <v>250</v>
      </c>
      <c r="B4" s="10" t="s">
        <v>395</v>
      </c>
      <c r="C4" s="10" t="s">
        <v>396</v>
      </c>
      <c r="D4" s="10" t="s">
        <v>397</v>
      </c>
      <c r="E4" s="10" t="s">
        <v>398</v>
      </c>
      <c r="F4" s="10" t="s">
        <v>399</v>
      </c>
    </row>
    <row r="5" customFormat="false" ht="15" hidden="false" customHeight="false" outlineLevel="0" collapsed="false">
      <c r="A5" s="36" t="s">
        <v>400</v>
      </c>
    </row>
    <row r="6" customFormat="false" ht="15" hidden="false" customHeight="false" outlineLevel="0" collapsed="false">
      <c r="A6" s="0" t="n">
        <v>3000</v>
      </c>
      <c r="B6" s="0" t="s">
        <v>295</v>
      </c>
      <c r="C6" s="31" t="n">
        <f aca="false">SUMIF(Kontenplan!$A$5:$A$90,A6,Kontenplan!$K$5:$K$90)</f>
        <v>1621.5</v>
      </c>
      <c r="D6" s="34" t="n">
        <f aca="false">IF($C$17=0,"",C6/$C$17)</f>
        <v>0.0884484617931555</v>
      </c>
      <c r="E6" s="30"/>
      <c r="F6" s="31" t="str">
        <f aca="false">IF(E6="","",C6-E6)</f>
        <v/>
      </c>
    </row>
    <row r="7" customFormat="false" ht="15" hidden="false" customHeight="false" outlineLevel="0" collapsed="false">
      <c r="A7" s="0" t="n">
        <v>3010</v>
      </c>
      <c r="B7" s="0" t="s">
        <v>299</v>
      </c>
      <c r="C7" s="31" t="n">
        <f aca="false">SUMIF(Kontenplan!$A$5:$A$90,A7,Kontenplan!$K$5:$K$90)</f>
        <v>0</v>
      </c>
      <c r="D7" s="34" t="n">
        <f aca="false">IF($C$17=0,"",C7/$C$17)</f>
        <v>0</v>
      </c>
      <c r="E7" s="30"/>
      <c r="F7" s="31" t="str">
        <f aca="false">IF(E7="","",C7-E7)</f>
        <v/>
      </c>
    </row>
    <row r="8" customFormat="false" ht="15" hidden="false" customHeight="false" outlineLevel="0" collapsed="false">
      <c r="A8" s="0" t="n">
        <v>3200</v>
      </c>
      <c r="B8" s="0" t="s">
        <v>300</v>
      </c>
      <c r="C8" s="31" t="n">
        <f aca="false">SUMIF(Kontenplan!$A$5:$A$90,A8,Kontenplan!$K$5:$K$90)</f>
        <v>864.8</v>
      </c>
      <c r="D8" s="34" t="n">
        <f aca="false">IF($C$17=0,"",C8/$C$17)</f>
        <v>0.0471725129563496</v>
      </c>
      <c r="E8" s="30"/>
      <c r="F8" s="31" t="str">
        <f aca="false">IF(E8="","",C8-E8)</f>
        <v/>
      </c>
    </row>
    <row r="9" customFormat="false" ht="15" hidden="false" customHeight="false" outlineLevel="0" collapsed="false">
      <c r="A9" s="0" t="n">
        <v>3210</v>
      </c>
      <c r="B9" s="0" t="s">
        <v>302</v>
      </c>
      <c r="C9" s="31" t="n">
        <f aca="false">SUMIF(Kontenplan!$A$5:$A$90,A9,Kontenplan!$K$5:$K$90)</f>
        <v>120</v>
      </c>
      <c r="D9" s="34" t="n">
        <f aca="false">IF($C$17=0,"",C9/$C$17)</f>
        <v>0.00654567709847589</v>
      </c>
      <c r="E9" s="30"/>
      <c r="F9" s="31" t="str">
        <f aca="false">IF(E9="","",C9-E9)</f>
        <v/>
      </c>
    </row>
    <row r="10" customFormat="false" ht="15" hidden="false" customHeight="false" outlineLevel="0" collapsed="false">
      <c r="A10" s="0" t="n">
        <v>3400</v>
      </c>
      <c r="B10" s="0" t="s">
        <v>303</v>
      </c>
      <c r="C10" s="31" t="n">
        <f aca="false">SUMIF(Kontenplan!$A$5:$A$90,A10,Kontenplan!$K$5:$K$90)</f>
        <v>15900</v>
      </c>
      <c r="D10" s="34" t="n">
        <f aca="false">IF($C$17=0,"",C10/$C$17)</f>
        <v>0.867302215548056</v>
      </c>
      <c r="E10" s="30"/>
      <c r="F10" s="31" t="str">
        <f aca="false">IF(E10="","",C10-E10)</f>
        <v/>
      </c>
    </row>
    <row r="11" customFormat="false" ht="15" hidden="false" customHeight="false" outlineLevel="0" collapsed="false">
      <c r="A11" s="0" t="n">
        <v>3410</v>
      </c>
      <c r="B11" s="0" t="s">
        <v>304</v>
      </c>
      <c r="C11" s="31" t="n">
        <f aca="false">SUMIF(Kontenplan!$A$5:$A$90,A11,Kontenplan!$K$5:$K$90)</f>
        <v>0</v>
      </c>
      <c r="D11" s="34" t="n">
        <f aca="false">IF($C$17=0,"",C11/$C$17)</f>
        <v>0</v>
      </c>
      <c r="E11" s="30"/>
      <c r="F11" s="31" t="str">
        <f aca="false">IF(E11="","",C11-E11)</f>
        <v/>
      </c>
    </row>
    <row r="12" customFormat="false" ht="15" hidden="false" customHeight="false" outlineLevel="0" collapsed="false">
      <c r="A12" s="0" t="n">
        <v>3600</v>
      </c>
      <c r="B12" s="0" t="s">
        <v>305</v>
      </c>
      <c r="C12" s="31" t="n">
        <f aca="false">SUMIF(Kontenplan!$A$5:$A$90,A12,Kontenplan!$K$5:$K$90)</f>
        <v>0</v>
      </c>
      <c r="D12" s="34" t="n">
        <f aca="false">IF($C$17=0,"",C12/$C$17)</f>
        <v>0</v>
      </c>
      <c r="E12" s="30"/>
      <c r="F12" s="31" t="str">
        <f aca="false">IF(E12="","",C12-E12)</f>
        <v/>
      </c>
    </row>
    <row r="13" customFormat="false" ht="15" hidden="false" customHeight="false" outlineLevel="0" collapsed="false">
      <c r="A13" s="0" t="n">
        <v>3800</v>
      </c>
      <c r="B13" s="0" t="s">
        <v>307</v>
      </c>
      <c r="C13" s="31" t="n">
        <f aca="false">SUMIF(Kontenplan!$A$5:$A$90,A13,Kontenplan!$K$5:$K$90)</f>
        <v>0</v>
      </c>
      <c r="D13" s="34" t="n">
        <f aca="false">IF($C$17=0,"",C13/$C$17)</f>
        <v>0</v>
      </c>
      <c r="E13" s="30"/>
      <c r="F13" s="31" t="str">
        <f aca="false">IF(E13="","",C13-E13)</f>
        <v/>
      </c>
    </row>
    <row r="14" customFormat="false" ht="15" hidden="false" customHeight="false" outlineLevel="0" collapsed="false">
      <c r="A14" s="0" t="n">
        <v>3805</v>
      </c>
      <c r="B14" s="0" t="s">
        <v>308</v>
      </c>
      <c r="C14" s="31" t="n">
        <f aca="false">SUMIF(Kontenplan!$A$5:$A$90,A14,Kontenplan!$K$5:$K$90)</f>
        <v>0</v>
      </c>
      <c r="D14" s="34" t="n">
        <f aca="false">IF($C$17=0,"",C14/$C$17)</f>
        <v>0</v>
      </c>
      <c r="E14" s="30"/>
      <c r="F14" s="31" t="str">
        <f aca="false">IF(E14="","",C14-E14)</f>
        <v/>
      </c>
    </row>
    <row r="15" customFormat="false" ht="15" hidden="false" customHeight="false" outlineLevel="0" collapsed="false">
      <c r="A15" s="0" t="n">
        <v>3809</v>
      </c>
      <c r="B15" s="0" t="s">
        <v>309</v>
      </c>
      <c r="C15" s="31" t="n">
        <f aca="false">SUMIF(Kontenplan!$A$5:$A$90,A15,Kontenplan!$K$5:$K$90)</f>
        <v>-173.59</v>
      </c>
      <c r="D15" s="34" t="n">
        <f aca="false">IF($C$17=0,"",C15/$C$17)</f>
        <v>-0.00946886739603692</v>
      </c>
      <c r="E15" s="30"/>
      <c r="F15" s="31" t="str">
        <f aca="false">IF(E15="","",C15-E15)</f>
        <v/>
      </c>
    </row>
    <row r="16" customFormat="false" ht="15" hidden="false" customHeight="false" outlineLevel="0" collapsed="false">
      <c r="B16" s="37" t="s">
        <v>401</v>
      </c>
      <c r="C16" s="31" t="n">
        <f aca="false">SUMIF(Kontenplan!$D$5:$D$90,"ERT",Kontenplan!$K$5:$K$90)-SUM(C6:C15)</f>
        <v>0</v>
      </c>
      <c r="D16" s="34" t="n">
        <f aca="false">IF($C$17=0,"",C16/$C$17)</f>
        <v>0</v>
      </c>
      <c r="E16" s="30"/>
      <c r="F16" s="31" t="str">
        <f aca="false">IF(E16="","",C16-E16)</f>
        <v/>
      </c>
    </row>
    <row r="17" customFormat="false" ht="15" hidden="false" customHeight="false" outlineLevel="0" collapsed="false">
      <c r="B17" s="4" t="s">
        <v>402</v>
      </c>
      <c r="C17" s="12" t="n">
        <f aca="false">SUM(C6:C16)</f>
        <v>18332.71</v>
      </c>
      <c r="D17" s="34" t="n">
        <f aca="false">IF($C$17=0,"",C17/$C$17)</f>
        <v>1</v>
      </c>
      <c r="E17" s="30"/>
      <c r="F17" s="31" t="str">
        <f aca="false">IF(E17="","",C17-E17)</f>
        <v/>
      </c>
    </row>
    <row r="19" customFormat="false" ht="15" hidden="false" customHeight="false" outlineLevel="0" collapsed="false">
      <c r="A19" s="36" t="s">
        <v>403</v>
      </c>
    </row>
    <row r="20" customFormat="false" ht="15" hidden="false" customHeight="false" outlineLevel="0" collapsed="false">
      <c r="A20" s="0" t="n">
        <v>4000</v>
      </c>
      <c r="B20" s="0" t="s">
        <v>310</v>
      </c>
      <c r="C20" s="31" t="n">
        <f aca="false">-SUMIF(Kontenplan!$A$5:$A$90,A20,Kontenplan!$K$5:$K$90)</f>
        <v>-1297.2</v>
      </c>
      <c r="D20" s="34" t="n">
        <f aca="false">IF($C$17=0,"",C20/$C$17)</f>
        <v>-0.0707587694345244</v>
      </c>
      <c r="E20" s="30"/>
      <c r="F20" s="31" t="str">
        <f aca="false">IF(E20="","",C20-E20)</f>
        <v/>
      </c>
    </row>
    <row r="21" customFormat="false" ht="15" hidden="false" customHeight="false" outlineLevel="0" collapsed="false">
      <c r="A21" s="0" t="n">
        <v>4010</v>
      </c>
      <c r="B21" s="0" t="s">
        <v>312</v>
      </c>
      <c r="C21" s="31" t="n">
        <f aca="false">-SUMIF(Kontenplan!$A$5:$A$90,A21,Kontenplan!$K$5:$K$90)</f>
        <v>-0</v>
      </c>
      <c r="D21" s="34" t="n">
        <f aca="false">IF($C$17=0,"",C21/$C$17)</f>
        <v>-0</v>
      </c>
      <c r="E21" s="30"/>
      <c r="F21" s="31" t="str">
        <f aca="false">IF(E21="","",C21-E21)</f>
        <v/>
      </c>
    </row>
    <row r="22" customFormat="false" ht="15" hidden="false" customHeight="false" outlineLevel="0" collapsed="false">
      <c r="A22" s="0" t="n">
        <v>4200</v>
      </c>
      <c r="B22" s="0" t="s">
        <v>313</v>
      </c>
      <c r="C22" s="31" t="n">
        <f aca="false">-SUMIF(Kontenplan!$A$5:$A$90,A22,Kontenplan!$K$5:$K$90)</f>
        <v>-12000</v>
      </c>
      <c r="D22" s="34" t="n">
        <f aca="false">IF($C$17=0,"",C22/$C$17)</f>
        <v>-0.654567709847589</v>
      </c>
      <c r="E22" s="30"/>
      <c r="F22" s="31" t="str">
        <f aca="false">IF(E22="","",C22-E22)</f>
        <v/>
      </c>
    </row>
    <row r="23" customFormat="false" ht="15" hidden="false" customHeight="false" outlineLevel="0" collapsed="false">
      <c r="A23" s="0" t="n">
        <v>4210</v>
      </c>
      <c r="B23" s="0" t="s">
        <v>314</v>
      </c>
      <c r="C23" s="31" t="n">
        <f aca="false">-SUMIF(Kontenplan!$A$5:$A$90,A23,Kontenplan!$K$5:$K$90)</f>
        <v>-0</v>
      </c>
      <c r="D23" s="34" t="n">
        <f aca="false">IF($C$17=0,"",C23/$C$17)</f>
        <v>-0</v>
      </c>
      <c r="E23" s="30"/>
      <c r="F23" s="31" t="str">
        <f aca="false">IF(E23="","",C23-E23)</f>
        <v/>
      </c>
    </row>
    <row r="24" customFormat="false" ht="15" hidden="false" customHeight="false" outlineLevel="0" collapsed="false">
      <c r="A24" s="0" t="n">
        <v>4400</v>
      </c>
      <c r="B24" s="0" t="s">
        <v>315</v>
      </c>
      <c r="C24" s="31" t="n">
        <f aca="false">-SUMIF(Kontenplan!$A$5:$A$90,A24,Kontenplan!$K$5:$K$90)</f>
        <v>-0</v>
      </c>
      <c r="D24" s="34" t="n">
        <f aca="false">IF($C$17=0,"",C24/$C$17)</f>
        <v>-0</v>
      </c>
      <c r="E24" s="30"/>
      <c r="F24" s="31" t="str">
        <f aca="false">IF(E24="","",C24-E24)</f>
        <v/>
      </c>
    </row>
    <row r="25" customFormat="false" ht="15" hidden="false" customHeight="false" outlineLevel="0" collapsed="false">
      <c r="A25" s="0" t="n">
        <v>4500</v>
      </c>
      <c r="B25" s="0" t="s">
        <v>316</v>
      </c>
      <c r="C25" s="31" t="n">
        <f aca="false">-SUMIF(Kontenplan!$A$5:$A$90,A25,Kontenplan!$K$5:$K$90)</f>
        <v>-0</v>
      </c>
      <c r="D25" s="34" t="n">
        <f aca="false">IF($C$17=0,"",C25/$C$17)</f>
        <v>-0</v>
      </c>
      <c r="E25" s="30"/>
      <c r="F25" s="31" t="str">
        <f aca="false">IF(E25="","",C25-E25)</f>
        <v/>
      </c>
    </row>
    <row r="26" customFormat="false" ht="15" hidden="false" customHeight="false" outlineLevel="0" collapsed="false">
      <c r="A26" s="0" t="n">
        <v>4900</v>
      </c>
      <c r="B26" s="0" t="s">
        <v>317</v>
      </c>
      <c r="C26" s="31" t="n">
        <f aca="false">-SUMIF(Kontenplan!$A$5:$A$90,A26,Kontenplan!$K$5:$K$90)</f>
        <v>-0</v>
      </c>
      <c r="D26" s="34" t="n">
        <f aca="false">IF($C$17=0,"",C26/$C$17)</f>
        <v>-0</v>
      </c>
      <c r="E26" s="30"/>
      <c r="F26" s="31" t="str">
        <f aca="false">IF(E26="","",C26-E26)</f>
        <v/>
      </c>
    </row>
    <row r="27" customFormat="false" ht="15" hidden="false" customHeight="false" outlineLevel="0" collapsed="false">
      <c r="B27" s="37" t="s">
        <v>401</v>
      </c>
      <c r="C27" s="31" t="n">
        <f aca="false">-SUMIF(Kontenplan!$D$5:$D$90,"MAT",Kontenplan!$K$5:$K$90)-SUM(C20:C26)</f>
        <v>0</v>
      </c>
      <c r="D27" s="34" t="n">
        <f aca="false">IF($C$17=0,"",C27/$C$17)</f>
        <v>0</v>
      </c>
      <c r="E27" s="30"/>
      <c r="F27" s="31" t="str">
        <f aca="false">IF(E27="","",C27-E27)</f>
        <v/>
      </c>
    </row>
    <row r="28" customFormat="false" ht="15" hidden="false" customHeight="false" outlineLevel="0" collapsed="false">
      <c r="B28" s="4" t="s">
        <v>404</v>
      </c>
      <c r="C28" s="12" t="n">
        <f aca="false">SUM(C20:C27)</f>
        <v>-13297.2</v>
      </c>
      <c r="D28" s="34" t="n">
        <f aca="false">IF($C$17=0,"",C28/$C$17)</f>
        <v>-0.725326479282114</v>
      </c>
      <c r="E28" s="30"/>
      <c r="F28" s="31" t="str">
        <f aca="false">IF(E28="","",C28-E28)</f>
        <v/>
      </c>
    </row>
    <row r="29" customFormat="false" ht="15" hidden="false" customHeight="false" outlineLevel="0" collapsed="false">
      <c r="A29" s="38"/>
      <c r="B29" s="39" t="s">
        <v>405</v>
      </c>
      <c r="C29" s="40" t="n">
        <f aca="false">C17+C28</f>
        <v>5035.51</v>
      </c>
      <c r="D29" s="34" t="n">
        <f aca="false">IF($C$17=0,"",C29/$C$17)</f>
        <v>0.274673520717886</v>
      </c>
      <c r="E29" s="30"/>
      <c r="F29" s="31" t="str">
        <f aca="false">IF(E29="","",C29-E29)</f>
        <v/>
      </c>
    </row>
    <row r="31" customFormat="false" ht="15" hidden="false" customHeight="false" outlineLevel="0" collapsed="false">
      <c r="A31" s="36" t="s">
        <v>406</v>
      </c>
    </row>
    <row r="32" customFormat="false" ht="15" hidden="false" customHeight="false" outlineLevel="0" collapsed="false">
      <c r="A32" s="0" t="n">
        <v>5000</v>
      </c>
      <c r="B32" s="0" t="s">
        <v>318</v>
      </c>
      <c r="C32" s="31" t="n">
        <f aca="false">-SUMIF(Kontenplan!$A$5:$A$90,A32,Kontenplan!$K$5:$K$90)</f>
        <v>-5200</v>
      </c>
      <c r="D32" s="34" t="n">
        <f aca="false">IF($C$17=0,"",C32/$C$17)</f>
        <v>-0.283646007600622</v>
      </c>
      <c r="E32" s="30"/>
      <c r="F32" s="31" t="str">
        <f aca="false">IF(E32="","",C32-E32)</f>
        <v/>
      </c>
    </row>
    <row r="33" customFormat="false" ht="15" hidden="false" customHeight="false" outlineLevel="0" collapsed="false">
      <c r="A33" s="0" t="n">
        <v>5700</v>
      </c>
      <c r="B33" s="0" t="s">
        <v>320</v>
      </c>
      <c r="C33" s="31" t="n">
        <f aca="false">-SUMIF(Kontenplan!$A$5:$A$90,A33,Kontenplan!$K$5:$K$90)</f>
        <v>-780</v>
      </c>
      <c r="D33" s="34" t="n">
        <f aca="false">IF($C$17=0,"",C33/$C$17)</f>
        <v>-0.0425469011400933</v>
      </c>
      <c r="E33" s="30"/>
      <c r="F33" s="31" t="str">
        <f aca="false">IF(E33="","",C33-E33)</f>
        <v/>
      </c>
    </row>
    <row r="34" customFormat="false" ht="15" hidden="false" customHeight="false" outlineLevel="0" collapsed="false">
      <c r="A34" s="0" t="n">
        <v>5800</v>
      </c>
      <c r="B34" s="0" t="s">
        <v>321</v>
      </c>
      <c r="C34" s="31" t="n">
        <f aca="false">-SUMIF(Kontenplan!$A$5:$A$90,A34,Kontenplan!$K$5:$K$90)</f>
        <v>-0</v>
      </c>
      <c r="D34" s="34" t="n">
        <f aca="false">IF($C$17=0,"",C34/$C$17)</f>
        <v>-0</v>
      </c>
      <c r="E34" s="30"/>
      <c r="F34" s="31" t="str">
        <f aca="false">IF(E34="","",C34-E34)</f>
        <v/>
      </c>
    </row>
    <row r="35" customFormat="false" ht="15" hidden="false" customHeight="false" outlineLevel="0" collapsed="false">
      <c r="B35" s="37" t="s">
        <v>401</v>
      </c>
      <c r="C35" s="31" t="n">
        <f aca="false">-SUMIF(Kontenplan!$D$5:$D$90,"PERS",Kontenplan!$K$5:$K$90)-SUM(C32:C34)</f>
        <v>0</v>
      </c>
      <c r="D35" s="34" t="n">
        <f aca="false">IF($C$17=0,"",C35/$C$17)</f>
        <v>0</v>
      </c>
      <c r="E35" s="30"/>
      <c r="F35" s="31" t="str">
        <f aca="false">IF(E35="","",C35-E35)</f>
        <v/>
      </c>
    </row>
    <row r="36" customFormat="false" ht="15" hidden="false" customHeight="false" outlineLevel="0" collapsed="false">
      <c r="B36" s="4" t="s">
        <v>407</v>
      </c>
      <c r="C36" s="12" t="n">
        <f aca="false">SUM(C32:C35)</f>
        <v>-5980</v>
      </c>
      <c r="D36" s="34" t="n">
        <f aca="false">IF($C$17=0,"",C36/$C$17)</f>
        <v>-0.326192908740715</v>
      </c>
      <c r="E36" s="30"/>
      <c r="F36" s="31" t="str">
        <f aca="false">IF(E36="","",C36-E36)</f>
        <v/>
      </c>
    </row>
    <row r="37" customFormat="false" ht="15" hidden="false" customHeight="false" outlineLevel="0" collapsed="false">
      <c r="A37" s="38"/>
      <c r="B37" s="39" t="s">
        <v>408</v>
      </c>
      <c r="C37" s="40" t="n">
        <f aca="false">C29+C36</f>
        <v>-944.490000000002</v>
      </c>
      <c r="D37" s="34" t="n">
        <f aca="false">IF($C$17=0,"",C37/$C$17)</f>
        <v>-0.0515193880228292</v>
      </c>
      <c r="E37" s="30"/>
      <c r="F37" s="31" t="str">
        <f aca="false">IF(E37="","",C37-E37)</f>
        <v/>
      </c>
    </row>
    <row r="39" customFormat="false" ht="15" hidden="false" customHeight="false" outlineLevel="0" collapsed="false">
      <c r="A39" s="36" t="s">
        <v>409</v>
      </c>
    </row>
    <row r="40" customFormat="false" ht="15" hidden="false" customHeight="false" outlineLevel="0" collapsed="false">
      <c r="A40" s="0" t="n">
        <v>6000</v>
      </c>
      <c r="B40" s="0" t="s">
        <v>322</v>
      </c>
      <c r="C40" s="31" t="n">
        <f aca="false">-SUMIF(Kontenplan!$A$5:$A$90,A40,Kontenplan!$K$5:$K$90)</f>
        <v>-3500</v>
      </c>
      <c r="D40" s="34" t="n">
        <f aca="false">IF($C$17=0,"",C40/$C$17)</f>
        <v>-0.19091558203888</v>
      </c>
      <c r="E40" s="30"/>
      <c r="F40" s="31" t="str">
        <f aca="false">IF(E40="","",C40-E40)</f>
        <v/>
      </c>
    </row>
    <row r="41" customFormat="false" ht="15" hidden="false" customHeight="false" outlineLevel="0" collapsed="false">
      <c r="A41" s="0" t="n">
        <v>6100</v>
      </c>
      <c r="B41" s="0" t="s">
        <v>324</v>
      </c>
      <c r="C41" s="31" t="n">
        <f aca="false">-SUMIF(Kontenplan!$A$5:$A$90,A41,Kontenplan!$K$5:$K$90)</f>
        <v>-0</v>
      </c>
      <c r="D41" s="34" t="n">
        <f aca="false">IF($C$17=0,"",C41/$C$17)</f>
        <v>-0</v>
      </c>
      <c r="E41" s="30"/>
      <c r="F41" s="31" t="str">
        <f aca="false">IF(E41="","",C41-E41)</f>
        <v/>
      </c>
    </row>
    <row r="42" customFormat="false" ht="15" hidden="false" customHeight="false" outlineLevel="0" collapsed="false">
      <c r="A42" s="0" t="n">
        <v>6200</v>
      </c>
      <c r="B42" s="0" t="s">
        <v>325</v>
      </c>
      <c r="C42" s="31" t="n">
        <f aca="false">-SUMIF(Kontenplan!$A$5:$A$90,A42,Kontenplan!$K$5:$K$90)</f>
        <v>-0</v>
      </c>
      <c r="D42" s="34" t="n">
        <f aca="false">IF($C$17=0,"",C42/$C$17)</f>
        <v>-0</v>
      </c>
      <c r="E42" s="30"/>
      <c r="F42" s="31" t="str">
        <f aca="false">IF(E42="","",C42-E42)</f>
        <v/>
      </c>
    </row>
    <row r="43" customFormat="false" ht="15" hidden="false" customHeight="false" outlineLevel="0" collapsed="false">
      <c r="A43" s="0" t="n">
        <v>6300</v>
      </c>
      <c r="B43" s="0" t="s">
        <v>326</v>
      </c>
      <c r="C43" s="31" t="n">
        <f aca="false">-SUMIF(Kontenplan!$A$5:$A$90,A43,Kontenplan!$K$5:$K$90)</f>
        <v>-2400</v>
      </c>
      <c r="D43" s="34" t="n">
        <f aca="false">IF($C$17=0,"",C43/$C$17)</f>
        <v>-0.130913541969518</v>
      </c>
      <c r="E43" s="30"/>
      <c r="F43" s="31" t="str">
        <f aca="false">IF(E43="","",C43-E43)</f>
        <v/>
      </c>
    </row>
    <row r="44" customFormat="false" ht="15" hidden="false" customHeight="false" outlineLevel="0" collapsed="false">
      <c r="A44" s="0" t="n">
        <v>6400</v>
      </c>
      <c r="B44" s="0" t="s">
        <v>327</v>
      </c>
      <c r="C44" s="31" t="n">
        <f aca="false">-SUMIF(Kontenplan!$A$5:$A$90,A44,Kontenplan!$K$5:$K$90)</f>
        <v>-486.6</v>
      </c>
      <c r="D44" s="34" t="n">
        <f aca="false">IF($C$17=0,"",C44/$C$17)</f>
        <v>-0.0265427206343198</v>
      </c>
      <c r="E44" s="30"/>
      <c r="F44" s="31" t="str">
        <f aca="false">IF(E44="","",C44-E44)</f>
        <v/>
      </c>
    </row>
    <row r="45" customFormat="false" ht="15" hidden="false" customHeight="false" outlineLevel="0" collapsed="false">
      <c r="A45" s="0" t="n">
        <v>6500</v>
      </c>
      <c r="B45" s="0" t="s">
        <v>328</v>
      </c>
      <c r="C45" s="31" t="n">
        <f aca="false">-SUMIF(Kontenplan!$A$5:$A$90,A45,Kontenplan!$K$5:$K$90)</f>
        <v>-0</v>
      </c>
      <c r="D45" s="34" t="n">
        <f aca="false">IF($C$17=0,"",C45/$C$17)</f>
        <v>-0</v>
      </c>
      <c r="E45" s="30"/>
      <c r="F45" s="31" t="str">
        <f aca="false">IF(E45="","",C45-E45)</f>
        <v/>
      </c>
    </row>
    <row r="46" customFormat="false" ht="15" hidden="false" customHeight="false" outlineLevel="0" collapsed="false">
      <c r="A46" s="0" t="n">
        <v>6600</v>
      </c>
      <c r="B46" s="0" t="s">
        <v>329</v>
      </c>
      <c r="C46" s="31" t="n">
        <f aca="false">-SUMIF(Kontenplan!$A$5:$A$90,A46,Kontenplan!$K$5:$K$90)</f>
        <v>-540</v>
      </c>
      <c r="D46" s="34" t="n">
        <f aca="false">IF($C$17=0,"",C46/$C$17)</f>
        <v>-0.0294555469431415</v>
      </c>
      <c r="E46" s="30"/>
      <c r="F46" s="31" t="str">
        <f aca="false">IF(E46="","",C46-E46)</f>
        <v/>
      </c>
    </row>
    <row r="47" customFormat="false" ht="15" hidden="false" customHeight="false" outlineLevel="0" collapsed="false">
      <c r="A47" s="0" t="n">
        <v>6700</v>
      </c>
      <c r="B47" s="0" t="s">
        <v>330</v>
      </c>
      <c r="C47" s="31" t="n">
        <f aca="false">-SUMIF(Kontenplan!$A$5:$A$90,A47,Kontenplan!$K$5:$K$90)</f>
        <v>-0</v>
      </c>
      <c r="D47" s="34" t="n">
        <f aca="false">IF($C$17=0,"",C47/$C$17)</f>
        <v>-0</v>
      </c>
      <c r="E47" s="30"/>
      <c r="F47" s="31" t="str">
        <f aca="false">IF(E47="","",C47-E47)</f>
        <v/>
      </c>
    </row>
    <row r="48" customFormat="false" ht="15" hidden="false" customHeight="false" outlineLevel="0" collapsed="false">
      <c r="B48" s="37" t="s">
        <v>401</v>
      </c>
      <c r="C48" s="31" t="n">
        <f aca="false">-SUMIF(Kontenplan!$D$5:$D$90,"BA",Kontenplan!$K$5:$K$90)-SUM(C40:C47)</f>
        <v>0</v>
      </c>
      <c r="D48" s="34" t="n">
        <f aca="false">IF($C$17=0,"",C48/$C$17)</f>
        <v>0</v>
      </c>
      <c r="E48" s="30"/>
      <c r="F48" s="31" t="str">
        <f aca="false">IF(E48="","",C48-E48)</f>
        <v/>
      </c>
    </row>
    <row r="49" customFormat="false" ht="15" hidden="false" customHeight="false" outlineLevel="0" collapsed="false">
      <c r="B49" s="4" t="s">
        <v>410</v>
      </c>
      <c r="C49" s="12" t="n">
        <f aca="false">SUM(C40:C48)</f>
        <v>-6926.6</v>
      </c>
      <c r="D49" s="34" t="n">
        <f aca="false">IF($C$17=0,"",C49/$C$17)</f>
        <v>-0.377827391585859</v>
      </c>
      <c r="E49" s="30"/>
      <c r="F49" s="31" t="str">
        <f aca="false">IF(E49="","",C49-E49)</f>
        <v/>
      </c>
    </row>
    <row r="50" customFormat="false" ht="15" hidden="false" customHeight="false" outlineLevel="0" collapsed="false">
      <c r="A50" s="38"/>
      <c r="B50" s="39" t="s">
        <v>411</v>
      </c>
      <c r="C50" s="40" t="n">
        <f aca="false">C37+C49</f>
        <v>-7871.09</v>
      </c>
      <c r="D50" s="34" t="n">
        <f aca="false">IF($C$17=0,"",C50/$C$17)</f>
        <v>-0.429346779608689</v>
      </c>
      <c r="E50" s="30"/>
      <c r="F50" s="31" t="str">
        <f aca="false">IF(E50="","",C50-E50)</f>
        <v/>
      </c>
    </row>
    <row r="52" customFormat="false" ht="15" hidden="false" customHeight="false" outlineLevel="0" collapsed="false">
      <c r="A52" s="36" t="s">
        <v>412</v>
      </c>
    </row>
    <row r="53" customFormat="false" ht="15" hidden="false" customHeight="false" outlineLevel="0" collapsed="false">
      <c r="A53" s="0" t="n">
        <v>6800</v>
      </c>
      <c r="B53" s="0" t="s">
        <v>331</v>
      </c>
      <c r="C53" s="31" t="n">
        <f aca="false">-SUMIF(Kontenplan!$A$5:$A$90,A53,Kontenplan!$K$5:$K$90)</f>
        <v>-33400</v>
      </c>
      <c r="D53" s="34" t="n">
        <f aca="false">IF($C$17=0,"",C53/$C$17)</f>
        <v>-1.82188012574246</v>
      </c>
      <c r="E53" s="30"/>
      <c r="F53" s="31" t="str">
        <f aca="false">IF(E53="","",C53-E53)</f>
        <v/>
      </c>
    </row>
    <row r="54" customFormat="false" ht="15" hidden="false" customHeight="false" outlineLevel="0" collapsed="false">
      <c r="B54" s="37" t="s">
        <v>401</v>
      </c>
      <c r="C54" s="31" t="n">
        <f aca="false">-SUMIF(Kontenplan!$D$5:$D$90,"ABS",Kontenplan!$K$5:$K$90)-SUM(C53:C53)</f>
        <v>0</v>
      </c>
      <c r="D54" s="34" t="n">
        <f aca="false">IF($C$17=0,"",C54/$C$17)</f>
        <v>0</v>
      </c>
      <c r="E54" s="30"/>
      <c r="F54" s="31" t="str">
        <f aca="false">IF(E54="","",C54-E54)</f>
        <v/>
      </c>
    </row>
    <row r="55" customFormat="false" ht="15" hidden="false" customHeight="false" outlineLevel="0" collapsed="false">
      <c r="B55" s="4" t="s">
        <v>413</v>
      </c>
      <c r="C55" s="12" t="n">
        <f aca="false">SUM(C53:C54)</f>
        <v>-33400</v>
      </c>
      <c r="D55" s="34" t="n">
        <f aca="false">IF($C$17=0,"",C55/$C$17)</f>
        <v>-1.82188012574246</v>
      </c>
      <c r="E55" s="30"/>
      <c r="F55" s="31" t="str">
        <f aca="false">IF(E55="","",C55-E55)</f>
        <v/>
      </c>
    </row>
    <row r="56" customFormat="false" ht="15" hidden="false" customHeight="false" outlineLevel="0" collapsed="false">
      <c r="A56" s="38"/>
      <c r="B56" s="39" t="s">
        <v>414</v>
      </c>
      <c r="C56" s="40" t="n">
        <f aca="false">C50+C55</f>
        <v>-41271.09</v>
      </c>
      <c r="D56" s="34" t="n">
        <f aca="false">IF($C$17=0,"",C56/$C$17)</f>
        <v>-2.25122690535115</v>
      </c>
      <c r="E56" s="30"/>
      <c r="F56" s="31" t="str">
        <f aca="false">IF(E56="","",C56-E56)</f>
        <v/>
      </c>
    </row>
    <row r="58" customFormat="false" ht="15" hidden="false" customHeight="false" outlineLevel="0" collapsed="false">
      <c r="A58" s="36" t="s">
        <v>415</v>
      </c>
    </row>
    <row r="59" customFormat="false" ht="15" hidden="false" customHeight="false" outlineLevel="0" collapsed="false">
      <c r="A59" s="0" t="n">
        <v>6900</v>
      </c>
      <c r="B59" s="0" t="s">
        <v>333</v>
      </c>
      <c r="C59" s="31" t="n">
        <f aca="false">-SUMIF(Kontenplan!$A$5:$A$90,A59,Kontenplan!$K$5:$K$90)</f>
        <v>-85</v>
      </c>
      <c r="D59" s="34" t="n">
        <f aca="false">IF($C$17=0,"",C59/$C$17)</f>
        <v>-0.00463652127808709</v>
      </c>
      <c r="E59" s="30"/>
      <c r="F59" s="31" t="str">
        <f aca="false">IF(E59="","",C59-E59)</f>
        <v/>
      </c>
    </row>
    <row r="60" customFormat="false" ht="15" hidden="false" customHeight="false" outlineLevel="0" collapsed="false">
      <c r="B60" s="37" t="s">
        <v>401</v>
      </c>
      <c r="C60" s="31" t="n">
        <f aca="false">-SUMIF(Kontenplan!$D$5:$D$90,"FINA",Kontenplan!$K$5:$K$90)-SUM(C59:C59)</f>
        <v>0</v>
      </c>
      <c r="D60" s="34" t="n">
        <f aca="false">IF($C$17=0,"",C60/$C$17)</f>
        <v>0</v>
      </c>
      <c r="E60" s="30"/>
      <c r="F60" s="31" t="str">
        <f aca="false">IF(E60="","",C60-E60)</f>
        <v/>
      </c>
    </row>
    <row r="61" customFormat="false" ht="15" hidden="false" customHeight="false" outlineLevel="0" collapsed="false">
      <c r="B61" s="4" t="s">
        <v>416</v>
      </c>
      <c r="C61" s="12" t="n">
        <f aca="false">SUM(C59:C60)</f>
        <v>-85</v>
      </c>
      <c r="D61" s="34" t="n">
        <f aca="false">IF($C$17=0,"",C61/$C$17)</f>
        <v>-0.00463652127808709</v>
      </c>
      <c r="E61" s="30"/>
      <c r="F61" s="31" t="str">
        <f aca="false">IF(E61="","",C61-E61)</f>
        <v/>
      </c>
    </row>
    <row r="62" customFormat="false" ht="15" hidden="false" customHeight="false" outlineLevel="0" collapsed="false">
      <c r="A62" s="0" t="n">
        <v>6950</v>
      </c>
      <c r="B62" s="0" t="s">
        <v>335</v>
      </c>
      <c r="C62" s="31" t="n">
        <f aca="false">SUMIF(Kontenplan!$A$5:$A$90,A62,Kontenplan!$K$5:$K$90)</f>
        <v>0</v>
      </c>
      <c r="D62" s="34" t="n">
        <f aca="false">IF($C$17=0,"",C62/$C$17)</f>
        <v>0</v>
      </c>
      <c r="E62" s="30"/>
      <c r="F62" s="31" t="str">
        <f aca="false">IF(E62="","",C62-E62)</f>
        <v/>
      </c>
    </row>
    <row r="63" customFormat="false" ht="15" hidden="false" customHeight="false" outlineLevel="0" collapsed="false">
      <c r="B63" s="37" t="s">
        <v>401</v>
      </c>
      <c r="C63" s="31" t="n">
        <f aca="false">SUMIF(Kontenplan!$D$5:$D$90,"FINE",Kontenplan!$K$5:$K$90)-SUM(C62:C62)</f>
        <v>0</v>
      </c>
      <c r="D63" s="34" t="n">
        <f aca="false">IF($C$17=0,"",C63/$C$17)</f>
        <v>0</v>
      </c>
      <c r="E63" s="30"/>
      <c r="F63" s="31" t="str">
        <f aca="false">IF(E63="","",C63-E63)</f>
        <v/>
      </c>
    </row>
    <row r="64" customFormat="false" ht="15" hidden="false" customHeight="false" outlineLevel="0" collapsed="false">
      <c r="B64" s="4" t="s">
        <v>335</v>
      </c>
      <c r="C64" s="12" t="n">
        <f aca="false">SUM(C62:C63)</f>
        <v>0</v>
      </c>
      <c r="D64" s="34" t="n">
        <f aca="false">IF($C$17=0,"",C64/$C$17)</f>
        <v>0</v>
      </c>
      <c r="E64" s="30"/>
      <c r="F64" s="31" t="str">
        <f aca="false">IF(E64="","",C64-E64)</f>
        <v/>
      </c>
    </row>
    <row r="65" customFormat="false" ht="15" hidden="false" customHeight="false" outlineLevel="0" collapsed="false">
      <c r="A65" s="36" t="s">
        <v>417</v>
      </c>
    </row>
    <row r="66" customFormat="false" ht="15" hidden="false" customHeight="false" outlineLevel="0" collapsed="false">
      <c r="A66" s="0" t="n">
        <v>8000</v>
      </c>
      <c r="B66" s="0" t="s">
        <v>337</v>
      </c>
      <c r="C66" s="31" t="n">
        <f aca="false">-SUMIF(Kontenplan!$A$5:$A$90,A66,Kontenplan!$K$5:$K$90)</f>
        <v>-0</v>
      </c>
      <c r="D66" s="34" t="n">
        <f aca="false">IF($C$17=0,"",C66/$C$17)</f>
        <v>-0</v>
      </c>
      <c r="E66" s="30"/>
      <c r="F66" s="31" t="str">
        <f aca="false">IF(E66="","",C66-E66)</f>
        <v/>
      </c>
    </row>
    <row r="67" customFormat="false" ht="15" hidden="false" customHeight="false" outlineLevel="0" collapsed="false">
      <c r="B67" s="37" t="s">
        <v>401</v>
      </c>
      <c r="C67" s="31" t="n">
        <f aca="false">-SUMIF(Kontenplan!$D$5:$D$90,"AO",Kontenplan!$K$5:$K$90)-SUM(C66:C66)</f>
        <v>-0</v>
      </c>
      <c r="D67" s="34" t="n">
        <f aca="false">IF($C$17=0,"",C67/$C$17)</f>
        <v>-0</v>
      </c>
      <c r="E67" s="30"/>
      <c r="F67" s="31" t="str">
        <f aca="false">IF(E67="","",C67-E67)</f>
        <v/>
      </c>
    </row>
    <row r="68" customFormat="false" ht="15" hidden="false" customHeight="false" outlineLevel="0" collapsed="false">
      <c r="B68" s="4" t="s">
        <v>418</v>
      </c>
      <c r="C68" s="12" t="n">
        <f aca="false">SUM(C66:C67)</f>
        <v>0</v>
      </c>
      <c r="D68" s="34" t="n">
        <f aca="false">IF($C$17=0,"",C68/$C$17)</f>
        <v>0</v>
      </c>
      <c r="E68" s="30"/>
      <c r="F68" s="31" t="str">
        <f aca="false">IF(E68="","",C68-E68)</f>
        <v/>
      </c>
    </row>
    <row r="69" customFormat="false" ht="15" hidden="false" customHeight="false" outlineLevel="0" collapsed="false">
      <c r="A69" s="0" t="n">
        <v>8100</v>
      </c>
      <c r="B69" s="0" t="s">
        <v>339</v>
      </c>
      <c r="C69" s="31" t="n">
        <f aca="false">SUMIF(Kontenplan!$A$5:$A$90,A69,Kontenplan!$K$5:$K$90)</f>
        <v>0</v>
      </c>
      <c r="D69" s="34" t="n">
        <f aca="false">IF($C$17=0,"",C69/$C$17)</f>
        <v>0</v>
      </c>
      <c r="E69" s="30"/>
      <c r="F69" s="31" t="str">
        <f aca="false">IF(E69="","",C69-E69)</f>
        <v/>
      </c>
    </row>
    <row r="70" customFormat="false" ht="15" hidden="false" customHeight="false" outlineLevel="0" collapsed="false">
      <c r="B70" s="37" t="s">
        <v>401</v>
      </c>
      <c r="C70" s="31" t="n">
        <f aca="false">SUMIF(Kontenplan!$D$5:$D$90,"AOE",Kontenplan!$K$5:$K$90)-SUM(C69:C69)</f>
        <v>0</v>
      </c>
      <c r="D70" s="34" t="n">
        <f aca="false">IF($C$17=0,"",C70/$C$17)</f>
        <v>0</v>
      </c>
      <c r="E70" s="30"/>
      <c r="F70" s="31" t="str">
        <f aca="false">IF(E70="","",C70-E70)</f>
        <v/>
      </c>
    </row>
    <row r="71" customFormat="false" ht="15" hidden="false" customHeight="false" outlineLevel="0" collapsed="false">
      <c r="B71" s="4" t="s">
        <v>419</v>
      </c>
      <c r="C71" s="12" t="n">
        <f aca="false">SUM(C69:C70)</f>
        <v>0</v>
      </c>
      <c r="D71" s="34" t="n">
        <f aca="false">IF($C$17=0,"",C71/$C$17)</f>
        <v>0</v>
      </c>
      <c r="E71" s="30"/>
      <c r="F71" s="31" t="str">
        <f aca="false">IF(E71="","",C71-E71)</f>
        <v/>
      </c>
    </row>
    <row r="72" customFormat="false" ht="15" hidden="false" customHeight="false" outlineLevel="0" collapsed="false">
      <c r="A72" s="38"/>
      <c r="B72" s="41" t="s">
        <v>420</v>
      </c>
      <c r="C72" s="40" t="n">
        <f aca="false">C56+C61+C64+C68+C71</f>
        <v>-41356.09</v>
      </c>
      <c r="D72" s="34" t="n">
        <f aca="false">IF($C$17=0,"",C72/$C$17)</f>
        <v>-2.25586342662923</v>
      </c>
      <c r="E72" s="30"/>
      <c r="F72" s="31" t="str">
        <f aca="false">IF(E72="","",C72-E72)</f>
        <v/>
      </c>
    </row>
    <row r="75" customFormat="false" ht="15" hidden="false" customHeight="false" outlineLevel="0" collapsed="false">
      <c r="A75" s="9" t="s">
        <v>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15"/>
    <col collapsed="false" customWidth="true" hidden="false" outlineLevel="0" max="4" min="4" style="0" width="3"/>
    <col collapsed="false" customWidth="true" hidden="false" outlineLevel="0" max="5" min="5" style="0" width="7"/>
    <col collapsed="false" customWidth="true" hidden="false" outlineLevel="0" max="6" min="6" style="0" width="40"/>
    <col collapsed="false" customWidth="true" hidden="false" outlineLevel="0" max="7" min="7" style="0" width="15"/>
  </cols>
  <sheetData>
    <row r="1" customFormat="false" ht="19.7" hidden="false" customHeight="false" outlineLevel="0" collapsed="false">
      <c r="A1" s="1" t="s">
        <v>422</v>
      </c>
    </row>
    <row r="2" customFormat="false" ht="15" hidden="false" customHeight="false" outlineLevel="0" collapsed="false">
      <c r="A2" s="2" t="s">
        <v>423</v>
      </c>
    </row>
    <row r="4" customFormat="false" ht="31.5" hidden="false" customHeight="true" outlineLevel="0" collapsed="false">
      <c r="A4" s="10" t="s">
        <v>250</v>
      </c>
      <c r="B4" s="10" t="s">
        <v>424</v>
      </c>
      <c r="C4" s="10" t="s">
        <v>425</v>
      </c>
      <c r="D4" s="10"/>
      <c r="E4" s="10" t="s">
        <v>250</v>
      </c>
      <c r="F4" s="10" t="s">
        <v>426</v>
      </c>
      <c r="G4" s="10" t="s">
        <v>425</v>
      </c>
    </row>
    <row r="5" customFormat="false" ht="15" hidden="false" customHeight="false" outlineLevel="0" collapsed="false">
      <c r="B5" s="36" t="s">
        <v>427</v>
      </c>
      <c r="F5" s="36" t="s">
        <v>428</v>
      </c>
    </row>
    <row r="6" customFormat="false" ht="15" hidden="false" customHeight="false" outlineLevel="0" collapsed="false">
      <c r="A6" s="0" t="n">
        <v>1000</v>
      </c>
      <c r="B6" s="0" t="s">
        <v>261</v>
      </c>
      <c r="C6" s="31" t="n">
        <f aca="false">SUMIF(Kontenplan!$A$5:$A$90,A6,Kontenplan!$K$5:$K$90)</f>
        <v>2120</v>
      </c>
      <c r="E6" s="0" t="n">
        <v>2000</v>
      </c>
      <c r="F6" s="14" t="s">
        <v>283</v>
      </c>
      <c r="G6" s="31" t="n">
        <f aca="false">SUMIF(Kontenplan!$A$5:$A$90,E6,Kontenplan!$K$5:$K$90)</f>
        <v>1297.2</v>
      </c>
    </row>
    <row r="7" customFormat="false" ht="15" hidden="false" customHeight="false" outlineLevel="0" collapsed="false">
      <c r="A7" s="0" t="n">
        <v>1020</v>
      </c>
      <c r="B7" s="0" t="s">
        <v>265</v>
      </c>
      <c r="C7" s="31" t="n">
        <f aca="false">SUMIF(Kontenplan!$A$5:$A$90,A7,Kontenplan!$K$5:$K$90)</f>
        <v>35724.7</v>
      </c>
      <c r="E7" s="0" t="n">
        <v>2200</v>
      </c>
      <c r="F7" s="14" t="s">
        <v>286</v>
      </c>
      <c r="G7" s="31" t="n">
        <f aca="false">SUMIF(Kontenplan!$A$5:$A$90,E7,Kontenplan!$K$5:$K$90)</f>
        <v>173.59</v>
      </c>
    </row>
    <row r="8" customFormat="false" ht="15" hidden="false" customHeight="false" outlineLevel="0" collapsed="false">
      <c r="A8" s="0" t="n">
        <v>1100</v>
      </c>
      <c r="B8" s="0" t="s">
        <v>267</v>
      </c>
      <c r="C8" s="31" t="n">
        <f aca="false">SUMIF(Kontenplan!$A$5:$A$90,A8,Kontenplan!$K$5:$K$90)</f>
        <v>0</v>
      </c>
      <c r="E8" s="0" t="n">
        <v>2270</v>
      </c>
      <c r="F8" s="14" t="s">
        <v>287</v>
      </c>
      <c r="G8" s="31" t="n">
        <f aca="false">SUMIF(Kontenplan!$A$5:$A$90,E8,Kontenplan!$K$5:$K$90)</f>
        <v>1330</v>
      </c>
    </row>
    <row r="9" customFormat="false" ht="15" hidden="false" customHeight="false" outlineLevel="0" collapsed="false">
      <c r="A9" s="0" t="n">
        <v>1170</v>
      </c>
      <c r="B9" s="0" t="s">
        <v>269</v>
      </c>
      <c r="C9" s="31" t="n">
        <f aca="false">SUMIF(Kontenplan!$A$5:$A$90,A9,Kontenplan!$K$5:$K$90)</f>
        <v>0</v>
      </c>
      <c r="E9" s="0" t="n">
        <v>2300</v>
      </c>
      <c r="F9" s="14" t="s">
        <v>288</v>
      </c>
      <c r="G9" s="31" t="n">
        <f aca="false">SUMIF(Kontenplan!$A$5:$A$90,E9,Kontenplan!$K$5:$K$90)</f>
        <v>0</v>
      </c>
    </row>
    <row r="10" customFormat="false" ht="15" hidden="false" customHeight="false" outlineLevel="0" collapsed="false">
      <c r="A10" s="0" t="n">
        <v>1171</v>
      </c>
      <c r="B10" s="0" t="s">
        <v>271</v>
      </c>
      <c r="C10" s="31" t="n">
        <f aca="false">SUMIF(Kontenplan!$A$5:$A$90,A10,Kontenplan!$K$5:$K$90)</f>
        <v>0</v>
      </c>
      <c r="F10" s="37" t="s">
        <v>429</v>
      </c>
      <c r="G10" s="31" t="n">
        <f aca="false">SUMIF(Kontenplan!$D$5:$D$90,"FKK",Kontenplan!$K$5:$K$90)-SUM(G6:G9)</f>
        <v>0</v>
      </c>
    </row>
    <row r="11" customFormat="false" ht="15" hidden="false" customHeight="false" outlineLevel="0" collapsed="false">
      <c r="A11" s="0" t="n">
        <v>1200</v>
      </c>
      <c r="B11" s="0" t="s">
        <v>272</v>
      </c>
      <c r="C11" s="31" t="n">
        <f aca="false">SUMIF(Kontenplan!$A$5:$A$90,A11,Kontenplan!$K$5:$K$90)</f>
        <v>18000</v>
      </c>
      <c r="F11" s="4" t="s">
        <v>430</v>
      </c>
      <c r="G11" s="12" t="n">
        <f aca="false">SUM(G6:G10)</f>
        <v>2800.79</v>
      </c>
    </row>
    <row r="12" customFormat="false" ht="15" hidden="false" customHeight="false" outlineLevel="0" collapsed="false">
      <c r="A12" s="0" t="n">
        <v>1210</v>
      </c>
      <c r="B12" s="0" t="s">
        <v>274</v>
      </c>
      <c r="C12" s="31" t="n">
        <f aca="false">SUMIF(Kontenplan!$A$5:$A$90,A12,Kontenplan!$K$5:$K$90)</f>
        <v>0</v>
      </c>
    </row>
    <row r="13" customFormat="false" ht="15" hidden="false" customHeight="false" outlineLevel="0" collapsed="false">
      <c r="A13" s="0" t="n">
        <v>1300</v>
      </c>
      <c r="B13" s="0" t="s">
        <v>276</v>
      </c>
      <c r="C13" s="31" t="n">
        <f aca="false">SUMIF(Kontenplan!$A$5:$A$90,A13,Kontenplan!$K$5:$K$90)</f>
        <v>0</v>
      </c>
      <c r="F13" s="36" t="s">
        <v>431</v>
      </c>
    </row>
    <row r="14" customFormat="false" ht="15" hidden="false" customHeight="false" outlineLevel="0" collapsed="false">
      <c r="B14" s="37" t="s">
        <v>429</v>
      </c>
      <c r="C14" s="31" t="n">
        <f aca="false">SUMIF(Kontenplan!$D$5:$D$90,"UV",Kontenplan!$K$5:$K$90)-SUM(C6:C13)</f>
        <v>0</v>
      </c>
      <c r="E14" s="0" t="n">
        <v>2400</v>
      </c>
      <c r="F14" s="14" t="s">
        <v>289</v>
      </c>
      <c r="G14" s="31" t="n">
        <f aca="false">SUMIF(Kontenplan!$A$5:$A$90,E14,Kontenplan!$K$5:$K$90)</f>
        <v>40000</v>
      </c>
    </row>
    <row r="15" customFormat="false" ht="15" hidden="false" customHeight="false" outlineLevel="0" collapsed="false">
      <c r="B15" s="4" t="s">
        <v>432</v>
      </c>
      <c r="C15" s="12" t="n">
        <f aca="false">SUM(C6:C14)</f>
        <v>55844.7</v>
      </c>
      <c r="E15" s="0" t="n">
        <v>2450</v>
      </c>
      <c r="F15" s="14" t="s">
        <v>291</v>
      </c>
      <c r="G15" s="31" t="n">
        <f aca="false">SUMIF(Kontenplan!$A$5:$A$90,E15,Kontenplan!$K$5:$K$90)</f>
        <v>0</v>
      </c>
    </row>
    <row r="16" customFormat="false" ht="15" hidden="false" customHeight="false" outlineLevel="0" collapsed="false">
      <c r="F16" s="37" t="s">
        <v>429</v>
      </c>
      <c r="G16" s="31" t="n">
        <f aca="false">SUMIF(Kontenplan!$D$5:$D$90,"FKL",Kontenplan!$K$5:$K$90)-SUM(G14:G15)</f>
        <v>0</v>
      </c>
    </row>
    <row r="17" customFormat="false" ht="15" hidden="false" customHeight="false" outlineLevel="0" collapsed="false">
      <c r="B17" s="36" t="s">
        <v>433</v>
      </c>
      <c r="F17" s="4" t="s">
        <v>434</v>
      </c>
      <c r="G17" s="12" t="n">
        <f aca="false">SUM(G14:G16)</f>
        <v>40000</v>
      </c>
    </row>
    <row r="18" customFormat="false" ht="15" hidden="false" customHeight="false" outlineLevel="0" collapsed="false">
      <c r="A18" s="0" t="n">
        <v>1500</v>
      </c>
      <c r="B18" s="0" t="s">
        <v>278</v>
      </c>
      <c r="C18" s="31" t="n">
        <f aca="false">SUMIF(Kontenplan!$A$5:$A$90,A18,Kontenplan!$K$5:$K$90)</f>
        <v>42000</v>
      </c>
    </row>
    <row r="19" customFormat="false" ht="15" hidden="false" customHeight="false" outlineLevel="0" collapsed="false">
      <c r="A19" s="0" t="n">
        <v>1510</v>
      </c>
      <c r="B19" s="0" t="s">
        <v>205</v>
      </c>
      <c r="C19" s="31" t="n">
        <f aca="false">SUMIF(Kontenplan!$A$5:$A$90,A19,Kontenplan!$K$5:$K$90)</f>
        <v>6600</v>
      </c>
      <c r="F19" s="36" t="s">
        <v>435</v>
      </c>
    </row>
    <row r="20" customFormat="false" ht="15" hidden="false" customHeight="false" outlineLevel="0" collapsed="false">
      <c r="A20" s="0" t="n">
        <v>1520</v>
      </c>
      <c r="B20" s="0" t="s">
        <v>281</v>
      </c>
      <c r="C20" s="31" t="n">
        <f aca="false">SUMIF(Kontenplan!$A$5:$A$90,A20,Kontenplan!$K$5:$K$90)</f>
        <v>0</v>
      </c>
      <c r="E20" s="0" t="n">
        <v>2800</v>
      </c>
      <c r="F20" s="14" t="s">
        <v>292</v>
      </c>
      <c r="G20" s="31" t="n">
        <f aca="false">SUMIF(Kontenplan!$A$5:$A$90,E20,Kontenplan!$K$5:$K$90)</f>
        <v>122000</v>
      </c>
    </row>
    <row r="21" customFormat="false" ht="15" hidden="false" customHeight="false" outlineLevel="0" collapsed="false">
      <c r="A21" s="0" t="n">
        <v>1530</v>
      </c>
      <c r="B21" s="0" t="s">
        <v>282</v>
      </c>
      <c r="C21" s="31" t="n">
        <f aca="false">SUMIF(Kontenplan!$A$5:$A$90,A21,Kontenplan!$K$5:$K$90)</f>
        <v>15000</v>
      </c>
      <c r="E21" s="0" t="n">
        <v>2850</v>
      </c>
      <c r="F21" s="14" t="s">
        <v>294</v>
      </c>
      <c r="G21" s="31" t="n">
        <f aca="false">SUMIF(Kontenplan!$A$5:$A$90,E21,Kontenplan!$K$5:$K$90)</f>
        <v>-4000</v>
      </c>
    </row>
    <row r="22" customFormat="false" ht="15" hidden="false" customHeight="false" outlineLevel="0" collapsed="false">
      <c r="B22" s="37" t="s">
        <v>429</v>
      </c>
      <c r="C22" s="31" t="n">
        <f aca="false">SUMIF(Kontenplan!$D$5:$D$90,"AV",Kontenplan!$K$5:$K$90)-SUM(C18:C21)</f>
        <v>0</v>
      </c>
      <c r="F22" s="37" t="s">
        <v>429</v>
      </c>
      <c r="G22" s="31" t="n">
        <f aca="false">SUMIF(Kontenplan!$D$5:$D$90,"EK",Kontenplan!$K$5:$K$90)-SUM(G20:G21)</f>
        <v>0</v>
      </c>
    </row>
    <row r="23" customFormat="false" ht="15" hidden="false" customHeight="false" outlineLevel="0" collapsed="false">
      <c r="B23" s="4" t="s">
        <v>436</v>
      </c>
      <c r="C23" s="12" t="n">
        <f aca="false">SUM(C18:C22)</f>
        <v>63600</v>
      </c>
      <c r="F23" s="4" t="s">
        <v>437</v>
      </c>
      <c r="G23" s="12" t="n">
        <f aca="false">SUM(G20:G22)</f>
        <v>118000</v>
      </c>
    </row>
    <row r="24" customFormat="false" ht="15" hidden="false" customHeight="false" outlineLevel="0" collapsed="false">
      <c r="F24" s="0" t="s">
        <v>438</v>
      </c>
      <c r="G24" s="31" t="n">
        <f aca="false">Erfolgsrechnung!$C$72</f>
        <v>-41356.09</v>
      </c>
    </row>
    <row r="25" customFormat="false" ht="15" hidden="false" customHeight="false" outlineLevel="0" collapsed="false">
      <c r="F25" s="4" t="s">
        <v>439</v>
      </c>
      <c r="G25" s="12" t="n">
        <f aca="false">G23+G24</f>
        <v>76643.91</v>
      </c>
    </row>
    <row r="27" customFormat="false" ht="15" hidden="false" customHeight="false" outlineLevel="0" collapsed="false">
      <c r="B27" s="3" t="s">
        <v>440</v>
      </c>
      <c r="C27" s="12" t="n">
        <f aca="false">C15+C23</f>
        <v>119444.7</v>
      </c>
      <c r="F27" s="3" t="s">
        <v>441</v>
      </c>
      <c r="G27" s="12" t="n">
        <f aca="false">G11+G17+G25</f>
        <v>119444.7</v>
      </c>
    </row>
    <row r="29" customFormat="false" ht="15" hidden="false" customHeight="false" outlineLevel="0" collapsed="false">
      <c r="B29" s="0" t="s">
        <v>442</v>
      </c>
      <c r="C29" s="12" t="n">
        <f aca="false">ROUND(C27-G27,2)</f>
        <v>0</v>
      </c>
      <c r="F29" s="4" t="str">
        <f aca="false">IF(ABS(C29)&lt;0.01,"Bilanz ausgeglichen ✓","ACHTUNG: Differenz – Eröffnung/Buchungen prüfen")</f>
        <v>Bilanz ausgeglichen ✓</v>
      </c>
    </row>
    <row r="31" customFormat="false" ht="15" hidden="false" customHeight="false" outlineLevel="0" collapsed="false">
      <c r="B31" s="9" t="s">
        <v>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6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19.7" hidden="false" customHeight="false" outlineLevel="0" collapsed="false">
      <c r="A1" s="1" t="s">
        <v>444</v>
      </c>
    </row>
    <row r="2" customFormat="false" ht="15" hidden="false" customHeight="false" outlineLevel="0" collapsed="false">
      <c r="A2" s="2" t="s">
        <v>445</v>
      </c>
    </row>
    <row r="4" customFormat="false" ht="31.5" hidden="false" customHeight="true" outlineLevel="0" collapsed="false">
      <c r="A4" s="10" t="s">
        <v>93</v>
      </c>
      <c r="B4" s="10" t="s">
        <v>298</v>
      </c>
      <c r="C4" s="10" t="s">
        <v>446</v>
      </c>
      <c r="D4" s="10" t="s">
        <v>447</v>
      </c>
      <c r="E4" s="10" t="s">
        <v>448</v>
      </c>
      <c r="F4" s="10" t="s">
        <v>449</v>
      </c>
    </row>
    <row r="5" customFormat="false" ht="15" hidden="false" customHeight="false" outlineLevel="0" collapsed="false">
      <c r="A5" s="11" t="s">
        <v>450</v>
      </c>
      <c r="B5" s="31" t="n">
        <f aca="false">SUMIFS(Kontenplan!$K$5:$K$90,Kontenplan!$C$5:$C$90,"Ertrag",Kontenplan!$E$5:$E$90,"Werkstatt")</f>
        <v>1621.5</v>
      </c>
      <c r="C5" s="31" t="n">
        <f aca="false">SUMIFS(Kontenplan!$K$5:$K$90,Kontenplan!$C$5:$C$90,"Ertrag",Kontenplan!$E$5:$E$90,"Teile")</f>
        <v>984.8</v>
      </c>
      <c r="D5" s="31" t="n">
        <f aca="false">SUMIFS(Kontenplan!$K$5:$K$90,Kontenplan!$C$5:$C$90,"Ertrag",Kontenplan!$E$5:$E$90,"Fahrzeuge")</f>
        <v>15900</v>
      </c>
      <c r="E5" s="31" t="n">
        <f aca="false">SUMIFS(Kontenplan!$K$5:$K$90,Kontenplan!$C$5:$C$90,"Ertrag",Kontenplan!$E$5:$E$90,"Allgemein")-SUMIF(Kontenplan!$A$5:$A$90,3809,Kontenplan!$K$5:$K$90)</f>
        <v>0</v>
      </c>
      <c r="F5" s="31" t="n">
        <f aca="false">SUM(B5:E5)</f>
        <v>18506.3</v>
      </c>
    </row>
    <row r="6" customFormat="false" ht="15" hidden="false" customHeight="false" outlineLevel="0" collapsed="false">
      <c r="A6" s="11" t="s">
        <v>451</v>
      </c>
      <c r="B6" s="31" t="n">
        <f aca="false">-IF(MWST!$C$5,Einstellungen!$B$12*SUMIFS(Kontenplan!$K$5:$K$90,Kontenplan!$E$5:$E$90,"Werkstatt",Kontenplan!$F$5:$F$90,1)+Einstellungen!$B$13*SUMIFS(Kontenplan!$K$5:$K$90,Kontenplan!$E$5:$E$90,"Werkstatt",Kontenplan!$F$5:$F$90,2),0)</f>
        <v>-48.645</v>
      </c>
      <c r="C6" s="31" t="n">
        <f aca="false">-IF(MWST!$C$5,Einstellungen!$B$12*SUMIFS(Kontenplan!$K$5:$K$90,Kontenplan!$E$5:$E$90,"Teile",Kontenplan!$F$5:$F$90,1)+Einstellungen!$B$13*SUMIFS(Kontenplan!$K$5:$K$90,Kontenplan!$E$5:$E$90,"Teile",Kontenplan!$F$5:$F$90,2),0)</f>
        <v>-29.544</v>
      </c>
      <c r="D6" s="31" t="n">
        <f aca="false">-IF(MWST!$C$5,Einstellungen!$B$12*SUMIFS(Kontenplan!$K$5:$K$90,Kontenplan!$E$5:$E$90,"Fahrzeuge",Kontenplan!$F$5:$F$90,1)+Einstellungen!$B$13*SUMIFS(Kontenplan!$K$5:$K$90,Kontenplan!$E$5:$E$90,"Fahrzeuge",Kontenplan!$F$5:$F$90,2),0)</f>
        <v>-95.4</v>
      </c>
      <c r="E6" s="31" t="n">
        <f aca="false">-IF(MWST!$C$5,Einstellungen!$B$12*SUMIFS(Kontenplan!$K$5:$K$90,Kontenplan!$E$5:$E$90,"Allgemein",Kontenplan!$F$5:$F$90,1)+Einstellungen!$B$13*SUMIFS(Kontenplan!$K$5:$K$90,Kontenplan!$E$5:$E$90,"Allgemein",Kontenplan!$F$5:$F$90,2),0)</f>
        <v>-0</v>
      </c>
      <c r="F6" s="31" t="n">
        <f aca="false">SUM(B6:E6)</f>
        <v>-173.589</v>
      </c>
    </row>
    <row r="7" customFormat="false" ht="15" hidden="false" customHeight="false" outlineLevel="0" collapsed="false">
      <c r="A7" s="4" t="s">
        <v>452</v>
      </c>
      <c r="B7" s="12" t="n">
        <f aca="false">B5+B6</f>
        <v>1572.855</v>
      </c>
      <c r="C7" s="12" t="n">
        <f aca="false">C5+C6</f>
        <v>955.256</v>
      </c>
      <c r="D7" s="12" t="n">
        <f aca="false">D5+D6</f>
        <v>15804.6</v>
      </c>
      <c r="E7" s="12" t="n">
        <f aca="false">E5+E6</f>
        <v>0</v>
      </c>
      <c r="F7" s="12" t="n">
        <f aca="false">SUM(B7:E7)</f>
        <v>18332.711</v>
      </c>
    </row>
    <row r="8" customFormat="false" ht="15" hidden="false" customHeight="false" outlineLevel="0" collapsed="false">
      <c r="A8" s="11" t="s">
        <v>453</v>
      </c>
      <c r="B8" s="31" t="n">
        <f aca="false">-SUMIFS(Kontenplan!$K$5:$K$90,Kontenplan!$C$5:$C$90,"Aufwand",Kontenplan!$E$5:$E$90,"Werkstatt")</f>
        <v>-5980</v>
      </c>
      <c r="C8" s="31" t="n">
        <f aca="false">-SUMIFS(Kontenplan!$K$5:$K$90,Kontenplan!$C$5:$C$90,"Aufwand",Kontenplan!$E$5:$E$90,"Teile")</f>
        <v>-1297.2</v>
      </c>
      <c r="D8" s="31" t="n">
        <f aca="false">-SUMIFS(Kontenplan!$K$5:$K$90,Kontenplan!$C$5:$C$90,"Aufwand",Kontenplan!$E$5:$E$90,"Fahrzeuge")</f>
        <v>-12000</v>
      </c>
      <c r="E8" s="31" t="n">
        <f aca="false">-SUMIFS(Kontenplan!$K$5:$K$90,Kontenplan!$C$5:$C$90,"Aufwand",Kontenplan!$E$5:$E$90,"Allgemein")</f>
        <v>-40411.6</v>
      </c>
      <c r="F8" s="31" t="n">
        <f aca="false">SUM(B8:E8)</f>
        <v>-59688.8</v>
      </c>
    </row>
    <row r="9" customFormat="false" ht="15" hidden="false" customHeight="false" outlineLevel="0" collapsed="false">
      <c r="A9" s="4" t="s">
        <v>454</v>
      </c>
      <c r="B9" s="12" t="n">
        <f aca="false">B7+B8</f>
        <v>-4407.145</v>
      </c>
      <c r="C9" s="12" t="n">
        <f aca="false">C7+C8</f>
        <v>-341.944</v>
      </c>
      <c r="D9" s="12" t="n">
        <f aca="false">D7+D8</f>
        <v>3804.6</v>
      </c>
      <c r="E9" s="12" t="n">
        <f aca="false">E7+E8</f>
        <v>-40411.6</v>
      </c>
      <c r="F9" s="12" t="n">
        <f aca="false">SUM(B9:E9)</f>
        <v>-41356.089</v>
      </c>
    </row>
    <row r="10" customFormat="false" ht="15" hidden="false" customHeight="false" outlineLevel="0" collapsed="false">
      <c r="A10" s="11" t="s">
        <v>455</v>
      </c>
      <c r="B10" s="34" t="n">
        <f aca="false">IF(B7=0,"",B9/B7)</f>
        <v>-2.80200336331067</v>
      </c>
      <c r="C10" s="34" t="n">
        <f aca="false">IF(C7=0,"",C9/C7)</f>
        <v>-0.357960588575209</v>
      </c>
      <c r="D10" s="34" t="n">
        <f aca="false">IF(D7=0,"",D9/D7)</f>
        <v>0.240727383166926</v>
      </c>
      <c r="E10" s="34" t="str">
        <f aca="false">""</f>
        <v/>
      </c>
      <c r="F10" s="34" t="n">
        <f aca="false">IF(F7=0,"",F9/F7)</f>
        <v>-2.25586324903065</v>
      </c>
    </row>
    <row r="11" customFormat="false" ht="15" hidden="false" customHeight="false" outlineLevel="0" collapsed="false">
      <c r="A11" s="11" t="s">
        <v>456</v>
      </c>
      <c r="B11" s="34" t="n">
        <f aca="false">IF($F$7=0,"",B7/$F$7)</f>
        <v>0.0857950032594743</v>
      </c>
      <c r="C11" s="34" t="n">
        <f aca="false">IF($F$7=0,"",C7/$F$7)</f>
        <v>0.0521066415109037</v>
      </c>
      <c r="D11" s="34" t="n">
        <f aca="false">IF($F$7=0,"",D7/$F$7)</f>
        <v>0.862098355229622</v>
      </c>
      <c r="E11" s="34" t="n">
        <f aca="false">IF($F$7=0,"",E7/$F$7)</f>
        <v>0</v>
      </c>
      <c r="F11" s="34" t="n">
        <f aca="false">IF(F7=0,"",1)</f>
        <v>1</v>
      </c>
    </row>
    <row r="13" customFormat="false" ht="15" hidden="false" customHeight="false" outlineLevel="0" collapsed="false">
      <c r="A13" s="0" t="s">
        <v>457</v>
      </c>
      <c r="B13" s="12" t="n">
        <f aca="false">F9</f>
        <v>-41356.089</v>
      </c>
    </row>
    <row r="14" customFormat="false" ht="15" hidden="false" customHeight="false" outlineLevel="0" collapsed="false">
      <c r="A14" s="0" t="s">
        <v>458</v>
      </c>
      <c r="B14" s="12" t="n">
        <f aca="false">Erfolgsrechnung!$C$72</f>
        <v>-41356.09</v>
      </c>
    </row>
    <row r="15" customFormat="false" ht="15" hidden="false" customHeight="false" outlineLevel="0" collapsed="false">
      <c r="A15" s="0" t="s">
        <v>459</v>
      </c>
      <c r="B15" s="0" t="str">
        <f aca="false">IF(ABS(B13-B14)&lt;0.01,"stimmt ✓","Differenz prüfen")</f>
        <v>stimmt ✓</v>
      </c>
    </row>
    <row r="17" customFormat="false" ht="15" hidden="false" customHeight="false" outlineLevel="0" collapsed="false">
      <c r="A17" s="36" t="s">
        <v>460</v>
      </c>
    </row>
    <row r="18" customFormat="false" ht="15" hidden="false" customHeight="false" outlineLevel="0" collapsed="false">
      <c r="A18" s="0" t="s">
        <v>461</v>
      </c>
      <c r="B18" s="42" t="n">
        <f aca="false">IF(C8=0,"",C7/-C8)</f>
        <v>0.736398396546408</v>
      </c>
    </row>
    <row r="19" customFormat="false" ht="15" hidden="false" customHeight="false" outlineLevel="0" collapsed="false">
      <c r="A19" s="0" t="s">
        <v>462</v>
      </c>
      <c r="B19" s="34" t="n">
        <f aca="false">IF(C7=0,"",(C7+C8)/C7)</f>
        <v>-0.357960588575209</v>
      </c>
    </row>
    <row r="20" customFormat="false" ht="15" hidden="false" customHeight="false" outlineLevel="0" collapsed="false">
      <c r="A20" s="0" t="s">
        <v>463</v>
      </c>
      <c r="B20" s="31" t="n">
        <f aca="false">Fahrzeuge!$B$4</f>
        <v>2800</v>
      </c>
    </row>
    <row r="21" customFormat="false" ht="15" hidden="false" customHeight="false" outlineLevel="0" collapsed="false">
      <c r="A21" s="0" t="s">
        <v>464</v>
      </c>
      <c r="B21" s="43" t="n">
        <f aca="false">Fahrzeuge!$F$3</f>
        <v>36</v>
      </c>
    </row>
    <row r="22" customFormat="false" ht="15" hidden="false" customHeight="false" outlineLevel="0" collapsed="false">
      <c r="A22" s="0" t="s">
        <v>465</v>
      </c>
      <c r="B22" s="31" t="n">
        <f aca="false">IF(MAX(Journal!$O$5:$O$1504)=0,"",B7/MAX(Journal!$O$5:$O$1504))</f>
        <v>524.285</v>
      </c>
    </row>
    <row r="23" customFormat="false" ht="15" hidden="false" customHeight="false" outlineLevel="0" collapsed="false">
      <c r="A23" s="0" t="s">
        <v>466</v>
      </c>
      <c r="B23" s="34" t="n">
        <f aca="false">IF(Erfolgsrechnung!C17=0,"",-Erfolgsrechnung!C36/Erfolgsrechnung!C17)</f>
        <v>0.326192908740715</v>
      </c>
    </row>
    <row r="24" customFormat="false" ht="15" hidden="false" customHeight="false" outlineLevel="0" collapsed="false">
      <c r="A24" s="0" t="s">
        <v>467</v>
      </c>
      <c r="B24" s="34" t="n">
        <f aca="false">IF(F7=0,"",-E8/F7)</f>
        <v>2.20434391836537</v>
      </c>
    </row>
    <row r="26" customFormat="false" ht="15" hidden="false" customHeight="false" outlineLevel="0" collapsed="false">
      <c r="A26" s="9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P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9" min="6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4" min="13" style="0" width="9"/>
    <col collapsed="false" customWidth="true" hidden="false" outlineLevel="0" max="15" min="15" style="0" width="12"/>
    <col collapsed="false" customWidth="true" hidden="false" outlineLevel="0" max="16" min="16" style="0" width="18"/>
  </cols>
  <sheetData>
    <row r="1" customFormat="false" ht="19.7" hidden="false" customHeight="false" outlineLevel="0" collapsed="false">
      <c r="A1" s="1" t="s">
        <v>469</v>
      </c>
    </row>
    <row r="3" customFormat="false" ht="15" hidden="false" customHeight="false" outlineLevel="0" collapsed="false">
      <c r="A3" s="11" t="s">
        <v>470</v>
      </c>
      <c r="B3" s="19" t="n">
        <f aca="false">COUNT(K7:K206)</f>
        <v>1</v>
      </c>
      <c r="C3" s="11" t="s">
        <v>471</v>
      </c>
      <c r="D3" s="19" t="n">
        <f aca="false">COUNTIFS(F7:F206,"&lt;&gt;",K7:K206,"")</f>
        <v>0</v>
      </c>
      <c r="E3" s="11" t="s">
        <v>472</v>
      </c>
      <c r="F3" s="19" t="n">
        <f aca="false">IF(COUNT(N7:N206)=0,0,AVERAGE(N7:N206))</f>
        <v>36</v>
      </c>
      <c r="H3" s="9" t="s">
        <v>473</v>
      </c>
    </row>
    <row r="4" customFormat="false" ht="15" hidden="false" customHeight="false" outlineLevel="0" collapsed="false">
      <c r="A4" s="11" t="s">
        <v>474</v>
      </c>
      <c r="B4" s="12" t="n">
        <f aca="false">IF(B3=0,0,SUMIF(K7:K206,"&lt;&gt;",L7:L206)/B3)</f>
        <v>2800</v>
      </c>
      <c r="C4" s="11" t="s">
        <v>475</v>
      </c>
      <c r="D4" s="12" t="n">
        <f aca="false">SUMIFS(I7:I206,K7:K206,"",F7:F206,"&lt;&gt;")</f>
        <v>0</v>
      </c>
      <c r="E4" s="11" t="s">
        <v>476</v>
      </c>
      <c r="F4" s="12" t="n">
        <f aca="false">SUM(L7:L206)</f>
        <v>2800</v>
      </c>
      <c r="H4" s="9" t="s">
        <v>477</v>
      </c>
    </row>
    <row r="6" customFormat="false" ht="31.5" hidden="false" customHeight="true" outlineLevel="0" collapsed="false">
      <c r="A6" s="10" t="s">
        <v>478</v>
      </c>
      <c r="B6" s="10" t="s">
        <v>479</v>
      </c>
      <c r="C6" s="10" t="s">
        <v>480</v>
      </c>
      <c r="D6" s="10" t="s">
        <v>481</v>
      </c>
      <c r="E6" s="10" t="s">
        <v>482</v>
      </c>
      <c r="F6" s="10" t="s">
        <v>483</v>
      </c>
      <c r="G6" s="10" t="s">
        <v>484</v>
      </c>
      <c r="H6" s="10" t="s">
        <v>485</v>
      </c>
      <c r="I6" s="10" t="s">
        <v>486</v>
      </c>
      <c r="J6" s="10" t="s">
        <v>487</v>
      </c>
      <c r="K6" s="10" t="s">
        <v>488</v>
      </c>
      <c r="L6" s="10" t="s">
        <v>489</v>
      </c>
      <c r="M6" s="10" t="s">
        <v>490</v>
      </c>
      <c r="N6" s="10" t="s">
        <v>491</v>
      </c>
      <c r="O6" s="10" t="s">
        <v>492</v>
      </c>
      <c r="P6" s="10" t="s">
        <v>270</v>
      </c>
    </row>
    <row r="7" customFormat="false" ht="15" hidden="false" customHeight="false" outlineLevel="0" collapsed="false">
      <c r="A7" s="32" t="n">
        <v>1</v>
      </c>
      <c r="B7" s="32" t="s">
        <v>493</v>
      </c>
      <c r="C7" s="32" t="s">
        <v>494</v>
      </c>
      <c r="D7" s="33" t="n">
        <v>46063</v>
      </c>
      <c r="E7" s="32" t="s">
        <v>495</v>
      </c>
      <c r="F7" s="30" t="n">
        <v>12000</v>
      </c>
      <c r="G7" s="30" t="n">
        <v>850</v>
      </c>
      <c r="H7" s="30" t="n">
        <v>250</v>
      </c>
      <c r="I7" s="31" t="n">
        <f aca="false">IF(F7="","",F7+G7+H7)</f>
        <v>13100</v>
      </c>
      <c r="J7" s="33" t="n">
        <v>46099</v>
      </c>
      <c r="K7" s="30" t="n">
        <v>15900</v>
      </c>
      <c r="L7" s="31" t="n">
        <f aca="false">IF(OR(K7="",F7=""),"",K7-I7)</f>
        <v>2800</v>
      </c>
      <c r="M7" s="34" t="n">
        <f aca="false">IF(L7="","",L7/K7)</f>
        <v>0.176100628930818</v>
      </c>
      <c r="N7" s="43" t="n">
        <f aca="true">IF(D7="","",IF(J7="",TODAY()-D7,J7-D7))</f>
        <v>36</v>
      </c>
      <c r="O7" s="31" t="n">
        <f aca="false">IF(L7="","",IF(L7&lt;=0,0,ROUND(L7-L7/(1+Einstellungen!$B$10),2)))</f>
        <v>209.81</v>
      </c>
      <c r="P7" s="35" t="str">
        <f aca="false">IF(F7="","",IF(K7="",IF(N7&gt;90,"an Lager &gt;90 Tage!","an Lager"),"verkauft"))</f>
        <v>verkauft</v>
      </c>
    </row>
    <row r="8" customFormat="false" ht="15" hidden="false" customHeight="false" outlineLevel="0" collapsed="false">
      <c r="A8" s="32"/>
      <c r="B8" s="32"/>
      <c r="C8" s="32"/>
      <c r="D8" s="33"/>
      <c r="E8" s="32"/>
      <c r="F8" s="30"/>
      <c r="G8" s="30"/>
      <c r="H8" s="30"/>
      <c r="I8" s="31" t="str">
        <f aca="false">IF(F8="","",F8+G8+H8)</f>
        <v/>
      </c>
      <c r="J8" s="33"/>
      <c r="K8" s="30"/>
      <c r="L8" s="31" t="str">
        <f aca="false">IF(OR(K8="",F8=""),"",K8-I8)</f>
        <v/>
      </c>
      <c r="M8" s="34" t="str">
        <f aca="false">IF(L8="","",L8/K8)</f>
        <v/>
      </c>
      <c r="N8" s="43" t="str">
        <f aca="true">IF(D8="","",IF(J8="",TODAY()-D8,J8-D8))</f>
        <v/>
      </c>
      <c r="O8" s="31" t="str">
        <f aca="false">IF(L8="","",IF(L8&lt;=0,0,ROUND(L8-L8/(1+Einstellungen!$B$10),2)))</f>
        <v/>
      </c>
      <c r="P8" s="35" t="str">
        <f aca="false">IF(F8="","",IF(K8="",IF(N8&gt;90,"an Lager &gt;90 Tage!","an Lager"),"verkauft"))</f>
        <v/>
      </c>
    </row>
    <row r="9" customFormat="false" ht="15" hidden="false" customHeight="false" outlineLevel="0" collapsed="false">
      <c r="A9" s="32"/>
      <c r="B9" s="32"/>
      <c r="C9" s="32"/>
      <c r="D9" s="33"/>
      <c r="E9" s="32"/>
      <c r="F9" s="30"/>
      <c r="G9" s="30"/>
      <c r="H9" s="30"/>
      <c r="I9" s="31" t="str">
        <f aca="false">IF(F9="","",F9+G9+H9)</f>
        <v/>
      </c>
      <c r="J9" s="33"/>
      <c r="K9" s="30"/>
      <c r="L9" s="31" t="str">
        <f aca="false">IF(OR(K9="",F9=""),"",K9-I9)</f>
        <v/>
      </c>
      <c r="M9" s="34" t="str">
        <f aca="false">IF(L9="","",L9/K9)</f>
        <v/>
      </c>
      <c r="N9" s="43" t="str">
        <f aca="true">IF(D9="","",IF(J9="",TODAY()-D9,J9-D9))</f>
        <v/>
      </c>
      <c r="O9" s="31" t="str">
        <f aca="false">IF(L9="","",IF(L9&lt;=0,0,ROUND(L9-L9/(1+Einstellungen!$B$10),2)))</f>
        <v/>
      </c>
      <c r="P9" s="35" t="str">
        <f aca="false">IF(F9="","",IF(K9="",IF(N9&gt;90,"an Lager &gt;90 Tage!","an Lager"),"verkauft"))</f>
        <v/>
      </c>
    </row>
    <row r="10" customFormat="false" ht="15" hidden="false" customHeight="false" outlineLevel="0" collapsed="false">
      <c r="A10" s="32"/>
      <c r="B10" s="32"/>
      <c r="C10" s="32"/>
      <c r="D10" s="33"/>
      <c r="E10" s="32"/>
      <c r="F10" s="30"/>
      <c r="G10" s="30"/>
      <c r="H10" s="30"/>
      <c r="I10" s="31" t="str">
        <f aca="false">IF(F10="","",F10+G10+H10)</f>
        <v/>
      </c>
      <c r="J10" s="33"/>
      <c r="K10" s="30"/>
      <c r="L10" s="31" t="str">
        <f aca="false">IF(OR(K10="",F10=""),"",K10-I10)</f>
        <v/>
      </c>
      <c r="M10" s="34" t="str">
        <f aca="false">IF(L10="","",L10/K10)</f>
        <v/>
      </c>
      <c r="N10" s="43" t="str">
        <f aca="true">IF(D10="","",IF(J10="",TODAY()-D10,J10-D10))</f>
        <v/>
      </c>
      <c r="O10" s="31" t="str">
        <f aca="false">IF(L10="","",IF(L10&lt;=0,0,ROUND(L10-L10/(1+Einstellungen!$B$10),2)))</f>
        <v/>
      </c>
      <c r="P10" s="35" t="str">
        <f aca="false">IF(F10="","",IF(K10="",IF(N10&gt;90,"an Lager &gt;90 Tage!","an Lager"),"verkauft"))</f>
        <v/>
      </c>
    </row>
    <row r="11" customFormat="false" ht="15" hidden="false" customHeight="false" outlineLevel="0" collapsed="false">
      <c r="A11" s="32"/>
      <c r="B11" s="32"/>
      <c r="C11" s="32"/>
      <c r="D11" s="33"/>
      <c r="E11" s="32"/>
      <c r="F11" s="30"/>
      <c r="G11" s="30"/>
      <c r="H11" s="30"/>
      <c r="I11" s="31" t="str">
        <f aca="false">IF(F11="","",F11+G11+H11)</f>
        <v/>
      </c>
      <c r="J11" s="33"/>
      <c r="K11" s="30"/>
      <c r="L11" s="31" t="str">
        <f aca="false">IF(OR(K11="",F11=""),"",K11-I11)</f>
        <v/>
      </c>
      <c r="M11" s="34" t="str">
        <f aca="false">IF(L11="","",L11/K11)</f>
        <v/>
      </c>
      <c r="N11" s="43" t="str">
        <f aca="true">IF(D11="","",IF(J11="",TODAY()-D11,J11-D11))</f>
        <v/>
      </c>
      <c r="O11" s="31" t="str">
        <f aca="false">IF(L11="","",IF(L11&lt;=0,0,ROUND(L11-L11/(1+Einstellungen!$B$10),2)))</f>
        <v/>
      </c>
      <c r="P11" s="35" t="str">
        <f aca="false">IF(F11="","",IF(K11="",IF(N11&gt;90,"an Lager &gt;90 Tage!","an Lager"),"verkauft"))</f>
        <v/>
      </c>
    </row>
    <row r="12" customFormat="false" ht="15" hidden="false" customHeight="false" outlineLevel="0" collapsed="false">
      <c r="A12" s="32"/>
      <c r="B12" s="32"/>
      <c r="C12" s="32"/>
      <c r="D12" s="33"/>
      <c r="E12" s="32"/>
      <c r="F12" s="30"/>
      <c r="G12" s="30"/>
      <c r="H12" s="30"/>
      <c r="I12" s="31" t="str">
        <f aca="false">IF(F12="","",F12+G12+H12)</f>
        <v/>
      </c>
      <c r="J12" s="33"/>
      <c r="K12" s="30"/>
      <c r="L12" s="31" t="str">
        <f aca="false">IF(OR(K12="",F12=""),"",K12-I12)</f>
        <v/>
      </c>
      <c r="M12" s="34" t="str">
        <f aca="false">IF(L12="","",L12/K12)</f>
        <v/>
      </c>
      <c r="N12" s="43" t="str">
        <f aca="true">IF(D12="","",IF(J12="",TODAY()-D12,J12-D12))</f>
        <v/>
      </c>
      <c r="O12" s="31" t="str">
        <f aca="false">IF(L12="","",IF(L12&lt;=0,0,ROUND(L12-L12/(1+Einstellungen!$B$10),2)))</f>
        <v/>
      </c>
      <c r="P12" s="35" t="str">
        <f aca="false">IF(F12="","",IF(K12="",IF(N12&gt;90,"an Lager &gt;90 Tage!","an Lager"),"verkauft"))</f>
        <v/>
      </c>
    </row>
    <row r="13" customFormat="false" ht="15" hidden="false" customHeight="false" outlineLevel="0" collapsed="false">
      <c r="A13" s="32"/>
      <c r="B13" s="32"/>
      <c r="C13" s="32"/>
      <c r="D13" s="33"/>
      <c r="E13" s="32"/>
      <c r="F13" s="30"/>
      <c r="G13" s="30"/>
      <c r="H13" s="30"/>
      <c r="I13" s="31" t="str">
        <f aca="false">IF(F13="","",F13+G13+H13)</f>
        <v/>
      </c>
      <c r="J13" s="33"/>
      <c r="K13" s="30"/>
      <c r="L13" s="31" t="str">
        <f aca="false">IF(OR(K13="",F13=""),"",K13-I13)</f>
        <v/>
      </c>
      <c r="M13" s="34" t="str">
        <f aca="false">IF(L13="","",L13/K13)</f>
        <v/>
      </c>
      <c r="N13" s="43" t="str">
        <f aca="true">IF(D13="","",IF(J13="",TODAY()-D13,J13-D13))</f>
        <v/>
      </c>
      <c r="O13" s="31" t="str">
        <f aca="false">IF(L13="","",IF(L13&lt;=0,0,ROUND(L13-L13/(1+Einstellungen!$B$10),2)))</f>
        <v/>
      </c>
      <c r="P13" s="35" t="str">
        <f aca="false">IF(F13="","",IF(K13="",IF(N13&gt;90,"an Lager &gt;90 Tage!","an Lager"),"verkauft"))</f>
        <v/>
      </c>
    </row>
    <row r="14" customFormat="false" ht="15" hidden="false" customHeight="false" outlineLevel="0" collapsed="false">
      <c r="A14" s="32"/>
      <c r="B14" s="32"/>
      <c r="C14" s="32"/>
      <c r="D14" s="33"/>
      <c r="E14" s="32"/>
      <c r="F14" s="30"/>
      <c r="G14" s="30"/>
      <c r="H14" s="30"/>
      <c r="I14" s="31" t="str">
        <f aca="false">IF(F14="","",F14+G14+H14)</f>
        <v/>
      </c>
      <c r="J14" s="33"/>
      <c r="K14" s="30"/>
      <c r="L14" s="31" t="str">
        <f aca="false">IF(OR(K14="",F14=""),"",K14-I14)</f>
        <v/>
      </c>
      <c r="M14" s="34" t="str">
        <f aca="false">IF(L14="","",L14/K14)</f>
        <v/>
      </c>
      <c r="N14" s="43" t="str">
        <f aca="true">IF(D14="","",IF(J14="",TODAY()-D14,J14-D14))</f>
        <v/>
      </c>
      <c r="O14" s="31" t="str">
        <f aca="false">IF(L14="","",IF(L14&lt;=0,0,ROUND(L14-L14/(1+Einstellungen!$B$10),2)))</f>
        <v/>
      </c>
      <c r="P14" s="35" t="str">
        <f aca="false">IF(F14="","",IF(K14="",IF(N14&gt;90,"an Lager &gt;90 Tage!","an Lager"),"verkauft"))</f>
        <v/>
      </c>
    </row>
    <row r="15" customFormat="false" ht="15" hidden="false" customHeight="false" outlineLevel="0" collapsed="false">
      <c r="A15" s="32"/>
      <c r="B15" s="32"/>
      <c r="C15" s="32"/>
      <c r="D15" s="33"/>
      <c r="E15" s="32"/>
      <c r="F15" s="30"/>
      <c r="G15" s="30"/>
      <c r="H15" s="30"/>
      <c r="I15" s="31" t="str">
        <f aca="false">IF(F15="","",F15+G15+H15)</f>
        <v/>
      </c>
      <c r="J15" s="33"/>
      <c r="K15" s="30"/>
      <c r="L15" s="31" t="str">
        <f aca="false">IF(OR(K15="",F15=""),"",K15-I15)</f>
        <v/>
      </c>
      <c r="M15" s="34" t="str">
        <f aca="false">IF(L15="","",L15/K15)</f>
        <v/>
      </c>
      <c r="N15" s="43" t="str">
        <f aca="true">IF(D15="","",IF(J15="",TODAY()-D15,J15-D15))</f>
        <v/>
      </c>
      <c r="O15" s="31" t="str">
        <f aca="false">IF(L15="","",IF(L15&lt;=0,0,ROUND(L15-L15/(1+Einstellungen!$B$10),2)))</f>
        <v/>
      </c>
      <c r="P15" s="35" t="str">
        <f aca="false">IF(F15="","",IF(K15="",IF(N15&gt;90,"an Lager &gt;90 Tage!","an Lager"),"verkauft"))</f>
        <v/>
      </c>
    </row>
    <row r="16" customFormat="false" ht="15" hidden="false" customHeight="false" outlineLevel="0" collapsed="false">
      <c r="A16" s="32"/>
      <c r="B16" s="32"/>
      <c r="C16" s="32"/>
      <c r="D16" s="33"/>
      <c r="E16" s="32"/>
      <c r="F16" s="30"/>
      <c r="G16" s="30"/>
      <c r="H16" s="30"/>
      <c r="I16" s="31" t="str">
        <f aca="false">IF(F16="","",F16+G16+H16)</f>
        <v/>
      </c>
      <c r="J16" s="33"/>
      <c r="K16" s="30"/>
      <c r="L16" s="31" t="str">
        <f aca="false">IF(OR(K16="",F16=""),"",K16-I16)</f>
        <v/>
      </c>
      <c r="M16" s="34" t="str">
        <f aca="false">IF(L16="","",L16/K16)</f>
        <v/>
      </c>
      <c r="N16" s="43" t="str">
        <f aca="true">IF(D16="","",IF(J16="",TODAY()-D16,J16-D16))</f>
        <v/>
      </c>
      <c r="O16" s="31" t="str">
        <f aca="false">IF(L16="","",IF(L16&lt;=0,0,ROUND(L16-L16/(1+Einstellungen!$B$10),2)))</f>
        <v/>
      </c>
      <c r="P16" s="35" t="str">
        <f aca="false">IF(F16="","",IF(K16="",IF(N16&gt;90,"an Lager &gt;90 Tage!","an Lager"),"verkauft"))</f>
        <v/>
      </c>
    </row>
    <row r="17" customFormat="false" ht="15" hidden="false" customHeight="false" outlineLevel="0" collapsed="false">
      <c r="A17" s="32"/>
      <c r="B17" s="32"/>
      <c r="C17" s="32"/>
      <c r="D17" s="33"/>
      <c r="E17" s="32"/>
      <c r="F17" s="30"/>
      <c r="G17" s="30"/>
      <c r="H17" s="30"/>
      <c r="I17" s="31" t="str">
        <f aca="false">IF(F17="","",F17+G17+H17)</f>
        <v/>
      </c>
      <c r="J17" s="33"/>
      <c r="K17" s="30"/>
      <c r="L17" s="31" t="str">
        <f aca="false">IF(OR(K17="",F17=""),"",K17-I17)</f>
        <v/>
      </c>
      <c r="M17" s="34" t="str">
        <f aca="false">IF(L17="","",L17/K17)</f>
        <v/>
      </c>
      <c r="N17" s="43" t="str">
        <f aca="true">IF(D17="","",IF(J17="",TODAY()-D17,J17-D17))</f>
        <v/>
      </c>
      <c r="O17" s="31" t="str">
        <f aca="false">IF(L17="","",IF(L17&lt;=0,0,ROUND(L17-L17/(1+Einstellungen!$B$10),2)))</f>
        <v/>
      </c>
      <c r="P17" s="35" t="str">
        <f aca="false">IF(F17="","",IF(K17="",IF(N17&gt;90,"an Lager &gt;90 Tage!","an Lager"),"verkauft"))</f>
        <v/>
      </c>
    </row>
    <row r="18" customFormat="false" ht="15" hidden="false" customHeight="false" outlineLevel="0" collapsed="false">
      <c r="A18" s="32"/>
      <c r="B18" s="32"/>
      <c r="C18" s="32"/>
      <c r="D18" s="33"/>
      <c r="E18" s="32"/>
      <c r="F18" s="30"/>
      <c r="G18" s="30"/>
      <c r="H18" s="30"/>
      <c r="I18" s="31" t="str">
        <f aca="false">IF(F18="","",F18+G18+H18)</f>
        <v/>
      </c>
      <c r="J18" s="33"/>
      <c r="K18" s="30"/>
      <c r="L18" s="31" t="str">
        <f aca="false">IF(OR(K18="",F18=""),"",K18-I18)</f>
        <v/>
      </c>
      <c r="M18" s="34" t="str">
        <f aca="false">IF(L18="","",L18/K18)</f>
        <v/>
      </c>
      <c r="N18" s="43" t="str">
        <f aca="true">IF(D18="","",IF(J18="",TODAY()-D18,J18-D18))</f>
        <v/>
      </c>
      <c r="O18" s="31" t="str">
        <f aca="false">IF(L18="","",IF(L18&lt;=0,0,ROUND(L18-L18/(1+Einstellungen!$B$10),2)))</f>
        <v/>
      </c>
      <c r="P18" s="35" t="str">
        <f aca="false">IF(F18="","",IF(K18="",IF(N18&gt;90,"an Lager &gt;90 Tage!","an Lager"),"verkauft"))</f>
        <v/>
      </c>
    </row>
    <row r="19" customFormat="false" ht="15" hidden="false" customHeight="false" outlineLevel="0" collapsed="false">
      <c r="A19" s="32"/>
      <c r="B19" s="32"/>
      <c r="C19" s="32"/>
      <c r="D19" s="33"/>
      <c r="E19" s="32"/>
      <c r="F19" s="30"/>
      <c r="G19" s="30"/>
      <c r="H19" s="30"/>
      <c r="I19" s="31" t="str">
        <f aca="false">IF(F19="","",F19+G19+H19)</f>
        <v/>
      </c>
      <c r="J19" s="33"/>
      <c r="K19" s="30"/>
      <c r="L19" s="31" t="str">
        <f aca="false">IF(OR(K19="",F19=""),"",K19-I19)</f>
        <v/>
      </c>
      <c r="M19" s="34" t="str">
        <f aca="false">IF(L19="","",L19/K19)</f>
        <v/>
      </c>
      <c r="N19" s="43" t="str">
        <f aca="true">IF(D19="","",IF(J19="",TODAY()-D19,J19-D19))</f>
        <v/>
      </c>
      <c r="O19" s="31" t="str">
        <f aca="false">IF(L19="","",IF(L19&lt;=0,0,ROUND(L19-L19/(1+Einstellungen!$B$10),2)))</f>
        <v/>
      </c>
      <c r="P19" s="35" t="str">
        <f aca="false">IF(F19="","",IF(K19="",IF(N19&gt;90,"an Lager &gt;90 Tage!","an Lager"),"verkauft"))</f>
        <v/>
      </c>
    </row>
    <row r="20" customFormat="false" ht="15" hidden="false" customHeight="false" outlineLevel="0" collapsed="false">
      <c r="A20" s="32"/>
      <c r="B20" s="32"/>
      <c r="C20" s="32"/>
      <c r="D20" s="33"/>
      <c r="E20" s="32"/>
      <c r="F20" s="30"/>
      <c r="G20" s="30"/>
      <c r="H20" s="30"/>
      <c r="I20" s="31" t="str">
        <f aca="false">IF(F20="","",F20+G20+H20)</f>
        <v/>
      </c>
      <c r="J20" s="33"/>
      <c r="K20" s="30"/>
      <c r="L20" s="31" t="str">
        <f aca="false">IF(OR(K20="",F20=""),"",K20-I20)</f>
        <v/>
      </c>
      <c r="M20" s="34" t="str">
        <f aca="false">IF(L20="","",L20/K20)</f>
        <v/>
      </c>
      <c r="N20" s="43" t="str">
        <f aca="true">IF(D20="","",IF(J20="",TODAY()-D20,J20-D20))</f>
        <v/>
      </c>
      <c r="O20" s="31" t="str">
        <f aca="false">IF(L20="","",IF(L20&lt;=0,0,ROUND(L20-L20/(1+Einstellungen!$B$10),2)))</f>
        <v/>
      </c>
      <c r="P20" s="35" t="str">
        <f aca="false">IF(F20="","",IF(K20="",IF(N20&gt;90,"an Lager &gt;90 Tage!","an Lager"),"verkauft"))</f>
        <v/>
      </c>
    </row>
    <row r="21" customFormat="false" ht="15" hidden="false" customHeight="false" outlineLevel="0" collapsed="false">
      <c r="A21" s="32"/>
      <c r="B21" s="32"/>
      <c r="C21" s="32"/>
      <c r="D21" s="33"/>
      <c r="E21" s="32"/>
      <c r="F21" s="30"/>
      <c r="G21" s="30"/>
      <c r="H21" s="30"/>
      <c r="I21" s="31" t="str">
        <f aca="false">IF(F21="","",F21+G21+H21)</f>
        <v/>
      </c>
      <c r="J21" s="33"/>
      <c r="K21" s="30"/>
      <c r="L21" s="31" t="str">
        <f aca="false">IF(OR(K21="",F21=""),"",K21-I21)</f>
        <v/>
      </c>
      <c r="M21" s="34" t="str">
        <f aca="false">IF(L21="","",L21/K21)</f>
        <v/>
      </c>
      <c r="N21" s="43" t="str">
        <f aca="true">IF(D21="","",IF(J21="",TODAY()-D21,J21-D21))</f>
        <v/>
      </c>
      <c r="O21" s="31" t="str">
        <f aca="false">IF(L21="","",IF(L21&lt;=0,0,ROUND(L21-L21/(1+Einstellungen!$B$10),2)))</f>
        <v/>
      </c>
      <c r="P21" s="35" t="str">
        <f aca="false">IF(F21="","",IF(K21="",IF(N21&gt;90,"an Lager &gt;90 Tage!","an Lager"),"verkauft"))</f>
        <v/>
      </c>
    </row>
    <row r="22" customFormat="false" ht="15" hidden="false" customHeight="false" outlineLevel="0" collapsed="false">
      <c r="A22" s="32"/>
      <c r="B22" s="32"/>
      <c r="C22" s="32"/>
      <c r="D22" s="33"/>
      <c r="E22" s="32"/>
      <c r="F22" s="30"/>
      <c r="G22" s="30"/>
      <c r="H22" s="30"/>
      <c r="I22" s="31" t="str">
        <f aca="false">IF(F22="","",F22+G22+H22)</f>
        <v/>
      </c>
      <c r="J22" s="33"/>
      <c r="K22" s="30"/>
      <c r="L22" s="31" t="str">
        <f aca="false">IF(OR(K22="",F22=""),"",K22-I22)</f>
        <v/>
      </c>
      <c r="M22" s="34" t="str">
        <f aca="false">IF(L22="","",L22/K22)</f>
        <v/>
      </c>
      <c r="N22" s="43" t="str">
        <f aca="true">IF(D22="","",IF(J22="",TODAY()-D22,J22-D22))</f>
        <v/>
      </c>
      <c r="O22" s="31" t="str">
        <f aca="false">IF(L22="","",IF(L22&lt;=0,0,ROUND(L22-L22/(1+Einstellungen!$B$10),2)))</f>
        <v/>
      </c>
      <c r="P22" s="35" t="str">
        <f aca="false">IF(F22="","",IF(K22="",IF(N22&gt;90,"an Lager &gt;90 Tage!","an Lager"),"verkauft"))</f>
        <v/>
      </c>
    </row>
    <row r="23" customFormat="false" ht="15" hidden="false" customHeight="false" outlineLevel="0" collapsed="false">
      <c r="A23" s="32"/>
      <c r="B23" s="32"/>
      <c r="C23" s="32"/>
      <c r="D23" s="33"/>
      <c r="E23" s="32"/>
      <c r="F23" s="30"/>
      <c r="G23" s="30"/>
      <c r="H23" s="30"/>
      <c r="I23" s="31" t="str">
        <f aca="false">IF(F23="","",F23+G23+H23)</f>
        <v/>
      </c>
      <c r="J23" s="33"/>
      <c r="K23" s="30"/>
      <c r="L23" s="31" t="str">
        <f aca="false">IF(OR(K23="",F23=""),"",K23-I23)</f>
        <v/>
      </c>
      <c r="M23" s="34" t="str">
        <f aca="false">IF(L23="","",L23/K23)</f>
        <v/>
      </c>
      <c r="N23" s="43" t="str">
        <f aca="true">IF(D23="","",IF(J23="",TODAY()-D23,J23-D23))</f>
        <v/>
      </c>
      <c r="O23" s="31" t="str">
        <f aca="false">IF(L23="","",IF(L23&lt;=0,0,ROUND(L23-L23/(1+Einstellungen!$B$10),2)))</f>
        <v/>
      </c>
      <c r="P23" s="35" t="str">
        <f aca="false">IF(F23="","",IF(K23="",IF(N23&gt;90,"an Lager &gt;90 Tage!","an Lager"),"verkauft"))</f>
        <v/>
      </c>
    </row>
    <row r="24" customFormat="false" ht="15" hidden="false" customHeight="false" outlineLevel="0" collapsed="false">
      <c r="A24" s="32"/>
      <c r="B24" s="32"/>
      <c r="C24" s="32"/>
      <c r="D24" s="33"/>
      <c r="E24" s="32"/>
      <c r="F24" s="30"/>
      <c r="G24" s="30"/>
      <c r="H24" s="30"/>
      <c r="I24" s="31" t="str">
        <f aca="false">IF(F24="","",F24+G24+H24)</f>
        <v/>
      </c>
      <c r="J24" s="33"/>
      <c r="K24" s="30"/>
      <c r="L24" s="31" t="str">
        <f aca="false">IF(OR(K24="",F24=""),"",K24-I24)</f>
        <v/>
      </c>
      <c r="M24" s="34" t="str">
        <f aca="false">IF(L24="","",L24/K24)</f>
        <v/>
      </c>
      <c r="N24" s="43" t="str">
        <f aca="true">IF(D24="","",IF(J24="",TODAY()-D24,J24-D24))</f>
        <v/>
      </c>
      <c r="O24" s="31" t="str">
        <f aca="false">IF(L24="","",IF(L24&lt;=0,0,ROUND(L24-L24/(1+Einstellungen!$B$10),2)))</f>
        <v/>
      </c>
      <c r="P24" s="35" t="str">
        <f aca="false">IF(F24="","",IF(K24="",IF(N24&gt;90,"an Lager &gt;90 Tage!","an Lager"),"verkauft"))</f>
        <v/>
      </c>
    </row>
    <row r="25" customFormat="false" ht="15" hidden="false" customHeight="false" outlineLevel="0" collapsed="false">
      <c r="A25" s="32"/>
      <c r="B25" s="32"/>
      <c r="C25" s="32"/>
      <c r="D25" s="33"/>
      <c r="E25" s="32"/>
      <c r="F25" s="30"/>
      <c r="G25" s="30"/>
      <c r="H25" s="30"/>
      <c r="I25" s="31" t="str">
        <f aca="false">IF(F25="","",F25+G25+H25)</f>
        <v/>
      </c>
      <c r="J25" s="33"/>
      <c r="K25" s="30"/>
      <c r="L25" s="31" t="str">
        <f aca="false">IF(OR(K25="",F25=""),"",K25-I25)</f>
        <v/>
      </c>
      <c r="M25" s="34" t="str">
        <f aca="false">IF(L25="","",L25/K25)</f>
        <v/>
      </c>
      <c r="N25" s="43" t="str">
        <f aca="true">IF(D25="","",IF(J25="",TODAY()-D25,J25-D25))</f>
        <v/>
      </c>
      <c r="O25" s="31" t="str">
        <f aca="false">IF(L25="","",IF(L25&lt;=0,0,ROUND(L25-L25/(1+Einstellungen!$B$10),2)))</f>
        <v/>
      </c>
      <c r="P25" s="35" t="str">
        <f aca="false">IF(F25="","",IF(K25="",IF(N25&gt;90,"an Lager &gt;90 Tage!","an Lager"),"verkauft"))</f>
        <v/>
      </c>
    </row>
    <row r="26" customFormat="false" ht="15" hidden="false" customHeight="false" outlineLevel="0" collapsed="false">
      <c r="A26" s="32"/>
      <c r="B26" s="32"/>
      <c r="C26" s="32"/>
      <c r="D26" s="33"/>
      <c r="E26" s="32"/>
      <c r="F26" s="30"/>
      <c r="G26" s="30"/>
      <c r="H26" s="30"/>
      <c r="I26" s="31" t="str">
        <f aca="false">IF(F26="","",F26+G26+H26)</f>
        <v/>
      </c>
      <c r="J26" s="33"/>
      <c r="K26" s="30"/>
      <c r="L26" s="31" t="str">
        <f aca="false">IF(OR(K26="",F26=""),"",K26-I26)</f>
        <v/>
      </c>
      <c r="M26" s="34" t="str">
        <f aca="false">IF(L26="","",L26/K26)</f>
        <v/>
      </c>
      <c r="N26" s="43" t="str">
        <f aca="true">IF(D26="","",IF(J26="",TODAY()-D26,J26-D26))</f>
        <v/>
      </c>
      <c r="O26" s="31" t="str">
        <f aca="false">IF(L26="","",IF(L26&lt;=0,0,ROUND(L26-L26/(1+Einstellungen!$B$10),2)))</f>
        <v/>
      </c>
      <c r="P26" s="35" t="str">
        <f aca="false">IF(F26="","",IF(K26="",IF(N26&gt;90,"an Lager &gt;90 Tage!","an Lager"),"verkauft"))</f>
        <v/>
      </c>
    </row>
    <row r="27" customFormat="false" ht="15" hidden="false" customHeight="false" outlineLevel="0" collapsed="false">
      <c r="A27" s="32"/>
      <c r="B27" s="32"/>
      <c r="C27" s="32"/>
      <c r="D27" s="33"/>
      <c r="E27" s="32"/>
      <c r="F27" s="30"/>
      <c r="G27" s="30"/>
      <c r="H27" s="30"/>
      <c r="I27" s="31" t="str">
        <f aca="false">IF(F27="","",F27+G27+H27)</f>
        <v/>
      </c>
      <c r="J27" s="33"/>
      <c r="K27" s="30"/>
      <c r="L27" s="31" t="str">
        <f aca="false">IF(OR(K27="",F27=""),"",K27-I27)</f>
        <v/>
      </c>
      <c r="M27" s="34" t="str">
        <f aca="false">IF(L27="","",L27/K27)</f>
        <v/>
      </c>
      <c r="N27" s="43" t="str">
        <f aca="true">IF(D27="","",IF(J27="",TODAY()-D27,J27-D27))</f>
        <v/>
      </c>
      <c r="O27" s="31" t="str">
        <f aca="false">IF(L27="","",IF(L27&lt;=0,0,ROUND(L27-L27/(1+Einstellungen!$B$10),2)))</f>
        <v/>
      </c>
      <c r="P27" s="35" t="str">
        <f aca="false">IF(F27="","",IF(K27="",IF(N27&gt;90,"an Lager &gt;90 Tage!","an Lager"),"verkauft"))</f>
        <v/>
      </c>
    </row>
    <row r="28" customFormat="false" ht="15" hidden="false" customHeight="false" outlineLevel="0" collapsed="false">
      <c r="A28" s="32"/>
      <c r="B28" s="32"/>
      <c r="C28" s="32"/>
      <c r="D28" s="33"/>
      <c r="E28" s="32"/>
      <c r="F28" s="30"/>
      <c r="G28" s="30"/>
      <c r="H28" s="30"/>
      <c r="I28" s="31" t="str">
        <f aca="false">IF(F28="","",F28+G28+H28)</f>
        <v/>
      </c>
      <c r="J28" s="33"/>
      <c r="K28" s="30"/>
      <c r="L28" s="31" t="str">
        <f aca="false">IF(OR(K28="",F28=""),"",K28-I28)</f>
        <v/>
      </c>
      <c r="M28" s="34" t="str">
        <f aca="false">IF(L28="","",L28/K28)</f>
        <v/>
      </c>
      <c r="N28" s="43" t="str">
        <f aca="true">IF(D28="","",IF(J28="",TODAY()-D28,J28-D28))</f>
        <v/>
      </c>
      <c r="O28" s="31" t="str">
        <f aca="false">IF(L28="","",IF(L28&lt;=0,0,ROUND(L28-L28/(1+Einstellungen!$B$10),2)))</f>
        <v/>
      </c>
      <c r="P28" s="35" t="str">
        <f aca="false">IF(F28="","",IF(K28="",IF(N28&gt;90,"an Lager &gt;90 Tage!","an Lager"),"verkauft"))</f>
        <v/>
      </c>
    </row>
    <row r="29" customFormat="false" ht="15" hidden="false" customHeight="false" outlineLevel="0" collapsed="false">
      <c r="A29" s="32"/>
      <c r="B29" s="32"/>
      <c r="C29" s="32"/>
      <c r="D29" s="33"/>
      <c r="E29" s="32"/>
      <c r="F29" s="30"/>
      <c r="G29" s="30"/>
      <c r="H29" s="30"/>
      <c r="I29" s="31" t="str">
        <f aca="false">IF(F29="","",F29+G29+H29)</f>
        <v/>
      </c>
      <c r="J29" s="33"/>
      <c r="K29" s="30"/>
      <c r="L29" s="31" t="str">
        <f aca="false">IF(OR(K29="",F29=""),"",K29-I29)</f>
        <v/>
      </c>
      <c r="M29" s="34" t="str">
        <f aca="false">IF(L29="","",L29/K29)</f>
        <v/>
      </c>
      <c r="N29" s="43" t="str">
        <f aca="true">IF(D29="","",IF(J29="",TODAY()-D29,J29-D29))</f>
        <v/>
      </c>
      <c r="O29" s="31" t="str">
        <f aca="false">IF(L29="","",IF(L29&lt;=0,0,ROUND(L29-L29/(1+Einstellungen!$B$10),2)))</f>
        <v/>
      </c>
      <c r="P29" s="35" t="str">
        <f aca="false">IF(F29="","",IF(K29="",IF(N29&gt;90,"an Lager &gt;90 Tage!","an Lager"),"verkauft"))</f>
        <v/>
      </c>
    </row>
    <row r="30" customFormat="false" ht="15" hidden="false" customHeight="false" outlineLevel="0" collapsed="false">
      <c r="A30" s="32"/>
      <c r="B30" s="32"/>
      <c r="C30" s="32"/>
      <c r="D30" s="33"/>
      <c r="E30" s="32"/>
      <c r="F30" s="30"/>
      <c r="G30" s="30"/>
      <c r="H30" s="30"/>
      <c r="I30" s="31" t="str">
        <f aca="false">IF(F30="","",F30+G30+H30)</f>
        <v/>
      </c>
      <c r="J30" s="33"/>
      <c r="K30" s="30"/>
      <c r="L30" s="31" t="str">
        <f aca="false">IF(OR(K30="",F30=""),"",K30-I30)</f>
        <v/>
      </c>
      <c r="M30" s="34" t="str">
        <f aca="false">IF(L30="","",L30/K30)</f>
        <v/>
      </c>
      <c r="N30" s="43" t="str">
        <f aca="true">IF(D30="","",IF(J30="",TODAY()-D30,J30-D30))</f>
        <v/>
      </c>
      <c r="O30" s="31" t="str">
        <f aca="false">IF(L30="","",IF(L30&lt;=0,0,ROUND(L30-L30/(1+Einstellungen!$B$10),2)))</f>
        <v/>
      </c>
      <c r="P30" s="35" t="str">
        <f aca="false">IF(F30="","",IF(K30="",IF(N30&gt;90,"an Lager &gt;90 Tage!","an Lager"),"verkauft"))</f>
        <v/>
      </c>
    </row>
    <row r="31" customFormat="false" ht="15" hidden="false" customHeight="false" outlineLevel="0" collapsed="false">
      <c r="A31" s="32"/>
      <c r="B31" s="32"/>
      <c r="C31" s="32"/>
      <c r="D31" s="33"/>
      <c r="E31" s="32"/>
      <c r="F31" s="30"/>
      <c r="G31" s="30"/>
      <c r="H31" s="30"/>
      <c r="I31" s="31" t="str">
        <f aca="false">IF(F31="","",F31+G31+H31)</f>
        <v/>
      </c>
      <c r="J31" s="33"/>
      <c r="K31" s="30"/>
      <c r="L31" s="31" t="str">
        <f aca="false">IF(OR(K31="",F31=""),"",K31-I31)</f>
        <v/>
      </c>
      <c r="M31" s="34" t="str">
        <f aca="false">IF(L31="","",L31/K31)</f>
        <v/>
      </c>
      <c r="N31" s="43" t="str">
        <f aca="true">IF(D31="","",IF(J31="",TODAY()-D31,J31-D31))</f>
        <v/>
      </c>
      <c r="O31" s="31" t="str">
        <f aca="false">IF(L31="","",IF(L31&lt;=0,0,ROUND(L31-L31/(1+Einstellungen!$B$10),2)))</f>
        <v/>
      </c>
      <c r="P31" s="35" t="str">
        <f aca="false">IF(F31="","",IF(K31="",IF(N31&gt;90,"an Lager &gt;90 Tage!","an Lager"),"verkauft"))</f>
        <v/>
      </c>
    </row>
    <row r="32" customFormat="false" ht="15" hidden="false" customHeight="false" outlineLevel="0" collapsed="false">
      <c r="A32" s="32"/>
      <c r="B32" s="32"/>
      <c r="C32" s="32"/>
      <c r="D32" s="33"/>
      <c r="E32" s="32"/>
      <c r="F32" s="30"/>
      <c r="G32" s="30"/>
      <c r="H32" s="30"/>
      <c r="I32" s="31" t="str">
        <f aca="false">IF(F32="","",F32+G32+H32)</f>
        <v/>
      </c>
      <c r="J32" s="33"/>
      <c r="K32" s="30"/>
      <c r="L32" s="31" t="str">
        <f aca="false">IF(OR(K32="",F32=""),"",K32-I32)</f>
        <v/>
      </c>
      <c r="M32" s="34" t="str">
        <f aca="false">IF(L32="","",L32/K32)</f>
        <v/>
      </c>
      <c r="N32" s="43" t="str">
        <f aca="true">IF(D32="","",IF(J32="",TODAY()-D32,J32-D32))</f>
        <v/>
      </c>
      <c r="O32" s="31" t="str">
        <f aca="false">IF(L32="","",IF(L32&lt;=0,0,ROUND(L32-L32/(1+Einstellungen!$B$10),2)))</f>
        <v/>
      </c>
      <c r="P32" s="35" t="str">
        <f aca="false">IF(F32="","",IF(K32="",IF(N32&gt;90,"an Lager &gt;90 Tage!","an Lager"),"verkauft"))</f>
        <v/>
      </c>
    </row>
    <row r="33" customFormat="false" ht="15" hidden="false" customHeight="false" outlineLevel="0" collapsed="false">
      <c r="A33" s="32"/>
      <c r="B33" s="32"/>
      <c r="C33" s="32"/>
      <c r="D33" s="33"/>
      <c r="E33" s="32"/>
      <c r="F33" s="30"/>
      <c r="G33" s="30"/>
      <c r="H33" s="30"/>
      <c r="I33" s="31" t="str">
        <f aca="false">IF(F33="","",F33+G33+H33)</f>
        <v/>
      </c>
      <c r="J33" s="33"/>
      <c r="K33" s="30"/>
      <c r="L33" s="31" t="str">
        <f aca="false">IF(OR(K33="",F33=""),"",K33-I33)</f>
        <v/>
      </c>
      <c r="M33" s="34" t="str">
        <f aca="false">IF(L33="","",L33/K33)</f>
        <v/>
      </c>
      <c r="N33" s="43" t="str">
        <f aca="true">IF(D33="","",IF(J33="",TODAY()-D33,J33-D33))</f>
        <v/>
      </c>
      <c r="O33" s="31" t="str">
        <f aca="false">IF(L33="","",IF(L33&lt;=0,0,ROUND(L33-L33/(1+Einstellungen!$B$10),2)))</f>
        <v/>
      </c>
      <c r="P33" s="35" t="str">
        <f aca="false">IF(F33="","",IF(K33="",IF(N33&gt;90,"an Lager &gt;90 Tage!","an Lager"),"verkauft"))</f>
        <v/>
      </c>
    </row>
    <row r="34" customFormat="false" ht="15" hidden="false" customHeight="false" outlineLevel="0" collapsed="false">
      <c r="A34" s="32"/>
      <c r="B34" s="32"/>
      <c r="C34" s="32"/>
      <c r="D34" s="33"/>
      <c r="E34" s="32"/>
      <c r="F34" s="30"/>
      <c r="G34" s="30"/>
      <c r="H34" s="30"/>
      <c r="I34" s="31" t="str">
        <f aca="false">IF(F34="","",F34+G34+H34)</f>
        <v/>
      </c>
      <c r="J34" s="33"/>
      <c r="K34" s="30"/>
      <c r="L34" s="31" t="str">
        <f aca="false">IF(OR(K34="",F34=""),"",K34-I34)</f>
        <v/>
      </c>
      <c r="M34" s="34" t="str">
        <f aca="false">IF(L34="","",L34/K34)</f>
        <v/>
      </c>
      <c r="N34" s="43" t="str">
        <f aca="true">IF(D34="","",IF(J34="",TODAY()-D34,J34-D34))</f>
        <v/>
      </c>
      <c r="O34" s="31" t="str">
        <f aca="false">IF(L34="","",IF(L34&lt;=0,0,ROUND(L34-L34/(1+Einstellungen!$B$10),2)))</f>
        <v/>
      </c>
      <c r="P34" s="35" t="str">
        <f aca="false">IF(F34="","",IF(K34="",IF(N34&gt;90,"an Lager &gt;90 Tage!","an Lager"),"verkauft"))</f>
        <v/>
      </c>
    </row>
    <row r="35" customFormat="false" ht="15" hidden="false" customHeight="false" outlineLevel="0" collapsed="false">
      <c r="A35" s="32"/>
      <c r="B35" s="32"/>
      <c r="C35" s="32"/>
      <c r="D35" s="33"/>
      <c r="E35" s="32"/>
      <c r="F35" s="30"/>
      <c r="G35" s="30"/>
      <c r="H35" s="30"/>
      <c r="I35" s="31" t="str">
        <f aca="false">IF(F35="","",F35+G35+H35)</f>
        <v/>
      </c>
      <c r="J35" s="33"/>
      <c r="K35" s="30"/>
      <c r="L35" s="31" t="str">
        <f aca="false">IF(OR(K35="",F35=""),"",K35-I35)</f>
        <v/>
      </c>
      <c r="M35" s="34" t="str">
        <f aca="false">IF(L35="","",L35/K35)</f>
        <v/>
      </c>
      <c r="N35" s="43" t="str">
        <f aca="true">IF(D35="","",IF(J35="",TODAY()-D35,J35-D35))</f>
        <v/>
      </c>
      <c r="O35" s="31" t="str">
        <f aca="false">IF(L35="","",IF(L35&lt;=0,0,ROUND(L35-L35/(1+Einstellungen!$B$10),2)))</f>
        <v/>
      </c>
      <c r="P35" s="35" t="str">
        <f aca="false">IF(F35="","",IF(K35="",IF(N35&gt;90,"an Lager &gt;90 Tage!","an Lager"),"verkauft"))</f>
        <v/>
      </c>
    </row>
    <row r="36" customFormat="false" ht="15" hidden="false" customHeight="false" outlineLevel="0" collapsed="false">
      <c r="A36" s="32"/>
      <c r="B36" s="32"/>
      <c r="C36" s="32"/>
      <c r="D36" s="33"/>
      <c r="E36" s="32"/>
      <c r="F36" s="30"/>
      <c r="G36" s="30"/>
      <c r="H36" s="30"/>
      <c r="I36" s="31" t="str">
        <f aca="false">IF(F36="","",F36+G36+H36)</f>
        <v/>
      </c>
      <c r="J36" s="33"/>
      <c r="K36" s="30"/>
      <c r="L36" s="31" t="str">
        <f aca="false">IF(OR(K36="",F36=""),"",K36-I36)</f>
        <v/>
      </c>
      <c r="M36" s="34" t="str">
        <f aca="false">IF(L36="","",L36/K36)</f>
        <v/>
      </c>
      <c r="N36" s="43" t="str">
        <f aca="true">IF(D36="","",IF(J36="",TODAY()-D36,J36-D36))</f>
        <v/>
      </c>
      <c r="O36" s="31" t="str">
        <f aca="false">IF(L36="","",IF(L36&lt;=0,0,ROUND(L36-L36/(1+Einstellungen!$B$10),2)))</f>
        <v/>
      </c>
      <c r="P36" s="35" t="str">
        <f aca="false">IF(F36="","",IF(K36="",IF(N36&gt;90,"an Lager &gt;90 Tage!","an Lager"),"verkauft"))</f>
        <v/>
      </c>
    </row>
    <row r="37" customFormat="false" ht="15" hidden="false" customHeight="false" outlineLevel="0" collapsed="false">
      <c r="A37" s="32"/>
      <c r="B37" s="32"/>
      <c r="C37" s="32"/>
      <c r="D37" s="33"/>
      <c r="E37" s="32"/>
      <c r="F37" s="30"/>
      <c r="G37" s="30"/>
      <c r="H37" s="30"/>
      <c r="I37" s="31" t="str">
        <f aca="false">IF(F37="","",F37+G37+H37)</f>
        <v/>
      </c>
      <c r="J37" s="33"/>
      <c r="K37" s="30"/>
      <c r="L37" s="31" t="str">
        <f aca="false">IF(OR(K37="",F37=""),"",K37-I37)</f>
        <v/>
      </c>
      <c r="M37" s="34" t="str">
        <f aca="false">IF(L37="","",L37/K37)</f>
        <v/>
      </c>
      <c r="N37" s="43" t="str">
        <f aca="true">IF(D37="","",IF(J37="",TODAY()-D37,J37-D37))</f>
        <v/>
      </c>
      <c r="O37" s="31" t="str">
        <f aca="false">IF(L37="","",IF(L37&lt;=0,0,ROUND(L37-L37/(1+Einstellungen!$B$10),2)))</f>
        <v/>
      </c>
      <c r="P37" s="35" t="str">
        <f aca="false">IF(F37="","",IF(K37="",IF(N37&gt;90,"an Lager &gt;90 Tage!","an Lager"),"verkauft"))</f>
        <v/>
      </c>
    </row>
    <row r="38" customFormat="false" ht="15" hidden="false" customHeight="false" outlineLevel="0" collapsed="false">
      <c r="A38" s="32"/>
      <c r="B38" s="32"/>
      <c r="C38" s="32"/>
      <c r="D38" s="33"/>
      <c r="E38" s="32"/>
      <c r="F38" s="30"/>
      <c r="G38" s="30"/>
      <c r="H38" s="30"/>
      <c r="I38" s="31" t="str">
        <f aca="false">IF(F38="","",F38+G38+H38)</f>
        <v/>
      </c>
      <c r="J38" s="33"/>
      <c r="K38" s="30"/>
      <c r="L38" s="31" t="str">
        <f aca="false">IF(OR(K38="",F38=""),"",K38-I38)</f>
        <v/>
      </c>
      <c r="M38" s="34" t="str">
        <f aca="false">IF(L38="","",L38/K38)</f>
        <v/>
      </c>
      <c r="N38" s="43" t="str">
        <f aca="true">IF(D38="","",IF(J38="",TODAY()-D38,J38-D38))</f>
        <v/>
      </c>
      <c r="O38" s="31" t="str">
        <f aca="false">IF(L38="","",IF(L38&lt;=0,0,ROUND(L38-L38/(1+Einstellungen!$B$10),2)))</f>
        <v/>
      </c>
      <c r="P38" s="35" t="str">
        <f aca="false">IF(F38="","",IF(K38="",IF(N38&gt;90,"an Lager &gt;90 Tage!","an Lager"),"verkauft"))</f>
        <v/>
      </c>
    </row>
    <row r="39" customFormat="false" ht="15" hidden="false" customHeight="false" outlineLevel="0" collapsed="false">
      <c r="A39" s="32"/>
      <c r="B39" s="32"/>
      <c r="C39" s="32"/>
      <c r="D39" s="33"/>
      <c r="E39" s="32"/>
      <c r="F39" s="30"/>
      <c r="G39" s="30"/>
      <c r="H39" s="30"/>
      <c r="I39" s="31" t="str">
        <f aca="false">IF(F39="","",F39+G39+H39)</f>
        <v/>
      </c>
      <c r="J39" s="33"/>
      <c r="K39" s="30"/>
      <c r="L39" s="31" t="str">
        <f aca="false">IF(OR(K39="",F39=""),"",K39-I39)</f>
        <v/>
      </c>
      <c r="M39" s="34" t="str">
        <f aca="false">IF(L39="","",L39/K39)</f>
        <v/>
      </c>
      <c r="N39" s="43" t="str">
        <f aca="true">IF(D39="","",IF(J39="",TODAY()-D39,J39-D39))</f>
        <v/>
      </c>
      <c r="O39" s="31" t="str">
        <f aca="false">IF(L39="","",IF(L39&lt;=0,0,ROUND(L39-L39/(1+Einstellungen!$B$10),2)))</f>
        <v/>
      </c>
      <c r="P39" s="35" t="str">
        <f aca="false">IF(F39="","",IF(K39="",IF(N39&gt;90,"an Lager &gt;90 Tage!","an Lager"),"verkauft"))</f>
        <v/>
      </c>
    </row>
    <row r="40" customFormat="false" ht="15" hidden="false" customHeight="false" outlineLevel="0" collapsed="false">
      <c r="A40" s="32"/>
      <c r="B40" s="32"/>
      <c r="C40" s="32"/>
      <c r="D40" s="33"/>
      <c r="E40" s="32"/>
      <c r="F40" s="30"/>
      <c r="G40" s="30"/>
      <c r="H40" s="30"/>
      <c r="I40" s="31" t="str">
        <f aca="false">IF(F40="","",F40+G40+H40)</f>
        <v/>
      </c>
      <c r="J40" s="33"/>
      <c r="K40" s="30"/>
      <c r="L40" s="31" t="str">
        <f aca="false">IF(OR(K40="",F40=""),"",K40-I40)</f>
        <v/>
      </c>
      <c r="M40" s="34" t="str">
        <f aca="false">IF(L40="","",L40/K40)</f>
        <v/>
      </c>
      <c r="N40" s="43" t="str">
        <f aca="true">IF(D40="","",IF(J40="",TODAY()-D40,J40-D40))</f>
        <v/>
      </c>
      <c r="O40" s="31" t="str">
        <f aca="false">IF(L40="","",IF(L40&lt;=0,0,ROUND(L40-L40/(1+Einstellungen!$B$10),2)))</f>
        <v/>
      </c>
      <c r="P40" s="35" t="str">
        <f aca="false">IF(F40="","",IF(K40="",IF(N40&gt;90,"an Lager &gt;90 Tage!","an Lager"),"verkauft"))</f>
        <v/>
      </c>
    </row>
    <row r="41" customFormat="false" ht="15" hidden="false" customHeight="false" outlineLevel="0" collapsed="false">
      <c r="A41" s="32"/>
      <c r="B41" s="32"/>
      <c r="C41" s="32"/>
      <c r="D41" s="33"/>
      <c r="E41" s="32"/>
      <c r="F41" s="30"/>
      <c r="G41" s="30"/>
      <c r="H41" s="30"/>
      <c r="I41" s="31" t="str">
        <f aca="false">IF(F41="","",F41+G41+H41)</f>
        <v/>
      </c>
      <c r="J41" s="33"/>
      <c r="K41" s="30"/>
      <c r="L41" s="31" t="str">
        <f aca="false">IF(OR(K41="",F41=""),"",K41-I41)</f>
        <v/>
      </c>
      <c r="M41" s="34" t="str">
        <f aca="false">IF(L41="","",L41/K41)</f>
        <v/>
      </c>
      <c r="N41" s="43" t="str">
        <f aca="true">IF(D41="","",IF(J41="",TODAY()-D41,J41-D41))</f>
        <v/>
      </c>
      <c r="O41" s="31" t="str">
        <f aca="false">IF(L41="","",IF(L41&lt;=0,0,ROUND(L41-L41/(1+Einstellungen!$B$10),2)))</f>
        <v/>
      </c>
      <c r="P41" s="35" t="str">
        <f aca="false">IF(F41="","",IF(K41="",IF(N41&gt;90,"an Lager &gt;90 Tage!","an Lager"),"verkauft"))</f>
        <v/>
      </c>
    </row>
    <row r="42" customFormat="false" ht="15" hidden="false" customHeight="false" outlineLevel="0" collapsed="false">
      <c r="A42" s="32"/>
      <c r="B42" s="32"/>
      <c r="C42" s="32"/>
      <c r="D42" s="33"/>
      <c r="E42" s="32"/>
      <c r="F42" s="30"/>
      <c r="G42" s="30"/>
      <c r="H42" s="30"/>
      <c r="I42" s="31" t="str">
        <f aca="false">IF(F42="","",F42+G42+H42)</f>
        <v/>
      </c>
      <c r="J42" s="33"/>
      <c r="K42" s="30"/>
      <c r="L42" s="31" t="str">
        <f aca="false">IF(OR(K42="",F42=""),"",K42-I42)</f>
        <v/>
      </c>
      <c r="M42" s="34" t="str">
        <f aca="false">IF(L42="","",L42/K42)</f>
        <v/>
      </c>
      <c r="N42" s="43" t="str">
        <f aca="true">IF(D42="","",IF(J42="",TODAY()-D42,J42-D42))</f>
        <v/>
      </c>
      <c r="O42" s="31" t="str">
        <f aca="false">IF(L42="","",IF(L42&lt;=0,0,ROUND(L42-L42/(1+Einstellungen!$B$10),2)))</f>
        <v/>
      </c>
      <c r="P42" s="35" t="str">
        <f aca="false">IF(F42="","",IF(K42="",IF(N42&gt;90,"an Lager &gt;90 Tage!","an Lager"),"verkauft"))</f>
        <v/>
      </c>
    </row>
    <row r="43" customFormat="false" ht="15" hidden="false" customHeight="false" outlineLevel="0" collapsed="false">
      <c r="A43" s="32"/>
      <c r="B43" s="32"/>
      <c r="C43" s="32"/>
      <c r="D43" s="33"/>
      <c r="E43" s="32"/>
      <c r="F43" s="30"/>
      <c r="G43" s="30"/>
      <c r="H43" s="30"/>
      <c r="I43" s="31" t="str">
        <f aca="false">IF(F43="","",F43+G43+H43)</f>
        <v/>
      </c>
      <c r="J43" s="33"/>
      <c r="K43" s="30"/>
      <c r="L43" s="31" t="str">
        <f aca="false">IF(OR(K43="",F43=""),"",K43-I43)</f>
        <v/>
      </c>
      <c r="M43" s="34" t="str">
        <f aca="false">IF(L43="","",L43/K43)</f>
        <v/>
      </c>
      <c r="N43" s="43" t="str">
        <f aca="true">IF(D43="","",IF(J43="",TODAY()-D43,J43-D43))</f>
        <v/>
      </c>
      <c r="O43" s="31" t="str">
        <f aca="false">IF(L43="","",IF(L43&lt;=0,0,ROUND(L43-L43/(1+Einstellungen!$B$10),2)))</f>
        <v/>
      </c>
      <c r="P43" s="35" t="str">
        <f aca="false">IF(F43="","",IF(K43="",IF(N43&gt;90,"an Lager &gt;90 Tage!","an Lager"),"verkauft"))</f>
        <v/>
      </c>
    </row>
    <row r="44" customFormat="false" ht="15" hidden="false" customHeight="false" outlineLevel="0" collapsed="false">
      <c r="A44" s="32"/>
      <c r="B44" s="32"/>
      <c r="C44" s="32"/>
      <c r="D44" s="33"/>
      <c r="E44" s="32"/>
      <c r="F44" s="30"/>
      <c r="G44" s="30"/>
      <c r="H44" s="30"/>
      <c r="I44" s="31" t="str">
        <f aca="false">IF(F44="","",F44+G44+H44)</f>
        <v/>
      </c>
      <c r="J44" s="33"/>
      <c r="K44" s="30"/>
      <c r="L44" s="31" t="str">
        <f aca="false">IF(OR(K44="",F44=""),"",K44-I44)</f>
        <v/>
      </c>
      <c r="M44" s="34" t="str">
        <f aca="false">IF(L44="","",L44/K44)</f>
        <v/>
      </c>
      <c r="N44" s="43" t="str">
        <f aca="true">IF(D44="","",IF(J44="",TODAY()-D44,J44-D44))</f>
        <v/>
      </c>
      <c r="O44" s="31" t="str">
        <f aca="false">IF(L44="","",IF(L44&lt;=0,0,ROUND(L44-L44/(1+Einstellungen!$B$10),2)))</f>
        <v/>
      </c>
      <c r="P44" s="35" t="str">
        <f aca="false">IF(F44="","",IF(K44="",IF(N44&gt;90,"an Lager &gt;90 Tage!","an Lager"),"verkauft"))</f>
        <v/>
      </c>
    </row>
    <row r="45" customFormat="false" ht="15" hidden="false" customHeight="false" outlineLevel="0" collapsed="false">
      <c r="A45" s="32"/>
      <c r="B45" s="32"/>
      <c r="C45" s="32"/>
      <c r="D45" s="33"/>
      <c r="E45" s="32"/>
      <c r="F45" s="30"/>
      <c r="G45" s="30"/>
      <c r="H45" s="30"/>
      <c r="I45" s="31" t="str">
        <f aca="false">IF(F45="","",F45+G45+H45)</f>
        <v/>
      </c>
      <c r="J45" s="33"/>
      <c r="K45" s="30"/>
      <c r="L45" s="31" t="str">
        <f aca="false">IF(OR(K45="",F45=""),"",K45-I45)</f>
        <v/>
      </c>
      <c r="M45" s="34" t="str">
        <f aca="false">IF(L45="","",L45/K45)</f>
        <v/>
      </c>
      <c r="N45" s="43" t="str">
        <f aca="true">IF(D45="","",IF(J45="",TODAY()-D45,J45-D45))</f>
        <v/>
      </c>
      <c r="O45" s="31" t="str">
        <f aca="false">IF(L45="","",IF(L45&lt;=0,0,ROUND(L45-L45/(1+Einstellungen!$B$10),2)))</f>
        <v/>
      </c>
      <c r="P45" s="35" t="str">
        <f aca="false">IF(F45="","",IF(K45="",IF(N45&gt;90,"an Lager &gt;90 Tage!","an Lager"),"verkauft"))</f>
        <v/>
      </c>
    </row>
    <row r="46" customFormat="false" ht="15" hidden="false" customHeight="false" outlineLevel="0" collapsed="false">
      <c r="A46" s="32"/>
      <c r="B46" s="32"/>
      <c r="C46" s="32"/>
      <c r="D46" s="33"/>
      <c r="E46" s="32"/>
      <c r="F46" s="30"/>
      <c r="G46" s="30"/>
      <c r="H46" s="30"/>
      <c r="I46" s="31" t="str">
        <f aca="false">IF(F46="","",F46+G46+H46)</f>
        <v/>
      </c>
      <c r="J46" s="33"/>
      <c r="K46" s="30"/>
      <c r="L46" s="31" t="str">
        <f aca="false">IF(OR(K46="",F46=""),"",K46-I46)</f>
        <v/>
      </c>
      <c r="M46" s="34" t="str">
        <f aca="false">IF(L46="","",L46/K46)</f>
        <v/>
      </c>
      <c r="N46" s="43" t="str">
        <f aca="true">IF(D46="","",IF(J46="",TODAY()-D46,J46-D46))</f>
        <v/>
      </c>
      <c r="O46" s="31" t="str">
        <f aca="false">IF(L46="","",IF(L46&lt;=0,0,ROUND(L46-L46/(1+Einstellungen!$B$10),2)))</f>
        <v/>
      </c>
      <c r="P46" s="35" t="str">
        <f aca="false">IF(F46="","",IF(K46="",IF(N46&gt;90,"an Lager &gt;90 Tage!","an Lager"),"verkauft"))</f>
        <v/>
      </c>
    </row>
    <row r="47" customFormat="false" ht="15" hidden="false" customHeight="false" outlineLevel="0" collapsed="false">
      <c r="A47" s="32"/>
      <c r="B47" s="32"/>
      <c r="C47" s="32"/>
      <c r="D47" s="33"/>
      <c r="E47" s="32"/>
      <c r="F47" s="30"/>
      <c r="G47" s="30"/>
      <c r="H47" s="30"/>
      <c r="I47" s="31" t="str">
        <f aca="false">IF(F47="","",F47+G47+H47)</f>
        <v/>
      </c>
      <c r="J47" s="33"/>
      <c r="K47" s="30"/>
      <c r="L47" s="31" t="str">
        <f aca="false">IF(OR(K47="",F47=""),"",K47-I47)</f>
        <v/>
      </c>
      <c r="M47" s="34" t="str">
        <f aca="false">IF(L47="","",L47/K47)</f>
        <v/>
      </c>
      <c r="N47" s="43" t="str">
        <f aca="true">IF(D47="","",IF(J47="",TODAY()-D47,J47-D47))</f>
        <v/>
      </c>
      <c r="O47" s="31" t="str">
        <f aca="false">IF(L47="","",IF(L47&lt;=0,0,ROUND(L47-L47/(1+Einstellungen!$B$10),2)))</f>
        <v/>
      </c>
      <c r="P47" s="35" t="str">
        <f aca="false">IF(F47="","",IF(K47="",IF(N47&gt;90,"an Lager &gt;90 Tage!","an Lager"),"verkauft"))</f>
        <v/>
      </c>
    </row>
    <row r="48" customFormat="false" ht="15" hidden="false" customHeight="false" outlineLevel="0" collapsed="false">
      <c r="A48" s="32"/>
      <c r="B48" s="32"/>
      <c r="C48" s="32"/>
      <c r="D48" s="33"/>
      <c r="E48" s="32"/>
      <c r="F48" s="30"/>
      <c r="G48" s="30"/>
      <c r="H48" s="30"/>
      <c r="I48" s="31" t="str">
        <f aca="false">IF(F48="","",F48+G48+H48)</f>
        <v/>
      </c>
      <c r="J48" s="33"/>
      <c r="K48" s="30"/>
      <c r="L48" s="31" t="str">
        <f aca="false">IF(OR(K48="",F48=""),"",K48-I48)</f>
        <v/>
      </c>
      <c r="M48" s="34" t="str">
        <f aca="false">IF(L48="","",L48/K48)</f>
        <v/>
      </c>
      <c r="N48" s="43" t="str">
        <f aca="true">IF(D48="","",IF(J48="",TODAY()-D48,J48-D48))</f>
        <v/>
      </c>
      <c r="O48" s="31" t="str">
        <f aca="false">IF(L48="","",IF(L48&lt;=0,0,ROUND(L48-L48/(1+Einstellungen!$B$10),2)))</f>
        <v/>
      </c>
      <c r="P48" s="35" t="str">
        <f aca="false">IF(F48="","",IF(K48="",IF(N48&gt;90,"an Lager &gt;90 Tage!","an Lager"),"verkauft"))</f>
        <v/>
      </c>
    </row>
    <row r="49" customFormat="false" ht="15" hidden="false" customHeight="false" outlineLevel="0" collapsed="false">
      <c r="A49" s="32"/>
      <c r="B49" s="32"/>
      <c r="C49" s="32"/>
      <c r="D49" s="33"/>
      <c r="E49" s="32"/>
      <c r="F49" s="30"/>
      <c r="G49" s="30"/>
      <c r="H49" s="30"/>
      <c r="I49" s="31" t="str">
        <f aca="false">IF(F49="","",F49+G49+H49)</f>
        <v/>
      </c>
      <c r="J49" s="33"/>
      <c r="K49" s="30"/>
      <c r="L49" s="31" t="str">
        <f aca="false">IF(OR(K49="",F49=""),"",K49-I49)</f>
        <v/>
      </c>
      <c r="M49" s="34" t="str">
        <f aca="false">IF(L49="","",L49/K49)</f>
        <v/>
      </c>
      <c r="N49" s="43" t="str">
        <f aca="true">IF(D49="","",IF(J49="",TODAY()-D49,J49-D49))</f>
        <v/>
      </c>
      <c r="O49" s="31" t="str">
        <f aca="false">IF(L49="","",IF(L49&lt;=0,0,ROUND(L49-L49/(1+Einstellungen!$B$10),2)))</f>
        <v/>
      </c>
      <c r="P49" s="35" t="str">
        <f aca="false">IF(F49="","",IF(K49="",IF(N49&gt;90,"an Lager &gt;90 Tage!","an Lager"),"verkauft"))</f>
        <v/>
      </c>
    </row>
    <row r="50" customFormat="false" ht="15" hidden="false" customHeight="false" outlineLevel="0" collapsed="false">
      <c r="A50" s="32"/>
      <c r="B50" s="32"/>
      <c r="C50" s="32"/>
      <c r="D50" s="33"/>
      <c r="E50" s="32"/>
      <c r="F50" s="30"/>
      <c r="G50" s="30"/>
      <c r="H50" s="30"/>
      <c r="I50" s="31" t="str">
        <f aca="false">IF(F50="","",F50+G50+H50)</f>
        <v/>
      </c>
      <c r="J50" s="33"/>
      <c r="K50" s="30"/>
      <c r="L50" s="31" t="str">
        <f aca="false">IF(OR(K50="",F50=""),"",K50-I50)</f>
        <v/>
      </c>
      <c r="M50" s="34" t="str">
        <f aca="false">IF(L50="","",L50/K50)</f>
        <v/>
      </c>
      <c r="N50" s="43" t="str">
        <f aca="true">IF(D50="","",IF(J50="",TODAY()-D50,J50-D50))</f>
        <v/>
      </c>
      <c r="O50" s="31" t="str">
        <f aca="false">IF(L50="","",IF(L50&lt;=0,0,ROUND(L50-L50/(1+Einstellungen!$B$10),2)))</f>
        <v/>
      </c>
      <c r="P50" s="35" t="str">
        <f aca="false">IF(F50="","",IF(K50="",IF(N50&gt;90,"an Lager &gt;90 Tage!","an Lager"),"verkauft"))</f>
        <v/>
      </c>
    </row>
    <row r="51" customFormat="false" ht="15" hidden="false" customHeight="false" outlineLevel="0" collapsed="false">
      <c r="A51" s="32"/>
      <c r="B51" s="32"/>
      <c r="C51" s="32"/>
      <c r="D51" s="33"/>
      <c r="E51" s="32"/>
      <c r="F51" s="30"/>
      <c r="G51" s="30"/>
      <c r="H51" s="30"/>
      <c r="I51" s="31" t="str">
        <f aca="false">IF(F51="","",F51+G51+H51)</f>
        <v/>
      </c>
      <c r="J51" s="33"/>
      <c r="K51" s="30"/>
      <c r="L51" s="31" t="str">
        <f aca="false">IF(OR(K51="",F51=""),"",K51-I51)</f>
        <v/>
      </c>
      <c r="M51" s="34" t="str">
        <f aca="false">IF(L51="","",L51/K51)</f>
        <v/>
      </c>
      <c r="N51" s="43" t="str">
        <f aca="true">IF(D51="","",IF(J51="",TODAY()-D51,J51-D51))</f>
        <v/>
      </c>
      <c r="O51" s="31" t="str">
        <f aca="false">IF(L51="","",IF(L51&lt;=0,0,ROUND(L51-L51/(1+Einstellungen!$B$10),2)))</f>
        <v/>
      </c>
      <c r="P51" s="35" t="str">
        <f aca="false">IF(F51="","",IF(K51="",IF(N51&gt;90,"an Lager &gt;90 Tage!","an Lager"),"verkauft"))</f>
        <v/>
      </c>
    </row>
    <row r="52" customFormat="false" ht="15" hidden="false" customHeight="false" outlineLevel="0" collapsed="false">
      <c r="A52" s="32"/>
      <c r="B52" s="32"/>
      <c r="C52" s="32"/>
      <c r="D52" s="33"/>
      <c r="E52" s="32"/>
      <c r="F52" s="30"/>
      <c r="G52" s="30"/>
      <c r="H52" s="30"/>
      <c r="I52" s="31" t="str">
        <f aca="false">IF(F52="","",F52+G52+H52)</f>
        <v/>
      </c>
      <c r="J52" s="33"/>
      <c r="K52" s="30"/>
      <c r="L52" s="31" t="str">
        <f aca="false">IF(OR(K52="",F52=""),"",K52-I52)</f>
        <v/>
      </c>
      <c r="M52" s="34" t="str">
        <f aca="false">IF(L52="","",L52/K52)</f>
        <v/>
      </c>
      <c r="N52" s="43" t="str">
        <f aca="true">IF(D52="","",IF(J52="",TODAY()-D52,J52-D52))</f>
        <v/>
      </c>
      <c r="O52" s="31" t="str">
        <f aca="false">IF(L52="","",IF(L52&lt;=0,0,ROUND(L52-L52/(1+Einstellungen!$B$10),2)))</f>
        <v/>
      </c>
      <c r="P52" s="35" t="str">
        <f aca="false">IF(F52="","",IF(K52="",IF(N52&gt;90,"an Lager &gt;90 Tage!","an Lager"),"verkauft"))</f>
        <v/>
      </c>
    </row>
    <row r="53" customFormat="false" ht="15" hidden="false" customHeight="false" outlineLevel="0" collapsed="false">
      <c r="A53" s="32"/>
      <c r="B53" s="32"/>
      <c r="C53" s="32"/>
      <c r="D53" s="33"/>
      <c r="E53" s="32"/>
      <c r="F53" s="30"/>
      <c r="G53" s="30"/>
      <c r="H53" s="30"/>
      <c r="I53" s="31" t="str">
        <f aca="false">IF(F53="","",F53+G53+H53)</f>
        <v/>
      </c>
      <c r="J53" s="33"/>
      <c r="K53" s="30"/>
      <c r="L53" s="31" t="str">
        <f aca="false">IF(OR(K53="",F53=""),"",K53-I53)</f>
        <v/>
      </c>
      <c r="M53" s="34" t="str">
        <f aca="false">IF(L53="","",L53/K53)</f>
        <v/>
      </c>
      <c r="N53" s="43" t="str">
        <f aca="true">IF(D53="","",IF(J53="",TODAY()-D53,J53-D53))</f>
        <v/>
      </c>
      <c r="O53" s="31" t="str">
        <f aca="false">IF(L53="","",IF(L53&lt;=0,0,ROUND(L53-L53/(1+Einstellungen!$B$10),2)))</f>
        <v/>
      </c>
      <c r="P53" s="35" t="str">
        <f aca="false">IF(F53="","",IF(K53="",IF(N53&gt;90,"an Lager &gt;90 Tage!","an Lager"),"verkauft"))</f>
        <v/>
      </c>
    </row>
    <row r="54" customFormat="false" ht="15" hidden="false" customHeight="false" outlineLevel="0" collapsed="false">
      <c r="A54" s="32"/>
      <c r="B54" s="32"/>
      <c r="C54" s="32"/>
      <c r="D54" s="33"/>
      <c r="E54" s="32"/>
      <c r="F54" s="30"/>
      <c r="G54" s="30"/>
      <c r="H54" s="30"/>
      <c r="I54" s="31" t="str">
        <f aca="false">IF(F54="","",F54+G54+H54)</f>
        <v/>
      </c>
      <c r="J54" s="33"/>
      <c r="K54" s="30"/>
      <c r="L54" s="31" t="str">
        <f aca="false">IF(OR(K54="",F54=""),"",K54-I54)</f>
        <v/>
      </c>
      <c r="M54" s="34" t="str">
        <f aca="false">IF(L54="","",L54/K54)</f>
        <v/>
      </c>
      <c r="N54" s="43" t="str">
        <f aca="true">IF(D54="","",IF(J54="",TODAY()-D54,J54-D54))</f>
        <v/>
      </c>
      <c r="O54" s="31" t="str">
        <f aca="false">IF(L54="","",IF(L54&lt;=0,0,ROUND(L54-L54/(1+Einstellungen!$B$10),2)))</f>
        <v/>
      </c>
      <c r="P54" s="35" t="str">
        <f aca="false">IF(F54="","",IF(K54="",IF(N54&gt;90,"an Lager &gt;90 Tage!","an Lager"),"verkauft"))</f>
        <v/>
      </c>
    </row>
    <row r="55" customFormat="false" ht="15" hidden="false" customHeight="false" outlineLevel="0" collapsed="false">
      <c r="A55" s="32"/>
      <c r="B55" s="32"/>
      <c r="C55" s="32"/>
      <c r="D55" s="33"/>
      <c r="E55" s="32"/>
      <c r="F55" s="30"/>
      <c r="G55" s="30"/>
      <c r="H55" s="30"/>
      <c r="I55" s="31" t="str">
        <f aca="false">IF(F55="","",F55+G55+H55)</f>
        <v/>
      </c>
      <c r="J55" s="33"/>
      <c r="K55" s="30"/>
      <c r="L55" s="31" t="str">
        <f aca="false">IF(OR(K55="",F55=""),"",K55-I55)</f>
        <v/>
      </c>
      <c r="M55" s="34" t="str">
        <f aca="false">IF(L55="","",L55/K55)</f>
        <v/>
      </c>
      <c r="N55" s="43" t="str">
        <f aca="true">IF(D55="","",IF(J55="",TODAY()-D55,J55-D55))</f>
        <v/>
      </c>
      <c r="O55" s="31" t="str">
        <f aca="false">IF(L55="","",IF(L55&lt;=0,0,ROUND(L55-L55/(1+Einstellungen!$B$10),2)))</f>
        <v/>
      </c>
      <c r="P55" s="35" t="str">
        <f aca="false">IF(F55="","",IF(K55="",IF(N55&gt;90,"an Lager &gt;90 Tage!","an Lager"),"verkauft"))</f>
        <v/>
      </c>
    </row>
    <row r="56" customFormat="false" ht="15" hidden="false" customHeight="false" outlineLevel="0" collapsed="false">
      <c r="A56" s="32"/>
      <c r="B56" s="32"/>
      <c r="C56" s="32"/>
      <c r="D56" s="33"/>
      <c r="E56" s="32"/>
      <c r="F56" s="30"/>
      <c r="G56" s="30"/>
      <c r="H56" s="30"/>
      <c r="I56" s="31" t="str">
        <f aca="false">IF(F56="","",F56+G56+H56)</f>
        <v/>
      </c>
      <c r="J56" s="33"/>
      <c r="K56" s="30"/>
      <c r="L56" s="31" t="str">
        <f aca="false">IF(OR(K56="",F56=""),"",K56-I56)</f>
        <v/>
      </c>
      <c r="M56" s="34" t="str">
        <f aca="false">IF(L56="","",L56/K56)</f>
        <v/>
      </c>
      <c r="N56" s="43" t="str">
        <f aca="true">IF(D56="","",IF(J56="",TODAY()-D56,J56-D56))</f>
        <v/>
      </c>
      <c r="O56" s="31" t="str">
        <f aca="false">IF(L56="","",IF(L56&lt;=0,0,ROUND(L56-L56/(1+Einstellungen!$B$10),2)))</f>
        <v/>
      </c>
      <c r="P56" s="35" t="str">
        <f aca="false">IF(F56="","",IF(K56="",IF(N56&gt;90,"an Lager &gt;90 Tage!","an Lager"),"verkauft"))</f>
        <v/>
      </c>
    </row>
    <row r="57" customFormat="false" ht="15" hidden="false" customHeight="false" outlineLevel="0" collapsed="false">
      <c r="A57" s="32"/>
      <c r="B57" s="32"/>
      <c r="C57" s="32"/>
      <c r="D57" s="33"/>
      <c r="E57" s="32"/>
      <c r="F57" s="30"/>
      <c r="G57" s="30"/>
      <c r="H57" s="30"/>
      <c r="I57" s="31" t="str">
        <f aca="false">IF(F57="","",F57+G57+H57)</f>
        <v/>
      </c>
      <c r="J57" s="33"/>
      <c r="K57" s="30"/>
      <c r="L57" s="31" t="str">
        <f aca="false">IF(OR(K57="",F57=""),"",K57-I57)</f>
        <v/>
      </c>
      <c r="M57" s="34" t="str">
        <f aca="false">IF(L57="","",L57/K57)</f>
        <v/>
      </c>
      <c r="N57" s="43" t="str">
        <f aca="true">IF(D57="","",IF(J57="",TODAY()-D57,J57-D57))</f>
        <v/>
      </c>
      <c r="O57" s="31" t="str">
        <f aca="false">IF(L57="","",IF(L57&lt;=0,0,ROUND(L57-L57/(1+Einstellungen!$B$10),2)))</f>
        <v/>
      </c>
      <c r="P57" s="35" t="str">
        <f aca="false">IF(F57="","",IF(K57="",IF(N57&gt;90,"an Lager &gt;90 Tage!","an Lager"),"verkauft"))</f>
        <v/>
      </c>
    </row>
    <row r="58" customFormat="false" ht="15" hidden="false" customHeight="false" outlineLevel="0" collapsed="false">
      <c r="A58" s="32"/>
      <c r="B58" s="32"/>
      <c r="C58" s="32"/>
      <c r="D58" s="33"/>
      <c r="E58" s="32"/>
      <c r="F58" s="30"/>
      <c r="G58" s="30"/>
      <c r="H58" s="30"/>
      <c r="I58" s="31" t="str">
        <f aca="false">IF(F58="","",F58+G58+H58)</f>
        <v/>
      </c>
      <c r="J58" s="33"/>
      <c r="K58" s="30"/>
      <c r="L58" s="31" t="str">
        <f aca="false">IF(OR(K58="",F58=""),"",K58-I58)</f>
        <v/>
      </c>
      <c r="M58" s="34" t="str">
        <f aca="false">IF(L58="","",L58/K58)</f>
        <v/>
      </c>
      <c r="N58" s="43" t="str">
        <f aca="true">IF(D58="","",IF(J58="",TODAY()-D58,J58-D58))</f>
        <v/>
      </c>
      <c r="O58" s="31" t="str">
        <f aca="false">IF(L58="","",IF(L58&lt;=0,0,ROUND(L58-L58/(1+Einstellungen!$B$10),2)))</f>
        <v/>
      </c>
      <c r="P58" s="35" t="str">
        <f aca="false">IF(F58="","",IF(K58="",IF(N58&gt;90,"an Lager &gt;90 Tage!","an Lager"),"verkauft"))</f>
        <v/>
      </c>
    </row>
    <row r="59" customFormat="false" ht="15" hidden="false" customHeight="false" outlineLevel="0" collapsed="false">
      <c r="A59" s="32"/>
      <c r="B59" s="32"/>
      <c r="C59" s="32"/>
      <c r="D59" s="33"/>
      <c r="E59" s="32"/>
      <c r="F59" s="30"/>
      <c r="G59" s="30"/>
      <c r="H59" s="30"/>
      <c r="I59" s="31" t="str">
        <f aca="false">IF(F59="","",F59+G59+H59)</f>
        <v/>
      </c>
      <c r="J59" s="33"/>
      <c r="K59" s="30"/>
      <c r="L59" s="31" t="str">
        <f aca="false">IF(OR(K59="",F59=""),"",K59-I59)</f>
        <v/>
      </c>
      <c r="M59" s="34" t="str">
        <f aca="false">IF(L59="","",L59/K59)</f>
        <v/>
      </c>
      <c r="N59" s="43" t="str">
        <f aca="true">IF(D59="","",IF(J59="",TODAY()-D59,J59-D59))</f>
        <v/>
      </c>
      <c r="O59" s="31" t="str">
        <f aca="false">IF(L59="","",IF(L59&lt;=0,0,ROUND(L59-L59/(1+Einstellungen!$B$10),2)))</f>
        <v/>
      </c>
      <c r="P59" s="35" t="str">
        <f aca="false">IF(F59="","",IF(K59="",IF(N59&gt;90,"an Lager &gt;90 Tage!","an Lager"),"verkauft"))</f>
        <v/>
      </c>
    </row>
    <row r="60" customFormat="false" ht="15" hidden="false" customHeight="false" outlineLevel="0" collapsed="false">
      <c r="A60" s="32"/>
      <c r="B60" s="32"/>
      <c r="C60" s="32"/>
      <c r="D60" s="33"/>
      <c r="E60" s="32"/>
      <c r="F60" s="30"/>
      <c r="G60" s="30"/>
      <c r="H60" s="30"/>
      <c r="I60" s="31" t="str">
        <f aca="false">IF(F60="","",F60+G60+H60)</f>
        <v/>
      </c>
      <c r="J60" s="33"/>
      <c r="K60" s="30"/>
      <c r="L60" s="31" t="str">
        <f aca="false">IF(OR(K60="",F60=""),"",K60-I60)</f>
        <v/>
      </c>
      <c r="M60" s="34" t="str">
        <f aca="false">IF(L60="","",L60/K60)</f>
        <v/>
      </c>
      <c r="N60" s="43" t="str">
        <f aca="true">IF(D60="","",IF(J60="",TODAY()-D60,J60-D60))</f>
        <v/>
      </c>
      <c r="O60" s="31" t="str">
        <f aca="false">IF(L60="","",IF(L60&lt;=0,0,ROUND(L60-L60/(1+Einstellungen!$B$10),2)))</f>
        <v/>
      </c>
      <c r="P60" s="35" t="str">
        <f aca="false">IF(F60="","",IF(K60="",IF(N60&gt;90,"an Lager &gt;90 Tage!","an Lager"),"verkauft"))</f>
        <v/>
      </c>
    </row>
    <row r="61" customFormat="false" ht="15" hidden="false" customHeight="false" outlineLevel="0" collapsed="false">
      <c r="A61" s="32"/>
      <c r="B61" s="32"/>
      <c r="C61" s="32"/>
      <c r="D61" s="33"/>
      <c r="E61" s="32"/>
      <c r="F61" s="30"/>
      <c r="G61" s="30"/>
      <c r="H61" s="30"/>
      <c r="I61" s="31" t="str">
        <f aca="false">IF(F61="","",F61+G61+H61)</f>
        <v/>
      </c>
      <c r="J61" s="33"/>
      <c r="K61" s="30"/>
      <c r="L61" s="31" t="str">
        <f aca="false">IF(OR(K61="",F61=""),"",K61-I61)</f>
        <v/>
      </c>
      <c r="M61" s="34" t="str">
        <f aca="false">IF(L61="","",L61/K61)</f>
        <v/>
      </c>
      <c r="N61" s="43" t="str">
        <f aca="true">IF(D61="","",IF(J61="",TODAY()-D61,J61-D61))</f>
        <v/>
      </c>
      <c r="O61" s="31" t="str">
        <f aca="false">IF(L61="","",IF(L61&lt;=0,0,ROUND(L61-L61/(1+Einstellungen!$B$10),2)))</f>
        <v/>
      </c>
      <c r="P61" s="35" t="str">
        <f aca="false">IF(F61="","",IF(K61="",IF(N61&gt;90,"an Lager &gt;90 Tage!","an Lager"),"verkauft"))</f>
        <v/>
      </c>
    </row>
    <row r="62" customFormat="false" ht="15" hidden="false" customHeight="false" outlineLevel="0" collapsed="false">
      <c r="A62" s="32"/>
      <c r="B62" s="32"/>
      <c r="C62" s="32"/>
      <c r="D62" s="33"/>
      <c r="E62" s="32"/>
      <c r="F62" s="30"/>
      <c r="G62" s="30"/>
      <c r="H62" s="30"/>
      <c r="I62" s="31" t="str">
        <f aca="false">IF(F62="","",F62+G62+H62)</f>
        <v/>
      </c>
      <c r="J62" s="33"/>
      <c r="K62" s="30"/>
      <c r="L62" s="31" t="str">
        <f aca="false">IF(OR(K62="",F62=""),"",K62-I62)</f>
        <v/>
      </c>
      <c r="M62" s="34" t="str">
        <f aca="false">IF(L62="","",L62/K62)</f>
        <v/>
      </c>
      <c r="N62" s="43" t="str">
        <f aca="true">IF(D62="","",IF(J62="",TODAY()-D62,J62-D62))</f>
        <v/>
      </c>
      <c r="O62" s="31" t="str">
        <f aca="false">IF(L62="","",IF(L62&lt;=0,0,ROUND(L62-L62/(1+Einstellungen!$B$10),2)))</f>
        <v/>
      </c>
      <c r="P62" s="35" t="str">
        <f aca="false">IF(F62="","",IF(K62="",IF(N62&gt;90,"an Lager &gt;90 Tage!","an Lager"),"verkauft"))</f>
        <v/>
      </c>
    </row>
    <row r="63" customFormat="false" ht="15" hidden="false" customHeight="false" outlineLevel="0" collapsed="false">
      <c r="A63" s="32"/>
      <c r="B63" s="32"/>
      <c r="C63" s="32"/>
      <c r="D63" s="33"/>
      <c r="E63" s="32"/>
      <c r="F63" s="30"/>
      <c r="G63" s="30"/>
      <c r="H63" s="30"/>
      <c r="I63" s="31" t="str">
        <f aca="false">IF(F63="","",F63+G63+H63)</f>
        <v/>
      </c>
      <c r="J63" s="33"/>
      <c r="K63" s="30"/>
      <c r="L63" s="31" t="str">
        <f aca="false">IF(OR(K63="",F63=""),"",K63-I63)</f>
        <v/>
      </c>
      <c r="M63" s="34" t="str">
        <f aca="false">IF(L63="","",L63/K63)</f>
        <v/>
      </c>
      <c r="N63" s="43" t="str">
        <f aca="true">IF(D63="","",IF(J63="",TODAY()-D63,J63-D63))</f>
        <v/>
      </c>
      <c r="O63" s="31" t="str">
        <f aca="false">IF(L63="","",IF(L63&lt;=0,0,ROUND(L63-L63/(1+Einstellungen!$B$10),2)))</f>
        <v/>
      </c>
      <c r="P63" s="35" t="str">
        <f aca="false">IF(F63="","",IF(K63="",IF(N63&gt;90,"an Lager &gt;90 Tage!","an Lager"),"verkauft"))</f>
        <v/>
      </c>
    </row>
    <row r="64" customFormat="false" ht="15" hidden="false" customHeight="false" outlineLevel="0" collapsed="false">
      <c r="A64" s="32"/>
      <c r="B64" s="32"/>
      <c r="C64" s="32"/>
      <c r="D64" s="33"/>
      <c r="E64" s="32"/>
      <c r="F64" s="30"/>
      <c r="G64" s="30"/>
      <c r="H64" s="30"/>
      <c r="I64" s="31" t="str">
        <f aca="false">IF(F64="","",F64+G64+H64)</f>
        <v/>
      </c>
      <c r="J64" s="33"/>
      <c r="K64" s="30"/>
      <c r="L64" s="31" t="str">
        <f aca="false">IF(OR(K64="",F64=""),"",K64-I64)</f>
        <v/>
      </c>
      <c r="M64" s="34" t="str">
        <f aca="false">IF(L64="","",L64/K64)</f>
        <v/>
      </c>
      <c r="N64" s="43" t="str">
        <f aca="true">IF(D64="","",IF(J64="",TODAY()-D64,J64-D64))</f>
        <v/>
      </c>
      <c r="O64" s="31" t="str">
        <f aca="false">IF(L64="","",IF(L64&lt;=0,0,ROUND(L64-L64/(1+Einstellungen!$B$10),2)))</f>
        <v/>
      </c>
      <c r="P64" s="35" t="str">
        <f aca="false">IF(F64="","",IF(K64="",IF(N64&gt;90,"an Lager &gt;90 Tage!","an Lager"),"verkauft"))</f>
        <v/>
      </c>
    </row>
    <row r="65" customFormat="false" ht="15" hidden="false" customHeight="false" outlineLevel="0" collapsed="false">
      <c r="A65" s="32"/>
      <c r="B65" s="32"/>
      <c r="C65" s="32"/>
      <c r="D65" s="33"/>
      <c r="E65" s="32"/>
      <c r="F65" s="30"/>
      <c r="G65" s="30"/>
      <c r="H65" s="30"/>
      <c r="I65" s="31" t="str">
        <f aca="false">IF(F65="","",F65+G65+H65)</f>
        <v/>
      </c>
      <c r="J65" s="33"/>
      <c r="K65" s="30"/>
      <c r="L65" s="31" t="str">
        <f aca="false">IF(OR(K65="",F65=""),"",K65-I65)</f>
        <v/>
      </c>
      <c r="M65" s="34" t="str">
        <f aca="false">IF(L65="","",L65/K65)</f>
        <v/>
      </c>
      <c r="N65" s="43" t="str">
        <f aca="true">IF(D65="","",IF(J65="",TODAY()-D65,J65-D65))</f>
        <v/>
      </c>
      <c r="O65" s="31" t="str">
        <f aca="false">IF(L65="","",IF(L65&lt;=0,0,ROUND(L65-L65/(1+Einstellungen!$B$10),2)))</f>
        <v/>
      </c>
      <c r="P65" s="35" t="str">
        <f aca="false">IF(F65="","",IF(K65="",IF(N65&gt;90,"an Lager &gt;90 Tage!","an Lager"),"verkauft"))</f>
        <v/>
      </c>
    </row>
    <row r="66" customFormat="false" ht="15" hidden="false" customHeight="false" outlineLevel="0" collapsed="false">
      <c r="A66" s="32"/>
      <c r="B66" s="32"/>
      <c r="C66" s="32"/>
      <c r="D66" s="33"/>
      <c r="E66" s="32"/>
      <c r="F66" s="30"/>
      <c r="G66" s="30"/>
      <c r="H66" s="30"/>
      <c r="I66" s="31" t="str">
        <f aca="false">IF(F66="","",F66+G66+H66)</f>
        <v/>
      </c>
      <c r="J66" s="33"/>
      <c r="K66" s="30"/>
      <c r="L66" s="31" t="str">
        <f aca="false">IF(OR(K66="",F66=""),"",K66-I66)</f>
        <v/>
      </c>
      <c r="M66" s="34" t="str">
        <f aca="false">IF(L66="","",L66/K66)</f>
        <v/>
      </c>
      <c r="N66" s="43" t="str">
        <f aca="true">IF(D66="","",IF(J66="",TODAY()-D66,J66-D66))</f>
        <v/>
      </c>
      <c r="O66" s="31" t="str">
        <f aca="false">IF(L66="","",IF(L66&lt;=0,0,ROUND(L66-L66/(1+Einstellungen!$B$10),2)))</f>
        <v/>
      </c>
      <c r="P66" s="35" t="str">
        <f aca="false">IF(F66="","",IF(K66="",IF(N66&gt;90,"an Lager &gt;90 Tage!","an Lager"),"verkauft"))</f>
        <v/>
      </c>
    </row>
    <row r="67" customFormat="false" ht="15" hidden="false" customHeight="false" outlineLevel="0" collapsed="false">
      <c r="A67" s="32"/>
      <c r="B67" s="32"/>
      <c r="C67" s="32"/>
      <c r="D67" s="33"/>
      <c r="E67" s="32"/>
      <c r="F67" s="30"/>
      <c r="G67" s="30"/>
      <c r="H67" s="30"/>
      <c r="I67" s="31" t="str">
        <f aca="false">IF(F67="","",F67+G67+H67)</f>
        <v/>
      </c>
      <c r="J67" s="33"/>
      <c r="K67" s="30"/>
      <c r="L67" s="31" t="str">
        <f aca="false">IF(OR(K67="",F67=""),"",K67-I67)</f>
        <v/>
      </c>
      <c r="M67" s="34" t="str">
        <f aca="false">IF(L67="","",L67/K67)</f>
        <v/>
      </c>
      <c r="N67" s="43" t="str">
        <f aca="true">IF(D67="","",IF(J67="",TODAY()-D67,J67-D67))</f>
        <v/>
      </c>
      <c r="O67" s="31" t="str">
        <f aca="false">IF(L67="","",IF(L67&lt;=0,0,ROUND(L67-L67/(1+Einstellungen!$B$10),2)))</f>
        <v/>
      </c>
      <c r="P67" s="35" t="str">
        <f aca="false">IF(F67="","",IF(K67="",IF(N67&gt;90,"an Lager &gt;90 Tage!","an Lager"),"verkauft"))</f>
        <v/>
      </c>
    </row>
    <row r="68" customFormat="false" ht="15" hidden="false" customHeight="false" outlineLevel="0" collapsed="false">
      <c r="A68" s="32"/>
      <c r="B68" s="32"/>
      <c r="C68" s="32"/>
      <c r="D68" s="33"/>
      <c r="E68" s="32"/>
      <c r="F68" s="30"/>
      <c r="G68" s="30"/>
      <c r="H68" s="30"/>
      <c r="I68" s="31" t="str">
        <f aca="false">IF(F68="","",F68+G68+H68)</f>
        <v/>
      </c>
      <c r="J68" s="33"/>
      <c r="K68" s="30"/>
      <c r="L68" s="31" t="str">
        <f aca="false">IF(OR(K68="",F68=""),"",K68-I68)</f>
        <v/>
      </c>
      <c r="M68" s="34" t="str">
        <f aca="false">IF(L68="","",L68/K68)</f>
        <v/>
      </c>
      <c r="N68" s="43" t="str">
        <f aca="true">IF(D68="","",IF(J68="",TODAY()-D68,J68-D68))</f>
        <v/>
      </c>
      <c r="O68" s="31" t="str">
        <f aca="false">IF(L68="","",IF(L68&lt;=0,0,ROUND(L68-L68/(1+Einstellungen!$B$10),2)))</f>
        <v/>
      </c>
      <c r="P68" s="35" t="str">
        <f aca="false">IF(F68="","",IF(K68="",IF(N68&gt;90,"an Lager &gt;90 Tage!","an Lager"),"verkauft"))</f>
        <v/>
      </c>
    </row>
    <row r="69" customFormat="false" ht="15" hidden="false" customHeight="false" outlineLevel="0" collapsed="false">
      <c r="A69" s="32"/>
      <c r="B69" s="32"/>
      <c r="C69" s="32"/>
      <c r="D69" s="33"/>
      <c r="E69" s="32"/>
      <c r="F69" s="30"/>
      <c r="G69" s="30"/>
      <c r="H69" s="30"/>
      <c r="I69" s="31" t="str">
        <f aca="false">IF(F69="","",F69+G69+H69)</f>
        <v/>
      </c>
      <c r="J69" s="33"/>
      <c r="K69" s="30"/>
      <c r="L69" s="31" t="str">
        <f aca="false">IF(OR(K69="",F69=""),"",K69-I69)</f>
        <v/>
      </c>
      <c r="M69" s="34" t="str">
        <f aca="false">IF(L69="","",L69/K69)</f>
        <v/>
      </c>
      <c r="N69" s="43" t="str">
        <f aca="true">IF(D69="","",IF(J69="",TODAY()-D69,J69-D69))</f>
        <v/>
      </c>
      <c r="O69" s="31" t="str">
        <f aca="false">IF(L69="","",IF(L69&lt;=0,0,ROUND(L69-L69/(1+Einstellungen!$B$10),2)))</f>
        <v/>
      </c>
      <c r="P69" s="35" t="str">
        <f aca="false">IF(F69="","",IF(K69="",IF(N69&gt;90,"an Lager &gt;90 Tage!","an Lager"),"verkauft"))</f>
        <v/>
      </c>
    </row>
    <row r="70" customFormat="false" ht="15" hidden="false" customHeight="false" outlineLevel="0" collapsed="false">
      <c r="A70" s="32"/>
      <c r="B70" s="32"/>
      <c r="C70" s="32"/>
      <c r="D70" s="33"/>
      <c r="E70" s="32"/>
      <c r="F70" s="30"/>
      <c r="G70" s="30"/>
      <c r="H70" s="30"/>
      <c r="I70" s="31" t="str">
        <f aca="false">IF(F70="","",F70+G70+H70)</f>
        <v/>
      </c>
      <c r="J70" s="33"/>
      <c r="K70" s="30"/>
      <c r="L70" s="31" t="str">
        <f aca="false">IF(OR(K70="",F70=""),"",K70-I70)</f>
        <v/>
      </c>
      <c r="M70" s="34" t="str">
        <f aca="false">IF(L70="","",L70/K70)</f>
        <v/>
      </c>
      <c r="N70" s="43" t="str">
        <f aca="true">IF(D70="","",IF(J70="",TODAY()-D70,J70-D70))</f>
        <v/>
      </c>
      <c r="O70" s="31" t="str">
        <f aca="false">IF(L70="","",IF(L70&lt;=0,0,ROUND(L70-L70/(1+Einstellungen!$B$10),2)))</f>
        <v/>
      </c>
      <c r="P70" s="35" t="str">
        <f aca="false">IF(F70="","",IF(K70="",IF(N70&gt;90,"an Lager &gt;90 Tage!","an Lager"),"verkauft"))</f>
        <v/>
      </c>
    </row>
    <row r="71" customFormat="false" ht="15" hidden="false" customHeight="false" outlineLevel="0" collapsed="false">
      <c r="A71" s="32"/>
      <c r="B71" s="32"/>
      <c r="C71" s="32"/>
      <c r="D71" s="33"/>
      <c r="E71" s="32"/>
      <c r="F71" s="30"/>
      <c r="G71" s="30"/>
      <c r="H71" s="30"/>
      <c r="I71" s="31" t="str">
        <f aca="false">IF(F71="","",F71+G71+H71)</f>
        <v/>
      </c>
      <c r="J71" s="33"/>
      <c r="K71" s="30"/>
      <c r="L71" s="31" t="str">
        <f aca="false">IF(OR(K71="",F71=""),"",K71-I71)</f>
        <v/>
      </c>
      <c r="M71" s="34" t="str">
        <f aca="false">IF(L71="","",L71/K71)</f>
        <v/>
      </c>
      <c r="N71" s="43" t="str">
        <f aca="true">IF(D71="","",IF(J71="",TODAY()-D71,J71-D71))</f>
        <v/>
      </c>
      <c r="O71" s="31" t="str">
        <f aca="false">IF(L71="","",IF(L71&lt;=0,0,ROUND(L71-L71/(1+Einstellungen!$B$10),2)))</f>
        <v/>
      </c>
      <c r="P71" s="35" t="str">
        <f aca="false">IF(F71="","",IF(K71="",IF(N71&gt;90,"an Lager &gt;90 Tage!","an Lager"),"verkauft"))</f>
        <v/>
      </c>
    </row>
    <row r="72" customFormat="false" ht="15" hidden="false" customHeight="false" outlineLevel="0" collapsed="false">
      <c r="A72" s="32"/>
      <c r="B72" s="32"/>
      <c r="C72" s="32"/>
      <c r="D72" s="33"/>
      <c r="E72" s="32"/>
      <c r="F72" s="30"/>
      <c r="G72" s="30"/>
      <c r="H72" s="30"/>
      <c r="I72" s="31" t="str">
        <f aca="false">IF(F72="","",F72+G72+H72)</f>
        <v/>
      </c>
      <c r="J72" s="33"/>
      <c r="K72" s="30"/>
      <c r="L72" s="31" t="str">
        <f aca="false">IF(OR(K72="",F72=""),"",K72-I72)</f>
        <v/>
      </c>
      <c r="M72" s="34" t="str">
        <f aca="false">IF(L72="","",L72/K72)</f>
        <v/>
      </c>
      <c r="N72" s="43" t="str">
        <f aca="true">IF(D72="","",IF(J72="",TODAY()-D72,J72-D72))</f>
        <v/>
      </c>
      <c r="O72" s="31" t="str">
        <f aca="false">IF(L72="","",IF(L72&lt;=0,0,ROUND(L72-L72/(1+Einstellungen!$B$10),2)))</f>
        <v/>
      </c>
      <c r="P72" s="35" t="str">
        <f aca="false">IF(F72="","",IF(K72="",IF(N72&gt;90,"an Lager &gt;90 Tage!","an Lager"),"verkauft"))</f>
        <v/>
      </c>
    </row>
    <row r="73" customFormat="false" ht="15" hidden="false" customHeight="false" outlineLevel="0" collapsed="false">
      <c r="A73" s="32"/>
      <c r="B73" s="32"/>
      <c r="C73" s="32"/>
      <c r="D73" s="33"/>
      <c r="E73" s="32"/>
      <c r="F73" s="30"/>
      <c r="G73" s="30"/>
      <c r="H73" s="30"/>
      <c r="I73" s="31" t="str">
        <f aca="false">IF(F73="","",F73+G73+H73)</f>
        <v/>
      </c>
      <c r="J73" s="33"/>
      <c r="K73" s="30"/>
      <c r="L73" s="31" t="str">
        <f aca="false">IF(OR(K73="",F73=""),"",K73-I73)</f>
        <v/>
      </c>
      <c r="M73" s="34" t="str">
        <f aca="false">IF(L73="","",L73/K73)</f>
        <v/>
      </c>
      <c r="N73" s="43" t="str">
        <f aca="true">IF(D73="","",IF(J73="",TODAY()-D73,J73-D73))</f>
        <v/>
      </c>
      <c r="O73" s="31" t="str">
        <f aca="false">IF(L73="","",IF(L73&lt;=0,0,ROUND(L73-L73/(1+Einstellungen!$B$10),2)))</f>
        <v/>
      </c>
      <c r="P73" s="35" t="str">
        <f aca="false">IF(F73="","",IF(K73="",IF(N73&gt;90,"an Lager &gt;90 Tage!","an Lager"),"verkauft"))</f>
        <v/>
      </c>
    </row>
    <row r="74" customFormat="false" ht="15" hidden="false" customHeight="false" outlineLevel="0" collapsed="false">
      <c r="A74" s="32"/>
      <c r="B74" s="32"/>
      <c r="C74" s="32"/>
      <c r="D74" s="33"/>
      <c r="E74" s="32"/>
      <c r="F74" s="30"/>
      <c r="G74" s="30"/>
      <c r="H74" s="30"/>
      <c r="I74" s="31" t="str">
        <f aca="false">IF(F74="","",F74+G74+H74)</f>
        <v/>
      </c>
      <c r="J74" s="33"/>
      <c r="K74" s="30"/>
      <c r="L74" s="31" t="str">
        <f aca="false">IF(OR(K74="",F74=""),"",K74-I74)</f>
        <v/>
      </c>
      <c r="M74" s="34" t="str">
        <f aca="false">IF(L74="","",L74/K74)</f>
        <v/>
      </c>
      <c r="N74" s="43" t="str">
        <f aca="true">IF(D74="","",IF(J74="",TODAY()-D74,J74-D74))</f>
        <v/>
      </c>
      <c r="O74" s="31" t="str">
        <f aca="false">IF(L74="","",IF(L74&lt;=0,0,ROUND(L74-L74/(1+Einstellungen!$B$10),2)))</f>
        <v/>
      </c>
      <c r="P74" s="35" t="str">
        <f aca="false">IF(F74="","",IF(K74="",IF(N74&gt;90,"an Lager &gt;90 Tage!","an Lager"),"verkauft"))</f>
        <v/>
      </c>
    </row>
    <row r="75" customFormat="false" ht="15" hidden="false" customHeight="false" outlineLevel="0" collapsed="false">
      <c r="A75" s="32"/>
      <c r="B75" s="32"/>
      <c r="C75" s="32"/>
      <c r="D75" s="33"/>
      <c r="E75" s="32"/>
      <c r="F75" s="30"/>
      <c r="G75" s="30"/>
      <c r="H75" s="30"/>
      <c r="I75" s="31" t="str">
        <f aca="false">IF(F75="","",F75+G75+H75)</f>
        <v/>
      </c>
      <c r="J75" s="33"/>
      <c r="K75" s="30"/>
      <c r="L75" s="31" t="str">
        <f aca="false">IF(OR(K75="",F75=""),"",K75-I75)</f>
        <v/>
      </c>
      <c r="M75" s="34" t="str">
        <f aca="false">IF(L75="","",L75/K75)</f>
        <v/>
      </c>
      <c r="N75" s="43" t="str">
        <f aca="true">IF(D75="","",IF(J75="",TODAY()-D75,J75-D75))</f>
        <v/>
      </c>
      <c r="O75" s="31" t="str">
        <f aca="false">IF(L75="","",IF(L75&lt;=0,0,ROUND(L75-L75/(1+Einstellungen!$B$10),2)))</f>
        <v/>
      </c>
      <c r="P75" s="35" t="str">
        <f aca="false">IF(F75="","",IF(K75="",IF(N75&gt;90,"an Lager &gt;90 Tage!","an Lager"),"verkauft"))</f>
        <v/>
      </c>
    </row>
    <row r="76" customFormat="false" ht="15" hidden="false" customHeight="false" outlineLevel="0" collapsed="false">
      <c r="A76" s="32"/>
      <c r="B76" s="32"/>
      <c r="C76" s="32"/>
      <c r="D76" s="33"/>
      <c r="E76" s="32"/>
      <c r="F76" s="30"/>
      <c r="G76" s="30"/>
      <c r="H76" s="30"/>
      <c r="I76" s="31" t="str">
        <f aca="false">IF(F76="","",F76+G76+H76)</f>
        <v/>
      </c>
      <c r="J76" s="33"/>
      <c r="K76" s="30"/>
      <c r="L76" s="31" t="str">
        <f aca="false">IF(OR(K76="",F76=""),"",K76-I76)</f>
        <v/>
      </c>
      <c r="M76" s="34" t="str">
        <f aca="false">IF(L76="","",L76/K76)</f>
        <v/>
      </c>
      <c r="N76" s="43" t="str">
        <f aca="true">IF(D76="","",IF(J76="",TODAY()-D76,J76-D76))</f>
        <v/>
      </c>
      <c r="O76" s="31" t="str">
        <f aca="false">IF(L76="","",IF(L76&lt;=0,0,ROUND(L76-L76/(1+Einstellungen!$B$10),2)))</f>
        <v/>
      </c>
      <c r="P76" s="35" t="str">
        <f aca="false">IF(F76="","",IF(K76="",IF(N76&gt;90,"an Lager &gt;90 Tage!","an Lager"),"verkauft"))</f>
        <v/>
      </c>
    </row>
    <row r="77" customFormat="false" ht="15" hidden="false" customHeight="false" outlineLevel="0" collapsed="false">
      <c r="A77" s="32"/>
      <c r="B77" s="32"/>
      <c r="C77" s="32"/>
      <c r="D77" s="33"/>
      <c r="E77" s="32"/>
      <c r="F77" s="30"/>
      <c r="G77" s="30"/>
      <c r="H77" s="30"/>
      <c r="I77" s="31" t="str">
        <f aca="false">IF(F77="","",F77+G77+H77)</f>
        <v/>
      </c>
      <c r="J77" s="33"/>
      <c r="K77" s="30"/>
      <c r="L77" s="31" t="str">
        <f aca="false">IF(OR(K77="",F77=""),"",K77-I77)</f>
        <v/>
      </c>
      <c r="M77" s="34" t="str">
        <f aca="false">IF(L77="","",L77/K77)</f>
        <v/>
      </c>
      <c r="N77" s="43" t="str">
        <f aca="true">IF(D77="","",IF(J77="",TODAY()-D77,J77-D77))</f>
        <v/>
      </c>
      <c r="O77" s="31" t="str">
        <f aca="false">IF(L77="","",IF(L77&lt;=0,0,ROUND(L77-L77/(1+Einstellungen!$B$10),2)))</f>
        <v/>
      </c>
      <c r="P77" s="35" t="str">
        <f aca="false">IF(F77="","",IF(K77="",IF(N77&gt;90,"an Lager &gt;90 Tage!","an Lager"),"verkauft"))</f>
        <v/>
      </c>
    </row>
    <row r="78" customFormat="false" ht="15" hidden="false" customHeight="false" outlineLevel="0" collapsed="false">
      <c r="A78" s="32"/>
      <c r="B78" s="32"/>
      <c r="C78" s="32"/>
      <c r="D78" s="33"/>
      <c r="E78" s="32"/>
      <c r="F78" s="30"/>
      <c r="G78" s="30"/>
      <c r="H78" s="30"/>
      <c r="I78" s="31" t="str">
        <f aca="false">IF(F78="","",F78+G78+H78)</f>
        <v/>
      </c>
      <c r="J78" s="33"/>
      <c r="K78" s="30"/>
      <c r="L78" s="31" t="str">
        <f aca="false">IF(OR(K78="",F78=""),"",K78-I78)</f>
        <v/>
      </c>
      <c r="M78" s="34" t="str">
        <f aca="false">IF(L78="","",L78/K78)</f>
        <v/>
      </c>
      <c r="N78" s="43" t="str">
        <f aca="true">IF(D78="","",IF(J78="",TODAY()-D78,J78-D78))</f>
        <v/>
      </c>
      <c r="O78" s="31" t="str">
        <f aca="false">IF(L78="","",IF(L78&lt;=0,0,ROUND(L78-L78/(1+Einstellungen!$B$10),2)))</f>
        <v/>
      </c>
      <c r="P78" s="35" t="str">
        <f aca="false">IF(F78="","",IF(K78="",IF(N78&gt;90,"an Lager &gt;90 Tage!","an Lager"),"verkauft"))</f>
        <v/>
      </c>
    </row>
    <row r="79" customFormat="false" ht="15" hidden="false" customHeight="false" outlineLevel="0" collapsed="false">
      <c r="A79" s="32"/>
      <c r="B79" s="32"/>
      <c r="C79" s="32"/>
      <c r="D79" s="33"/>
      <c r="E79" s="32"/>
      <c r="F79" s="30"/>
      <c r="G79" s="30"/>
      <c r="H79" s="30"/>
      <c r="I79" s="31" t="str">
        <f aca="false">IF(F79="","",F79+G79+H79)</f>
        <v/>
      </c>
      <c r="J79" s="33"/>
      <c r="K79" s="30"/>
      <c r="L79" s="31" t="str">
        <f aca="false">IF(OR(K79="",F79=""),"",K79-I79)</f>
        <v/>
      </c>
      <c r="M79" s="34" t="str">
        <f aca="false">IF(L79="","",L79/K79)</f>
        <v/>
      </c>
      <c r="N79" s="43" t="str">
        <f aca="true">IF(D79="","",IF(J79="",TODAY()-D79,J79-D79))</f>
        <v/>
      </c>
      <c r="O79" s="31" t="str">
        <f aca="false">IF(L79="","",IF(L79&lt;=0,0,ROUND(L79-L79/(1+Einstellungen!$B$10),2)))</f>
        <v/>
      </c>
      <c r="P79" s="35" t="str">
        <f aca="false">IF(F79="","",IF(K79="",IF(N79&gt;90,"an Lager &gt;90 Tage!","an Lager"),"verkauft"))</f>
        <v/>
      </c>
    </row>
    <row r="80" customFormat="false" ht="15" hidden="false" customHeight="false" outlineLevel="0" collapsed="false">
      <c r="A80" s="32"/>
      <c r="B80" s="32"/>
      <c r="C80" s="32"/>
      <c r="D80" s="33"/>
      <c r="E80" s="32"/>
      <c r="F80" s="30"/>
      <c r="G80" s="30"/>
      <c r="H80" s="30"/>
      <c r="I80" s="31" t="str">
        <f aca="false">IF(F80="","",F80+G80+H80)</f>
        <v/>
      </c>
      <c r="J80" s="33"/>
      <c r="K80" s="30"/>
      <c r="L80" s="31" t="str">
        <f aca="false">IF(OR(K80="",F80=""),"",K80-I80)</f>
        <v/>
      </c>
      <c r="M80" s="34" t="str">
        <f aca="false">IF(L80="","",L80/K80)</f>
        <v/>
      </c>
      <c r="N80" s="43" t="str">
        <f aca="true">IF(D80="","",IF(J80="",TODAY()-D80,J80-D80))</f>
        <v/>
      </c>
      <c r="O80" s="31" t="str">
        <f aca="false">IF(L80="","",IF(L80&lt;=0,0,ROUND(L80-L80/(1+Einstellungen!$B$10),2)))</f>
        <v/>
      </c>
      <c r="P80" s="35" t="str">
        <f aca="false">IF(F80="","",IF(K80="",IF(N80&gt;90,"an Lager &gt;90 Tage!","an Lager"),"verkauft"))</f>
        <v/>
      </c>
    </row>
    <row r="81" customFormat="false" ht="15" hidden="false" customHeight="false" outlineLevel="0" collapsed="false">
      <c r="A81" s="32"/>
      <c r="B81" s="32"/>
      <c r="C81" s="32"/>
      <c r="D81" s="33"/>
      <c r="E81" s="32"/>
      <c r="F81" s="30"/>
      <c r="G81" s="30"/>
      <c r="H81" s="30"/>
      <c r="I81" s="31" t="str">
        <f aca="false">IF(F81="","",F81+G81+H81)</f>
        <v/>
      </c>
      <c r="J81" s="33"/>
      <c r="K81" s="30"/>
      <c r="L81" s="31" t="str">
        <f aca="false">IF(OR(K81="",F81=""),"",K81-I81)</f>
        <v/>
      </c>
      <c r="M81" s="34" t="str">
        <f aca="false">IF(L81="","",L81/K81)</f>
        <v/>
      </c>
      <c r="N81" s="43" t="str">
        <f aca="true">IF(D81="","",IF(J81="",TODAY()-D81,J81-D81))</f>
        <v/>
      </c>
      <c r="O81" s="31" t="str">
        <f aca="false">IF(L81="","",IF(L81&lt;=0,0,ROUND(L81-L81/(1+Einstellungen!$B$10),2)))</f>
        <v/>
      </c>
      <c r="P81" s="35" t="str">
        <f aca="false">IF(F81="","",IF(K81="",IF(N81&gt;90,"an Lager &gt;90 Tage!","an Lager"),"verkauft"))</f>
        <v/>
      </c>
    </row>
    <row r="82" customFormat="false" ht="15" hidden="false" customHeight="false" outlineLevel="0" collapsed="false">
      <c r="A82" s="32"/>
      <c r="B82" s="32"/>
      <c r="C82" s="32"/>
      <c r="D82" s="33"/>
      <c r="E82" s="32"/>
      <c r="F82" s="30"/>
      <c r="G82" s="30"/>
      <c r="H82" s="30"/>
      <c r="I82" s="31" t="str">
        <f aca="false">IF(F82="","",F82+G82+H82)</f>
        <v/>
      </c>
      <c r="J82" s="33"/>
      <c r="K82" s="30"/>
      <c r="L82" s="31" t="str">
        <f aca="false">IF(OR(K82="",F82=""),"",K82-I82)</f>
        <v/>
      </c>
      <c r="M82" s="34" t="str">
        <f aca="false">IF(L82="","",L82/K82)</f>
        <v/>
      </c>
      <c r="N82" s="43" t="str">
        <f aca="true">IF(D82="","",IF(J82="",TODAY()-D82,J82-D82))</f>
        <v/>
      </c>
      <c r="O82" s="31" t="str">
        <f aca="false">IF(L82="","",IF(L82&lt;=0,0,ROUND(L82-L82/(1+Einstellungen!$B$10),2)))</f>
        <v/>
      </c>
      <c r="P82" s="35" t="str">
        <f aca="false">IF(F82="","",IF(K82="",IF(N82&gt;90,"an Lager &gt;90 Tage!","an Lager"),"verkauft"))</f>
        <v/>
      </c>
    </row>
    <row r="83" customFormat="false" ht="15" hidden="false" customHeight="false" outlineLevel="0" collapsed="false">
      <c r="A83" s="32"/>
      <c r="B83" s="32"/>
      <c r="C83" s="32"/>
      <c r="D83" s="33"/>
      <c r="E83" s="32"/>
      <c r="F83" s="30"/>
      <c r="G83" s="30"/>
      <c r="H83" s="30"/>
      <c r="I83" s="31" t="str">
        <f aca="false">IF(F83="","",F83+G83+H83)</f>
        <v/>
      </c>
      <c r="J83" s="33"/>
      <c r="K83" s="30"/>
      <c r="L83" s="31" t="str">
        <f aca="false">IF(OR(K83="",F83=""),"",K83-I83)</f>
        <v/>
      </c>
      <c r="M83" s="34" t="str">
        <f aca="false">IF(L83="","",L83/K83)</f>
        <v/>
      </c>
      <c r="N83" s="43" t="str">
        <f aca="true">IF(D83="","",IF(J83="",TODAY()-D83,J83-D83))</f>
        <v/>
      </c>
      <c r="O83" s="31" t="str">
        <f aca="false">IF(L83="","",IF(L83&lt;=0,0,ROUND(L83-L83/(1+Einstellungen!$B$10),2)))</f>
        <v/>
      </c>
      <c r="P83" s="35" t="str">
        <f aca="false">IF(F83="","",IF(K83="",IF(N83&gt;90,"an Lager &gt;90 Tage!","an Lager"),"verkauft"))</f>
        <v/>
      </c>
    </row>
    <row r="84" customFormat="false" ht="15" hidden="false" customHeight="false" outlineLevel="0" collapsed="false">
      <c r="A84" s="32"/>
      <c r="B84" s="32"/>
      <c r="C84" s="32"/>
      <c r="D84" s="33"/>
      <c r="E84" s="32"/>
      <c r="F84" s="30"/>
      <c r="G84" s="30"/>
      <c r="H84" s="30"/>
      <c r="I84" s="31" t="str">
        <f aca="false">IF(F84="","",F84+G84+H84)</f>
        <v/>
      </c>
      <c r="J84" s="33"/>
      <c r="K84" s="30"/>
      <c r="L84" s="31" t="str">
        <f aca="false">IF(OR(K84="",F84=""),"",K84-I84)</f>
        <v/>
      </c>
      <c r="M84" s="34" t="str">
        <f aca="false">IF(L84="","",L84/K84)</f>
        <v/>
      </c>
      <c r="N84" s="43" t="str">
        <f aca="true">IF(D84="","",IF(J84="",TODAY()-D84,J84-D84))</f>
        <v/>
      </c>
      <c r="O84" s="31" t="str">
        <f aca="false">IF(L84="","",IF(L84&lt;=0,0,ROUND(L84-L84/(1+Einstellungen!$B$10),2)))</f>
        <v/>
      </c>
      <c r="P84" s="35" t="str">
        <f aca="false">IF(F84="","",IF(K84="",IF(N84&gt;90,"an Lager &gt;90 Tage!","an Lager"),"verkauft"))</f>
        <v/>
      </c>
    </row>
    <row r="85" customFormat="false" ht="15" hidden="false" customHeight="false" outlineLevel="0" collapsed="false">
      <c r="A85" s="32"/>
      <c r="B85" s="32"/>
      <c r="C85" s="32"/>
      <c r="D85" s="33"/>
      <c r="E85" s="32"/>
      <c r="F85" s="30"/>
      <c r="G85" s="30"/>
      <c r="H85" s="30"/>
      <c r="I85" s="31" t="str">
        <f aca="false">IF(F85="","",F85+G85+H85)</f>
        <v/>
      </c>
      <c r="J85" s="33"/>
      <c r="K85" s="30"/>
      <c r="L85" s="31" t="str">
        <f aca="false">IF(OR(K85="",F85=""),"",K85-I85)</f>
        <v/>
      </c>
      <c r="M85" s="34" t="str">
        <f aca="false">IF(L85="","",L85/K85)</f>
        <v/>
      </c>
      <c r="N85" s="43" t="str">
        <f aca="true">IF(D85="","",IF(J85="",TODAY()-D85,J85-D85))</f>
        <v/>
      </c>
      <c r="O85" s="31" t="str">
        <f aca="false">IF(L85="","",IF(L85&lt;=0,0,ROUND(L85-L85/(1+Einstellungen!$B$10),2)))</f>
        <v/>
      </c>
      <c r="P85" s="35" t="str">
        <f aca="false">IF(F85="","",IF(K85="",IF(N85&gt;90,"an Lager &gt;90 Tage!","an Lager"),"verkauft"))</f>
        <v/>
      </c>
    </row>
    <row r="86" customFormat="false" ht="15" hidden="false" customHeight="false" outlineLevel="0" collapsed="false">
      <c r="A86" s="32"/>
      <c r="B86" s="32"/>
      <c r="C86" s="32"/>
      <c r="D86" s="33"/>
      <c r="E86" s="32"/>
      <c r="F86" s="30"/>
      <c r="G86" s="30"/>
      <c r="H86" s="30"/>
      <c r="I86" s="31" t="str">
        <f aca="false">IF(F86="","",F86+G86+H86)</f>
        <v/>
      </c>
      <c r="J86" s="33"/>
      <c r="K86" s="30"/>
      <c r="L86" s="31" t="str">
        <f aca="false">IF(OR(K86="",F86=""),"",K86-I86)</f>
        <v/>
      </c>
      <c r="M86" s="34" t="str">
        <f aca="false">IF(L86="","",L86/K86)</f>
        <v/>
      </c>
      <c r="N86" s="43" t="str">
        <f aca="true">IF(D86="","",IF(J86="",TODAY()-D86,J86-D86))</f>
        <v/>
      </c>
      <c r="O86" s="31" t="str">
        <f aca="false">IF(L86="","",IF(L86&lt;=0,0,ROUND(L86-L86/(1+Einstellungen!$B$10),2)))</f>
        <v/>
      </c>
      <c r="P86" s="35" t="str">
        <f aca="false">IF(F86="","",IF(K86="",IF(N86&gt;90,"an Lager &gt;90 Tage!","an Lager"),"verkauft"))</f>
        <v/>
      </c>
    </row>
    <row r="87" customFormat="false" ht="15" hidden="false" customHeight="false" outlineLevel="0" collapsed="false">
      <c r="A87" s="32"/>
      <c r="B87" s="32"/>
      <c r="C87" s="32"/>
      <c r="D87" s="33"/>
      <c r="E87" s="32"/>
      <c r="F87" s="30"/>
      <c r="G87" s="30"/>
      <c r="H87" s="30"/>
      <c r="I87" s="31" t="str">
        <f aca="false">IF(F87="","",F87+G87+H87)</f>
        <v/>
      </c>
      <c r="J87" s="33"/>
      <c r="K87" s="30"/>
      <c r="L87" s="31" t="str">
        <f aca="false">IF(OR(K87="",F87=""),"",K87-I87)</f>
        <v/>
      </c>
      <c r="M87" s="34" t="str">
        <f aca="false">IF(L87="","",L87/K87)</f>
        <v/>
      </c>
      <c r="N87" s="43" t="str">
        <f aca="true">IF(D87="","",IF(J87="",TODAY()-D87,J87-D87))</f>
        <v/>
      </c>
      <c r="O87" s="31" t="str">
        <f aca="false">IF(L87="","",IF(L87&lt;=0,0,ROUND(L87-L87/(1+Einstellungen!$B$10),2)))</f>
        <v/>
      </c>
      <c r="P87" s="35" t="str">
        <f aca="false">IF(F87="","",IF(K87="",IF(N87&gt;90,"an Lager &gt;90 Tage!","an Lager"),"verkauft"))</f>
        <v/>
      </c>
    </row>
    <row r="88" customFormat="false" ht="15" hidden="false" customHeight="false" outlineLevel="0" collapsed="false">
      <c r="A88" s="32"/>
      <c r="B88" s="32"/>
      <c r="C88" s="32"/>
      <c r="D88" s="33"/>
      <c r="E88" s="32"/>
      <c r="F88" s="30"/>
      <c r="G88" s="30"/>
      <c r="H88" s="30"/>
      <c r="I88" s="31" t="str">
        <f aca="false">IF(F88="","",F88+G88+H88)</f>
        <v/>
      </c>
      <c r="J88" s="33"/>
      <c r="K88" s="30"/>
      <c r="L88" s="31" t="str">
        <f aca="false">IF(OR(K88="",F88=""),"",K88-I88)</f>
        <v/>
      </c>
      <c r="M88" s="34" t="str">
        <f aca="false">IF(L88="","",L88/K88)</f>
        <v/>
      </c>
      <c r="N88" s="43" t="str">
        <f aca="true">IF(D88="","",IF(J88="",TODAY()-D88,J88-D88))</f>
        <v/>
      </c>
      <c r="O88" s="31" t="str">
        <f aca="false">IF(L88="","",IF(L88&lt;=0,0,ROUND(L88-L88/(1+Einstellungen!$B$10),2)))</f>
        <v/>
      </c>
      <c r="P88" s="35" t="str">
        <f aca="false">IF(F88="","",IF(K88="",IF(N88&gt;90,"an Lager &gt;90 Tage!","an Lager"),"verkauft"))</f>
        <v/>
      </c>
    </row>
    <row r="89" customFormat="false" ht="15" hidden="false" customHeight="false" outlineLevel="0" collapsed="false">
      <c r="A89" s="32"/>
      <c r="B89" s="32"/>
      <c r="C89" s="32"/>
      <c r="D89" s="33"/>
      <c r="E89" s="32"/>
      <c r="F89" s="30"/>
      <c r="G89" s="30"/>
      <c r="H89" s="30"/>
      <c r="I89" s="31" t="str">
        <f aca="false">IF(F89="","",F89+G89+H89)</f>
        <v/>
      </c>
      <c r="J89" s="33"/>
      <c r="K89" s="30"/>
      <c r="L89" s="31" t="str">
        <f aca="false">IF(OR(K89="",F89=""),"",K89-I89)</f>
        <v/>
      </c>
      <c r="M89" s="34" t="str">
        <f aca="false">IF(L89="","",L89/K89)</f>
        <v/>
      </c>
      <c r="N89" s="43" t="str">
        <f aca="true">IF(D89="","",IF(J89="",TODAY()-D89,J89-D89))</f>
        <v/>
      </c>
      <c r="O89" s="31" t="str">
        <f aca="false">IF(L89="","",IF(L89&lt;=0,0,ROUND(L89-L89/(1+Einstellungen!$B$10),2)))</f>
        <v/>
      </c>
      <c r="P89" s="35" t="str">
        <f aca="false">IF(F89="","",IF(K89="",IF(N89&gt;90,"an Lager &gt;90 Tage!","an Lager"),"verkauft"))</f>
        <v/>
      </c>
    </row>
    <row r="90" customFormat="false" ht="15" hidden="false" customHeight="false" outlineLevel="0" collapsed="false">
      <c r="A90" s="32"/>
      <c r="B90" s="32"/>
      <c r="C90" s="32"/>
      <c r="D90" s="33"/>
      <c r="E90" s="32"/>
      <c r="F90" s="30"/>
      <c r="G90" s="30"/>
      <c r="H90" s="30"/>
      <c r="I90" s="31" t="str">
        <f aca="false">IF(F90="","",F90+G90+H90)</f>
        <v/>
      </c>
      <c r="J90" s="33"/>
      <c r="K90" s="30"/>
      <c r="L90" s="31" t="str">
        <f aca="false">IF(OR(K90="",F90=""),"",K90-I90)</f>
        <v/>
      </c>
      <c r="M90" s="34" t="str">
        <f aca="false">IF(L90="","",L90/K90)</f>
        <v/>
      </c>
      <c r="N90" s="43" t="str">
        <f aca="true">IF(D90="","",IF(J90="",TODAY()-D90,J90-D90))</f>
        <v/>
      </c>
      <c r="O90" s="31" t="str">
        <f aca="false">IF(L90="","",IF(L90&lt;=0,0,ROUND(L90-L90/(1+Einstellungen!$B$10),2)))</f>
        <v/>
      </c>
      <c r="P90" s="35" t="str">
        <f aca="false">IF(F90="","",IF(K90="",IF(N90&gt;90,"an Lager &gt;90 Tage!","an Lager"),"verkauft"))</f>
        <v/>
      </c>
    </row>
    <row r="91" customFormat="false" ht="15" hidden="false" customHeight="false" outlineLevel="0" collapsed="false">
      <c r="A91" s="32"/>
      <c r="B91" s="32"/>
      <c r="C91" s="32"/>
      <c r="D91" s="33"/>
      <c r="E91" s="32"/>
      <c r="F91" s="30"/>
      <c r="G91" s="30"/>
      <c r="H91" s="30"/>
      <c r="I91" s="31" t="str">
        <f aca="false">IF(F91="","",F91+G91+H91)</f>
        <v/>
      </c>
      <c r="J91" s="33"/>
      <c r="K91" s="30"/>
      <c r="L91" s="31" t="str">
        <f aca="false">IF(OR(K91="",F91=""),"",K91-I91)</f>
        <v/>
      </c>
      <c r="M91" s="34" t="str">
        <f aca="false">IF(L91="","",L91/K91)</f>
        <v/>
      </c>
      <c r="N91" s="43" t="str">
        <f aca="true">IF(D91="","",IF(J91="",TODAY()-D91,J91-D91))</f>
        <v/>
      </c>
      <c r="O91" s="31" t="str">
        <f aca="false">IF(L91="","",IF(L91&lt;=0,0,ROUND(L91-L91/(1+Einstellungen!$B$10),2)))</f>
        <v/>
      </c>
      <c r="P91" s="35" t="str">
        <f aca="false">IF(F91="","",IF(K91="",IF(N91&gt;90,"an Lager &gt;90 Tage!","an Lager"),"verkauft"))</f>
        <v/>
      </c>
    </row>
    <row r="92" customFormat="false" ht="15" hidden="false" customHeight="false" outlineLevel="0" collapsed="false">
      <c r="A92" s="32"/>
      <c r="B92" s="32"/>
      <c r="C92" s="32"/>
      <c r="D92" s="33"/>
      <c r="E92" s="32"/>
      <c r="F92" s="30"/>
      <c r="G92" s="30"/>
      <c r="H92" s="30"/>
      <c r="I92" s="31" t="str">
        <f aca="false">IF(F92="","",F92+G92+H92)</f>
        <v/>
      </c>
      <c r="J92" s="33"/>
      <c r="K92" s="30"/>
      <c r="L92" s="31" t="str">
        <f aca="false">IF(OR(K92="",F92=""),"",K92-I92)</f>
        <v/>
      </c>
      <c r="M92" s="34" t="str">
        <f aca="false">IF(L92="","",L92/K92)</f>
        <v/>
      </c>
      <c r="N92" s="43" t="str">
        <f aca="true">IF(D92="","",IF(J92="",TODAY()-D92,J92-D92))</f>
        <v/>
      </c>
      <c r="O92" s="31" t="str">
        <f aca="false">IF(L92="","",IF(L92&lt;=0,0,ROUND(L92-L92/(1+Einstellungen!$B$10),2)))</f>
        <v/>
      </c>
      <c r="P92" s="35" t="str">
        <f aca="false">IF(F92="","",IF(K92="",IF(N92&gt;90,"an Lager &gt;90 Tage!","an Lager"),"verkauft"))</f>
        <v/>
      </c>
    </row>
    <row r="93" customFormat="false" ht="15" hidden="false" customHeight="false" outlineLevel="0" collapsed="false">
      <c r="A93" s="32"/>
      <c r="B93" s="32"/>
      <c r="C93" s="32"/>
      <c r="D93" s="33"/>
      <c r="E93" s="32"/>
      <c r="F93" s="30"/>
      <c r="G93" s="30"/>
      <c r="H93" s="30"/>
      <c r="I93" s="31" t="str">
        <f aca="false">IF(F93="","",F93+G93+H93)</f>
        <v/>
      </c>
      <c r="J93" s="33"/>
      <c r="K93" s="30"/>
      <c r="L93" s="31" t="str">
        <f aca="false">IF(OR(K93="",F93=""),"",K93-I93)</f>
        <v/>
      </c>
      <c r="M93" s="34" t="str">
        <f aca="false">IF(L93="","",L93/K93)</f>
        <v/>
      </c>
      <c r="N93" s="43" t="str">
        <f aca="true">IF(D93="","",IF(J93="",TODAY()-D93,J93-D93))</f>
        <v/>
      </c>
      <c r="O93" s="31" t="str">
        <f aca="false">IF(L93="","",IF(L93&lt;=0,0,ROUND(L93-L93/(1+Einstellungen!$B$10),2)))</f>
        <v/>
      </c>
      <c r="P93" s="35" t="str">
        <f aca="false">IF(F93="","",IF(K93="",IF(N93&gt;90,"an Lager &gt;90 Tage!","an Lager"),"verkauft"))</f>
        <v/>
      </c>
    </row>
    <row r="94" customFormat="false" ht="15" hidden="false" customHeight="false" outlineLevel="0" collapsed="false">
      <c r="A94" s="32"/>
      <c r="B94" s="32"/>
      <c r="C94" s="32"/>
      <c r="D94" s="33"/>
      <c r="E94" s="32"/>
      <c r="F94" s="30"/>
      <c r="G94" s="30"/>
      <c r="H94" s="30"/>
      <c r="I94" s="31" t="str">
        <f aca="false">IF(F94="","",F94+G94+H94)</f>
        <v/>
      </c>
      <c r="J94" s="33"/>
      <c r="K94" s="30"/>
      <c r="L94" s="31" t="str">
        <f aca="false">IF(OR(K94="",F94=""),"",K94-I94)</f>
        <v/>
      </c>
      <c r="M94" s="34" t="str">
        <f aca="false">IF(L94="","",L94/K94)</f>
        <v/>
      </c>
      <c r="N94" s="43" t="str">
        <f aca="true">IF(D94="","",IF(J94="",TODAY()-D94,J94-D94))</f>
        <v/>
      </c>
      <c r="O94" s="31" t="str">
        <f aca="false">IF(L94="","",IF(L94&lt;=0,0,ROUND(L94-L94/(1+Einstellungen!$B$10),2)))</f>
        <v/>
      </c>
      <c r="P94" s="35" t="str">
        <f aca="false">IF(F94="","",IF(K94="",IF(N94&gt;90,"an Lager &gt;90 Tage!","an Lager"),"verkauft"))</f>
        <v/>
      </c>
    </row>
    <row r="95" customFormat="false" ht="15" hidden="false" customHeight="false" outlineLevel="0" collapsed="false">
      <c r="A95" s="32"/>
      <c r="B95" s="32"/>
      <c r="C95" s="32"/>
      <c r="D95" s="33"/>
      <c r="E95" s="32"/>
      <c r="F95" s="30"/>
      <c r="G95" s="30"/>
      <c r="H95" s="30"/>
      <c r="I95" s="31" t="str">
        <f aca="false">IF(F95="","",F95+G95+H95)</f>
        <v/>
      </c>
      <c r="J95" s="33"/>
      <c r="K95" s="30"/>
      <c r="L95" s="31" t="str">
        <f aca="false">IF(OR(K95="",F95=""),"",K95-I95)</f>
        <v/>
      </c>
      <c r="M95" s="34" t="str">
        <f aca="false">IF(L95="","",L95/K95)</f>
        <v/>
      </c>
      <c r="N95" s="43" t="str">
        <f aca="true">IF(D95="","",IF(J95="",TODAY()-D95,J95-D95))</f>
        <v/>
      </c>
      <c r="O95" s="31" t="str">
        <f aca="false">IF(L95="","",IF(L95&lt;=0,0,ROUND(L95-L95/(1+Einstellungen!$B$10),2)))</f>
        <v/>
      </c>
      <c r="P95" s="35" t="str">
        <f aca="false">IF(F95="","",IF(K95="",IF(N95&gt;90,"an Lager &gt;90 Tage!","an Lager"),"verkauft"))</f>
        <v/>
      </c>
    </row>
    <row r="96" customFormat="false" ht="15" hidden="false" customHeight="false" outlineLevel="0" collapsed="false">
      <c r="A96" s="32"/>
      <c r="B96" s="32"/>
      <c r="C96" s="32"/>
      <c r="D96" s="33"/>
      <c r="E96" s="32"/>
      <c r="F96" s="30"/>
      <c r="G96" s="30"/>
      <c r="H96" s="30"/>
      <c r="I96" s="31" t="str">
        <f aca="false">IF(F96="","",F96+G96+H96)</f>
        <v/>
      </c>
      <c r="J96" s="33"/>
      <c r="K96" s="30"/>
      <c r="L96" s="31" t="str">
        <f aca="false">IF(OR(K96="",F96=""),"",K96-I96)</f>
        <v/>
      </c>
      <c r="M96" s="34" t="str">
        <f aca="false">IF(L96="","",L96/K96)</f>
        <v/>
      </c>
      <c r="N96" s="43" t="str">
        <f aca="true">IF(D96="","",IF(J96="",TODAY()-D96,J96-D96))</f>
        <v/>
      </c>
      <c r="O96" s="31" t="str">
        <f aca="false">IF(L96="","",IF(L96&lt;=0,0,ROUND(L96-L96/(1+Einstellungen!$B$10),2)))</f>
        <v/>
      </c>
      <c r="P96" s="35" t="str">
        <f aca="false">IF(F96="","",IF(K96="",IF(N96&gt;90,"an Lager &gt;90 Tage!","an Lager"),"verkauft"))</f>
        <v/>
      </c>
    </row>
    <row r="97" customFormat="false" ht="15" hidden="false" customHeight="false" outlineLevel="0" collapsed="false">
      <c r="A97" s="32"/>
      <c r="B97" s="32"/>
      <c r="C97" s="32"/>
      <c r="D97" s="33"/>
      <c r="E97" s="32"/>
      <c r="F97" s="30"/>
      <c r="G97" s="30"/>
      <c r="H97" s="30"/>
      <c r="I97" s="31" t="str">
        <f aca="false">IF(F97="","",F97+G97+H97)</f>
        <v/>
      </c>
      <c r="J97" s="33"/>
      <c r="K97" s="30"/>
      <c r="L97" s="31" t="str">
        <f aca="false">IF(OR(K97="",F97=""),"",K97-I97)</f>
        <v/>
      </c>
      <c r="M97" s="34" t="str">
        <f aca="false">IF(L97="","",L97/K97)</f>
        <v/>
      </c>
      <c r="N97" s="43" t="str">
        <f aca="true">IF(D97="","",IF(J97="",TODAY()-D97,J97-D97))</f>
        <v/>
      </c>
      <c r="O97" s="31" t="str">
        <f aca="false">IF(L97="","",IF(L97&lt;=0,0,ROUND(L97-L97/(1+Einstellungen!$B$10),2)))</f>
        <v/>
      </c>
      <c r="P97" s="35" t="str">
        <f aca="false">IF(F97="","",IF(K97="",IF(N97&gt;90,"an Lager &gt;90 Tage!","an Lager"),"verkauft"))</f>
        <v/>
      </c>
    </row>
    <row r="98" customFormat="false" ht="15" hidden="false" customHeight="false" outlineLevel="0" collapsed="false">
      <c r="A98" s="32"/>
      <c r="B98" s="32"/>
      <c r="C98" s="32"/>
      <c r="D98" s="33"/>
      <c r="E98" s="32"/>
      <c r="F98" s="30"/>
      <c r="G98" s="30"/>
      <c r="H98" s="30"/>
      <c r="I98" s="31" t="str">
        <f aca="false">IF(F98="","",F98+G98+H98)</f>
        <v/>
      </c>
      <c r="J98" s="33"/>
      <c r="K98" s="30"/>
      <c r="L98" s="31" t="str">
        <f aca="false">IF(OR(K98="",F98=""),"",K98-I98)</f>
        <v/>
      </c>
      <c r="M98" s="34" t="str">
        <f aca="false">IF(L98="","",L98/K98)</f>
        <v/>
      </c>
      <c r="N98" s="43" t="str">
        <f aca="true">IF(D98="","",IF(J98="",TODAY()-D98,J98-D98))</f>
        <v/>
      </c>
      <c r="O98" s="31" t="str">
        <f aca="false">IF(L98="","",IF(L98&lt;=0,0,ROUND(L98-L98/(1+Einstellungen!$B$10),2)))</f>
        <v/>
      </c>
      <c r="P98" s="35" t="str">
        <f aca="false">IF(F98="","",IF(K98="",IF(N98&gt;90,"an Lager &gt;90 Tage!","an Lager"),"verkauft"))</f>
        <v/>
      </c>
    </row>
    <row r="99" customFormat="false" ht="15" hidden="false" customHeight="false" outlineLevel="0" collapsed="false">
      <c r="A99" s="32"/>
      <c r="B99" s="32"/>
      <c r="C99" s="32"/>
      <c r="D99" s="33"/>
      <c r="E99" s="32"/>
      <c r="F99" s="30"/>
      <c r="G99" s="30"/>
      <c r="H99" s="30"/>
      <c r="I99" s="31" t="str">
        <f aca="false">IF(F99="","",F99+G99+H99)</f>
        <v/>
      </c>
      <c r="J99" s="33"/>
      <c r="K99" s="30"/>
      <c r="L99" s="31" t="str">
        <f aca="false">IF(OR(K99="",F99=""),"",K99-I99)</f>
        <v/>
      </c>
      <c r="M99" s="34" t="str">
        <f aca="false">IF(L99="","",L99/K99)</f>
        <v/>
      </c>
      <c r="N99" s="43" t="str">
        <f aca="true">IF(D99="","",IF(J99="",TODAY()-D99,J99-D99))</f>
        <v/>
      </c>
      <c r="O99" s="31" t="str">
        <f aca="false">IF(L99="","",IF(L99&lt;=0,0,ROUND(L99-L99/(1+Einstellungen!$B$10),2)))</f>
        <v/>
      </c>
      <c r="P99" s="35" t="str">
        <f aca="false">IF(F99="","",IF(K99="",IF(N99&gt;90,"an Lager &gt;90 Tage!","an Lager"),"verkauft"))</f>
        <v/>
      </c>
    </row>
    <row r="100" customFormat="false" ht="15" hidden="false" customHeight="false" outlineLevel="0" collapsed="false">
      <c r="A100" s="32"/>
      <c r="B100" s="32"/>
      <c r="C100" s="32"/>
      <c r="D100" s="33"/>
      <c r="E100" s="32"/>
      <c r="F100" s="30"/>
      <c r="G100" s="30"/>
      <c r="H100" s="30"/>
      <c r="I100" s="31" t="str">
        <f aca="false">IF(F100="","",F100+G100+H100)</f>
        <v/>
      </c>
      <c r="J100" s="33"/>
      <c r="K100" s="30"/>
      <c r="L100" s="31" t="str">
        <f aca="false">IF(OR(K100="",F100=""),"",K100-I100)</f>
        <v/>
      </c>
      <c r="M100" s="34" t="str">
        <f aca="false">IF(L100="","",L100/K100)</f>
        <v/>
      </c>
      <c r="N100" s="43" t="str">
        <f aca="true">IF(D100="","",IF(J100="",TODAY()-D100,J100-D100))</f>
        <v/>
      </c>
      <c r="O100" s="31" t="str">
        <f aca="false">IF(L100="","",IF(L100&lt;=0,0,ROUND(L100-L100/(1+Einstellungen!$B$10),2)))</f>
        <v/>
      </c>
      <c r="P100" s="35" t="str">
        <f aca="false">IF(F100="","",IF(K100="",IF(N100&gt;90,"an Lager &gt;90 Tage!","an Lager"),"verkauft"))</f>
        <v/>
      </c>
    </row>
    <row r="101" customFormat="false" ht="15" hidden="false" customHeight="false" outlineLevel="0" collapsed="false">
      <c r="A101" s="32"/>
      <c r="B101" s="32"/>
      <c r="C101" s="32"/>
      <c r="D101" s="33"/>
      <c r="E101" s="32"/>
      <c r="F101" s="30"/>
      <c r="G101" s="30"/>
      <c r="H101" s="30"/>
      <c r="I101" s="31" t="str">
        <f aca="false">IF(F101="","",F101+G101+H101)</f>
        <v/>
      </c>
      <c r="J101" s="33"/>
      <c r="K101" s="30"/>
      <c r="L101" s="31" t="str">
        <f aca="false">IF(OR(K101="",F101=""),"",K101-I101)</f>
        <v/>
      </c>
      <c r="M101" s="34" t="str">
        <f aca="false">IF(L101="","",L101/K101)</f>
        <v/>
      </c>
      <c r="N101" s="43" t="str">
        <f aca="true">IF(D101="","",IF(J101="",TODAY()-D101,J101-D101))</f>
        <v/>
      </c>
      <c r="O101" s="31" t="str">
        <f aca="false">IF(L101="","",IF(L101&lt;=0,0,ROUND(L101-L101/(1+Einstellungen!$B$10),2)))</f>
        <v/>
      </c>
      <c r="P101" s="35" t="str">
        <f aca="false">IF(F101="","",IF(K101="",IF(N101&gt;90,"an Lager &gt;90 Tage!","an Lager"),"verkauft"))</f>
        <v/>
      </c>
    </row>
    <row r="102" customFormat="false" ht="15" hidden="false" customHeight="false" outlineLevel="0" collapsed="false">
      <c r="A102" s="32"/>
      <c r="B102" s="32"/>
      <c r="C102" s="32"/>
      <c r="D102" s="33"/>
      <c r="E102" s="32"/>
      <c r="F102" s="30"/>
      <c r="G102" s="30"/>
      <c r="H102" s="30"/>
      <c r="I102" s="31" t="str">
        <f aca="false">IF(F102="","",F102+G102+H102)</f>
        <v/>
      </c>
      <c r="J102" s="33"/>
      <c r="K102" s="30"/>
      <c r="L102" s="31" t="str">
        <f aca="false">IF(OR(K102="",F102=""),"",K102-I102)</f>
        <v/>
      </c>
      <c r="M102" s="34" t="str">
        <f aca="false">IF(L102="","",L102/K102)</f>
        <v/>
      </c>
      <c r="N102" s="43" t="str">
        <f aca="true">IF(D102="","",IF(J102="",TODAY()-D102,J102-D102))</f>
        <v/>
      </c>
      <c r="O102" s="31" t="str">
        <f aca="false">IF(L102="","",IF(L102&lt;=0,0,ROUND(L102-L102/(1+Einstellungen!$B$10),2)))</f>
        <v/>
      </c>
      <c r="P102" s="35" t="str">
        <f aca="false">IF(F102="","",IF(K102="",IF(N102&gt;90,"an Lager &gt;90 Tage!","an Lager"),"verkauft"))</f>
        <v/>
      </c>
    </row>
    <row r="103" customFormat="false" ht="15" hidden="false" customHeight="false" outlineLevel="0" collapsed="false">
      <c r="A103" s="32"/>
      <c r="B103" s="32"/>
      <c r="C103" s="32"/>
      <c r="D103" s="33"/>
      <c r="E103" s="32"/>
      <c r="F103" s="30"/>
      <c r="G103" s="30"/>
      <c r="H103" s="30"/>
      <c r="I103" s="31" t="str">
        <f aca="false">IF(F103="","",F103+G103+H103)</f>
        <v/>
      </c>
      <c r="J103" s="33"/>
      <c r="K103" s="30"/>
      <c r="L103" s="31" t="str">
        <f aca="false">IF(OR(K103="",F103=""),"",K103-I103)</f>
        <v/>
      </c>
      <c r="M103" s="34" t="str">
        <f aca="false">IF(L103="","",L103/K103)</f>
        <v/>
      </c>
      <c r="N103" s="43" t="str">
        <f aca="true">IF(D103="","",IF(J103="",TODAY()-D103,J103-D103))</f>
        <v/>
      </c>
      <c r="O103" s="31" t="str">
        <f aca="false">IF(L103="","",IF(L103&lt;=0,0,ROUND(L103-L103/(1+Einstellungen!$B$10),2)))</f>
        <v/>
      </c>
      <c r="P103" s="35" t="str">
        <f aca="false">IF(F103="","",IF(K103="",IF(N103&gt;90,"an Lager &gt;90 Tage!","an Lager"),"verkauft"))</f>
        <v/>
      </c>
    </row>
    <row r="104" customFormat="false" ht="15" hidden="false" customHeight="false" outlineLevel="0" collapsed="false">
      <c r="A104" s="32"/>
      <c r="B104" s="32"/>
      <c r="C104" s="32"/>
      <c r="D104" s="33"/>
      <c r="E104" s="32"/>
      <c r="F104" s="30"/>
      <c r="G104" s="30"/>
      <c r="H104" s="30"/>
      <c r="I104" s="31" t="str">
        <f aca="false">IF(F104="","",F104+G104+H104)</f>
        <v/>
      </c>
      <c r="J104" s="33"/>
      <c r="K104" s="30"/>
      <c r="L104" s="31" t="str">
        <f aca="false">IF(OR(K104="",F104=""),"",K104-I104)</f>
        <v/>
      </c>
      <c r="M104" s="34" t="str">
        <f aca="false">IF(L104="","",L104/K104)</f>
        <v/>
      </c>
      <c r="N104" s="43" t="str">
        <f aca="true">IF(D104="","",IF(J104="",TODAY()-D104,J104-D104))</f>
        <v/>
      </c>
      <c r="O104" s="31" t="str">
        <f aca="false">IF(L104="","",IF(L104&lt;=0,0,ROUND(L104-L104/(1+Einstellungen!$B$10),2)))</f>
        <v/>
      </c>
      <c r="P104" s="35" t="str">
        <f aca="false">IF(F104="","",IF(K104="",IF(N104&gt;90,"an Lager &gt;90 Tage!","an Lager"),"verkauft"))</f>
        <v/>
      </c>
    </row>
    <row r="105" customFormat="false" ht="15" hidden="false" customHeight="false" outlineLevel="0" collapsed="false">
      <c r="A105" s="32"/>
      <c r="B105" s="32"/>
      <c r="C105" s="32"/>
      <c r="D105" s="33"/>
      <c r="E105" s="32"/>
      <c r="F105" s="30"/>
      <c r="G105" s="30"/>
      <c r="H105" s="30"/>
      <c r="I105" s="31" t="str">
        <f aca="false">IF(F105="","",F105+G105+H105)</f>
        <v/>
      </c>
      <c r="J105" s="33"/>
      <c r="K105" s="30"/>
      <c r="L105" s="31" t="str">
        <f aca="false">IF(OR(K105="",F105=""),"",K105-I105)</f>
        <v/>
      </c>
      <c r="M105" s="34" t="str">
        <f aca="false">IF(L105="","",L105/K105)</f>
        <v/>
      </c>
      <c r="N105" s="43" t="str">
        <f aca="true">IF(D105="","",IF(J105="",TODAY()-D105,J105-D105))</f>
        <v/>
      </c>
      <c r="O105" s="31" t="str">
        <f aca="false">IF(L105="","",IF(L105&lt;=0,0,ROUND(L105-L105/(1+Einstellungen!$B$10),2)))</f>
        <v/>
      </c>
      <c r="P105" s="35" t="str">
        <f aca="false">IF(F105="","",IF(K105="",IF(N105&gt;90,"an Lager &gt;90 Tage!","an Lager"),"verkauft"))</f>
        <v/>
      </c>
    </row>
    <row r="106" customFormat="false" ht="15" hidden="false" customHeight="false" outlineLevel="0" collapsed="false">
      <c r="A106" s="32"/>
      <c r="B106" s="32"/>
      <c r="C106" s="32"/>
      <c r="D106" s="33"/>
      <c r="E106" s="32"/>
      <c r="F106" s="30"/>
      <c r="G106" s="30"/>
      <c r="H106" s="30"/>
      <c r="I106" s="31" t="str">
        <f aca="false">IF(F106="","",F106+G106+H106)</f>
        <v/>
      </c>
      <c r="J106" s="33"/>
      <c r="K106" s="30"/>
      <c r="L106" s="31" t="str">
        <f aca="false">IF(OR(K106="",F106=""),"",K106-I106)</f>
        <v/>
      </c>
      <c r="M106" s="34" t="str">
        <f aca="false">IF(L106="","",L106/K106)</f>
        <v/>
      </c>
      <c r="N106" s="43" t="str">
        <f aca="true">IF(D106="","",IF(J106="",TODAY()-D106,J106-D106))</f>
        <v/>
      </c>
      <c r="O106" s="31" t="str">
        <f aca="false">IF(L106="","",IF(L106&lt;=0,0,ROUND(L106-L106/(1+Einstellungen!$B$10),2)))</f>
        <v/>
      </c>
      <c r="P106" s="35" t="str">
        <f aca="false">IF(F106="","",IF(K106="",IF(N106&gt;90,"an Lager &gt;90 Tage!","an Lager"),"verkauft"))</f>
        <v/>
      </c>
    </row>
    <row r="107" customFormat="false" ht="15" hidden="false" customHeight="false" outlineLevel="0" collapsed="false">
      <c r="A107" s="32"/>
      <c r="B107" s="32"/>
      <c r="C107" s="32"/>
      <c r="D107" s="33"/>
      <c r="E107" s="32"/>
      <c r="F107" s="30"/>
      <c r="G107" s="30"/>
      <c r="H107" s="30"/>
      <c r="I107" s="31" t="str">
        <f aca="false">IF(F107="","",F107+G107+H107)</f>
        <v/>
      </c>
      <c r="J107" s="33"/>
      <c r="K107" s="30"/>
      <c r="L107" s="31" t="str">
        <f aca="false">IF(OR(K107="",F107=""),"",K107-I107)</f>
        <v/>
      </c>
      <c r="M107" s="34" t="str">
        <f aca="false">IF(L107="","",L107/K107)</f>
        <v/>
      </c>
      <c r="N107" s="43" t="str">
        <f aca="true">IF(D107="","",IF(J107="",TODAY()-D107,J107-D107))</f>
        <v/>
      </c>
      <c r="O107" s="31" t="str">
        <f aca="false">IF(L107="","",IF(L107&lt;=0,0,ROUND(L107-L107/(1+Einstellungen!$B$10),2)))</f>
        <v/>
      </c>
      <c r="P107" s="35" t="str">
        <f aca="false">IF(F107="","",IF(K107="",IF(N107&gt;90,"an Lager &gt;90 Tage!","an Lager"),"verkauft"))</f>
        <v/>
      </c>
    </row>
    <row r="108" customFormat="false" ht="15" hidden="false" customHeight="false" outlineLevel="0" collapsed="false">
      <c r="A108" s="32"/>
      <c r="B108" s="32"/>
      <c r="C108" s="32"/>
      <c r="D108" s="33"/>
      <c r="E108" s="32"/>
      <c r="F108" s="30"/>
      <c r="G108" s="30"/>
      <c r="H108" s="30"/>
      <c r="I108" s="31" t="str">
        <f aca="false">IF(F108="","",F108+G108+H108)</f>
        <v/>
      </c>
      <c r="J108" s="33"/>
      <c r="K108" s="30"/>
      <c r="L108" s="31" t="str">
        <f aca="false">IF(OR(K108="",F108=""),"",K108-I108)</f>
        <v/>
      </c>
      <c r="M108" s="34" t="str">
        <f aca="false">IF(L108="","",L108/K108)</f>
        <v/>
      </c>
      <c r="N108" s="43" t="str">
        <f aca="true">IF(D108="","",IF(J108="",TODAY()-D108,J108-D108))</f>
        <v/>
      </c>
      <c r="O108" s="31" t="str">
        <f aca="false">IF(L108="","",IF(L108&lt;=0,0,ROUND(L108-L108/(1+Einstellungen!$B$10),2)))</f>
        <v/>
      </c>
      <c r="P108" s="35" t="str">
        <f aca="false">IF(F108="","",IF(K108="",IF(N108&gt;90,"an Lager &gt;90 Tage!","an Lager"),"verkauft"))</f>
        <v/>
      </c>
    </row>
    <row r="109" customFormat="false" ht="15" hidden="false" customHeight="false" outlineLevel="0" collapsed="false">
      <c r="A109" s="32"/>
      <c r="B109" s="32"/>
      <c r="C109" s="32"/>
      <c r="D109" s="33"/>
      <c r="E109" s="32"/>
      <c r="F109" s="30"/>
      <c r="G109" s="30"/>
      <c r="H109" s="30"/>
      <c r="I109" s="31" t="str">
        <f aca="false">IF(F109="","",F109+G109+H109)</f>
        <v/>
      </c>
      <c r="J109" s="33"/>
      <c r="K109" s="30"/>
      <c r="L109" s="31" t="str">
        <f aca="false">IF(OR(K109="",F109=""),"",K109-I109)</f>
        <v/>
      </c>
      <c r="M109" s="34" t="str">
        <f aca="false">IF(L109="","",L109/K109)</f>
        <v/>
      </c>
      <c r="N109" s="43" t="str">
        <f aca="true">IF(D109="","",IF(J109="",TODAY()-D109,J109-D109))</f>
        <v/>
      </c>
      <c r="O109" s="31" t="str">
        <f aca="false">IF(L109="","",IF(L109&lt;=0,0,ROUND(L109-L109/(1+Einstellungen!$B$10),2)))</f>
        <v/>
      </c>
      <c r="P109" s="35" t="str">
        <f aca="false">IF(F109="","",IF(K109="",IF(N109&gt;90,"an Lager &gt;90 Tage!","an Lager"),"verkauft"))</f>
        <v/>
      </c>
    </row>
    <row r="110" customFormat="false" ht="15" hidden="false" customHeight="false" outlineLevel="0" collapsed="false">
      <c r="A110" s="32"/>
      <c r="B110" s="32"/>
      <c r="C110" s="32"/>
      <c r="D110" s="33"/>
      <c r="E110" s="32"/>
      <c r="F110" s="30"/>
      <c r="G110" s="30"/>
      <c r="H110" s="30"/>
      <c r="I110" s="31" t="str">
        <f aca="false">IF(F110="","",F110+G110+H110)</f>
        <v/>
      </c>
      <c r="J110" s="33"/>
      <c r="K110" s="30"/>
      <c r="L110" s="31" t="str">
        <f aca="false">IF(OR(K110="",F110=""),"",K110-I110)</f>
        <v/>
      </c>
      <c r="M110" s="34" t="str">
        <f aca="false">IF(L110="","",L110/K110)</f>
        <v/>
      </c>
      <c r="N110" s="43" t="str">
        <f aca="true">IF(D110="","",IF(J110="",TODAY()-D110,J110-D110))</f>
        <v/>
      </c>
      <c r="O110" s="31" t="str">
        <f aca="false">IF(L110="","",IF(L110&lt;=0,0,ROUND(L110-L110/(1+Einstellungen!$B$10),2)))</f>
        <v/>
      </c>
      <c r="P110" s="35" t="str">
        <f aca="false">IF(F110="","",IF(K110="",IF(N110&gt;90,"an Lager &gt;90 Tage!","an Lager"),"verkauft"))</f>
        <v/>
      </c>
    </row>
    <row r="111" customFormat="false" ht="15" hidden="false" customHeight="false" outlineLevel="0" collapsed="false">
      <c r="A111" s="32"/>
      <c r="B111" s="32"/>
      <c r="C111" s="32"/>
      <c r="D111" s="33"/>
      <c r="E111" s="32"/>
      <c r="F111" s="30"/>
      <c r="G111" s="30"/>
      <c r="H111" s="30"/>
      <c r="I111" s="31" t="str">
        <f aca="false">IF(F111="","",F111+G111+H111)</f>
        <v/>
      </c>
      <c r="J111" s="33"/>
      <c r="K111" s="30"/>
      <c r="L111" s="31" t="str">
        <f aca="false">IF(OR(K111="",F111=""),"",K111-I111)</f>
        <v/>
      </c>
      <c r="M111" s="34" t="str">
        <f aca="false">IF(L111="","",L111/K111)</f>
        <v/>
      </c>
      <c r="N111" s="43" t="str">
        <f aca="true">IF(D111="","",IF(J111="",TODAY()-D111,J111-D111))</f>
        <v/>
      </c>
      <c r="O111" s="31" t="str">
        <f aca="false">IF(L111="","",IF(L111&lt;=0,0,ROUND(L111-L111/(1+Einstellungen!$B$10),2)))</f>
        <v/>
      </c>
      <c r="P111" s="35" t="str">
        <f aca="false">IF(F111="","",IF(K111="",IF(N111&gt;90,"an Lager &gt;90 Tage!","an Lager"),"verkauft"))</f>
        <v/>
      </c>
    </row>
    <row r="112" customFormat="false" ht="15" hidden="false" customHeight="false" outlineLevel="0" collapsed="false">
      <c r="A112" s="32"/>
      <c r="B112" s="32"/>
      <c r="C112" s="32"/>
      <c r="D112" s="33"/>
      <c r="E112" s="32"/>
      <c r="F112" s="30"/>
      <c r="G112" s="30"/>
      <c r="H112" s="30"/>
      <c r="I112" s="31" t="str">
        <f aca="false">IF(F112="","",F112+G112+H112)</f>
        <v/>
      </c>
      <c r="J112" s="33"/>
      <c r="K112" s="30"/>
      <c r="L112" s="31" t="str">
        <f aca="false">IF(OR(K112="",F112=""),"",K112-I112)</f>
        <v/>
      </c>
      <c r="M112" s="34" t="str">
        <f aca="false">IF(L112="","",L112/K112)</f>
        <v/>
      </c>
      <c r="N112" s="43" t="str">
        <f aca="true">IF(D112="","",IF(J112="",TODAY()-D112,J112-D112))</f>
        <v/>
      </c>
      <c r="O112" s="31" t="str">
        <f aca="false">IF(L112="","",IF(L112&lt;=0,0,ROUND(L112-L112/(1+Einstellungen!$B$10),2)))</f>
        <v/>
      </c>
      <c r="P112" s="35" t="str">
        <f aca="false">IF(F112="","",IF(K112="",IF(N112&gt;90,"an Lager &gt;90 Tage!","an Lager"),"verkauft"))</f>
        <v/>
      </c>
    </row>
    <row r="113" customFormat="false" ht="15" hidden="false" customHeight="false" outlineLevel="0" collapsed="false">
      <c r="A113" s="32"/>
      <c r="B113" s="32"/>
      <c r="C113" s="32"/>
      <c r="D113" s="33"/>
      <c r="E113" s="32"/>
      <c r="F113" s="30"/>
      <c r="G113" s="30"/>
      <c r="H113" s="30"/>
      <c r="I113" s="31" t="str">
        <f aca="false">IF(F113="","",F113+G113+H113)</f>
        <v/>
      </c>
      <c r="J113" s="33"/>
      <c r="K113" s="30"/>
      <c r="L113" s="31" t="str">
        <f aca="false">IF(OR(K113="",F113=""),"",K113-I113)</f>
        <v/>
      </c>
      <c r="M113" s="34" t="str">
        <f aca="false">IF(L113="","",L113/K113)</f>
        <v/>
      </c>
      <c r="N113" s="43" t="str">
        <f aca="true">IF(D113="","",IF(J113="",TODAY()-D113,J113-D113))</f>
        <v/>
      </c>
      <c r="O113" s="31" t="str">
        <f aca="false">IF(L113="","",IF(L113&lt;=0,0,ROUND(L113-L113/(1+Einstellungen!$B$10),2)))</f>
        <v/>
      </c>
      <c r="P113" s="35" t="str">
        <f aca="false">IF(F113="","",IF(K113="",IF(N113&gt;90,"an Lager &gt;90 Tage!","an Lager"),"verkauft"))</f>
        <v/>
      </c>
    </row>
    <row r="114" customFormat="false" ht="15" hidden="false" customHeight="false" outlineLevel="0" collapsed="false">
      <c r="A114" s="32"/>
      <c r="B114" s="32"/>
      <c r="C114" s="32"/>
      <c r="D114" s="33"/>
      <c r="E114" s="32"/>
      <c r="F114" s="30"/>
      <c r="G114" s="30"/>
      <c r="H114" s="30"/>
      <c r="I114" s="31" t="str">
        <f aca="false">IF(F114="","",F114+G114+H114)</f>
        <v/>
      </c>
      <c r="J114" s="33"/>
      <c r="K114" s="30"/>
      <c r="L114" s="31" t="str">
        <f aca="false">IF(OR(K114="",F114=""),"",K114-I114)</f>
        <v/>
      </c>
      <c r="M114" s="34" t="str">
        <f aca="false">IF(L114="","",L114/K114)</f>
        <v/>
      </c>
      <c r="N114" s="43" t="str">
        <f aca="true">IF(D114="","",IF(J114="",TODAY()-D114,J114-D114))</f>
        <v/>
      </c>
      <c r="O114" s="31" t="str">
        <f aca="false">IF(L114="","",IF(L114&lt;=0,0,ROUND(L114-L114/(1+Einstellungen!$B$10),2)))</f>
        <v/>
      </c>
      <c r="P114" s="35" t="str">
        <f aca="false">IF(F114="","",IF(K114="",IF(N114&gt;90,"an Lager &gt;90 Tage!","an Lager"),"verkauft"))</f>
        <v/>
      </c>
    </row>
    <row r="115" customFormat="false" ht="15" hidden="false" customHeight="false" outlineLevel="0" collapsed="false">
      <c r="A115" s="32"/>
      <c r="B115" s="32"/>
      <c r="C115" s="32"/>
      <c r="D115" s="33"/>
      <c r="E115" s="32"/>
      <c r="F115" s="30"/>
      <c r="G115" s="30"/>
      <c r="H115" s="30"/>
      <c r="I115" s="31" t="str">
        <f aca="false">IF(F115="","",F115+G115+H115)</f>
        <v/>
      </c>
      <c r="J115" s="33"/>
      <c r="K115" s="30"/>
      <c r="L115" s="31" t="str">
        <f aca="false">IF(OR(K115="",F115=""),"",K115-I115)</f>
        <v/>
      </c>
      <c r="M115" s="34" t="str">
        <f aca="false">IF(L115="","",L115/K115)</f>
        <v/>
      </c>
      <c r="N115" s="43" t="str">
        <f aca="true">IF(D115="","",IF(J115="",TODAY()-D115,J115-D115))</f>
        <v/>
      </c>
      <c r="O115" s="31" t="str">
        <f aca="false">IF(L115="","",IF(L115&lt;=0,0,ROUND(L115-L115/(1+Einstellungen!$B$10),2)))</f>
        <v/>
      </c>
      <c r="P115" s="35" t="str">
        <f aca="false">IF(F115="","",IF(K115="",IF(N115&gt;90,"an Lager &gt;90 Tage!","an Lager"),"verkauft"))</f>
        <v/>
      </c>
    </row>
    <row r="116" customFormat="false" ht="15" hidden="false" customHeight="false" outlineLevel="0" collapsed="false">
      <c r="A116" s="32"/>
      <c r="B116" s="32"/>
      <c r="C116" s="32"/>
      <c r="D116" s="33"/>
      <c r="E116" s="32"/>
      <c r="F116" s="30"/>
      <c r="G116" s="30"/>
      <c r="H116" s="30"/>
      <c r="I116" s="31" t="str">
        <f aca="false">IF(F116="","",F116+G116+H116)</f>
        <v/>
      </c>
      <c r="J116" s="33"/>
      <c r="K116" s="30"/>
      <c r="L116" s="31" t="str">
        <f aca="false">IF(OR(K116="",F116=""),"",K116-I116)</f>
        <v/>
      </c>
      <c r="M116" s="34" t="str">
        <f aca="false">IF(L116="","",L116/K116)</f>
        <v/>
      </c>
      <c r="N116" s="43" t="str">
        <f aca="true">IF(D116="","",IF(J116="",TODAY()-D116,J116-D116))</f>
        <v/>
      </c>
      <c r="O116" s="31" t="str">
        <f aca="false">IF(L116="","",IF(L116&lt;=0,0,ROUND(L116-L116/(1+Einstellungen!$B$10),2)))</f>
        <v/>
      </c>
      <c r="P116" s="35" t="str">
        <f aca="false">IF(F116="","",IF(K116="",IF(N116&gt;90,"an Lager &gt;90 Tage!","an Lager"),"verkauft"))</f>
        <v/>
      </c>
    </row>
    <row r="117" customFormat="false" ht="15" hidden="false" customHeight="false" outlineLevel="0" collapsed="false">
      <c r="A117" s="32"/>
      <c r="B117" s="32"/>
      <c r="C117" s="32"/>
      <c r="D117" s="33"/>
      <c r="E117" s="32"/>
      <c r="F117" s="30"/>
      <c r="G117" s="30"/>
      <c r="H117" s="30"/>
      <c r="I117" s="31" t="str">
        <f aca="false">IF(F117="","",F117+G117+H117)</f>
        <v/>
      </c>
      <c r="J117" s="33"/>
      <c r="K117" s="30"/>
      <c r="L117" s="31" t="str">
        <f aca="false">IF(OR(K117="",F117=""),"",K117-I117)</f>
        <v/>
      </c>
      <c r="M117" s="34" t="str">
        <f aca="false">IF(L117="","",L117/K117)</f>
        <v/>
      </c>
      <c r="N117" s="43" t="str">
        <f aca="true">IF(D117="","",IF(J117="",TODAY()-D117,J117-D117))</f>
        <v/>
      </c>
      <c r="O117" s="31" t="str">
        <f aca="false">IF(L117="","",IF(L117&lt;=0,0,ROUND(L117-L117/(1+Einstellungen!$B$10),2)))</f>
        <v/>
      </c>
      <c r="P117" s="35" t="str">
        <f aca="false">IF(F117="","",IF(K117="",IF(N117&gt;90,"an Lager &gt;90 Tage!","an Lager"),"verkauft"))</f>
        <v/>
      </c>
    </row>
    <row r="118" customFormat="false" ht="15" hidden="false" customHeight="false" outlineLevel="0" collapsed="false">
      <c r="A118" s="32"/>
      <c r="B118" s="32"/>
      <c r="C118" s="32"/>
      <c r="D118" s="33"/>
      <c r="E118" s="32"/>
      <c r="F118" s="30"/>
      <c r="G118" s="30"/>
      <c r="H118" s="30"/>
      <c r="I118" s="31" t="str">
        <f aca="false">IF(F118="","",F118+G118+H118)</f>
        <v/>
      </c>
      <c r="J118" s="33"/>
      <c r="K118" s="30"/>
      <c r="L118" s="31" t="str">
        <f aca="false">IF(OR(K118="",F118=""),"",K118-I118)</f>
        <v/>
      </c>
      <c r="M118" s="34" t="str">
        <f aca="false">IF(L118="","",L118/K118)</f>
        <v/>
      </c>
      <c r="N118" s="43" t="str">
        <f aca="true">IF(D118="","",IF(J118="",TODAY()-D118,J118-D118))</f>
        <v/>
      </c>
      <c r="O118" s="31" t="str">
        <f aca="false">IF(L118="","",IF(L118&lt;=0,0,ROUND(L118-L118/(1+Einstellungen!$B$10),2)))</f>
        <v/>
      </c>
      <c r="P118" s="35" t="str">
        <f aca="false">IF(F118="","",IF(K118="",IF(N118&gt;90,"an Lager &gt;90 Tage!","an Lager"),"verkauft"))</f>
        <v/>
      </c>
    </row>
    <row r="119" customFormat="false" ht="15" hidden="false" customHeight="false" outlineLevel="0" collapsed="false">
      <c r="A119" s="32"/>
      <c r="B119" s="32"/>
      <c r="C119" s="32"/>
      <c r="D119" s="33"/>
      <c r="E119" s="32"/>
      <c r="F119" s="30"/>
      <c r="G119" s="30"/>
      <c r="H119" s="30"/>
      <c r="I119" s="31" t="str">
        <f aca="false">IF(F119="","",F119+G119+H119)</f>
        <v/>
      </c>
      <c r="J119" s="33"/>
      <c r="K119" s="30"/>
      <c r="L119" s="31" t="str">
        <f aca="false">IF(OR(K119="",F119=""),"",K119-I119)</f>
        <v/>
      </c>
      <c r="M119" s="34" t="str">
        <f aca="false">IF(L119="","",L119/K119)</f>
        <v/>
      </c>
      <c r="N119" s="43" t="str">
        <f aca="true">IF(D119="","",IF(J119="",TODAY()-D119,J119-D119))</f>
        <v/>
      </c>
      <c r="O119" s="31" t="str">
        <f aca="false">IF(L119="","",IF(L119&lt;=0,0,ROUND(L119-L119/(1+Einstellungen!$B$10),2)))</f>
        <v/>
      </c>
      <c r="P119" s="35" t="str">
        <f aca="false">IF(F119="","",IF(K119="",IF(N119&gt;90,"an Lager &gt;90 Tage!","an Lager"),"verkauft"))</f>
        <v/>
      </c>
    </row>
    <row r="120" customFormat="false" ht="15" hidden="false" customHeight="false" outlineLevel="0" collapsed="false">
      <c r="A120" s="32"/>
      <c r="B120" s="32"/>
      <c r="C120" s="32"/>
      <c r="D120" s="33"/>
      <c r="E120" s="32"/>
      <c r="F120" s="30"/>
      <c r="G120" s="30"/>
      <c r="H120" s="30"/>
      <c r="I120" s="31" t="str">
        <f aca="false">IF(F120="","",F120+G120+H120)</f>
        <v/>
      </c>
      <c r="J120" s="33"/>
      <c r="K120" s="30"/>
      <c r="L120" s="31" t="str">
        <f aca="false">IF(OR(K120="",F120=""),"",K120-I120)</f>
        <v/>
      </c>
      <c r="M120" s="34" t="str">
        <f aca="false">IF(L120="","",L120/K120)</f>
        <v/>
      </c>
      <c r="N120" s="43" t="str">
        <f aca="true">IF(D120="","",IF(J120="",TODAY()-D120,J120-D120))</f>
        <v/>
      </c>
      <c r="O120" s="31" t="str">
        <f aca="false">IF(L120="","",IF(L120&lt;=0,0,ROUND(L120-L120/(1+Einstellungen!$B$10),2)))</f>
        <v/>
      </c>
      <c r="P120" s="35" t="str">
        <f aca="false">IF(F120="","",IF(K120="",IF(N120&gt;90,"an Lager &gt;90 Tage!","an Lager"),"verkauft"))</f>
        <v/>
      </c>
    </row>
    <row r="121" customFormat="false" ht="15" hidden="false" customHeight="false" outlineLevel="0" collapsed="false">
      <c r="A121" s="32"/>
      <c r="B121" s="32"/>
      <c r="C121" s="32"/>
      <c r="D121" s="33"/>
      <c r="E121" s="32"/>
      <c r="F121" s="30"/>
      <c r="G121" s="30"/>
      <c r="H121" s="30"/>
      <c r="I121" s="31" t="str">
        <f aca="false">IF(F121="","",F121+G121+H121)</f>
        <v/>
      </c>
      <c r="J121" s="33"/>
      <c r="K121" s="30"/>
      <c r="L121" s="31" t="str">
        <f aca="false">IF(OR(K121="",F121=""),"",K121-I121)</f>
        <v/>
      </c>
      <c r="M121" s="34" t="str">
        <f aca="false">IF(L121="","",L121/K121)</f>
        <v/>
      </c>
      <c r="N121" s="43" t="str">
        <f aca="true">IF(D121="","",IF(J121="",TODAY()-D121,J121-D121))</f>
        <v/>
      </c>
      <c r="O121" s="31" t="str">
        <f aca="false">IF(L121="","",IF(L121&lt;=0,0,ROUND(L121-L121/(1+Einstellungen!$B$10),2)))</f>
        <v/>
      </c>
      <c r="P121" s="35" t="str">
        <f aca="false">IF(F121="","",IF(K121="",IF(N121&gt;90,"an Lager &gt;90 Tage!","an Lager"),"verkauft"))</f>
        <v/>
      </c>
    </row>
    <row r="122" customFormat="false" ht="15" hidden="false" customHeight="false" outlineLevel="0" collapsed="false">
      <c r="A122" s="32"/>
      <c r="B122" s="32"/>
      <c r="C122" s="32"/>
      <c r="D122" s="33"/>
      <c r="E122" s="32"/>
      <c r="F122" s="30"/>
      <c r="G122" s="30"/>
      <c r="H122" s="30"/>
      <c r="I122" s="31" t="str">
        <f aca="false">IF(F122="","",F122+G122+H122)</f>
        <v/>
      </c>
      <c r="J122" s="33"/>
      <c r="K122" s="30"/>
      <c r="L122" s="31" t="str">
        <f aca="false">IF(OR(K122="",F122=""),"",K122-I122)</f>
        <v/>
      </c>
      <c r="M122" s="34" t="str">
        <f aca="false">IF(L122="","",L122/K122)</f>
        <v/>
      </c>
      <c r="N122" s="43" t="str">
        <f aca="true">IF(D122="","",IF(J122="",TODAY()-D122,J122-D122))</f>
        <v/>
      </c>
      <c r="O122" s="31" t="str">
        <f aca="false">IF(L122="","",IF(L122&lt;=0,0,ROUND(L122-L122/(1+Einstellungen!$B$10),2)))</f>
        <v/>
      </c>
      <c r="P122" s="35" t="str">
        <f aca="false">IF(F122="","",IF(K122="",IF(N122&gt;90,"an Lager &gt;90 Tage!","an Lager"),"verkauft"))</f>
        <v/>
      </c>
    </row>
    <row r="123" customFormat="false" ht="15" hidden="false" customHeight="false" outlineLevel="0" collapsed="false">
      <c r="A123" s="32"/>
      <c r="B123" s="32"/>
      <c r="C123" s="32"/>
      <c r="D123" s="33"/>
      <c r="E123" s="32"/>
      <c r="F123" s="30"/>
      <c r="G123" s="30"/>
      <c r="H123" s="30"/>
      <c r="I123" s="31" t="str">
        <f aca="false">IF(F123="","",F123+G123+H123)</f>
        <v/>
      </c>
      <c r="J123" s="33"/>
      <c r="K123" s="30"/>
      <c r="L123" s="31" t="str">
        <f aca="false">IF(OR(K123="",F123=""),"",K123-I123)</f>
        <v/>
      </c>
      <c r="M123" s="34" t="str">
        <f aca="false">IF(L123="","",L123/K123)</f>
        <v/>
      </c>
      <c r="N123" s="43" t="str">
        <f aca="true">IF(D123="","",IF(J123="",TODAY()-D123,J123-D123))</f>
        <v/>
      </c>
      <c r="O123" s="31" t="str">
        <f aca="false">IF(L123="","",IF(L123&lt;=0,0,ROUND(L123-L123/(1+Einstellungen!$B$10),2)))</f>
        <v/>
      </c>
      <c r="P123" s="35" t="str">
        <f aca="false">IF(F123="","",IF(K123="",IF(N123&gt;90,"an Lager &gt;90 Tage!","an Lager"),"verkauft"))</f>
        <v/>
      </c>
    </row>
    <row r="124" customFormat="false" ht="15" hidden="false" customHeight="false" outlineLevel="0" collapsed="false">
      <c r="A124" s="32"/>
      <c r="B124" s="32"/>
      <c r="C124" s="32"/>
      <c r="D124" s="33"/>
      <c r="E124" s="32"/>
      <c r="F124" s="30"/>
      <c r="G124" s="30"/>
      <c r="H124" s="30"/>
      <c r="I124" s="31" t="str">
        <f aca="false">IF(F124="","",F124+G124+H124)</f>
        <v/>
      </c>
      <c r="J124" s="33"/>
      <c r="K124" s="30"/>
      <c r="L124" s="31" t="str">
        <f aca="false">IF(OR(K124="",F124=""),"",K124-I124)</f>
        <v/>
      </c>
      <c r="M124" s="34" t="str">
        <f aca="false">IF(L124="","",L124/K124)</f>
        <v/>
      </c>
      <c r="N124" s="43" t="str">
        <f aca="true">IF(D124="","",IF(J124="",TODAY()-D124,J124-D124))</f>
        <v/>
      </c>
      <c r="O124" s="31" t="str">
        <f aca="false">IF(L124="","",IF(L124&lt;=0,0,ROUND(L124-L124/(1+Einstellungen!$B$10),2)))</f>
        <v/>
      </c>
      <c r="P124" s="35" t="str">
        <f aca="false">IF(F124="","",IF(K124="",IF(N124&gt;90,"an Lager &gt;90 Tage!","an Lager"),"verkauft"))</f>
        <v/>
      </c>
    </row>
    <row r="125" customFormat="false" ht="15" hidden="false" customHeight="false" outlineLevel="0" collapsed="false">
      <c r="A125" s="32"/>
      <c r="B125" s="32"/>
      <c r="C125" s="32"/>
      <c r="D125" s="33"/>
      <c r="E125" s="32"/>
      <c r="F125" s="30"/>
      <c r="G125" s="30"/>
      <c r="H125" s="30"/>
      <c r="I125" s="31" t="str">
        <f aca="false">IF(F125="","",F125+G125+H125)</f>
        <v/>
      </c>
      <c r="J125" s="33"/>
      <c r="K125" s="30"/>
      <c r="L125" s="31" t="str">
        <f aca="false">IF(OR(K125="",F125=""),"",K125-I125)</f>
        <v/>
      </c>
      <c r="M125" s="34" t="str">
        <f aca="false">IF(L125="","",L125/K125)</f>
        <v/>
      </c>
      <c r="N125" s="43" t="str">
        <f aca="true">IF(D125="","",IF(J125="",TODAY()-D125,J125-D125))</f>
        <v/>
      </c>
      <c r="O125" s="31" t="str">
        <f aca="false">IF(L125="","",IF(L125&lt;=0,0,ROUND(L125-L125/(1+Einstellungen!$B$10),2)))</f>
        <v/>
      </c>
      <c r="P125" s="35" t="str">
        <f aca="false">IF(F125="","",IF(K125="",IF(N125&gt;90,"an Lager &gt;90 Tage!","an Lager"),"verkauft"))</f>
        <v/>
      </c>
    </row>
    <row r="126" customFormat="false" ht="15" hidden="false" customHeight="false" outlineLevel="0" collapsed="false">
      <c r="A126" s="32"/>
      <c r="B126" s="32"/>
      <c r="C126" s="32"/>
      <c r="D126" s="33"/>
      <c r="E126" s="32"/>
      <c r="F126" s="30"/>
      <c r="G126" s="30"/>
      <c r="H126" s="30"/>
      <c r="I126" s="31" t="str">
        <f aca="false">IF(F126="","",F126+G126+H126)</f>
        <v/>
      </c>
      <c r="J126" s="33"/>
      <c r="K126" s="30"/>
      <c r="L126" s="31" t="str">
        <f aca="false">IF(OR(K126="",F126=""),"",K126-I126)</f>
        <v/>
      </c>
      <c r="M126" s="34" t="str">
        <f aca="false">IF(L126="","",L126/K126)</f>
        <v/>
      </c>
      <c r="N126" s="43" t="str">
        <f aca="true">IF(D126="","",IF(J126="",TODAY()-D126,J126-D126))</f>
        <v/>
      </c>
      <c r="O126" s="31" t="str">
        <f aca="false">IF(L126="","",IF(L126&lt;=0,0,ROUND(L126-L126/(1+Einstellungen!$B$10),2)))</f>
        <v/>
      </c>
      <c r="P126" s="35" t="str">
        <f aca="false">IF(F126="","",IF(K126="",IF(N126&gt;90,"an Lager &gt;90 Tage!","an Lager"),"verkauft"))</f>
        <v/>
      </c>
    </row>
    <row r="127" customFormat="false" ht="15" hidden="false" customHeight="false" outlineLevel="0" collapsed="false">
      <c r="A127" s="32"/>
      <c r="B127" s="32"/>
      <c r="C127" s="32"/>
      <c r="D127" s="33"/>
      <c r="E127" s="32"/>
      <c r="F127" s="30"/>
      <c r="G127" s="30"/>
      <c r="H127" s="30"/>
      <c r="I127" s="31" t="str">
        <f aca="false">IF(F127="","",F127+G127+H127)</f>
        <v/>
      </c>
      <c r="J127" s="33"/>
      <c r="K127" s="30"/>
      <c r="L127" s="31" t="str">
        <f aca="false">IF(OR(K127="",F127=""),"",K127-I127)</f>
        <v/>
      </c>
      <c r="M127" s="34" t="str">
        <f aca="false">IF(L127="","",L127/K127)</f>
        <v/>
      </c>
      <c r="N127" s="43" t="str">
        <f aca="true">IF(D127="","",IF(J127="",TODAY()-D127,J127-D127))</f>
        <v/>
      </c>
      <c r="O127" s="31" t="str">
        <f aca="false">IF(L127="","",IF(L127&lt;=0,0,ROUND(L127-L127/(1+Einstellungen!$B$10),2)))</f>
        <v/>
      </c>
      <c r="P127" s="35" t="str">
        <f aca="false">IF(F127="","",IF(K127="",IF(N127&gt;90,"an Lager &gt;90 Tage!","an Lager"),"verkauft"))</f>
        <v/>
      </c>
    </row>
    <row r="128" customFormat="false" ht="15" hidden="false" customHeight="false" outlineLevel="0" collapsed="false">
      <c r="A128" s="32"/>
      <c r="B128" s="32"/>
      <c r="C128" s="32"/>
      <c r="D128" s="33"/>
      <c r="E128" s="32"/>
      <c r="F128" s="30"/>
      <c r="G128" s="30"/>
      <c r="H128" s="30"/>
      <c r="I128" s="31" t="str">
        <f aca="false">IF(F128="","",F128+G128+H128)</f>
        <v/>
      </c>
      <c r="J128" s="33"/>
      <c r="K128" s="30"/>
      <c r="L128" s="31" t="str">
        <f aca="false">IF(OR(K128="",F128=""),"",K128-I128)</f>
        <v/>
      </c>
      <c r="M128" s="34" t="str">
        <f aca="false">IF(L128="","",L128/K128)</f>
        <v/>
      </c>
      <c r="N128" s="43" t="str">
        <f aca="true">IF(D128="","",IF(J128="",TODAY()-D128,J128-D128))</f>
        <v/>
      </c>
      <c r="O128" s="31" t="str">
        <f aca="false">IF(L128="","",IF(L128&lt;=0,0,ROUND(L128-L128/(1+Einstellungen!$B$10),2)))</f>
        <v/>
      </c>
      <c r="P128" s="35" t="str">
        <f aca="false">IF(F128="","",IF(K128="",IF(N128&gt;90,"an Lager &gt;90 Tage!","an Lager"),"verkauft"))</f>
        <v/>
      </c>
    </row>
    <row r="129" customFormat="false" ht="15" hidden="false" customHeight="false" outlineLevel="0" collapsed="false">
      <c r="A129" s="32"/>
      <c r="B129" s="32"/>
      <c r="C129" s="32"/>
      <c r="D129" s="33"/>
      <c r="E129" s="32"/>
      <c r="F129" s="30"/>
      <c r="G129" s="30"/>
      <c r="H129" s="30"/>
      <c r="I129" s="31" t="str">
        <f aca="false">IF(F129="","",F129+G129+H129)</f>
        <v/>
      </c>
      <c r="J129" s="33"/>
      <c r="K129" s="30"/>
      <c r="L129" s="31" t="str">
        <f aca="false">IF(OR(K129="",F129=""),"",K129-I129)</f>
        <v/>
      </c>
      <c r="M129" s="34" t="str">
        <f aca="false">IF(L129="","",L129/K129)</f>
        <v/>
      </c>
      <c r="N129" s="43" t="str">
        <f aca="true">IF(D129="","",IF(J129="",TODAY()-D129,J129-D129))</f>
        <v/>
      </c>
      <c r="O129" s="31" t="str">
        <f aca="false">IF(L129="","",IF(L129&lt;=0,0,ROUND(L129-L129/(1+Einstellungen!$B$10),2)))</f>
        <v/>
      </c>
      <c r="P129" s="35" t="str">
        <f aca="false">IF(F129="","",IF(K129="",IF(N129&gt;90,"an Lager &gt;90 Tage!","an Lager"),"verkauft"))</f>
        <v/>
      </c>
    </row>
    <row r="130" customFormat="false" ht="15" hidden="false" customHeight="false" outlineLevel="0" collapsed="false">
      <c r="A130" s="32"/>
      <c r="B130" s="32"/>
      <c r="C130" s="32"/>
      <c r="D130" s="33"/>
      <c r="E130" s="32"/>
      <c r="F130" s="30"/>
      <c r="G130" s="30"/>
      <c r="H130" s="30"/>
      <c r="I130" s="31" t="str">
        <f aca="false">IF(F130="","",F130+G130+H130)</f>
        <v/>
      </c>
      <c r="J130" s="33"/>
      <c r="K130" s="30"/>
      <c r="L130" s="31" t="str">
        <f aca="false">IF(OR(K130="",F130=""),"",K130-I130)</f>
        <v/>
      </c>
      <c r="M130" s="34" t="str">
        <f aca="false">IF(L130="","",L130/K130)</f>
        <v/>
      </c>
      <c r="N130" s="43" t="str">
        <f aca="true">IF(D130="","",IF(J130="",TODAY()-D130,J130-D130))</f>
        <v/>
      </c>
      <c r="O130" s="31" t="str">
        <f aca="false">IF(L130="","",IF(L130&lt;=0,0,ROUND(L130-L130/(1+Einstellungen!$B$10),2)))</f>
        <v/>
      </c>
      <c r="P130" s="35" t="str">
        <f aca="false">IF(F130="","",IF(K130="",IF(N130&gt;90,"an Lager &gt;90 Tage!","an Lager"),"verkauft"))</f>
        <v/>
      </c>
    </row>
    <row r="131" customFormat="false" ht="15" hidden="false" customHeight="false" outlineLevel="0" collapsed="false">
      <c r="A131" s="32"/>
      <c r="B131" s="32"/>
      <c r="C131" s="32"/>
      <c r="D131" s="33"/>
      <c r="E131" s="32"/>
      <c r="F131" s="30"/>
      <c r="G131" s="30"/>
      <c r="H131" s="30"/>
      <c r="I131" s="31" t="str">
        <f aca="false">IF(F131="","",F131+G131+H131)</f>
        <v/>
      </c>
      <c r="J131" s="33"/>
      <c r="K131" s="30"/>
      <c r="L131" s="31" t="str">
        <f aca="false">IF(OR(K131="",F131=""),"",K131-I131)</f>
        <v/>
      </c>
      <c r="M131" s="34" t="str">
        <f aca="false">IF(L131="","",L131/K131)</f>
        <v/>
      </c>
      <c r="N131" s="43" t="str">
        <f aca="true">IF(D131="","",IF(J131="",TODAY()-D131,J131-D131))</f>
        <v/>
      </c>
      <c r="O131" s="31" t="str">
        <f aca="false">IF(L131="","",IF(L131&lt;=0,0,ROUND(L131-L131/(1+Einstellungen!$B$10),2)))</f>
        <v/>
      </c>
      <c r="P131" s="35" t="str">
        <f aca="false">IF(F131="","",IF(K131="",IF(N131&gt;90,"an Lager &gt;90 Tage!","an Lager"),"verkauft"))</f>
        <v/>
      </c>
    </row>
    <row r="132" customFormat="false" ht="15" hidden="false" customHeight="false" outlineLevel="0" collapsed="false">
      <c r="A132" s="32"/>
      <c r="B132" s="32"/>
      <c r="C132" s="32"/>
      <c r="D132" s="33"/>
      <c r="E132" s="32"/>
      <c r="F132" s="30"/>
      <c r="G132" s="30"/>
      <c r="H132" s="30"/>
      <c r="I132" s="31" t="str">
        <f aca="false">IF(F132="","",F132+G132+H132)</f>
        <v/>
      </c>
      <c r="J132" s="33"/>
      <c r="K132" s="30"/>
      <c r="L132" s="31" t="str">
        <f aca="false">IF(OR(K132="",F132=""),"",K132-I132)</f>
        <v/>
      </c>
      <c r="M132" s="34" t="str">
        <f aca="false">IF(L132="","",L132/K132)</f>
        <v/>
      </c>
      <c r="N132" s="43" t="str">
        <f aca="true">IF(D132="","",IF(J132="",TODAY()-D132,J132-D132))</f>
        <v/>
      </c>
      <c r="O132" s="31" t="str">
        <f aca="false">IF(L132="","",IF(L132&lt;=0,0,ROUND(L132-L132/(1+Einstellungen!$B$10),2)))</f>
        <v/>
      </c>
      <c r="P132" s="35" t="str">
        <f aca="false">IF(F132="","",IF(K132="",IF(N132&gt;90,"an Lager &gt;90 Tage!","an Lager"),"verkauft"))</f>
        <v/>
      </c>
    </row>
    <row r="133" customFormat="false" ht="15" hidden="false" customHeight="false" outlineLevel="0" collapsed="false">
      <c r="A133" s="32"/>
      <c r="B133" s="32"/>
      <c r="C133" s="32"/>
      <c r="D133" s="33"/>
      <c r="E133" s="32"/>
      <c r="F133" s="30"/>
      <c r="G133" s="30"/>
      <c r="H133" s="30"/>
      <c r="I133" s="31" t="str">
        <f aca="false">IF(F133="","",F133+G133+H133)</f>
        <v/>
      </c>
      <c r="J133" s="33"/>
      <c r="K133" s="30"/>
      <c r="L133" s="31" t="str">
        <f aca="false">IF(OR(K133="",F133=""),"",K133-I133)</f>
        <v/>
      </c>
      <c r="M133" s="34" t="str">
        <f aca="false">IF(L133="","",L133/K133)</f>
        <v/>
      </c>
      <c r="N133" s="43" t="str">
        <f aca="true">IF(D133="","",IF(J133="",TODAY()-D133,J133-D133))</f>
        <v/>
      </c>
      <c r="O133" s="31" t="str">
        <f aca="false">IF(L133="","",IF(L133&lt;=0,0,ROUND(L133-L133/(1+Einstellungen!$B$10),2)))</f>
        <v/>
      </c>
      <c r="P133" s="35" t="str">
        <f aca="false">IF(F133="","",IF(K133="",IF(N133&gt;90,"an Lager &gt;90 Tage!","an Lager"),"verkauft"))</f>
        <v/>
      </c>
    </row>
    <row r="134" customFormat="false" ht="15" hidden="false" customHeight="false" outlineLevel="0" collapsed="false">
      <c r="A134" s="32"/>
      <c r="B134" s="32"/>
      <c r="C134" s="32"/>
      <c r="D134" s="33"/>
      <c r="E134" s="32"/>
      <c r="F134" s="30"/>
      <c r="G134" s="30"/>
      <c r="H134" s="30"/>
      <c r="I134" s="31" t="str">
        <f aca="false">IF(F134="","",F134+G134+H134)</f>
        <v/>
      </c>
      <c r="J134" s="33"/>
      <c r="K134" s="30"/>
      <c r="L134" s="31" t="str">
        <f aca="false">IF(OR(K134="",F134=""),"",K134-I134)</f>
        <v/>
      </c>
      <c r="M134" s="34" t="str">
        <f aca="false">IF(L134="","",L134/K134)</f>
        <v/>
      </c>
      <c r="N134" s="43" t="str">
        <f aca="true">IF(D134="","",IF(J134="",TODAY()-D134,J134-D134))</f>
        <v/>
      </c>
      <c r="O134" s="31" t="str">
        <f aca="false">IF(L134="","",IF(L134&lt;=0,0,ROUND(L134-L134/(1+Einstellungen!$B$10),2)))</f>
        <v/>
      </c>
      <c r="P134" s="35" t="str">
        <f aca="false">IF(F134="","",IF(K134="",IF(N134&gt;90,"an Lager &gt;90 Tage!","an Lager"),"verkauft"))</f>
        <v/>
      </c>
    </row>
    <row r="135" customFormat="false" ht="15" hidden="false" customHeight="false" outlineLevel="0" collapsed="false">
      <c r="A135" s="32"/>
      <c r="B135" s="32"/>
      <c r="C135" s="32"/>
      <c r="D135" s="33"/>
      <c r="E135" s="32"/>
      <c r="F135" s="30"/>
      <c r="G135" s="30"/>
      <c r="H135" s="30"/>
      <c r="I135" s="31" t="str">
        <f aca="false">IF(F135="","",F135+G135+H135)</f>
        <v/>
      </c>
      <c r="J135" s="33"/>
      <c r="K135" s="30"/>
      <c r="L135" s="31" t="str">
        <f aca="false">IF(OR(K135="",F135=""),"",K135-I135)</f>
        <v/>
      </c>
      <c r="M135" s="34" t="str">
        <f aca="false">IF(L135="","",L135/K135)</f>
        <v/>
      </c>
      <c r="N135" s="43" t="str">
        <f aca="true">IF(D135="","",IF(J135="",TODAY()-D135,J135-D135))</f>
        <v/>
      </c>
      <c r="O135" s="31" t="str">
        <f aca="false">IF(L135="","",IF(L135&lt;=0,0,ROUND(L135-L135/(1+Einstellungen!$B$10),2)))</f>
        <v/>
      </c>
      <c r="P135" s="35" t="str">
        <f aca="false">IF(F135="","",IF(K135="",IF(N135&gt;90,"an Lager &gt;90 Tage!","an Lager"),"verkauft"))</f>
        <v/>
      </c>
    </row>
    <row r="136" customFormat="false" ht="15" hidden="false" customHeight="false" outlineLevel="0" collapsed="false">
      <c r="A136" s="32"/>
      <c r="B136" s="32"/>
      <c r="C136" s="32"/>
      <c r="D136" s="33"/>
      <c r="E136" s="32"/>
      <c r="F136" s="30"/>
      <c r="G136" s="30"/>
      <c r="H136" s="30"/>
      <c r="I136" s="31" t="str">
        <f aca="false">IF(F136="","",F136+G136+H136)</f>
        <v/>
      </c>
      <c r="J136" s="33"/>
      <c r="K136" s="30"/>
      <c r="L136" s="31" t="str">
        <f aca="false">IF(OR(K136="",F136=""),"",K136-I136)</f>
        <v/>
      </c>
      <c r="M136" s="34" t="str">
        <f aca="false">IF(L136="","",L136/K136)</f>
        <v/>
      </c>
      <c r="N136" s="43" t="str">
        <f aca="true">IF(D136="","",IF(J136="",TODAY()-D136,J136-D136))</f>
        <v/>
      </c>
      <c r="O136" s="31" t="str">
        <f aca="false">IF(L136="","",IF(L136&lt;=0,0,ROUND(L136-L136/(1+Einstellungen!$B$10),2)))</f>
        <v/>
      </c>
      <c r="P136" s="35" t="str">
        <f aca="false">IF(F136="","",IF(K136="",IF(N136&gt;90,"an Lager &gt;90 Tage!","an Lager"),"verkauft"))</f>
        <v/>
      </c>
    </row>
    <row r="137" customFormat="false" ht="15" hidden="false" customHeight="false" outlineLevel="0" collapsed="false">
      <c r="A137" s="32"/>
      <c r="B137" s="32"/>
      <c r="C137" s="32"/>
      <c r="D137" s="33"/>
      <c r="E137" s="32"/>
      <c r="F137" s="30"/>
      <c r="G137" s="30"/>
      <c r="H137" s="30"/>
      <c r="I137" s="31" t="str">
        <f aca="false">IF(F137="","",F137+G137+H137)</f>
        <v/>
      </c>
      <c r="J137" s="33"/>
      <c r="K137" s="30"/>
      <c r="L137" s="31" t="str">
        <f aca="false">IF(OR(K137="",F137=""),"",K137-I137)</f>
        <v/>
      </c>
      <c r="M137" s="34" t="str">
        <f aca="false">IF(L137="","",L137/K137)</f>
        <v/>
      </c>
      <c r="N137" s="43" t="str">
        <f aca="true">IF(D137="","",IF(J137="",TODAY()-D137,J137-D137))</f>
        <v/>
      </c>
      <c r="O137" s="31" t="str">
        <f aca="false">IF(L137="","",IF(L137&lt;=0,0,ROUND(L137-L137/(1+Einstellungen!$B$10),2)))</f>
        <v/>
      </c>
      <c r="P137" s="35" t="str">
        <f aca="false">IF(F137="","",IF(K137="",IF(N137&gt;90,"an Lager &gt;90 Tage!","an Lager"),"verkauft"))</f>
        <v/>
      </c>
    </row>
    <row r="138" customFormat="false" ht="15" hidden="false" customHeight="false" outlineLevel="0" collapsed="false">
      <c r="A138" s="32"/>
      <c r="B138" s="32"/>
      <c r="C138" s="32"/>
      <c r="D138" s="33"/>
      <c r="E138" s="32"/>
      <c r="F138" s="30"/>
      <c r="G138" s="30"/>
      <c r="H138" s="30"/>
      <c r="I138" s="31" t="str">
        <f aca="false">IF(F138="","",F138+G138+H138)</f>
        <v/>
      </c>
      <c r="J138" s="33"/>
      <c r="K138" s="30"/>
      <c r="L138" s="31" t="str">
        <f aca="false">IF(OR(K138="",F138=""),"",K138-I138)</f>
        <v/>
      </c>
      <c r="M138" s="34" t="str">
        <f aca="false">IF(L138="","",L138/K138)</f>
        <v/>
      </c>
      <c r="N138" s="43" t="str">
        <f aca="true">IF(D138="","",IF(J138="",TODAY()-D138,J138-D138))</f>
        <v/>
      </c>
      <c r="O138" s="31" t="str">
        <f aca="false">IF(L138="","",IF(L138&lt;=0,0,ROUND(L138-L138/(1+Einstellungen!$B$10),2)))</f>
        <v/>
      </c>
      <c r="P138" s="35" t="str">
        <f aca="false">IF(F138="","",IF(K138="",IF(N138&gt;90,"an Lager &gt;90 Tage!","an Lager"),"verkauft"))</f>
        <v/>
      </c>
    </row>
    <row r="139" customFormat="false" ht="15" hidden="false" customHeight="false" outlineLevel="0" collapsed="false">
      <c r="A139" s="32"/>
      <c r="B139" s="32"/>
      <c r="C139" s="32"/>
      <c r="D139" s="33"/>
      <c r="E139" s="32"/>
      <c r="F139" s="30"/>
      <c r="G139" s="30"/>
      <c r="H139" s="30"/>
      <c r="I139" s="31" t="str">
        <f aca="false">IF(F139="","",F139+G139+H139)</f>
        <v/>
      </c>
      <c r="J139" s="33"/>
      <c r="K139" s="30"/>
      <c r="L139" s="31" t="str">
        <f aca="false">IF(OR(K139="",F139=""),"",K139-I139)</f>
        <v/>
      </c>
      <c r="M139" s="34" t="str">
        <f aca="false">IF(L139="","",L139/K139)</f>
        <v/>
      </c>
      <c r="N139" s="43" t="str">
        <f aca="true">IF(D139="","",IF(J139="",TODAY()-D139,J139-D139))</f>
        <v/>
      </c>
      <c r="O139" s="31" t="str">
        <f aca="false">IF(L139="","",IF(L139&lt;=0,0,ROUND(L139-L139/(1+Einstellungen!$B$10),2)))</f>
        <v/>
      </c>
      <c r="P139" s="35" t="str">
        <f aca="false">IF(F139="","",IF(K139="",IF(N139&gt;90,"an Lager &gt;90 Tage!","an Lager"),"verkauft"))</f>
        <v/>
      </c>
    </row>
    <row r="140" customFormat="false" ht="15" hidden="false" customHeight="false" outlineLevel="0" collapsed="false">
      <c r="A140" s="32"/>
      <c r="B140" s="32"/>
      <c r="C140" s="32"/>
      <c r="D140" s="33"/>
      <c r="E140" s="32"/>
      <c r="F140" s="30"/>
      <c r="G140" s="30"/>
      <c r="H140" s="30"/>
      <c r="I140" s="31" t="str">
        <f aca="false">IF(F140="","",F140+G140+H140)</f>
        <v/>
      </c>
      <c r="J140" s="33"/>
      <c r="K140" s="30"/>
      <c r="L140" s="31" t="str">
        <f aca="false">IF(OR(K140="",F140=""),"",K140-I140)</f>
        <v/>
      </c>
      <c r="M140" s="34" t="str">
        <f aca="false">IF(L140="","",L140/K140)</f>
        <v/>
      </c>
      <c r="N140" s="43" t="str">
        <f aca="true">IF(D140="","",IF(J140="",TODAY()-D140,J140-D140))</f>
        <v/>
      </c>
      <c r="O140" s="31" t="str">
        <f aca="false">IF(L140="","",IF(L140&lt;=0,0,ROUND(L140-L140/(1+Einstellungen!$B$10),2)))</f>
        <v/>
      </c>
      <c r="P140" s="35" t="str">
        <f aca="false">IF(F140="","",IF(K140="",IF(N140&gt;90,"an Lager &gt;90 Tage!","an Lager"),"verkauft"))</f>
        <v/>
      </c>
    </row>
    <row r="141" customFormat="false" ht="15" hidden="false" customHeight="false" outlineLevel="0" collapsed="false">
      <c r="A141" s="32"/>
      <c r="B141" s="32"/>
      <c r="C141" s="32"/>
      <c r="D141" s="33"/>
      <c r="E141" s="32"/>
      <c r="F141" s="30"/>
      <c r="G141" s="30"/>
      <c r="H141" s="30"/>
      <c r="I141" s="31" t="str">
        <f aca="false">IF(F141="","",F141+G141+H141)</f>
        <v/>
      </c>
      <c r="J141" s="33"/>
      <c r="K141" s="30"/>
      <c r="L141" s="31" t="str">
        <f aca="false">IF(OR(K141="",F141=""),"",K141-I141)</f>
        <v/>
      </c>
      <c r="M141" s="34" t="str">
        <f aca="false">IF(L141="","",L141/K141)</f>
        <v/>
      </c>
      <c r="N141" s="43" t="str">
        <f aca="true">IF(D141="","",IF(J141="",TODAY()-D141,J141-D141))</f>
        <v/>
      </c>
      <c r="O141" s="31" t="str">
        <f aca="false">IF(L141="","",IF(L141&lt;=0,0,ROUND(L141-L141/(1+Einstellungen!$B$10),2)))</f>
        <v/>
      </c>
      <c r="P141" s="35" t="str">
        <f aca="false">IF(F141="","",IF(K141="",IF(N141&gt;90,"an Lager &gt;90 Tage!","an Lager"),"verkauft"))</f>
        <v/>
      </c>
    </row>
    <row r="142" customFormat="false" ht="15" hidden="false" customHeight="false" outlineLevel="0" collapsed="false">
      <c r="A142" s="32"/>
      <c r="B142" s="32"/>
      <c r="C142" s="32"/>
      <c r="D142" s="33"/>
      <c r="E142" s="32"/>
      <c r="F142" s="30"/>
      <c r="G142" s="30"/>
      <c r="H142" s="30"/>
      <c r="I142" s="31" t="str">
        <f aca="false">IF(F142="","",F142+G142+H142)</f>
        <v/>
      </c>
      <c r="J142" s="33"/>
      <c r="K142" s="30"/>
      <c r="L142" s="31" t="str">
        <f aca="false">IF(OR(K142="",F142=""),"",K142-I142)</f>
        <v/>
      </c>
      <c r="M142" s="34" t="str">
        <f aca="false">IF(L142="","",L142/K142)</f>
        <v/>
      </c>
      <c r="N142" s="43" t="str">
        <f aca="true">IF(D142="","",IF(J142="",TODAY()-D142,J142-D142))</f>
        <v/>
      </c>
      <c r="O142" s="31" t="str">
        <f aca="false">IF(L142="","",IF(L142&lt;=0,0,ROUND(L142-L142/(1+Einstellungen!$B$10),2)))</f>
        <v/>
      </c>
      <c r="P142" s="35" t="str">
        <f aca="false">IF(F142="","",IF(K142="",IF(N142&gt;90,"an Lager &gt;90 Tage!","an Lager"),"verkauft"))</f>
        <v/>
      </c>
    </row>
    <row r="143" customFormat="false" ht="15" hidden="false" customHeight="false" outlineLevel="0" collapsed="false">
      <c r="A143" s="32"/>
      <c r="B143" s="32"/>
      <c r="C143" s="32"/>
      <c r="D143" s="33"/>
      <c r="E143" s="32"/>
      <c r="F143" s="30"/>
      <c r="G143" s="30"/>
      <c r="H143" s="30"/>
      <c r="I143" s="31" t="str">
        <f aca="false">IF(F143="","",F143+G143+H143)</f>
        <v/>
      </c>
      <c r="J143" s="33"/>
      <c r="K143" s="30"/>
      <c r="L143" s="31" t="str">
        <f aca="false">IF(OR(K143="",F143=""),"",K143-I143)</f>
        <v/>
      </c>
      <c r="M143" s="34" t="str">
        <f aca="false">IF(L143="","",L143/K143)</f>
        <v/>
      </c>
      <c r="N143" s="43" t="str">
        <f aca="true">IF(D143="","",IF(J143="",TODAY()-D143,J143-D143))</f>
        <v/>
      </c>
      <c r="O143" s="31" t="str">
        <f aca="false">IF(L143="","",IF(L143&lt;=0,0,ROUND(L143-L143/(1+Einstellungen!$B$10),2)))</f>
        <v/>
      </c>
      <c r="P143" s="35" t="str">
        <f aca="false">IF(F143="","",IF(K143="",IF(N143&gt;90,"an Lager &gt;90 Tage!","an Lager"),"verkauft"))</f>
        <v/>
      </c>
    </row>
    <row r="144" customFormat="false" ht="15" hidden="false" customHeight="false" outlineLevel="0" collapsed="false">
      <c r="A144" s="32"/>
      <c r="B144" s="32"/>
      <c r="C144" s="32"/>
      <c r="D144" s="33"/>
      <c r="E144" s="32"/>
      <c r="F144" s="30"/>
      <c r="G144" s="30"/>
      <c r="H144" s="30"/>
      <c r="I144" s="31" t="str">
        <f aca="false">IF(F144="","",F144+G144+H144)</f>
        <v/>
      </c>
      <c r="J144" s="33"/>
      <c r="K144" s="30"/>
      <c r="L144" s="31" t="str">
        <f aca="false">IF(OR(K144="",F144=""),"",K144-I144)</f>
        <v/>
      </c>
      <c r="M144" s="34" t="str">
        <f aca="false">IF(L144="","",L144/K144)</f>
        <v/>
      </c>
      <c r="N144" s="43" t="str">
        <f aca="true">IF(D144="","",IF(J144="",TODAY()-D144,J144-D144))</f>
        <v/>
      </c>
      <c r="O144" s="31" t="str">
        <f aca="false">IF(L144="","",IF(L144&lt;=0,0,ROUND(L144-L144/(1+Einstellungen!$B$10),2)))</f>
        <v/>
      </c>
      <c r="P144" s="35" t="str">
        <f aca="false">IF(F144="","",IF(K144="",IF(N144&gt;90,"an Lager &gt;90 Tage!","an Lager"),"verkauft"))</f>
        <v/>
      </c>
    </row>
    <row r="145" customFormat="false" ht="15" hidden="false" customHeight="false" outlineLevel="0" collapsed="false">
      <c r="A145" s="32"/>
      <c r="B145" s="32"/>
      <c r="C145" s="32"/>
      <c r="D145" s="33"/>
      <c r="E145" s="32"/>
      <c r="F145" s="30"/>
      <c r="G145" s="30"/>
      <c r="H145" s="30"/>
      <c r="I145" s="31" t="str">
        <f aca="false">IF(F145="","",F145+G145+H145)</f>
        <v/>
      </c>
      <c r="J145" s="33"/>
      <c r="K145" s="30"/>
      <c r="L145" s="31" t="str">
        <f aca="false">IF(OR(K145="",F145=""),"",K145-I145)</f>
        <v/>
      </c>
      <c r="M145" s="34" t="str">
        <f aca="false">IF(L145="","",L145/K145)</f>
        <v/>
      </c>
      <c r="N145" s="43" t="str">
        <f aca="true">IF(D145="","",IF(J145="",TODAY()-D145,J145-D145))</f>
        <v/>
      </c>
      <c r="O145" s="31" t="str">
        <f aca="false">IF(L145="","",IF(L145&lt;=0,0,ROUND(L145-L145/(1+Einstellungen!$B$10),2)))</f>
        <v/>
      </c>
      <c r="P145" s="35" t="str">
        <f aca="false">IF(F145="","",IF(K145="",IF(N145&gt;90,"an Lager &gt;90 Tage!","an Lager"),"verkauft"))</f>
        <v/>
      </c>
    </row>
    <row r="146" customFormat="false" ht="15" hidden="false" customHeight="false" outlineLevel="0" collapsed="false">
      <c r="A146" s="32"/>
      <c r="B146" s="32"/>
      <c r="C146" s="32"/>
      <c r="D146" s="33"/>
      <c r="E146" s="32"/>
      <c r="F146" s="30"/>
      <c r="G146" s="30"/>
      <c r="H146" s="30"/>
      <c r="I146" s="31" t="str">
        <f aca="false">IF(F146="","",F146+G146+H146)</f>
        <v/>
      </c>
      <c r="J146" s="33"/>
      <c r="K146" s="30"/>
      <c r="L146" s="31" t="str">
        <f aca="false">IF(OR(K146="",F146=""),"",K146-I146)</f>
        <v/>
      </c>
      <c r="M146" s="34" t="str">
        <f aca="false">IF(L146="","",L146/K146)</f>
        <v/>
      </c>
      <c r="N146" s="43" t="str">
        <f aca="true">IF(D146="","",IF(J146="",TODAY()-D146,J146-D146))</f>
        <v/>
      </c>
      <c r="O146" s="31" t="str">
        <f aca="false">IF(L146="","",IF(L146&lt;=0,0,ROUND(L146-L146/(1+Einstellungen!$B$10),2)))</f>
        <v/>
      </c>
      <c r="P146" s="35" t="str">
        <f aca="false">IF(F146="","",IF(K146="",IF(N146&gt;90,"an Lager &gt;90 Tage!","an Lager"),"verkauft"))</f>
        <v/>
      </c>
    </row>
    <row r="147" customFormat="false" ht="15" hidden="false" customHeight="false" outlineLevel="0" collapsed="false">
      <c r="A147" s="32"/>
      <c r="B147" s="32"/>
      <c r="C147" s="32"/>
      <c r="D147" s="33"/>
      <c r="E147" s="32"/>
      <c r="F147" s="30"/>
      <c r="G147" s="30"/>
      <c r="H147" s="30"/>
      <c r="I147" s="31" t="str">
        <f aca="false">IF(F147="","",F147+G147+H147)</f>
        <v/>
      </c>
      <c r="J147" s="33"/>
      <c r="K147" s="30"/>
      <c r="L147" s="31" t="str">
        <f aca="false">IF(OR(K147="",F147=""),"",K147-I147)</f>
        <v/>
      </c>
      <c r="M147" s="34" t="str">
        <f aca="false">IF(L147="","",L147/K147)</f>
        <v/>
      </c>
      <c r="N147" s="43" t="str">
        <f aca="true">IF(D147="","",IF(J147="",TODAY()-D147,J147-D147))</f>
        <v/>
      </c>
      <c r="O147" s="31" t="str">
        <f aca="false">IF(L147="","",IF(L147&lt;=0,0,ROUND(L147-L147/(1+Einstellungen!$B$10),2)))</f>
        <v/>
      </c>
      <c r="P147" s="35" t="str">
        <f aca="false">IF(F147="","",IF(K147="",IF(N147&gt;90,"an Lager &gt;90 Tage!","an Lager"),"verkauft"))</f>
        <v/>
      </c>
    </row>
    <row r="148" customFormat="false" ht="15" hidden="false" customHeight="false" outlineLevel="0" collapsed="false">
      <c r="A148" s="32"/>
      <c r="B148" s="32"/>
      <c r="C148" s="32"/>
      <c r="D148" s="33"/>
      <c r="E148" s="32"/>
      <c r="F148" s="30"/>
      <c r="G148" s="30"/>
      <c r="H148" s="30"/>
      <c r="I148" s="31" t="str">
        <f aca="false">IF(F148="","",F148+G148+H148)</f>
        <v/>
      </c>
      <c r="J148" s="33"/>
      <c r="K148" s="30"/>
      <c r="L148" s="31" t="str">
        <f aca="false">IF(OR(K148="",F148=""),"",K148-I148)</f>
        <v/>
      </c>
      <c r="M148" s="34" t="str">
        <f aca="false">IF(L148="","",L148/K148)</f>
        <v/>
      </c>
      <c r="N148" s="43" t="str">
        <f aca="true">IF(D148="","",IF(J148="",TODAY()-D148,J148-D148))</f>
        <v/>
      </c>
      <c r="O148" s="31" t="str">
        <f aca="false">IF(L148="","",IF(L148&lt;=0,0,ROUND(L148-L148/(1+Einstellungen!$B$10),2)))</f>
        <v/>
      </c>
      <c r="P148" s="35" t="str">
        <f aca="false">IF(F148="","",IF(K148="",IF(N148&gt;90,"an Lager &gt;90 Tage!","an Lager"),"verkauft"))</f>
        <v/>
      </c>
    </row>
    <row r="149" customFormat="false" ht="15" hidden="false" customHeight="false" outlineLevel="0" collapsed="false">
      <c r="A149" s="32"/>
      <c r="B149" s="32"/>
      <c r="C149" s="32"/>
      <c r="D149" s="33"/>
      <c r="E149" s="32"/>
      <c r="F149" s="30"/>
      <c r="G149" s="30"/>
      <c r="H149" s="30"/>
      <c r="I149" s="31" t="str">
        <f aca="false">IF(F149="","",F149+G149+H149)</f>
        <v/>
      </c>
      <c r="J149" s="33"/>
      <c r="K149" s="30"/>
      <c r="L149" s="31" t="str">
        <f aca="false">IF(OR(K149="",F149=""),"",K149-I149)</f>
        <v/>
      </c>
      <c r="M149" s="34" t="str">
        <f aca="false">IF(L149="","",L149/K149)</f>
        <v/>
      </c>
      <c r="N149" s="43" t="str">
        <f aca="true">IF(D149="","",IF(J149="",TODAY()-D149,J149-D149))</f>
        <v/>
      </c>
      <c r="O149" s="31" t="str">
        <f aca="false">IF(L149="","",IF(L149&lt;=0,0,ROUND(L149-L149/(1+Einstellungen!$B$10),2)))</f>
        <v/>
      </c>
      <c r="P149" s="35" t="str">
        <f aca="false">IF(F149="","",IF(K149="",IF(N149&gt;90,"an Lager &gt;90 Tage!","an Lager"),"verkauft"))</f>
        <v/>
      </c>
    </row>
    <row r="150" customFormat="false" ht="15" hidden="false" customHeight="false" outlineLevel="0" collapsed="false">
      <c r="A150" s="32"/>
      <c r="B150" s="32"/>
      <c r="C150" s="32"/>
      <c r="D150" s="33"/>
      <c r="E150" s="32"/>
      <c r="F150" s="30"/>
      <c r="G150" s="30"/>
      <c r="H150" s="30"/>
      <c r="I150" s="31" t="str">
        <f aca="false">IF(F150="","",F150+G150+H150)</f>
        <v/>
      </c>
      <c r="J150" s="33"/>
      <c r="K150" s="30"/>
      <c r="L150" s="31" t="str">
        <f aca="false">IF(OR(K150="",F150=""),"",K150-I150)</f>
        <v/>
      </c>
      <c r="M150" s="34" t="str">
        <f aca="false">IF(L150="","",L150/K150)</f>
        <v/>
      </c>
      <c r="N150" s="43" t="str">
        <f aca="true">IF(D150="","",IF(J150="",TODAY()-D150,J150-D150))</f>
        <v/>
      </c>
      <c r="O150" s="31" t="str">
        <f aca="false">IF(L150="","",IF(L150&lt;=0,0,ROUND(L150-L150/(1+Einstellungen!$B$10),2)))</f>
        <v/>
      </c>
      <c r="P150" s="35" t="str">
        <f aca="false">IF(F150="","",IF(K150="",IF(N150&gt;90,"an Lager &gt;90 Tage!","an Lager"),"verkauft"))</f>
        <v/>
      </c>
    </row>
    <row r="151" customFormat="false" ht="15" hidden="false" customHeight="false" outlineLevel="0" collapsed="false">
      <c r="A151" s="32"/>
      <c r="B151" s="32"/>
      <c r="C151" s="32"/>
      <c r="D151" s="33"/>
      <c r="E151" s="32"/>
      <c r="F151" s="30"/>
      <c r="G151" s="30"/>
      <c r="H151" s="30"/>
      <c r="I151" s="31" t="str">
        <f aca="false">IF(F151="","",F151+G151+H151)</f>
        <v/>
      </c>
      <c r="J151" s="33"/>
      <c r="K151" s="30"/>
      <c r="L151" s="31" t="str">
        <f aca="false">IF(OR(K151="",F151=""),"",K151-I151)</f>
        <v/>
      </c>
      <c r="M151" s="34" t="str">
        <f aca="false">IF(L151="","",L151/K151)</f>
        <v/>
      </c>
      <c r="N151" s="43" t="str">
        <f aca="true">IF(D151="","",IF(J151="",TODAY()-D151,J151-D151))</f>
        <v/>
      </c>
      <c r="O151" s="31" t="str">
        <f aca="false">IF(L151="","",IF(L151&lt;=0,0,ROUND(L151-L151/(1+Einstellungen!$B$10),2)))</f>
        <v/>
      </c>
      <c r="P151" s="35" t="str">
        <f aca="false">IF(F151="","",IF(K151="",IF(N151&gt;90,"an Lager &gt;90 Tage!","an Lager"),"verkauft"))</f>
        <v/>
      </c>
    </row>
    <row r="152" customFormat="false" ht="15" hidden="false" customHeight="false" outlineLevel="0" collapsed="false">
      <c r="A152" s="32"/>
      <c r="B152" s="32"/>
      <c r="C152" s="32"/>
      <c r="D152" s="33"/>
      <c r="E152" s="32"/>
      <c r="F152" s="30"/>
      <c r="G152" s="30"/>
      <c r="H152" s="30"/>
      <c r="I152" s="31" t="str">
        <f aca="false">IF(F152="","",F152+G152+H152)</f>
        <v/>
      </c>
      <c r="J152" s="33"/>
      <c r="K152" s="30"/>
      <c r="L152" s="31" t="str">
        <f aca="false">IF(OR(K152="",F152=""),"",K152-I152)</f>
        <v/>
      </c>
      <c r="M152" s="34" t="str">
        <f aca="false">IF(L152="","",L152/K152)</f>
        <v/>
      </c>
      <c r="N152" s="43" t="str">
        <f aca="true">IF(D152="","",IF(J152="",TODAY()-D152,J152-D152))</f>
        <v/>
      </c>
      <c r="O152" s="31" t="str">
        <f aca="false">IF(L152="","",IF(L152&lt;=0,0,ROUND(L152-L152/(1+Einstellungen!$B$10),2)))</f>
        <v/>
      </c>
      <c r="P152" s="35" t="str">
        <f aca="false">IF(F152="","",IF(K152="",IF(N152&gt;90,"an Lager &gt;90 Tage!","an Lager"),"verkauft"))</f>
        <v/>
      </c>
    </row>
    <row r="153" customFormat="false" ht="15" hidden="false" customHeight="false" outlineLevel="0" collapsed="false">
      <c r="A153" s="32"/>
      <c r="B153" s="32"/>
      <c r="C153" s="32"/>
      <c r="D153" s="33"/>
      <c r="E153" s="32"/>
      <c r="F153" s="30"/>
      <c r="G153" s="30"/>
      <c r="H153" s="30"/>
      <c r="I153" s="31" t="str">
        <f aca="false">IF(F153="","",F153+G153+H153)</f>
        <v/>
      </c>
      <c r="J153" s="33"/>
      <c r="K153" s="30"/>
      <c r="L153" s="31" t="str">
        <f aca="false">IF(OR(K153="",F153=""),"",K153-I153)</f>
        <v/>
      </c>
      <c r="M153" s="34" t="str">
        <f aca="false">IF(L153="","",L153/K153)</f>
        <v/>
      </c>
      <c r="N153" s="43" t="str">
        <f aca="true">IF(D153="","",IF(J153="",TODAY()-D153,J153-D153))</f>
        <v/>
      </c>
      <c r="O153" s="31" t="str">
        <f aca="false">IF(L153="","",IF(L153&lt;=0,0,ROUND(L153-L153/(1+Einstellungen!$B$10),2)))</f>
        <v/>
      </c>
      <c r="P153" s="35" t="str">
        <f aca="false">IF(F153="","",IF(K153="",IF(N153&gt;90,"an Lager &gt;90 Tage!","an Lager"),"verkauft"))</f>
        <v/>
      </c>
    </row>
    <row r="154" customFormat="false" ht="15" hidden="false" customHeight="false" outlineLevel="0" collapsed="false">
      <c r="A154" s="32"/>
      <c r="B154" s="32"/>
      <c r="C154" s="32"/>
      <c r="D154" s="33"/>
      <c r="E154" s="32"/>
      <c r="F154" s="30"/>
      <c r="G154" s="30"/>
      <c r="H154" s="30"/>
      <c r="I154" s="31" t="str">
        <f aca="false">IF(F154="","",F154+G154+H154)</f>
        <v/>
      </c>
      <c r="J154" s="33"/>
      <c r="K154" s="30"/>
      <c r="L154" s="31" t="str">
        <f aca="false">IF(OR(K154="",F154=""),"",K154-I154)</f>
        <v/>
      </c>
      <c r="M154" s="34" t="str">
        <f aca="false">IF(L154="","",L154/K154)</f>
        <v/>
      </c>
      <c r="N154" s="43" t="str">
        <f aca="true">IF(D154="","",IF(J154="",TODAY()-D154,J154-D154))</f>
        <v/>
      </c>
      <c r="O154" s="31" t="str">
        <f aca="false">IF(L154="","",IF(L154&lt;=0,0,ROUND(L154-L154/(1+Einstellungen!$B$10),2)))</f>
        <v/>
      </c>
      <c r="P154" s="35" t="str">
        <f aca="false">IF(F154="","",IF(K154="",IF(N154&gt;90,"an Lager &gt;90 Tage!","an Lager"),"verkauft"))</f>
        <v/>
      </c>
    </row>
    <row r="155" customFormat="false" ht="15" hidden="false" customHeight="false" outlineLevel="0" collapsed="false">
      <c r="A155" s="32"/>
      <c r="B155" s="32"/>
      <c r="C155" s="32"/>
      <c r="D155" s="33"/>
      <c r="E155" s="32"/>
      <c r="F155" s="30"/>
      <c r="G155" s="30"/>
      <c r="H155" s="30"/>
      <c r="I155" s="31" t="str">
        <f aca="false">IF(F155="","",F155+G155+H155)</f>
        <v/>
      </c>
      <c r="J155" s="33"/>
      <c r="K155" s="30"/>
      <c r="L155" s="31" t="str">
        <f aca="false">IF(OR(K155="",F155=""),"",K155-I155)</f>
        <v/>
      </c>
      <c r="M155" s="34" t="str">
        <f aca="false">IF(L155="","",L155/K155)</f>
        <v/>
      </c>
      <c r="N155" s="43" t="str">
        <f aca="true">IF(D155="","",IF(J155="",TODAY()-D155,J155-D155))</f>
        <v/>
      </c>
      <c r="O155" s="31" t="str">
        <f aca="false">IF(L155="","",IF(L155&lt;=0,0,ROUND(L155-L155/(1+Einstellungen!$B$10),2)))</f>
        <v/>
      </c>
      <c r="P155" s="35" t="str">
        <f aca="false">IF(F155="","",IF(K155="",IF(N155&gt;90,"an Lager &gt;90 Tage!","an Lager"),"verkauft"))</f>
        <v/>
      </c>
    </row>
    <row r="156" customFormat="false" ht="15" hidden="false" customHeight="false" outlineLevel="0" collapsed="false">
      <c r="A156" s="32"/>
      <c r="B156" s="32"/>
      <c r="C156" s="32"/>
      <c r="D156" s="33"/>
      <c r="E156" s="32"/>
      <c r="F156" s="30"/>
      <c r="G156" s="30"/>
      <c r="H156" s="30"/>
      <c r="I156" s="31" t="str">
        <f aca="false">IF(F156="","",F156+G156+H156)</f>
        <v/>
      </c>
      <c r="J156" s="33"/>
      <c r="K156" s="30"/>
      <c r="L156" s="31" t="str">
        <f aca="false">IF(OR(K156="",F156=""),"",K156-I156)</f>
        <v/>
      </c>
      <c r="M156" s="34" t="str">
        <f aca="false">IF(L156="","",L156/K156)</f>
        <v/>
      </c>
      <c r="N156" s="43" t="str">
        <f aca="true">IF(D156="","",IF(J156="",TODAY()-D156,J156-D156))</f>
        <v/>
      </c>
      <c r="O156" s="31" t="str">
        <f aca="false">IF(L156="","",IF(L156&lt;=0,0,ROUND(L156-L156/(1+Einstellungen!$B$10),2)))</f>
        <v/>
      </c>
      <c r="P156" s="35" t="str">
        <f aca="false">IF(F156="","",IF(K156="",IF(N156&gt;90,"an Lager &gt;90 Tage!","an Lager"),"verkauft"))</f>
        <v/>
      </c>
    </row>
    <row r="157" customFormat="false" ht="15" hidden="false" customHeight="false" outlineLevel="0" collapsed="false">
      <c r="A157" s="32"/>
      <c r="B157" s="32"/>
      <c r="C157" s="32"/>
      <c r="D157" s="33"/>
      <c r="E157" s="32"/>
      <c r="F157" s="30"/>
      <c r="G157" s="30"/>
      <c r="H157" s="30"/>
      <c r="I157" s="31" t="str">
        <f aca="false">IF(F157="","",F157+G157+H157)</f>
        <v/>
      </c>
      <c r="J157" s="33"/>
      <c r="K157" s="30"/>
      <c r="L157" s="31" t="str">
        <f aca="false">IF(OR(K157="",F157=""),"",K157-I157)</f>
        <v/>
      </c>
      <c r="M157" s="34" t="str">
        <f aca="false">IF(L157="","",L157/K157)</f>
        <v/>
      </c>
      <c r="N157" s="43" t="str">
        <f aca="true">IF(D157="","",IF(J157="",TODAY()-D157,J157-D157))</f>
        <v/>
      </c>
      <c r="O157" s="31" t="str">
        <f aca="false">IF(L157="","",IF(L157&lt;=0,0,ROUND(L157-L157/(1+Einstellungen!$B$10),2)))</f>
        <v/>
      </c>
      <c r="P157" s="35" t="str">
        <f aca="false">IF(F157="","",IF(K157="",IF(N157&gt;90,"an Lager &gt;90 Tage!","an Lager"),"verkauft"))</f>
        <v/>
      </c>
    </row>
    <row r="158" customFormat="false" ht="15" hidden="false" customHeight="false" outlineLevel="0" collapsed="false">
      <c r="A158" s="32"/>
      <c r="B158" s="32"/>
      <c r="C158" s="32"/>
      <c r="D158" s="33"/>
      <c r="E158" s="32"/>
      <c r="F158" s="30"/>
      <c r="G158" s="30"/>
      <c r="H158" s="30"/>
      <c r="I158" s="31" t="str">
        <f aca="false">IF(F158="","",F158+G158+H158)</f>
        <v/>
      </c>
      <c r="J158" s="33"/>
      <c r="K158" s="30"/>
      <c r="L158" s="31" t="str">
        <f aca="false">IF(OR(K158="",F158=""),"",K158-I158)</f>
        <v/>
      </c>
      <c r="M158" s="34" t="str">
        <f aca="false">IF(L158="","",L158/K158)</f>
        <v/>
      </c>
      <c r="N158" s="43" t="str">
        <f aca="true">IF(D158="","",IF(J158="",TODAY()-D158,J158-D158))</f>
        <v/>
      </c>
      <c r="O158" s="31" t="str">
        <f aca="false">IF(L158="","",IF(L158&lt;=0,0,ROUND(L158-L158/(1+Einstellungen!$B$10),2)))</f>
        <v/>
      </c>
      <c r="P158" s="35" t="str">
        <f aca="false">IF(F158="","",IF(K158="",IF(N158&gt;90,"an Lager &gt;90 Tage!","an Lager"),"verkauft"))</f>
        <v/>
      </c>
    </row>
    <row r="159" customFormat="false" ht="15" hidden="false" customHeight="false" outlineLevel="0" collapsed="false">
      <c r="A159" s="32"/>
      <c r="B159" s="32"/>
      <c r="C159" s="32"/>
      <c r="D159" s="33"/>
      <c r="E159" s="32"/>
      <c r="F159" s="30"/>
      <c r="G159" s="30"/>
      <c r="H159" s="30"/>
      <c r="I159" s="31" t="str">
        <f aca="false">IF(F159="","",F159+G159+H159)</f>
        <v/>
      </c>
      <c r="J159" s="33"/>
      <c r="K159" s="30"/>
      <c r="L159" s="31" t="str">
        <f aca="false">IF(OR(K159="",F159=""),"",K159-I159)</f>
        <v/>
      </c>
      <c r="M159" s="34" t="str">
        <f aca="false">IF(L159="","",L159/K159)</f>
        <v/>
      </c>
      <c r="N159" s="43" t="str">
        <f aca="true">IF(D159="","",IF(J159="",TODAY()-D159,J159-D159))</f>
        <v/>
      </c>
      <c r="O159" s="31" t="str">
        <f aca="false">IF(L159="","",IF(L159&lt;=0,0,ROUND(L159-L159/(1+Einstellungen!$B$10),2)))</f>
        <v/>
      </c>
      <c r="P159" s="35" t="str">
        <f aca="false">IF(F159="","",IF(K159="",IF(N159&gt;90,"an Lager &gt;90 Tage!","an Lager"),"verkauft"))</f>
        <v/>
      </c>
    </row>
    <row r="160" customFormat="false" ht="15" hidden="false" customHeight="false" outlineLevel="0" collapsed="false">
      <c r="A160" s="32"/>
      <c r="B160" s="32"/>
      <c r="C160" s="32"/>
      <c r="D160" s="33"/>
      <c r="E160" s="32"/>
      <c r="F160" s="30"/>
      <c r="G160" s="30"/>
      <c r="H160" s="30"/>
      <c r="I160" s="31" t="str">
        <f aca="false">IF(F160="","",F160+G160+H160)</f>
        <v/>
      </c>
      <c r="J160" s="33"/>
      <c r="K160" s="30"/>
      <c r="L160" s="31" t="str">
        <f aca="false">IF(OR(K160="",F160=""),"",K160-I160)</f>
        <v/>
      </c>
      <c r="M160" s="34" t="str">
        <f aca="false">IF(L160="","",L160/K160)</f>
        <v/>
      </c>
      <c r="N160" s="43" t="str">
        <f aca="true">IF(D160="","",IF(J160="",TODAY()-D160,J160-D160))</f>
        <v/>
      </c>
      <c r="O160" s="31" t="str">
        <f aca="false">IF(L160="","",IF(L160&lt;=0,0,ROUND(L160-L160/(1+Einstellungen!$B$10),2)))</f>
        <v/>
      </c>
      <c r="P160" s="35" t="str">
        <f aca="false">IF(F160="","",IF(K160="",IF(N160&gt;90,"an Lager &gt;90 Tage!","an Lager"),"verkauft"))</f>
        <v/>
      </c>
    </row>
    <row r="161" customFormat="false" ht="15" hidden="false" customHeight="false" outlineLevel="0" collapsed="false">
      <c r="A161" s="32"/>
      <c r="B161" s="32"/>
      <c r="C161" s="32"/>
      <c r="D161" s="33"/>
      <c r="E161" s="32"/>
      <c r="F161" s="30"/>
      <c r="G161" s="30"/>
      <c r="H161" s="30"/>
      <c r="I161" s="31" t="str">
        <f aca="false">IF(F161="","",F161+G161+H161)</f>
        <v/>
      </c>
      <c r="J161" s="33"/>
      <c r="K161" s="30"/>
      <c r="L161" s="31" t="str">
        <f aca="false">IF(OR(K161="",F161=""),"",K161-I161)</f>
        <v/>
      </c>
      <c r="M161" s="34" t="str">
        <f aca="false">IF(L161="","",L161/K161)</f>
        <v/>
      </c>
      <c r="N161" s="43" t="str">
        <f aca="true">IF(D161="","",IF(J161="",TODAY()-D161,J161-D161))</f>
        <v/>
      </c>
      <c r="O161" s="31" t="str">
        <f aca="false">IF(L161="","",IF(L161&lt;=0,0,ROUND(L161-L161/(1+Einstellungen!$B$10),2)))</f>
        <v/>
      </c>
      <c r="P161" s="35" t="str">
        <f aca="false">IF(F161="","",IF(K161="",IF(N161&gt;90,"an Lager &gt;90 Tage!","an Lager"),"verkauft"))</f>
        <v/>
      </c>
    </row>
    <row r="162" customFormat="false" ht="15" hidden="false" customHeight="false" outlineLevel="0" collapsed="false">
      <c r="A162" s="32"/>
      <c r="B162" s="32"/>
      <c r="C162" s="32"/>
      <c r="D162" s="33"/>
      <c r="E162" s="32"/>
      <c r="F162" s="30"/>
      <c r="G162" s="30"/>
      <c r="H162" s="30"/>
      <c r="I162" s="31" t="str">
        <f aca="false">IF(F162="","",F162+G162+H162)</f>
        <v/>
      </c>
      <c r="J162" s="33"/>
      <c r="K162" s="30"/>
      <c r="L162" s="31" t="str">
        <f aca="false">IF(OR(K162="",F162=""),"",K162-I162)</f>
        <v/>
      </c>
      <c r="M162" s="34" t="str">
        <f aca="false">IF(L162="","",L162/K162)</f>
        <v/>
      </c>
      <c r="N162" s="43" t="str">
        <f aca="true">IF(D162="","",IF(J162="",TODAY()-D162,J162-D162))</f>
        <v/>
      </c>
      <c r="O162" s="31" t="str">
        <f aca="false">IF(L162="","",IF(L162&lt;=0,0,ROUND(L162-L162/(1+Einstellungen!$B$10),2)))</f>
        <v/>
      </c>
      <c r="P162" s="35" t="str">
        <f aca="false">IF(F162="","",IF(K162="",IF(N162&gt;90,"an Lager &gt;90 Tage!","an Lager"),"verkauft"))</f>
        <v/>
      </c>
    </row>
    <row r="163" customFormat="false" ht="15" hidden="false" customHeight="false" outlineLevel="0" collapsed="false">
      <c r="A163" s="32"/>
      <c r="B163" s="32"/>
      <c r="C163" s="32"/>
      <c r="D163" s="33"/>
      <c r="E163" s="32"/>
      <c r="F163" s="30"/>
      <c r="G163" s="30"/>
      <c r="H163" s="30"/>
      <c r="I163" s="31" t="str">
        <f aca="false">IF(F163="","",F163+G163+H163)</f>
        <v/>
      </c>
      <c r="J163" s="33"/>
      <c r="K163" s="30"/>
      <c r="L163" s="31" t="str">
        <f aca="false">IF(OR(K163="",F163=""),"",K163-I163)</f>
        <v/>
      </c>
      <c r="M163" s="34" t="str">
        <f aca="false">IF(L163="","",L163/K163)</f>
        <v/>
      </c>
      <c r="N163" s="43" t="str">
        <f aca="true">IF(D163="","",IF(J163="",TODAY()-D163,J163-D163))</f>
        <v/>
      </c>
      <c r="O163" s="31" t="str">
        <f aca="false">IF(L163="","",IF(L163&lt;=0,0,ROUND(L163-L163/(1+Einstellungen!$B$10),2)))</f>
        <v/>
      </c>
      <c r="P163" s="35" t="str">
        <f aca="false">IF(F163="","",IF(K163="",IF(N163&gt;90,"an Lager &gt;90 Tage!","an Lager"),"verkauft"))</f>
        <v/>
      </c>
    </row>
    <row r="164" customFormat="false" ht="15" hidden="false" customHeight="false" outlineLevel="0" collapsed="false">
      <c r="A164" s="32"/>
      <c r="B164" s="32"/>
      <c r="C164" s="32"/>
      <c r="D164" s="33"/>
      <c r="E164" s="32"/>
      <c r="F164" s="30"/>
      <c r="G164" s="30"/>
      <c r="H164" s="30"/>
      <c r="I164" s="31" t="str">
        <f aca="false">IF(F164="","",F164+G164+H164)</f>
        <v/>
      </c>
      <c r="J164" s="33"/>
      <c r="K164" s="30"/>
      <c r="L164" s="31" t="str">
        <f aca="false">IF(OR(K164="",F164=""),"",K164-I164)</f>
        <v/>
      </c>
      <c r="M164" s="34" t="str">
        <f aca="false">IF(L164="","",L164/K164)</f>
        <v/>
      </c>
      <c r="N164" s="43" t="str">
        <f aca="true">IF(D164="","",IF(J164="",TODAY()-D164,J164-D164))</f>
        <v/>
      </c>
      <c r="O164" s="31" t="str">
        <f aca="false">IF(L164="","",IF(L164&lt;=0,0,ROUND(L164-L164/(1+Einstellungen!$B$10),2)))</f>
        <v/>
      </c>
      <c r="P164" s="35" t="str">
        <f aca="false">IF(F164="","",IF(K164="",IF(N164&gt;90,"an Lager &gt;90 Tage!","an Lager"),"verkauft"))</f>
        <v/>
      </c>
    </row>
    <row r="165" customFormat="false" ht="15" hidden="false" customHeight="false" outlineLevel="0" collapsed="false">
      <c r="A165" s="32"/>
      <c r="B165" s="32"/>
      <c r="C165" s="32"/>
      <c r="D165" s="33"/>
      <c r="E165" s="32"/>
      <c r="F165" s="30"/>
      <c r="G165" s="30"/>
      <c r="H165" s="30"/>
      <c r="I165" s="31" t="str">
        <f aca="false">IF(F165="","",F165+G165+H165)</f>
        <v/>
      </c>
      <c r="J165" s="33"/>
      <c r="K165" s="30"/>
      <c r="L165" s="31" t="str">
        <f aca="false">IF(OR(K165="",F165=""),"",K165-I165)</f>
        <v/>
      </c>
      <c r="M165" s="34" t="str">
        <f aca="false">IF(L165="","",L165/K165)</f>
        <v/>
      </c>
      <c r="N165" s="43" t="str">
        <f aca="true">IF(D165="","",IF(J165="",TODAY()-D165,J165-D165))</f>
        <v/>
      </c>
      <c r="O165" s="31" t="str">
        <f aca="false">IF(L165="","",IF(L165&lt;=0,0,ROUND(L165-L165/(1+Einstellungen!$B$10),2)))</f>
        <v/>
      </c>
      <c r="P165" s="35" t="str">
        <f aca="false">IF(F165="","",IF(K165="",IF(N165&gt;90,"an Lager &gt;90 Tage!","an Lager"),"verkauft"))</f>
        <v/>
      </c>
    </row>
    <row r="166" customFormat="false" ht="15" hidden="false" customHeight="false" outlineLevel="0" collapsed="false">
      <c r="A166" s="32"/>
      <c r="B166" s="32"/>
      <c r="C166" s="32"/>
      <c r="D166" s="33"/>
      <c r="E166" s="32"/>
      <c r="F166" s="30"/>
      <c r="G166" s="30"/>
      <c r="H166" s="30"/>
      <c r="I166" s="31" t="str">
        <f aca="false">IF(F166="","",F166+G166+H166)</f>
        <v/>
      </c>
      <c r="J166" s="33"/>
      <c r="K166" s="30"/>
      <c r="L166" s="31" t="str">
        <f aca="false">IF(OR(K166="",F166=""),"",K166-I166)</f>
        <v/>
      </c>
      <c r="M166" s="34" t="str">
        <f aca="false">IF(L166="","",L166/K166)</f>
        <v/>
      </c>
      <c r="N166" s="43" t="str">
        <f aca="true">IF(D166="","",IF(J166="",TODAY()-D166,J166-D166))</f>
        <v/>
      </c>
      <c r="O166" s="31" t="str">
        <f aca="false">IF(L166="","",IF(L166&lt;=0,0,ROUND(L166-L166/(1+Einstellungen!$B$10),2)))</f>
        <v/>
      </c>
      <c r="P166" s="35" t="str">
        <f aca="false">IF(F166="","",IF(K166="",IF(N166&gt;90,"an Lager &gt;90 Tage!","an Lager"),"verkauft"))</f>
        <v/>
      </c>
    </row>
    <row r="167" customFormat="false" ht="15" hidden="false" customHeight="false" outlineLevel="0" collapsed="false">
      <c r="A167" s="32"/>
      <c r="B167" s="32"/>
      <c r="C167" s="32"/>
      <c r="D167" s="33"/>
      <c r="E167" s="32"/>
      <c r="F167" s="30"/>
      <c r="G167" s="30"/>
      <c r="H167" s="30"/>
      <c r="I167" s="31" t="str">
        <f aca="false">IF(F167="","",F167+G167+H167)</f>
        <v/>
      </c>
      <c r="J167" s="33"/>
      <c r="K167" s="30"/>
      <c r="L167" s="31" t="str">
        <f aca="false">IF(OR(K167="",F167=""),"",K167-I167)</f>
        <v/>
      </c>
      <c r="M167" s="34" t="str">
        <f aca="false">IF(L167="","",L167/K167)</f>
        <v/>
      </c>
      <c r="N167" s="43" t="str">
        <f aca="true">IF(D167="","",IF(J167="",TODAY()-D167,J167-D167))</f>
        <v/>
      </c>
      <c r="O167" s="31" t="str">
        <f aca="false">IF(L167="","",IF(L167&lt;=0,0,ROUND(L167-L167/(1+Einstellungen!$B$10),2)))</f>
        <v/>
      </c>
      <c r="P167" s="35" t="str">
        <f aca="false">IF(F167="","",IF(K167="",IF(N167&gt;90,"an Lager &gt;90 Tage!","an Lager"),"verkauft"))</f>
        <v/>
      </c>
    </row>
    <row r="168" customFormat="false" ht="15" hidden="false" customHeight="false" outlineLevel="0" collapsed="false">
      <c r="A168" s="32"/>
      <c r="B168" s="32"/>
      <c r="C168" s="32"/>
      <c r="D168" s="33"/>
      <c r="E168" s="32"/>
      <c r="F168" s="30"/>
      <c r="G168" s="30"/>
      <c r="H168" s="30"/>
      <c r="I168" s="31" t="str">
        <f aca="false">IF(F168="","",F168+G168+H168)</f>
        <v/>
      </c>
      <c r="J168" s="33"/>
      <c r="K168" s="30"/>
      <c r="L168" s="31" t="str">
        <f aca="false">IF(OR(K168="",F168=""),"",K168-I168)</f>
        <v/>
      </c>
      <c r="M168" s="34" t="str">
        <f aca="false">IF(L168="","",L168/K168)</f>
        <v/>
      </c>
      <c r="N168" s="43" t="str">
        <f aca="true">IF(D168="","",IF(J168="",TODAY()-D168,J168-D168))</f>
        <v/>
      </c>
      <c r="O168" s="31" t="str">
        <f aca="false">IF(L168="","",IF(L168&lt;=0,0,ROUND(L168-L168/(1+Einstellungen!$B$10),2)))</f>
        <v/>
      </c>
      <c r="P168" s="35" t="str">
        <f aca="false">IF(F168="","",IF(K168="",IF(N168&gt;90,"an Lager &gt;90 Tage!","an Lager"),"verkauft"))</f>
        <v/>
      </c>
    </row>
    <row r="169" customFormat="false" ht="15" hidden="false" customHeight="false" outlineLevel="0" collapsed="false">
      <c r="A169" s="32"/>
      <c r="B169" s="32"/>
      <c r="C169" s="32"/>
      <c r="D169" s="33"/>
      <c r="E169" s="32"/>
      <c r="F169" s="30"/>
      <c r="G169" s="30"/>
      <c r="H169" s="30"/>
      <c r="I169" s="31" t="str">
        <f aca="false">IF(F169="","",F169+G169+H169)</f>
        <v/>
      </c>
      <c r="J169" s="33"/>
      <c r="K169" s="30"/>
      <c r="L169" s="31" t="str">
        <f aca="false">IF(OR(K169="",F169=""),"",K169-I169)</f>
        <v/>
      </c>
      <c r="M169" s="34" t="str">
        <f aca="false">IF(L169="","",L169/K169)</f>
        <v/>
      </c>
      <c r="N169" s="43" t="str">
        <f aca="true">IF(D169="","",IF(J169="",TODAY()-D169,J169-D169))</f>
        <v/>
      </c>
      <c r="O169" s="31" t="str">
        <f aca="false">IF(L169="","",IF(L169&lt;=0,0,ROUND(L169-L169/(1+Einstellungen!$B$10),2)))</f>
        <v/>
      </c>
      <c r="P169" s="35" t="str">
        <f aca="false">IF(F169="","",IF(K169="",IF(N169&gt;90,"an Lager &gt;90 Tage!","an Lager"),"verkauft"))</f>
        <v/>
      </c>
    </row>
    <row r="170" customFormat="false" ht="15" hidden="false" customHeight="false" outlineLevel="0" collapsed="false">
      <c r="A170" s="32"/>
      <c r="B170" s="32"/>
      <c r="C170" s="32"/>
      <c r="D170" s="33"/>
      <c r="E170" s="32"/>
      <c r="F170" s="30"/>
      <c r="G170" s="30"/>
      <c r="H170" s="30"/>
      <c r="I170" s="31" t="str">
        <f aca="false">IF(F170="","",F170+G170+H170)</f>
        <v/>
      </c>
      <c r="J170" s="33"/>
      <c r="K170" s="30"/>
      <c r="L170" s="31" t="str">
        <f aca="false">IF(OR(K170="",F170=""),"",K170-I170)</f>
        <v/>
      </c>
      <c r="M170" s="34" t="str">
        <f aca="false">IF(L170="","",L170/K170)</f>
        <v/>
      </c>
      <c r="N170" s="43" t="str">
        <f aca="true">IF(D170="","",IF(J170="",TODAY()-D170,J170-D170))</f>
        <v/>
      </c>
      <c r="O170" s="31" t="str">
        <f aca="false">IF(L170="","",IF(L170&lt;=0,0,ROUND(L170-L170/(1+Einstellungen!$B$10),2)))</f>
        <v/>
      </c>
      <c r="P170" s="35" t="str">
        <f aca="false">IF(F170="","",IF(K170="",IF(N170&gt;90,"an Lager &gt;90 Tage!","an Lager"),"verkauft"))</f>
        <v/>
      </c>
    </row>
    <row r="171" customFormat="false" ht="15" hidden="false" customHeight="false" outlineLevel="0" collapsed="false">
      <c r="A171" s="32"/>
      <c r="B171" s="32"/>
      <c r="C171" s="32"/>
      <c r="D171" s="33"/>
      <c r="E171" s="32"/>
      <c r="F171" s="30"/>
      <c r="G171" s="30"/>
      <c r="H171" s="30"/>
      <c r="I171" s="31" t="str">
        <f aca="false">IF(F171="","",F171+G171+H171)</f>
        <v/>
      </c>
      <c r="J171" s="33"/>
      <c r="K171" s="30"/>
      <c r="L171" s="31" t="str">
        <f aca="false">IF(OR(K171="",F171=""),"",K171-I171)</f>
        <v/>
      </c>
      <c r="M171" s="34" t="str">
        <f aca="false">IF(L171="","",L171/K171)</f>
        <v/>
      </c>
      <c r="N171" s="43" t="str">
        <f aca="true">IF(D171="","",IF(J171="",TODAY()-D171,J171-D171))</f>
        <v/>
      </c>
      <c r="O171" s="31" t="str">
        <f aca="false">IF(L171="","",IF(L171&lt;=0,0,ROUND(L171-L171/(1+Einstellungen!$B$10),2)))</f>
        <v/>
      </c>
      <c r="P171" s="35" t="str">
        <f aca="false">IF(F171="","",IF(K171="",IF(N171&gt;90,"an Lager &gt;90 Tage!","an Lager"),"verkauft"))</f>
        <v/>
      </c>
    </row>
    <row r="172" customFormat="false" ht="15" hidden="false" customHeight="false" outlineLevel="0" collapsed="false">
      <c r="A172" s="32"/>
      <c r="B172" s="32"/>
      <c r="C172" s="32"/>
      <c r="D172" s="33"/>
      <c r="E172" s="32"/>
      <c r="F172" s="30"/>
      <c r="G172" s="30"/>
      <c r="H172" s="30"/>
      <c r="I172" s="31" t="str">
        <f aca="false">IF(F172="","",F172+G172+H172)</f>
        <v/>
      </c>
      <c r="J172" s="33"/>
      <c r="K172" s="30"/>
      <c r="L172" s="31" t="str">
        <f aca="false">IF(OR(K172="",F172=""),"",K172-I172)</f>
        <v/>
      </c>
      <c r="M172" s="34" t="str">
        <f aca="false">IF(L172="","",L172/K172)</f>
        <v/>
      </c>
      <c r="N172" s="43" t="str">
        <f aca="true">IF(D172="","",IF(J172="",TODAY()-D172,J172-D172))</f>
        <v/>
      </c>
      <c r="O172" s="31" t="str">
        <f aca="false">IF(L172="","",IF(L172&lt;=0,0,ROUND(L172-L172/(1+Einstellungen!$B$10),2)))</f>
        <v/>
      </c>
      <c r="P172" s="35" t="str">
        <f aca="false">IF(F172="","",IF(K172="",IF(N172&gt;90,"an Lager &gt;90 Tage!","an Lager"),"verkauft"))</f>
        <v/>
      </c>
    </row>
    <row r="173" customFormat="false" ht="15" hidden="false" customHeight="false" outlineLevel="0" collapsed="false">
      <c r="A173" s="32"/>
      <c r="B173" s="32"/>
      <c r="C173" s="32"/>
      <c r="D173" s="33"/>
      <c r="E173" s="32"/>
      <c r="F173" s="30"/>
      <c r="G173" s="30"/>
      <c r="H173" s="30"/>
      <c r="I173" s="31" t="str">
        <f aca="false">IF(F173="","",F173+G173+H173)</f>
        <v/>
      </c>
      <c r="J173" s="33"/>
      <c r="K173" s="30"/>
      <c r="L173" s="31" t="str">
        <f aca="false">IF(OR(K173="",F173=""),"",K173-I173)</f>
        <v/>
      </c>
      <c r="M173" s="34" t="str">
        <f aca="false">IF(L173="","",L173/K173)</f>
        <v/>
      </c>
      <c r="N173" s="43" t="str">
        <f aca="true">IF(D173="","",IF(J173="",TODAY()-D173,J173-D173))</f>
        <v/>
      </c>
      <c r="O173" s="31" t="str">
        <f aca="false">IF(L173="","",IF(L173&lt;=0,0,ROUND(L173-L173/(1+Einstellungen!$B$10),2)))</f>
        <v/>
      </c>
      <c r="P173" s="35" t="str">
        <f aca="false">IF(F173="","",IF(K173="",IF(N173&gt;90,"an Lager &gt;90 Tage!","an Lager"),"verkauft"))</f>
        <v/>
      </c>
    </row>
    <row r="174" customFormat="false" ht="15" hidden="false" customHeight="false" outlineLevel="0" collapsed="false">
      <c r="A174" s="32"/>
      <c r="B174" s="32"/>
      <c r="C174" s="32"/>
      <c r="D174" s="33"/>
      <c r="E174" s="32"/>
      <c r="F174" s="30"/>
      <c r="G174" s="30"/>
      <c r="H174" s="30"/>
      <c r="I174" s="31" t="str">
        <f aca="false">IF(F174="","",F174+G174+H174)</f>
        <v/>
      </c>
      <c r="J174" s="33"/>
      <c r="K174" s="30"/>
      <c r="L174" s="31" t="str">
        <f aca="false">IF(OR(K174="",F174=""),"",K174-I174)</f>
        <v/>
      </c>
      <c r="M174" s="34" t="str">
        <f aca="false">IF(L174="","",L174/K174)</f>
        <v/>
      </c>
      <c r="N174" s="43" t="str">
        <f aca="true">IF(D174="","",IF(J174="",TODAY()-D174,J174-D174))</f>
        <v/>
      </c>
      <c r="O174" s="31" t="str">
        <f aca="false">IF(L174="","",IF(L174&lt;=0,0,ROUND(L174-L174/(1+Einstellungen!$B$10),2)))</f>
        <v/>
      </c>
      <c r="P174" s="35" t="str">
        <f aca="false">IF(F174="","",IF(K174="",IF(N174&gt;90,"an Lager &gt;90 Tage!","an Lager"),"verkauft"))</f>
        <v/>
      </c>
    </row>
    <row r="175" customFormat="false" ht="15" hidden="false" customHeight="false" outlineLevel="0" collapsed="false">
      <c r="A175" s="32"/>
      <c r="B175" s="32"/>
      <c r="C175" s="32"/>
      <c r="D175" s="33"/>
      <c r="E175" s="32"/>
      <c r="F175" s="30"/>
      <c r="G175" s="30"/>
      <c r="H175" s="30"/>
      <c r="I175" s="31" t="str">
        <f aca="false">IF(F175="","",F175+G175+H175)</f>
        <v/>
      </c>
      <c r="J175" s="33"/>
      <c r="K175" s="30"/>
      <c r="L175" s="31" t="str">
        <f aca="false">IF(OR(K175="",F175=""),"",K175-I175)</f>
        <v/>
      </c>
      <c r="M175" s="34" t="str">
        <f aca="false">IF(L175="","",L175/K175)</f>
        <v/>
      </c>
      <c r="N175" s="43" t="str">
        <f aca="true">IF(D175="","",IF(J175="",TODAY()-D175,J175-D175))</f>
        <v/>
      </c>
      <c r="O175" s="31" t="str">
        <f aca="false">IF(L175="","",IF(L175&lt;=0,0,ROUND(L175-L175/(1+Einstellungen!$B$10),2)))</f>
        <v/>
      </c>
      <c r="P175" s="35" t="str">
        <f aca="false">IF(F175="","",IF(K175="",IF(N175&gt;90,"an Lager &gt;90 Tage!","an Lager"),"verkauft"))</f>
        <v/>
      </c>
    </row>
    <row r="176" customFormat="false" ht="15" hidden="false" customHeight="false" outlineLevel="0" collapsed="false">
      <c r="A176" s="32"/>
      <c r="B176" s="32"/>
      <c r="C176" s="32"/>
      <c r="D176" s="33"/>
      <c r="E176" s="32"/>
      <c r="F176" s="30"/>
      <c r="G176" s="30"/>
      <c r="H176" s="30"/>
      <c r="I176" s="31" t="str">
        <f aca="false">IF(F176="","",F176+G176+H176)</f>
        <v/>
      </c>
      <c r="J176" s="33"/>
      <c r="K176" s="30"/>
      <c r="L176" s="31" t="str">
        <f aca="false">IF(OR(K176="",F176=""),"",K176-I176)</f>
        <v/>
      </c>
      <c r="M176" s="34" t="str">
        <f aca="false">IF(L176="","",L176/K176)</f>
        <v/>
      </c>
      <c r="N176" s="43" t="str">
        <f aca="true">IF(D176="","",IF(J176="",TODAY()-D176,J176-D176))</f>
        <v/>
      </c>
      <c r="O176" s="31" t="str">
        <f aca="false">IF(L176="","",IF(L176&lt;=0,0,ROUND(L176-L176/(1+Einstellungen!$B$10),2)))</f>
        <v/>
      </c>
      <c r="P176" s="35" t="str">
        <f aca="false">IF(F176="","",IF(K176="",IF(N176&gt;90,"an Lager &gt;90 Tage!","an Lager"),"verkauft"))</f>
        <v/>
      </c>
    </row>
    <row r="177" customFormat="false" ht="15" hidden="false" customHeight="false" outlineLevel="0" collapsed="false">
      <c r="A177" s="32"/>
      <c r="B177" s="32"/>
      <c r="C177" s="32"/>
      <c r="D177" s="33"/>
      <c r="E177" s="32"/>
      <c r="F177" s="30"/>
      <c r="G177" s="30"/>
      <c r="H177" s="30"/>
      <c r="I177" s="31" t="str">
        <f aca="false">IF(F177="","",F177+G177+H177)</f>
        <v/>
      </c>
      <c r="J177" s="33"/>
      <c r="K177" s="30"/>
      <c r="L177" s="31" t="str">
        <f aca="false">IF(OR(K177="",F177=""),"",K177-I177)</f>
        <v/>
      </c>
      <c r="M177" s="34" t="str">
        <f aca="false">IF(L177="","",L177/K177)</f>
        <v/>
      </c>
      <c r="N177" s="43" t="str">
        <f aca="true">IF(D177="","",IF(J177="",TODAY()-D177,J177-D177))</f>
        <v/>
      </c>
      <c r="O177" s="31" t="str">
        <f aca="false">IF(L177="","",IF(L177&lt;=0,0,ROUND(L177-L177/(1+Einstellungen!$B$10),2)))</f>
        <v/>
      </c>
      <c r="P177" s="35" t="str">
        <f aca="false">IF(F177="","",IF(K177="",IF(N177&gt;90,"an Lager &gt;90 Tage!","an Lager"),"verkauft"))</f>
        <v/>
      </c>
    </row>
    <row r="178" customFormat="false" ht="15" hidden="false" customHeight="false" outlineLevel="0" collapsed="false">
      <c r="A178" s="32"/>
      <c r="B178" s="32"/>
      <c r="C178" s="32"/>
      <c r="D178" s="33"/>
      <c r="E178" s="32"/>
      <c r="F178" s="30"/>
      <c r="G178" s="30"/>
      <c r="H178" s="30"/>
      <c r="I178" s="31" t="str">
        <f aca="false">IF(F178="","",F178+G178+H178)</f>
        <v/>
      </c>
      <c r="J178" s="33"/>
      <c r="K178" s="30"/>
      <c r="L178" s="31" t="str">
        <f aca="false">IF(OR(K178="",F178=""),"",K178-I178)</f>
        <v/>
      </c>
      <c r="M178" s="34" t="str">
        <f aca="false">IF(L178="","",L178/K178)</f>
        <v/>
      </c>
      <c r="N178" s="43" t="str">
        <f aca="true">IF(D178="","",IF(J178="",TODAY()-D178,J178-D178))</f>
        <v/>
      </c>
      <c r="O178" s="31" t="str">
        <f aca="false">IF(L178="","",IF(L178&lt;=0,0,ROUND(L178-L178/(1+Einstellungen!$B$10),2)))</f>
        <v/>
      </c>
      <c r="P178" s="35" t="str">
        <f aca="false">IF(F178="","",IF(K178="",IF(N178&gt;90,"an Lager &gt;90 Tage!","an Lager"),"verkauft"))</f>
        <v/>
      </c>
    </row>
    <row r="179" customFormat="false" ht="15" hidden="false" customHeight="false" outlineLevel="0" collapsed="false">
      <c r="A179" s="32"/>
      <c r="B179" s="32"/>
      <c r="C179" s="32"/>
      <c r="D179" s="33"/>
      <c r="E179" s="32"/>
      <c r="F179" s="30"/>
      <c r="G179" s="30"/>
      <c r="H179" s="30"/>
      <c r="I179" s="31" t="str">
        <f aca="false">IF(F179="","",F179+G179+H179)</f>
        <v/>
      </c>
      <c r="J179" s="33"/>
      <c r="K179" s="30"/>
      <c r="L179" s="31" t="str">
        <f aca="false">IF(OR(K179="",F179=""),"",K179-I179)</f>
        <v/>
      </c>
      <c r="M179" s="34" t="str">
        <f aca="false">IF(L179="","",L179/K179)</f>
        <v/>
      </c>
      <c r="N179" s="43" t="str">
        <f aca="true">IF(D179="","",IF(J179="",TODAY()-D179,J179-D179))</f>
        <v/>
      </c>
      <c r="O179" s="31" t="str">
        <f aca="false">IF(L179="","",IF(L179&lt;=0,0,ROUND(L179-L179/(1+Einstellungen!$B$10),2)))</f>
        <v/>
      </c>
      <c r="P179" s="35" t="str">
        <f aca="false">IF(F179="","",IF(K179="",IF(N179&gt;90,"an Lager &gt;90 Tage!","an Lager"),"verkauft"))</f>
        <v/>
      </c>
    </row>
    <row r="180" customFormat="false" ht="15" hidden="false" customHeight="false" outlineLevel="0" collapsed="false">
      <c r="A180" s="32"/>
      <c r="B180" s="32"/>
      <c r="C180" s="32"/>
      <c r="D180" s="33"/>
      <c r="E180" s="32"/>
      <c r="F180" s="30"/>
      <c r="G180" s="30"/>
      <c r="H180" s="30"/>
      <c r="I180" s="31" t="str">
        <f aca="false">IF(F180="","",F180+G180+H180)</f>
        <v/>
      </c>
      <c r="J180" s="33"/>
      <c r="K180" s="30"/>
      <c r="L180" s="31" t="str">
        <f aca="false">IF(OR(K180="",F180=""),"",K180-I180)</f>
        <v/>
      </c>
      <c r="M180" s="34" t="str">
        <f aca="false">IF(L180="","",L180/K180)</f>
        <v/>
      </c>
      <c r="N180" s="43" t="str">
        <f aca="true">IF(D180="","",IF(J180="",TODAY()-D180,J180-D180))</f>
        <v/>
      </c>
      <c r="O180" s="31" t="str">
        <f aca="false">IF(L180="","",IF(L180&lt;=0,0,ROUND(L180-L180/(1+Einstellungen!$B$10),2)))</f>
        <v/>
      </c>
      <c r="P180" s="35" t="str">
        <f aca="false">IF(F180="","",IF(K180="",IF(N180&gt;90,"an Lager &gt;90 Tage!","an Lager"),"verkauft"))</f>
        <v/>
      </c>
    </row>
    <row r="181" customFormat="false" ht="15" hidden="false" customHeight="false" outlineLevel="0" collapsed="false">
      <c r="A181" s="32"/>
      <c r="B181" s="32"/>
      <c r="C181" s="32"/>
      <c r="D181" s="33"/>
      <c r="E181" s="32"/>
      <c r="F181" s="30"/>
      <c r="G181" s="30"/>
      <c r="H181" s="30"/>
      <c r="I181" s="31" t="str">
        <f aca="false">IF(F181="","",F181+G181+H181)</f>
        <v/>
      </c>
      <c r="J181" s="33"/>
      <c r="K181" s="30"/>
      <c r="L181" s="31" t="str">
        <f aca="false">IF(OR(K181="",F181=""),"",K181-I181)</f>
        <v/>
      </c>
      <c r="M181" s="34" t="str">
        <f aca="false">IF(L181="","",L181/K181)</f>
        <v/>
      </c>
      <c r="N181" s="43" t="str">
        <f aca="true">IF(D181="","",IF(J181="",TODAY()-D181,J181-D181))</f>
        <v/>
      </c>
      <c r="O181" s="31" t="str">
        <f aca="false">IF(L181="","",IF(L181&lt;=0,0,ROUND(L181-L181/(1+Einstellungen!$B$10),2)))</f>
        <v/>
      </c>
      <c r="P181" s="35" t="str">
        <f aca="false">IF(F181="","",IF(K181="",IF(N181&gt;90,"an Lager &gt;90 Tage!","an Lager"),"verkauft"))</f>
        <v/>
      </c>
    </row>
    <row r="182" customFormat="false" ht="15" hidden="false" customHeight="false" outlineLevel="0" collapsed="false">
      <c r="A182" s="32"/>
      <c r="B182" s="32"/>
      <c r="C182" s="32"/>
      <c r="D182" s="33"/>
      <c r="E182" s="32"/>
      <c r="F182" s="30"/>
      <c r="G182" s="30"/>
      <c r="H182" s="30"/>
      <c r="I182" s="31" t="str">
        <f aca="false">IF(F182="","",F182+G182+H182)</f>
        <v/>
      </c>
      <c r="J182" s="33"/>
      <c r="K182" s="30"/>
      <c r="L182" s="31" t="str">
        <f aca="false">IF(OR(K182="",F182=""),"",K182-I182)</f>
        <v/>
      </c>
      <c r="M182" s="34" t="str">
        <f aca="false">IF(L182="","",L182/K182)</f>
        <v/>
      </c>
      <c r="N182" s="43" t="str">
        <f aca="true">IF(D182="","",IF(J182="",TODAY()-D182,J182-D182))</f>
        <v/>
      </c>
      <c r="O182" s="31" t="str">
        <f aca="false">IF(L182="","",IF(L182&lt;=0,0,ROUND(L182-L182/(1+Einstellungen!$B$10),2)))</f>
        <v/>
      </c>
      <c r="P182" s="35" t="str">
        <f aca="false">IF(F182="","",IF(K182="",IF(N182&gt;90,"an Lager &gt;90 Tage!","an Lager"),"verkauft"))</f>
        <v/>
      </c>
    </row>
    <row r="183" customFormat="false" ht="15" hidden="false" customHeight="false" outlineLevel="0" collapsed="false">
      <c r="A183" s="32"/>
      <c r="B183" s="32"/>
      <c r="C183" s="32"/>
      <c r="D183" s="33"/>
      <c r="E183" s="32"/>
      <c r="F183" s="30"/>
      <c r="G183" s="30"/>
      <c r="H183" s="30"/>
      <c r="I183" s="31" t="str">
        <f aca="false">IF(F183="","",F183+G183+H183)</f>
        <v/>
      </c>
      <c r="J183" s="33"/>
      <c r="K183" s="30"/>
      <c r="L183" s="31" t="str">
        <f aca="false">IF(OR(K183="",F183=""),"",K183-I183)</f>
        <v/>
      </c>
      <c r="M183" s="34" t="str">
        <f aca="false">IF(L183="","",L183/K183)</f>
        <v/>
      </c>
      <c r="N183" s="43" t="str">
        <f aca="true">IF(D183="","",IF(J183="",TODAY()-D183,J183-D183))</f>
        <v/>
      </c>
      <c r="O183" s="31" t="str">
        <f aca="false">IF(L183="","",IF(L183&lt;=0,0,ROUND(L183-L183/(1+Einstellungen!$B$10),2)))</f>
        <v/>
      </c>
      <c r="P183" s="35" t="str">
        <f aca="false">IF(F183="","",IF(K183="",IF(N183&gt;90,"an Lager &gt;90 Tage!","an Lager"),"verkauft"))</f>
        <v/>
      </c>
    </row>
    <row r="184" customFormat="false" ht="15" hidden="false" customHeight="false" outlineLevel="0" collapsed="false">
      <c r="A184" s="32"/>
      <c r="B184" s="32"/>
      <c r="C184" s="32"/>
      <c r="D184" s="33"/>
      <c r="E184" s="32"/>
      <c r="F184" s="30"/>
      <c r="G184" s="30"/>
      <c r="H184" s="30"/>
      <c r="I184" s="31" t="str">
        <f aca="false">IF(F184="","",F184+G184+H184)</f>
        <v/>
      </c>
      <c r="J184" s="33"/>
      <c r="K184" s="30"/>
      <c r="L184" s="31" t="str">
        <f aca="false">IF(OR(K184="",F184=""),"",K184-I184)</f>
        <v/>
      </c>
      <c r="M184" s="34" t="str">
        <f aca="false">IF(L184="","",L184/K184)</f>
        <v/>
      </c>
      <c r="N184" s="43" t="str">
        <f aca="true">IF(D184="","",IF(J184="",TODAY()-D184,J184-D184))</f>
        <v/>
      </c>
      <c r="O184" s="31" t="str">
        <f aca="false">IF(L184="","",IF(L184&lt;=0,0,ROUND(L184-L184/(1+Einstellungen!$B$10),2)))</f>
        <v/>
      </c>
      <c r="P184" s="35" t="str">
        <f aca="false">IF(F184="","",IF(K184="",IF(N184&gt;90,"an Lager &gt;90 Tage!","an Lager"),"verkauft"))</f>
        <v/>
      </c>
    </row>
    <row r="185" customFormat="false" ht="15" hidden="false" customHeight="false" outlineLevel="0" collapsed="false">
      <c r="A185" s="32"/>
      <c r="B185" s="32"/>
      <c r="C185" s="32"/>
      <c r="D185" s="33"/>
      <c r="E185" s="32"/>
      <c r="F185" s="30"/>
      <c r="G185" s="30"/>
      <c r="H185" s="30"/>
      <c r="I185" s="31" t="str">
        <f aca="false">IF(F185="","",F185+G185+H185)</f>
        <v/>
      </c>
      <c r="J185" s="33"/>
      <c r="K185" s="30"/>
      <c r="L185" s="31" t="str">
        <f aca="false">IF(OR(K185="",F185=""),"",K185-I185)</f>
        <v/>
      </c>
      <c r="M185" s="34" t="str">
        <f aca="false">IF(L185="","",L185/K185)</f>
        <v/>
      </c>
      <c r="N185" s="43" t="str">
        <f aca="true">IF(D185="","",IF(J185="",TODAY()-D185,J185-D185))</f>
        <v/>
      </c>
      <c r="O185" s="31" t="str">
        <f aca="false">IF(L185="","",IF(L185&lt;=0,0,ROUND(L185-L185/(1+Einstellungen!$B$10),2)))</f>
        <v/>
      </c>
      <c r="P185" s="35" t="str">
        <f aca="false">IF(F185="","",IF(K185="",IF(N185&gt;90,"an Lager &gt;90 Tage!","an Lager"),"verkauft"))</f>
        <v/>
      </c>
    </row>
    <row r="186" customFormat="false" ht="15" hidden="false" customHeight="false" outlineLevel="0" collapsed="false">
      <c r="A186" s="32"/>
      <c r="B186" s="32"/>
      <c r="C186" s="32"/>
      <c r="D186" s="33"/>
      <c r="E186" s="32"/>
      <c r="F186" s="30"/>
      <c r="G186" s="30"/>
      <c r="H186" s="30"/>
      <c r="I186" s="31" t="str">
        <f aca="false">IF(F186="","",F186+G186+H186)</f>
        <v/>
      </c>
      <c r="J186" s="33"/>
      <c r="K186" s="30"/>
      <c r="L186" s="31" t="str">
        <f aca="false">IF(OR(K186="",F186=""),"",K186-I186)</f>
        <v/>
      </c>
      <c r="M186" s="34" t="str">
        <f aca="false">IF(L186="","",L186/K186)</f>
        <v/>
      </c>
      <c r="N186" s="43" t="str">
        <f aca="true">IF(D186="","",IF(J186="",TODAY()-D186,J186-D186))</f>
        <v/>
      </c>
      <c r="O186" s="31" t="str">
        <f aca="false">IF(L186="","",IF(L186&lt;=0,0,ROUND(L186-L186/(1+Einstellungen!$B$10),2)))</f>
        <v/>
      </c>
      <c r="P186" s="35" t="str">
        <f aca="false">IF(F186="","",IF(K186="",IF(N186&gt;90,"an Lager &gt;90 Tage!","an Lager"),"verkauft"))</f>
        <v/>
      </c>
    </row>
    <row r="187" customFormat="false" ht="15" hidden="false" customHeight="false" outlineLevel="0" collapsed="false">
      <c r="A187" s="32"/>
      <c r="B187" s="32"/>
      <c r="C187" s="32"/>
      <c r="D187" s="33"/>
      <c r="E187" s="32"/>
      <c r="F187" s="30"/>
      <c r="G187" s="30"/>
      <c r="H187" s="30"/>
      <c r="I187" s="31" t="str">
        <f aca="false">IF(F187="","",F187+G187+H187)</f>
        <v/>
      </c>
      <c r="J187" s="33"/>
      <c r="K187" s="30"/>
      <c r="L187" s="31" t="str">
        <f aca="false">IF(OR(K187="",F187=""),"",K187-I187)</f>
        <v/>
      </c>
      <c r="M187" s="34" t="str">
        <f aca="false">IF(L187="","",L187/K187)</f>
        <v/>
      </c>
      <c r="N187" s="43" t="str">
        <f aca="true">IF(D187="","",IF(J187="",TODAY()-D187,J187-D187))</f>
        <v/>
      </c>
      <c r="O187" s="31" t="str">
        <f aca="false">IF(L187="","",IF(L187&lt;=0,0,ROUND(L187-L187/(1+Einstellungen!$B$10),2)))</f>
        <v/>
      </c>
      <c r="P187" s="35" t="str">
        <f aca="false">IF(F187="","",IF(K187="",IF(N187&gt;90,"an Lager &gt;90 Tage!","an Lager"),"verkauft"))</f>
        <v/>
      </c>
    </row>
    <row r="188" customFormat="false" ht="15" hidden="false" customHeight="false" outlineLevel="0" collapsed="false">
      <c r="A188" s="32"/>
      <c r="B188" s="32"/>
      <c r="C188" s="32"/>
      <c r="D188" s="33"/>
      <c r="E188" s="32"/>
      <c r="F188" s="30"/>
      <c r="G188" s="30"/>
      <c r="H188" s="30"/>
      <c r="I188" s="31" t="str">
        <f aca="false">IF(F188="","",F188+G188+H188)</f>
        <v/>
      </c>
      <c r="J188" s="33"/>
      <c r="K188" s="30"/>
      <c r="L188" s="31" t="str">
        <f aca="false">IF(OR(K188="",F188=""),"",K188-I188)</f>
        <v/>
      </c>
      <c r="M188" s="34" t="str">
        <f aca="false">IF(L188="","",L188/K188)</f>
        <v/>
      </c>
      <c r="N188" s="43" t="str">
        <f aca="true">IF(D188="","",IF(J188="",TODAY()-D188,J188-D188))</f>
        <v/>
      </c>
      <c r="O188" s="31" t="str">
        <f aca="false">IF(L188="","",IF(L188&lt;=0,0,ROUND(L188-L188/(1+Einstellungen!$B$10),2)))</f>
        <v/>
      </c>
      <c r="P188" s="35" t="str">
        <f aca="false">IF(F188="","",IF(K188="",IF(N188&gt;90,"an Lager &gt;90 Tage!","an Lager"),"verkauft"))</f>
        <v/>
      </c>
    </row>
    <row r="189" customFormat="false" ht="15" hidden="false" customHeight="false" outlineLevel="0" collapsed="false">
      <c r="A189" s="32"/>
      <c r="B189" s="32"/>
      <c r="C189" s="32"/>
      <c r="D189" s="33"/>
      <c r="E189" s="32"/>
      <c r="F189" s="30"/>
      <c r="G189" s="30"/>
      <c r="H189" s="30"/>
      <c r="I189" s="31" t="str">
        <f aca="false">IF(F189="","",F189+G189+H189)</f>
        <v/>
      </c>
      <c r="J189" s="33"/>
      <c r="K189" s="30"/>
      <c r="L189" s="31" t="str">
        <f aca="false">IF(OR(K189="",F189=""),"",K189-I189)</f>
        <v/>
      </c>
      <c r="M189" s="34" t="str">
        <f aca="false">IF(L189="","",L189/K189)</f>
        <v/>
      </c>
      <c r="N189" s="43" t="str">
        <f aca="true">IF(D189="","",IF(J189="",TODAY()-D189,J189-D189))</f>
        <v/>
      </c>
      <c r="O189" s="31" t="str">
        <f aca="false">IF(L189="","",IF(L189&lt;=0,0,ROUND(L189-L189/(1+Einstellungen!$B$10),2)))</f>
        <v/>
      </c>
      <c r="P189" s="35" t="str">
        <f aca="false">IF(F189="","",IF(K189="",IF(N189&gt;90,"an Lager &gt;90 Tage!","an Lager"),"verkauft"))</f>
        <v/>
      </c>
    </row>
    <row r="190" customFormat="false" ht="15" hidden="false" customHeight="false" outlineLevel="0" collapsed="false">
      <c r="A190" s="32"/>
      <c r="B190" s="32"/>
      <c r="C190" s="32"/>
      <c r="D190" s="33"/>
      <c r="E190" s="32"/>
      <c r="F190" s="30"/>
      <c r="G190" s="30"/>
      <c r="H190" s="30"/>
      <c r="I190" s="31" t="str">
        <f aca="false">IF(F190="","",F190+G190+H190)</f>
        <v/>
      </c>
      <c r="J190" s="33"/>
      <c r="K190" s="30"/>
      <c r="L190" s="31" t="str">
        <f aca="false">IF(OR(K190="",F190=""),"",K190-I190)</f>
        <v/>
      </c>
      <c r="M190" s="34" t="str">
        <f aca="false">IF(L190="","",L190/K190)</f>
        <v/>
      </c>
      <c r="N190" s="43" t="str">
        <f aca="true">IF(D190="","",IF(J190="",TODAY()-D190,J190-D190))</f>
        <v/>
      </c>
      <c r="O190" s="31" t="str">
        <f aca="false">IF(L190="","",IF(L190&lt;=0,0,ROUND(L190-L190/(1+Einstellungen!$B$10),2)))</f>
        <v/>
      </c>
      <c r="P190" s="35" t="str">
        <f aca="false">IF(F190="","",IF(K190="",IF(N190&gt;90,"an Lager &gt;90 Tage!","an Lager"),"verkauft"))</f>
        <v/>
      </c>
    </row>
    <row r="191" customFormat="false" ht="15" hidden="false" customHeight="false" outlineLevel="0" collapsed="false">
      <c r="A191" s="32"/>
      <c r="B191" s="32"/>
      <c r="C191" s="32"/>
      <c r="D191" s="33"/>
      <c r="E191" s="32"/>
      <c r="F191" s="30"/>
      <c r="G191" s="30"/>
      <c r="H191" s="30"/>
      <c r="I191" s="31" t="str">
        <f aca="false">IF(F191="","",F191+G191+H191)</f>
        <v/>
      </c>
      <c r="J191" s="33"/>
      <c r="K191" s="30"/>
      <c r="L191" s="31" t="str">
        <f aca="false">IF(OR(K191="",F191=""),"",K191-I191)</f>
        <v/>
      </c>
      <c r="M191" s="34" t="str">
        <f aca="false">IF(L191="","",L191/K191)</f>
        <v/>
      </c>
      <c r="N191" s="43" t="str">
        <f aca="true">IF(D191="","",IF(J191="",TODAY()-D191,J191-D191))</f>
        <v/>
      </c>
      <c r="O191" s="31" t="str">
        <f aca="false">IF(L191="","",IF(L191&lt;=0,0,ROUND(L191-L191/(1+Einstellungen!$B$10),2)))</f>
        <v/>
      </c>
      <c r="P191" s="35" t="str">
        <f aca="false">IF(F191="","",IF(K191="",IF(N191&gt;90,"an Lager &gt;90 Tage!","an Lager"),"verkauft"))</f>
        <v/>
      </c>
    </row>
    <row r="192" customFormat="false" ht="15" hidden="false" customHeight="false" outlineLevel="0" collapsed="false">
      <c r="A192" s="32"/>
      <c r="B192" s="32"/>
      <c r="C192" s="32"/>
      <c r="D192" s="33"/>
      <c r="E192" s="32"/>
      <c r="F192" s="30"/>
      <c r="G192" s="30"/>
      <c r="H192" s="30"/>
      <c r="I192" s="31" t="str">
        <f aca="false">IF(F192="","",F192+G192+H192)</f>
        <v/>
      </c>
      <c r="J192" s="33"/>
      <c r="K192" s="30"/>
      <c r="L192" s="31" t="str">
        <f aca="false">IF(OR(K192="",F192=""),"",K192-I192)</f>
        <v/>
      </c>
      <c r="M192" s="34" t="str">
        <f aca="false">IF(L192="","",L192/K192)</f>
        <v/>
      </c>
      <c r="N192" s="43" t="str">
        <f aca="true">IF(D192="","",IF(J192="",TODAY()-D192,J192-D192))</f>
        <v/>
      </c>
      <c r="O192" s="31" t="str">
        <f aca="false">IF(L192="","",IF(L192&lt;=0,0,ROUND(L192-L192/(1+Einstellungen!$B$10),2)))</f>
        <v/>
      </c>
      <c r="P192" s="35" t="str">
        <f aca="false">IF(F192="","",IF(K192="",IF(N192&gt;90,"an Lager &gt;90 Tage!","an Lager"),"verkauft"))</f>
        <v/>
      </c>
    </row>
    <row r="193" customFormat="false" ht="15" hidden="false" customHeight="false" outlineLevel="0" collapsed="false">
      <c r="A193" s="32"/>
      <c r="B193" s="32"/>
      <c r="C193" s="32"/>
      <c r="D193" s="33"/>
      <c r="E193" s="32"/>
      <c r="F193" s="30"/>
      <c r="G193" s="30"/>
      <c r="H193" s="30"/>
      <c r="I193" s="31" t="str">
        <f aca="false">IF(F193="","",F193+G193+H193)</f>
        <v/>
      </c>
      <c r="J193" s="33"/>
      <c r="K193" s="30"/>
      <c r="L193" s="31" t="str">
        <f aca="false">IF(OR(K193="",F193=""),"",K193-I193)</f>
        <v/>
      </c>
      <c r="M193" s="34" t="str">
        <f aca="false">IF(L193="","",L193/K193)</f>
        <v/>
      </c>
      <c r="N193" s="43" t="str">
        <f aca="true">IF(D193="","",IF(J193="",TODAY()-D193,J193-D193))</f>
        <v/>
      </c>
      <c r="O193" s="31" t="str">
        <f aca="false">IF(L193="","",IF(L193&lt;=0,0,ROUND(L193-L193/(1+Einstellungen!$B$10),2)))</f>
        <v/>
      </c>
      <c r="P193" s="35" t="str">
        <f aca="false">IF(F193="","",IF(K193="",IF(N193&gt;90,"an Lager &gt;90 Tage!","an Lager"),"verkauft"))</f>
        <v/>
      </c>
    </row>
    <row r="194" customFormat="false" ht="15" hidden="false" customHeight="false" outlineLevel="0" collapsed="false">
      <c r="A194" s="32"/>
      <c r="B194" s="32"/>
      <c r="C194" s="32"/>
      <c r="D194" s="33"/>
      <c r="E194" s="32"/>
      <c r="F194" s="30"/>
      <c r="G194" s="30"/>
      <c r="H194" s="30"/>
      <c r="I194" s="31" t="str">
        <f aca="false">IF(F194="","",F194+G194+H194)</f>
        <v/>
      </c>
      <c r="J194" s="33"/>
      <c r="K194" s="30"/>
      <c r="L194" s="31" t="str">
        <f aca="false">IF(OR(K194="",F194=""),"",K194-I194)</f>
        <v/>
      </c>
      <c r="M194" s="34" t="str">
        <f aca="false">IF(L194="","",L194/K194)</f>
        <v/>
      </c>
      <c r="N194" s="43" t="str">
        <f aca="true">IF(D194="","",IF(J194="",TODAY()-D194,J194-D194))</f>
        <v/>
      </c>
      <c r="O194" s="31" t="str">
        <f aca="false">IF(L194="","",IF(L194&lt;=0,0,ROUND(L194-L194/(1+Einstellungen!$B$10),2)))</f>
        <v/>
      </c>
      <c r="P194" s="35" t="str">
        <f aca="false">IF(F194="","",IF(K194="",IF(N194&gt;90,"an Lager &gt;90 Tage!","an Lager"),"verkauft"))</f>
        <v/>
      </c>
    </row>
    <row r="195" customFormat="false" ht="15" hidden="false" customHeight="false" outlineLevel="0" collapsed="false">
      <c r="A195" s="32"/>
      <c r="B195" s="32"/>
      <c r="C195" s="32"/>
      <c r="D195" s="33"/>
      <c r="E195" s="32"/>
      <c r="F195" s="30"/>
      <c r="G195" s="30"/>
      <c r="H195" s="30"/>
      <c r="I195" s="31" t="str">
        <f aca="false">IF(F195="","",F195+G195+H195)</f>
        <v/>
      </c>
      <c r="J195" s="33"/>
      <c r="K195" s="30"/>
      <c r="L195" s="31" t="str">
        <f aca="false">IF(OR(K195="",F195=""),"",K195-I195)</f>
        <v/>
      </c>
      <c r="M195" s="34" t="str">
        <f aca="false">IF(L195="","",L195/K195)</f>
        <v/>
      </c>
      <c r="N195" s="43" t="str">
        <f aca="true">IF(D195="","",IF(J195="",TODAY()-D195,J195-D195))</f>
        <v/>
      </c>
      <c r="O195" s="31" t="str">
        <f aca="false">IF(L195="","",IF(L195&lt;=0,0,ROUND(L195-L195/(1+Einstellungen!$B$10),2)))</f>
        <v/>
      </c>
      <c r="P195" s="35" t="str">
        <f aca="false">IF(F195="","",IF(K195="",IF(N195&gt;90,"an Lager &gt;90 Tage!","an Lager"),"verkauft"))</f>
        <v/>
      </c>
    </row>
    <row r="196" customFormat="false" ht="15" hidden="false" customHeight="false" outlineLevel="0" collapsed="false">
      <c r="A196" s="32"/>
      <c r="B196" s="32"/>
      <c r="C196" s="32"/>
      <c r="D196" s="33"/>
      <c r="E196" s="32"/>
      <c r="F196" s="30"/>
      <c r="G196" s="30"/>
      <c r="H196" s="30"/>
      <c r="I196" s="31" t="str">
        <f aca="false">IF(F196="","",F196+G196+H196)</f>
        <v/>
      </c>
      <c r="J196" s="33"/>
      <c r="K196" s="30"/>
      <c r="L196" s="31" t="str">
        <f aca="false">IF(OR(K196="",F196=""),"",K196-I196)</f>
        <v/>
      </c>
      <c r="M196" s="34" t="str">
        <f aca="false">IF(L196="","",L196/K196)</f>
        <v/>
      </c>
      <c r="N196" s="43" t="str">
        <f aca="true">IF(D196="","",IF(J196="",TODAY()-D196,J196-D196))</f>
        <v/>
      </c>
      <c r="O196" s="31" t="str">
        <f aca="false">IF(L196="","",IF(L196&lt;=0,0,ROUND(L196-L196/(1+Einstellungen!$B$10),2)))</f>
        <v/>
      </c>
      <c r="P196" s="35" t="str">
        <f aca="false">IF(F196="","",IF(K196="",IF(N196&gt;90,"an Lager &gt;90 Tage!","an Lager"),"verkauft"))</f>
        <v/>
      </c>
    </row>
    <row r="197" customFormat="false" ht="15" hidden="false" customHeight="false" outlineLevel="0" collapsed="false">
      <c r="A197" s="32"/>
      <c r="B197" s="32"/>
      <c r="C197" s="32"/>
      <c r="D197" s="33"/>
      <c r="E197" s="32"/>
      <c r="F197" s="30"/>
      <c r="G197" s="30"/>
      <c r="H197" s="30"/>
      <c r="I197" s="31" t="str">
        <f aca="false">IF(F197="","",F197+G197+H197)</f>
        <v/>
      </c>
      <c r="J197" s="33"/>
      <c r="K197" s="30"/>
      <c r="L197" s="31" t="str">
        <f aca="false">IF(OR(K197="",F197=""),"",K197-I197)</f>
        <v/>
      </c>
      <c r="M197" s="34" t="str">
        <f aca="false">IF(L197="","",L197/K197)</f>
        <v/>
      </c>
      <c r="N197" s="43" t="str">
        <f aca="true">IF(D197="","",IF(J197="",TODAY()-D197,J197-D197))</f>
        <v/>
      </c>
      <c r="O197" s="31" t="str">
        <f aca="false">IF(L197="","",IF(L197&lt;=0,0,ROUND(L197-L197/(1+Einstellungen!$B$10),2)))</f>
        <v/>
      </c>
      <c r="P197" s="35" t="str">
        <f aca="false">IF(F197="","",IF(K197="",IF(N197&gt;90,"an Lager &gt;90 Tage!","an Lager"),"verkauft"))</f>
        <v/>
      </c>
    </row>
    <row r="198" customFormat="false" ht="15" hidden="false" customHeight="false" outlineLevel="0" collapsed="false">
      <c r="A198" s="32"/>
      <c r="B198" s="32"/>
      <c r="C198" s="32"/>
      <c r="D198" s="33"/>
      <c r="E198" s="32"/>
      <c r="F198" s="30"/>
      <c r="G198" s="30"/>
      <c r="H198" s="30"/>
      <c r="I198" s="31" t="str">
        <f aca="false">IF(F198="","",F198+G198+H198)</f>
        <v/>
      </c>
      <c r="J198" s="33"/>
      <c r="K198" s="30"/>
      <c r="L198" s="31" t="str">
        <f aca="false">IF(OR(K198="",F198=""),"",K198-I198)</f>
        <v/>
      </c>
      <c r="M198" s="34" t="str">
        <f aca="false">IF(L198="","",L198/K198)</f>
        <v/>
      </c>
      <c r="N198" s="43" t="str">
        <f aca="true">IF(D198="","",IF(J198="",TODAY()-D198,J198-D198))</f>
        <v/>
      </c>
      <c r="O198" s="31" t="str">
        <f aca="false">IF(L198="","",IF(L198&lt;=0,0,ROUND(L198-L198/(1+Einstellungen!$B$10),2)))</f>
        <v/>
      </c>
      <c r="P198" s="35" t="str">
        <f aca="false">IF(F198="","",IF(K198="",IF(N198&gt;90,"an Lager &gt;90 Tage!","an Lager"),"verkauft"))</f>
        <v/>
      </c>
    </row>
    <row r="199" customFormat="false" ht="15" hidden="false" customHeight="false" outlineLevel="0" collapsed="false">
      <c r="A199" s="32"/>
      <c r="B199" s="32"/>
      <c r="C199" s="32"/>
      <c r="D199" s="33"/>
      <c r="E199" s="32"/>
      <c r="F199" s="30"/>
      <c r="G199" s="30"/>
      <c r="H199" s="30"/>
      <c r="I199" s="31" t="str">
        <f aca="false">IF(F199="","",F199+G199+H199)</f>
        <v/>
      </c>
      <c r="J199" s="33"/>
      <c r="K199" s="30"/>
      <c r="L199" s="31" t="str">
        <f aca="false">IF(OR(K199="",F199=""),"",K199-I199)</f>
        <v/>
      </c>
      <c r="M199" s="34" t="str">
        <f aca="false">IF(L199="","",L199/K199)</f>
        <v/>
      </c>
      <c r="N199" s="43" t="str">
        <f aca="true">IF(D199="","",IF(J199="",TODAY()-D199,J199-D199))</f>
        <v/>
      </c>
      <c r="O199" s="31" t="str">
        <f aca="false">IF(L199="","",IF(L199&lt;=0,0,ROUND(L199-L199/(1+Einstellungen!$B$10),2)))</f>
        <v/>
      </c>
      <c r="P199" s="35" t="str">
        <f aca="false">IF(F199="","",IF(K199="",IF(N199&gt;90,"an Lager &gt;90 Tage!","an Lager"),"verkauft"))</f>
        <v/>
      </c>
    </row>
    <row r="200" customFormat="false" ht="15" hidden="false" customHeight="false" outlineLevel="0" collapsed="false">
      <c r="A200" s="32"/>
      <c r="B200" s="32"/>
      <c r="C200" s="32"/>
      <c r="D200" s="33"/>
      <c r="E200" s="32"/>
      <c r="F200" s="30"/>
      <c r="G200" s="30"/>
      <c r="H200" s="30"/>
      <c r="I200" s="31" t="str">
        <f aca="false">IF(F200="","",F200+G200+H200)</f>
        <v/>
      </c>
      <c r="J200" s="33"/>
      <c r="K200" s="30"/>
      <c r="L200" s="31" t="str">
        <f aca="false">IF(OR(K200="",F200=""),"",K200-I200)</f>
        <v/>
      </c>
      <c r="M200" s="34" t="str">
        <f aca="false">IF(L200="","",L200/K200)</f>
        <v/>
      </c>
      <c r="N200" s="43" t="str">
        <f aca="true">IF(D200="","",IF(J200="",TODAY()-D200,J200-D200))</f>
        <v/>
      </c>
      <c r="O200" s="31" t="str">
        <f aca="false">IF(L200="","",IF(L200&lt;=0,0,ROUND(L200-L200/(1+Einstellungen!$B$10),2)))</f>
        <v/>
      </c>
      <c r="P200" s="35" t="str">
        <f aca="false">IF(F200="","",IF(K200="",IF(N200&gt;90,"an Lager &gt;90 Tage!","an Lager"),"verkauft"))</f>
        <v/>
      </c>
    </row>
    <row r="201" customFormat="false" ht="15" hidden="false" customHeight="false" outlineLevel="0" collapsed="false">
      <c r="A201" s="32"/>
      <c r="B201" s="32"/>
      <c r="C201" s="32"/>
      <c r="D201" s="33"/>
      <c r="E201" s="32"/>
      <c r="F201" s="30"/>
      <c r="G201" s="30"/>
      <c r="H201" s="30"/>
      <c r="I201" s="31" t="str">
        <f aca="false">IF(F201="","",F201+G201+H201)</f>
        <v/>
      </c>
      <c r="J201" s="33"/>
      <c r="K201" s="30"/>
      <c r="L201" s="31" t="str">
        <f aca="false">IF(OR(K201="",F201=""),"",K201-I201)</f>
        <v/>
      </c>
      <c r="M201" s="34" t="str">
        <f aca="false">IF(L201="","",L201/K201)</f>
        <v/>
      </c>
      <c r="N201" s="43" t="str">
        <f aca="true">IF(D201="","",IF(J201="",TODAY()-D201,J201-D201))</f>
        <v/>
      </c>
      <c r="O201" s="31" t="str">
        <f aca="false">IF(L201="","",IF(L201&lt;=0,0,ROUND(L201-L201/(1+Einstellungen!$B$10),2)))</f>
        <v/>
      </c>
      <c r="P201" s="35" t="str">
        <f aca="false">IF(F201="","",IF(K201="",IF(N201&gt;90,"an Lager &gt;90 Tage!","an Lager"),"verkauft"))</f>
        <v/>
      </c>
    </row>
    <row r="202" customFormat="false" ht="15" hidden="false" customHeight="false" outlineLevel="0" collapsed="false">
      <c r="A202" s="32"/>
      <c r="B202" s="32"/>
      <c r="C202" s="32"/>
      <c r="D202" s="33"/>
      <c r="E202" s="32"/>
      <c r="F202" s="30"/>
      <c r="G202" s="30"/>
      <c r="H202" s="30"/>
      <c r="I202" s="31" t="str">
        <f aca="false">IF(F202="","",F202+G202+H202)</f>
        <v/>
      </c>
      <c r="J202" s="33"/>
      <c r="K202" s="30"/>
      <c r="L202" s="31" t="str">
        <f aca="false">IF(OR(K202="",F202=""),"",K202-I202)</f>
        <v/>
      </c>
      <c r="M202" s="34" t="str">
        <f aca="false">IF(L202="","",L202/K202)</f>
        <v/>
      </c>
      <c r="N202" s="43" t="str">
        <f aca="true">IF(D202="","",IF(J202="",TODAY()-D202,J202-D202))</f>
        <v/>
      </c>
      <c r="O202" s="31" t="str">
        <f aca="false">IF(L202="","",IF(L202&lt;=0,0,ROUND(L202-L202/(1+Einstellungen!$B$10),2)))</f>
        <v/>
      </c>
      <c r="P202" s="35" t="str">
        <f aca="false">IF(F202="","",IF(K202="",IF(N202&gt;90,"an Lager &gt;90 Tage!","an Lager"),"verkauft"))</f>
        <v/>
      </c>
    </row>
    <row r="203" customFormat="false" ht="15" hidden="false" customHeight="false" outlineLevel="0" collapsed="false">
      <c r="A203" s="32"/>
      <c r="B203" s="32"/>
      <c r="C203" s="32"/>
      <c r="D203" s="33"/>
      <c r="E203" s="32"/>
      <c r="F203" s="30"/>
      <c r="G203" s="30"/>
      <c r="H203" s="30"/>
      <c r="I203" s="31" t="str">
        <f aca="false">IF(F203="","",F203+G203+H203)</f>
        <v/>
      </c>
      <c r="J203" s="33"/>
      <c r="K203" s="30"/>
      <c r="L203" s="31" t="str">
        <f aca="false">IF(OR(K203="",F203=""),"",K203-I203)</f>
        <v/>
      </c>
      <c r="M203" s="34" t="str">
        <f aca="false">IF(L203="","",L203/K203)</f>
        <v/>
      </c>
      <c r="N203" s="43" t="str">
        <f aca="true">IF(D203="","",IF(J203="",TODAY()-D203,J203-D203))</f>
        <v/>
      </c>
      <c r="O203" s="31" t="str">
        <f aca="false">IF(L203="","",IF(L203&lt;=0,0,ROUND(L203-L203/(1+Einstellungen!$B$10),2)))</f>
        <v/>
      </c>
      <c r="P203" s="35" t="str">
        <f aca="false">IF(F203="","",IF(K203="",IF(N203&gt;90,"an Lager &gt;90 Tage!","an Lager"),"verkauft"))</f>
        <v/>
      </c>
    </row>
    <row r="204" customFormat="false" ht="15" hidden="false" customHeight="false" outlineLevel="0" collapsed="false">
      <c r="A204" s="32"/>
      <c r="B204" s="32"/>
      <c r="C204" s="32"/>
      <c r="D204" s="33"/>
      <c r="E204" s="32"/>
      <c r="F204" s="30"/>
      <c r="G204" s="30"/>
      <c r="H204" s="30"/>
      <c r="I204" s="31" t="str">
        <f aca="false">IF(F204="","",F204+G204+H204)</f>
        <v/>
      </c>
      <c r="J204" s="33"/>
      <c r="K204" s="30"/>
      <c r="L204" s="31" t="str">
        <f aca="false">IF(OR(K204="",F204=""),"",K204-I204)</f>
        <v/>
      </c>
      <c r="M204" s="34" t="str">
        <f aca="false">IF(L204="","",L204/K204)</f>
        <v/>
      </c>
      <c r="N204" s="43" t="str">
        <f aca="true">IF(D204="","",IF(J204="",TODAY()-D204,J204-D204))</f>
        <v/>
      </c>
      <c r="O204" s="31" t="str">
        <f aca="false">IF(L204="","",IF(L204&lt;=0,0,ROUND(L204-L204/(1+Einstellungen!$B$10),2)))</f>
        <v/>
      </c>
      <c r="P204" s="35" t="str">
        <f aca="false">IF(F204="","",IF(K204="",IF(N204&gt;90,"an Lager &gt;90 Tage!","an Lager"),"verkauft"))</f>
        <v/>
      </c>
    </row>
    <row r="205" customFormat="false" ht="15" hidden="false" customHeight="false" outlineLevel="0" collapsed="false">
      <c r="A205" s="32"/>
      <c r="B205" s="32"/>
      <c r="C205" s="32"/>
      <c r="D205" s="33"/>
      <c r="E205" s="32"/>
      <c r="F205" s="30"/>
      <c r="G205" s="30"/>
      <c r="H205" s="30"/>
      <c r="I205" s="31" t="str">
        <f aca="false">IF(F205="","",F205+G205+H205)</f>
        <v/>
      </c>
      <c r="J205" s="33"/>
      <c r="K205" s="30"/>
      <c r="L205" s="31" t="str">
        <f aca="false">IF(OR(K205="",F205=""),"",K205-I205)</f>
        <v/>
      </c>
      <c r="M205" s="34" t="str">
        <f aca="false">IF(L205="","",L205/K205)</f>
        <v/>
      </c>
      <c r="N205" s="43" t="str">
        <f aca="true">IF(D205="","",IF(J205="",TODAY()-D205,J205-D205))</f>
        <v/>
      </c>
      <c r="O205" s="31" t="str">
        <f aca="false">IF(L205="","",IF(L205&lt;=0,0,ROUND(L205-L205/(1+Einstellungen!$B$10),2)))</f>
        <v/>
      </c>
      <c r="P205" s="35" t="str">
        <f aca="false">IF(F205="","",IF(K205="",IF(N205&gt;90,"an Lager &gt;90 Tage!","an Lager"),"verkauft"))</f>
        <v/>
      </c>
    </row>
    <row r="206" customFormat="false" ht="15" hidden="false" customHeight="false" outlineLevel="0" collapsed="false">
      <c r="A206" s="32"/>
      <c r="B206" s="32"/>
      <c r="C206" s="32"/>
      <c r="D206" s="33"/>
      <c r="E206" s="32"/>
      <c r="F206" s="30"/>
      <c r="G206" s="30"/>
      <c r="H206" s="30"/>
      <c r="I206" s="31" t="str">
        <f aca="false">IF(F206="","",F206+G206+H206)</f>
        <v/>
      </c>
      <c r="J206" s="33"/>
      <c r="K206" s="30"/>
      <c r="L206" s="31" t="str">
        <f aca="false">IF(OR(K206="",F206=""),"",K206-I206)</f>
        <v/>
      </c>
      <c r="M206" s="34" t="str">
        <f aca="false">IF(L206="","",L206/K206)</f>
        <v/>
      </c>
      <c r="N206" s="43" t="str">
        <f aca="true">IF(D206="","",IF(J206="",TODAY()-D206,J206-D206))</f>
        <v/>
      </c>
      <c r="O206" s="31" t="str">
        <f aca="false">IF(L206="","",IF(L206&lt;=0,0,ROUND(L206-L206/(1+Einstellungen!$B$10),2)))</f>
        <v/>
      </c>
      <c r="P206" s="35" t="str">
        <f aca="false">IF(F206="","",IF(K206="",IF(N206&gt;90,"an Lager &gt;90 Tage!","an Lager"),"verkauft"))</f>
        <v/>
      </c>
    </row>
  </sheetData>
  <dataValidations count="1">
    <dataValidation allowBlank="false" errorStyle="stop" operator="between" showDropDown="false" showErrorMessage="false" showInputMessage="false" sqref="E7:E206" type="list">
      <formula1>"Privat,Händler,Eintausch,Leasingrückläufer"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M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24"/>
  </cols>
  <sheetData>
    <row r="1" customFormat="false" ht="19.7" hidden="false" customHeight="false" outlineLevel="0" collapsed="false">
      <c r="A1" s="1" t="s">
        <v>496</v>
      </c>
    </row>
    <row r="3" customFormat="false" ht="15" hidden="false" customHeight="false" outlineLevel="0" collapsed="false">
      <c r="A3" s="0" t="s">
        <v>497</v>
      </c>
      <c r="C3" s="12" t="n">
        <f aca="false">SUM(J7:J506)</f>
        <v>0</v>
      </c>
      <c r="E3" s="14" t="s">
        <v>498</v>
      </c>
      <c r="G3" s="12" t="n">
        <f aca="false">SUMIF(Kontenplan!$A$5:$A$90,1100,Kontenplan!$K$5:$K$90)</f>
        <v>0</v>
      </c>
      <c r="I3" s="9" t="s">
        <v>499</v>
      </c>
    </row>
    <row r="4" customFormat="false" ht="15" hidden="false" customHeight="false" outlineLevel="0" collapsed="false">
      <c r="A4" s="0" t="s">
        <v>500</v>
      </c>
      <c r="C4" s="12" t="n">
        <f aca="false">SUMIF(K7:K506,"&gt;0",J7:J506)</f>
        <v>0</v>
      </c>
      <c r="E4" s="14" t="s">
        <v>501</v>
      </c>
      <c r="G4" s="0" t="str">
        <f aca="false">IF(ABS(C3-G3)&lt;1,"stimmt ✓","Differenz: Liste vs. Buchhaltung prüfen")</f>
        <v>stimmt ✓</v>
      </c>
      <c r="I4" s="9" t="s">
        <v>502</v>
      </c>
    </row>
    <row r="5" customFormat="false" ht="15" hidden="false" customHeight="false" outlineLevel="0" collapsed="false">
      <c r="I5" s="9" t="s">
        <v>503</v>
      </c>
    </row>
    <row r="6" customFormat="false" ht="31.5" hidden="false" customHeight="true" outlineLevel="0" collapsed="false">
      <c r="A6" s="10" t="s">
        <v>504</v>
      </c>
      <c r="B6" s="10" t="s">
        <v>344</v>
      </c>
      <c r="C6" s="10" t="s">
        <v>505</v>
      </c>
      <c r="D6" s="10" t="s">
        <v>506</v>
      </c>
      <c r="E6" s="10" t="s">
        <v>349</v>
      </c>
      <c r="F6" s="10" t="s">
        <v>507</v>
      </c>
      <c r="G6" s="10" t="s">
        <v>508</v>
      </c>
      <c r="H6" s="10" t="s">
        <v>509</v>
      </c>
      <c r="I6" s="10" t="s">
        <v>510</v>
      </c>
      <c r="J6" s="10" t="s">
        <v>511</v>
      </c>
      <c r="K6" s="10" t="s">
        <v>512</v>
      </c>
      <c r="L6" s="10" t="s">
        <v>513</v>
      </c>
      <c r="M6" s="10" t="s">
        <v>270</v>
      </c>
    </row>
    <row r="7" customFormat="false" ht="15" hidden="false" customHeight="false" outlineLevel="0" collapsed="false">
      <c r="A7" s="32" t="s">
        <v>364</v>
      </c>
      <c r="B7" s="33" t="n">
        <v>46031</v>
      </c>
      <c r="C7" s="32" t="s">
        <v>514</v>
      </c>
      <c r="D7" s="32" t="s">
        <v>515</v>
      </c>
      <c r="E7" s="30" t="n">
        <v>2486.3</v>
      </c>
      <c r="F7" s="32" t="n">
        <v>30</v>
      </c>
      <c r="G7" s="44" t="n">
        <f aca="false">IF(B7="","",B7+IF(F7="",Einstellungen!$B$40,F7))</f>
        <v>46061</v>
      </c>
      <c r="H7" s="33" t="n">
        <v>46058</v>
      </c>
      <c r="I7" s="30" t="n">
        <v>2486.3</v>
      </c>
      <c r="J7" s="31" t="n">
        <f aca="false">IF(E7="","",E7-N(I7))</f>
        <v>0</v>
      </c>
      <c r="K7" s="43" t="str">
        <f aca="true">IF(OR(E7="",G7=""),"",IF(J7&lt;=0.004,"",MAX(0,TODAY()-G7)))</f>
        <v/>
      </c>
      <c r="L7" s="43" t="str">
        <f aca="false">IF(K7="","",IF(K7&gt;60,3,IF(K7&gt;30,2,IF(K7&gt;0,1,0))))</f>
        <v/>
      </c>
      <c r="M7" s="35" t="str">
        <f aca="false">IF(E7="","",IF(J7&lt;=0.004,"bezahlt",IF(N(K7)&gt;0,"überfällig – Mahnung "&amp;L7,"offen")))</f>
        <v>bezahlt</v>
      </c>
    </row>
    <row r="8" customFormat="false" ht="15" hidden="false" customHeight="false" outlineLevel="0" collapsed="false">
      <c r="A8" s="32"/>
      <c r="B8" s="33"/>
      <c r="C8" s="32"/>
      <c r="D8" s="32"/>
      <c r="E8" s="30"/>
      <c r="F8" s="32"/>
      <c r="G8" s="44" t="str">
        <f aca="false">IF(B8="","",B8+IF(F8="",Einstellungen!$B$40,F8))</f>
        <v/>
      </c>
      <c r="H8" s="33"/>
      <c r="I8" s="30"/>
      <c r="J8" s="31" t="str">
        <f aca="false">IF(E8="","",E8-N(I8))</f>
        <v/>
      </c>
      <c r="K8" s="43" t="str">
        <f aca="true">IF(OR(E8="",G8=""),"",IF(J8&lt;=0.004,"",MAX(0,TODAY()-G8)))</f>
        <v/>
      </c>
      <c r="L8" s="43" t="str">
        <f aca="false">IF(K8="","",IF(K8&gt;60,3,IF(K8&gt;30,2,IF(K8&gt;0,1,0))))</f>
        <v/>
      </c>
      <c r="M8" s="35" t="str">
        <f aca="false">IF(E8="","",IF(J8&lt;=0.004,"bezahlt",IF(N(K8)&gt;0,"überfällig – Mahnung "&amp;L8,"offen")))</f>
        <v/>
      </c>
    </row>
    <row r="9" customFormat="false" ht="15" hidden="false" customHeight="false" outlineLevel="0" collapsed="false">
      <c r="A9" s="32"/>
      <c r="B9" s="33"/>
      <c r="C9" s="32"/>
      <c r="D9" s="32"/>
      <c r="E9" s="30"/>
      <c r="F9" s="32"/>
      <c r="G9" s="44" t="str">
        <f aca="false">IF(B9="","",B9+IF(F9="",Einstellungen!$B$40,F9))</f>
        <v/>
      </c>
      <c r="H9" s="33"/>
      <c r="I9" s="30"/>
      <c r="J9" s="31" t="str">
        <f aca="false">IF(E9="","",E9-N(I9))</f>
        <v/>
      </c>
      <c r="K9" s="43" t="str">
        <f aca="true">IF(OR(E9="",G9=""),"",IF(J9&lt;=0.004,"",MAX(0,TODAY()-G9)))</f>
        <v/>
      </c>
      <c r="L9" s="43" t="str">
        <f aca="false">IF(K9="","",IF(K9&gt;60,3,IF(K9&gt;30,2,IF(K9&gt;0,1,0))))</f>
        <v/>
      </c>
      <c r="M9" s="35" t="str">
        <f aca="false">IF(E9="","",IF(J9&lt;=0.004,"bezahlt",IF(N(K9)&gt;0,"überfällig – Mahnung "&amp;L9,"offen")))</f>
        <v/>
      </c>
    </row>
    <row r="10" customFormat="false" ht="15" hidden="false" customHeight="false" outlineLevel="0" collapsed="false">
      <c r="A10" s="32"/>
      <c r="B10" s="33"/>
      <c r="C10" s="32"/>
      <c r="D10" s="32"/>
      <c r="E10" s="30"/>
      <c r="F10" s="32"/>
      <c r="G10" s="44" t="str">
        <f aca="false">IF(B10="","",B10+IF(F10="",Einstellungen!$B$40,F10))</f>
        <v/>
      </c>
      <c r="H10" s="33"/>
      <c r="I10" s="30"/>
      <c r="J10" s="31" t="str">
        <f aca="false">IF(E10="","",E10-N(I10))</f>
        <v/>
      </c>
      <c r="K10" s="43" t="str">
        <f aca="true">IF(OR(E10="",G10=""),"",IF(J10&lt;=0.004,"",MAX(0,TODAY()-G10)))</f>
        <v/>
      </c>
      <c r="L10" s="43" t="str">
        <f aca="false">IF(K10="","",IF(K10&gt;60,3,IF(K10&gt;30,2,IF(K10&gt;0,1,0))))</f>
        <v/>
      </c>
      <c r="M10" s="35" t="str">
        <f aca="false">IF(E10="","",IF(J10&lt;=0.004,"bezahlt",IF(N(K10)&gt;0,"überfällig – Mahnung "&amp;L10,"offen")))</f>
        <v/>
      </c>
    </row>
    <row r="11" customFormat="false" ht="15" hidden="false" customHeight="false" outlineLevel="0" collapsed="false">
      <c r="A11" s="32"/>
      <c r="B11" s="33"/>
      <c r="C11" s="32"/>
      <c r="D11" s="32"/>
      <c r="E11" s="30"/>
      <c r="F11" s="32"/>
      <c r="G11" s="44" t="str">
        <f aca="false">IF(B11="","",B11+IF(F11="",Einstellungen!$B$40,F11))</f>
        <v/>
      </c>
      <c r="H11" s="33"/>
      <c r="I11" s="30"/>
      <c r="J11" s="31" t="str">
        <f aca="false">IF(E11="","",E11-N(I11))</f>
        <v/>
      </c>
      <c r="K11" s="43" t="str">
        <f aca="true">IF(OR(E11="",G11=""),"",IF(J11&lt;=0.004,"",MAX(0,TODAY()-G11)))</f>
        <v/>
      </c>
      <c r="L11" s="43" t="str">
        <f aca="false">IF(K11="","",IF(K11&gt;60,3,IF(K11&gt;30,2,IF(K11&gt;0,1,0))))</f>
        <v/>
      </c>
      <c r="M11" s="35" t="str">
        <f aca="false">IF(E11="","",IF(J11&lt;=0.004,"bezahlt",IF(N(K11)&gt;0,"überfällig – Mahnung "&amp;L11,"offen")))</f>
        <v/>
      </c>
    </row>
    <row r="12" customFormat="false" ht="15" hidden="false" customHeight="false" outlineLevel="0" collapsed="false">
      <c r="A12" s="32"/>
      <c r="B12" s="33"/>
      <c r="C12" s="32"/>
      <c r="D12" s="32"/>
      <c r="E12" s="30"/>
      <c r="F12" s="32"/>
      <c r="G12" s="44" t="str">
        <f aca="false">IF(B12="","",B12+IF(F12="",Einstellungen!$B$40,F12))</f>
        <v/>
      </c>
      <c r="H12" s="33"/>
      <c r="I12" s="30"/>
      <c r="J12" s="31" t="str">
        <f aca="false">IF(E12="","",E12-N(I12))</f>
        <v/>
      </c>
      <c r="K12" s="43" t="str">
        <f aca="true">IF(OR(E12="",G12=""),"",IF(J12&lt;=0.004,"",MAX(0,TODAY()-G12)))</f>
        <v/>
      </c>
      <c r="L12" s="43" t="str">
        <f aca="false">IF(K12="","",IF(K12&gt;60,3,IF(K12&gt;30,2,IF(K12&gt;0,1,0))))</f>
        <v/>
      </c>
      <c r="M12" s="35" t="str">
        <f aca="false">IF(E12="","",IF(J12&lt;=0.004,"bezahlt",IF(N(K12)&gt;0,"überfällig – Mahnung "&amp;L12,"offen")))</f>
        <v/>
      </c>
    </row>
    <row r="13" customFormat="false" ht="15" hidden="false" customHeight="false" outlineLevel="0" collapsed="false">
      <c r="A13" s="32"/>
      <c r="B13" s="33"/>
      <c r="C13" s="32"/>
      <c r="D13" s="32"/>
      <c r="E13" s="30"/>
      <c r="F13" s="32"/>
      <c r="G13" s="44" t="str">
        <f aca="false">IF(B13="","",B13+IF(F13="",Einstellungen!$B$40,F13))</f>
        <v/>
      </c>
      <c r="H13" s="33"/>
      <c r="I13" s="30"/>
      <c r="J13" s="31" t="str">
        <f aca="false">IF(E13="","",E13-N(I13))</f>
        <v/>
      </c>
      <c r="K13" s="43" t="str">
        <f aca="true">IF(OR(E13="",G13=""),"",IF(J13&lt;=0.004,"",MAX(0,TODAY()-G13)))</f>
        <v/>
      </c>
      <c r="L13" s="43" t="str">
        <f aca="false">IF(K13="","",IF(K13&gt;60,3,IF(K13&gt;30,2,IF(K13&gt;0,1,0))))</f>
        <v/>
      </c>
      <c r="M13" s="35" t="str">
        <f aca="false">IF(E13="","",IF(J13&lt;=0.004,"bezahlt",IF(N(K13)&gt;0,"überfällig – Mahnung "&amp;L13,"offen")))</f>
        <v/>
      </c>
    </row>
    <row r="14" customFormat="false" ht="15" hidden="false" customHeight="false" outlineLevel="0" collapsed="false">
      <c r="A14" s="32"/>
      <c r="B14" s="33"/>
      <c r="C14" s="32"/>
      <c r="D14" s="32"/>
      <c r="E14" s="30"/>
      <c r="F14" s="32"/>
      <c r="G14" s="44" t="str">
        <f aca="false">IF(B14="","",B14+IF(F14="",Einstellungen!$B$40,F14))</f>
        <v/>
      </c>
      <c r="H14" s="33"/>
      <c r="I14" s="30"/>
      <c r="J14" s="31" t="str">
        <f aca="false">IF(E14="","",E14-N(I14))</f>
        <v/>
      </c>
      <c r="K14" s="43" t="str">
        <f aca="true">IF(OR(E14="",G14=""),"",IF(J14&lt;=0.004,"",MAX(0,TODAY()-G14)))</f>
        <v/>
      </c>
      <c r="L14" s="43" t="str">
        <f aca="false">IF(K14="","",IF(K14&gt;60,3,IF(K14&gt;30,2,IF(K14&gt;0,1,0))))</f>
        <v/>
      </c>
      <c r="M14" s="35" t="str">
        <f aca="false">IF(E14="","",IF(J14&lt;=0.004,"bezahlt",IF(N(K14)&gt;0,"überfällig – Mahnung "&amp;L14,"offen")))</f>
        <v/>
      </c>
    </row>
    <row r="15" customFormat="false" ht="15" hidden="false" customHeight="false" outlineLevel="0" collapsed="false">
      <c r="A15" s="32"/>
      <c r="B15" s="33"/>
      <c r="C15" s="32"/>
      <c r="D15" s="32"/>
      <c r="E15" s="30"/>
      <c r="F15" s="32"/>
      <c r="G15" s="44" t="str">
        <f aca="false">IF(B15="","",B15+IF(F15="",Einstellungen!$B$40,F15))</f>
        <v/>
      </c>
      <c r="H15" s="33"/>
      <c r="I15" s="30"/>
      <c r="J15" s="31" t="str">
        <f aca="false">IF(E15="","",E15-N(I15))</f>
        <v/>
      </c>
      <c r="K15" s="43" t="str">
        <f aca="true">IF(OR(E15="",G15=""),"",IF(J15&lt;=0.004,"",MAX(0,TODAY()-G15)))</f>
        <v/>
      </c>
      <c r="L15" s="43" t="str">
        <f aca="false">IF(K15="","",IF(K15&gt;60,3,IF(K15&gt;30,2,IF(K15&gt;0,1,0))))</f>
        <v/>
      </c>
      <c r="M15" s="35" t="str">
        <f aca="false">IF(E15="","",IF(J15&lt;=0.004,"bezahlt",IF(N(K15)&gt;0,"überfällig – Mahnung "&amp;L15,"offen")))</f>
        <v/>
      </c>
    </row>
    <row r="16" customFormat="false" ht="15" hidden="false" customHeight="false" outlineLevel="0" collapsed="false">
      <c r="A16" s="32"/>
      <c r="B16" s="33"/>
      <c r="C16" s="32"/>
      <c r="D16" s="32"/>
      <c r="E16" s="30"/>
      <c r="F16" s="32"/>
      <c r="G16" s="44" t="str">
        <f aca="false">IF(B16="","",B16+IF(F16="",Einstellungen!$B$40,F16))</f>
        <v/>
      </c>
      <c r="H16" s="33"/>
      <c r="I16" s="30"/>
      <c r="J16" s="31" t="str">
        <f aca="false">IF(E16="","",E16-N(I16))</f>
        <v/>
      </c>
      <c r="K16" s="43" t="str">
        <f aca="true">IF(OR(E16="",G16=""),"",IF(J16&lt;=0.004,"",MAX(0,TODAY()-G16)))</f>
        <v/>
      </c>
      <c r="L16" s="43" t="str">
        <f aca="false">IF(K16="","",IF(K16&gt;60,3,IF(K16&gt;30,2,IF(K16&gt;0,1,0))))</f>
        <v/>
      </c>
      <c r="M16" s="35" t="str">
        <f aca="false">IF(E16="","",IF(J16&lt;=0.004,"bezahlt",IF(N(K16)&gt;0,"überfällig – Mahnung "&amp;L16,"offen")))</f>
        <v/>
      </c>
    </row>
    <row r="17" customFormat="false" ht="15" hidden="false" customHeight="false" outlineLevel="0" collapsed="false">
      <c r="A17" s="32"/>
      <c r="B17" s="33"/>
      <c r="C17" s="32"/>
      <c r="D17" s="32"/>
      <c r="E17" s="30"/>
      <c r="F17" s="32"/>
      <c r="G17" s="44" t="str">
        <f aca="false">IF(B17="","",B17+IF(F17="",Einstellungen!$B$40,F17))</f>
        <v/>
      </c>
      <c r="H17" s="33"/>
      <c r="I17" s="30"/>
      <c r="J17" s="31" t="str">
        <f aca="false">IF(E17="","",E17-N(I17))</f>
        <v/>
      </c>
      <c r="K17" s="43" t="str">
        <f aca="true">IF(OR(E17="",G17=""),"",IF(J17&lt;=0.004,"",MAX(0,TODAY()-G17)))</f>
        <v/>
      </c>
      <c r="L17" s="43" t="str">
        <f aca="false">IF(K17="","",IF(K17&gt;60,3,IF(K17&gt;30,2,IF(K17&gt;0,1,0))))</f>
        <v/>
      </c>
      <c r="M17" s="35" t="str">
        <f aca="false">IF(E17="","",IF(J17&lt;=0.004,"bezahlt",IF(N(K17)&gt;0,"überfällig – Mahnung "&amp;L17,"offen")))</f>
        <v/>
      </c>
    </row>
    <row r="18" customFormat="false" ht="15" hidden="false" customHeight="false" outlineLevel="0" collapsed="false">
      <c r="A18" s="32"/>
      <c r="B18" s="33"/>
      <c r="C18" s="32"/>
      <c r="D18" s="32"/>
      <c r="E18" s="30"/>
      <c r="F18" s="32"/>
      <c r="G18" s="44" t="str">
        <f aca="false">IF(B18="","",B18+IF(F18="",Einstellungen!$B$40,F18))</f>
        <v/>
      </c>
      <c r="H18" s="33"/>
      <c r="I18" s="30"/>
      <c r="J18" s="31" t="str">
        <f aca="false">IF(E18="","",E18-N(I18))</f>
        <v/>
      </c>
      <c r="K18" s="43" t="str">
        <f aca="true">IF(OR(E18="",G18=""),"",IF(J18&lt;=0.004,"",MAX(0,TODAY()-G18)))</f>
        <v/>
      </c>
      <c r="L18" s="43" t="str">
        <f aca="false">IF(K18="","",IF(K18&gt;60,3,IF(K18&gt;30,2,IF(K18&gt;0,1,0))))</f>
        <v/>
      </c>
      <c r="M18" s="35" t="str">
        <f aca="false">IF(E18="","",IF(J18&lt;=0.004,"bezahlt",IF(N(K18)&gt;0,"überfällig – Mahnung "&amp;L18,"offen")))</f>
        <v/>
      </c>
    </row>
    <row r="19" customFormat="false" ht="15" hidden="false" customHeight="false" outlineLevel="0" collapsed="false">
      <c r="A19" s="32"/>
      <c r="B19" s="33"/>
      <c r="C19" s="32"/>
      <c r="D19" s="32"/>
      <c r="E19" s="30"/>
      <c r="F19" s="32"/>
      <c r="G19" s="44" t="str">
        <f aca="false">IF(B19="","",B19+IF(F19="",Einstellungen!$B$40,F19))</f>
        <v/>
      </c>
      <c r="H19" s="33"/>
      <c r="I19" s="30"/>
      <c r="J19" s="31" t="str">
        <f aca="false">IF(E19="","",E19-N(I19))</f>
        <v/>
      </c>
      <c r="K19" s="43" t="str">
        <f aca="true">IF(OR(E19="",G19=""),"",IF(J19&lt;=0.004,"",MAX(0,TODAY()-G19)))</f>
        <v/>
      </c>
      <c r="L19" s="43" t="str">
        <f aca="false">IF(K19="","",IF(K19&gt;60,3,IF(K19&gt;30,2,IF(K19&gt;0,1,0))))</f>
        <v/>
      </c>
      <c r="M19" s="35" t="str">
        <f aca="false">IF(E19="","",IF(J19&lt;=0.004,"bezahlt",IF(N(K19)&gt;0,"überfällig – Mahnung "&amp;L19,"offen")))</f>
        <v/>
      </c>
    </row>
    <row r="20" customFormat="false" ht="15" hidden="false" customHeight="false" outlineLevel="0" collapsed="false">
      <c r="A20" s="32"/>
      <c r="B20" s="33"/>
      <c r="C20" s="32"/>
      <c r="D20" s="32"/>
      <c r="E20" s="30"/>
      <c r="F20" s="32"/>
      <c r="G20" s="44" t="str">
        <f aca="false">IF(B20="","",B20+IF(F20="",Einstellungen!$B$40,F20))</f>
        <v/>
      </c>
      <c r="H20" s="33"/>
      <c r="I20" s="30"/>
      <c r="J20" s="31" t="str">
        <f aca="false">IF(E20="","",E20-N(I20))</f>
        <v/>
      </c>
      <c r="K20" s="43" t="str">
        <f aca="true">IF(OR(E20="",G20=""),"",IF(J20&lt;=0.004,"",MAX(0,TODAY()-G20)))</f>
        <v/>
      </c>
      <c r="L20" s="43" t="str">
        <f aca="false">IF(K20="","",IF(K20&gt;60,3,IF(K20&gt;30,2,IF(K20&gt;0,1,0))))</f>
        <v/>
      </c>
      <c r="M20" s="35" t="str">
        <f aca="false">IF(E20="","",IF(J20&lt;=0.004,"bezahlt",IF(N(K20)&gt;0,"überfällig – Mahnung "&amp;L20,"offen")))</f>
        <v/>
      </c>
    </row>
    <row r="21" customFormat="false" ht="15" hidden="false" customHeight="false" outlineLevel="0" collapsed="false">
      <c r="A21" s="32"/>
      <c r="B21" s="33"/>
      <c r="C21" s="32"/>
      <c r="D21" s="32"/>
      <c r="E21" s="30"/>
      <c r="F21" s="32"/>
      <c r="G21" s="44" t="str">
        <f aca="false">IF(B21="","",B21+IF(F21="",Einstellungen!$B$40,F21))</f>
        <v/>
      </c>
      <c r="H21" s="33"/>
      <c r="I21" s="30"/>
      <c r="J21" s="31" t="str">
        <f aca="false">IF(E21="","",E21-N(I21))</f>
        <v/>
      </c>
      <c r="K21" s="43" t="str">
        <f aca="true">IF(OR(E21="",G21=""),"",IF(J21&lt;=0.004,"",MAX(0,TODAY()-G21)))</f>
        <v/>
      </c>
      <c r="L21" s="43" t="str">
        <f aca="false">IF(K21="","",IF(K21&gt;60,3,IF(K21&gt;30,2,IF(K21&gt;0,1,0))))</f>
        <v/>
      </c>
      <c r="M21" s="35" t="str">
        <f aca="false">IF(E21="","",IF(J21&lt;=0.004,"bezahlt",IF(N(K21)&gt;0,"überfällig – Mahnung "&amp;L21,"offen")))</f>
        <v/>
      </c>
    </row>
    <row r="22" customFormat="false" ht="15" hidden="false" customHeight="false" outlineLevel="0" collapsed="false">
      <c r="A22" s="32"/>
      <c r="B22" s="33"/>
      <c r="C22" s="32"/>
      <c r="D22" s="32"/>
      <c r="E22" s="30"/>
      <c r="F22" s="32"/>
      <c r="G22" s="44" t="str">
        <f aca="false">IF(B22="","",B22+IF(F22="",Einstellungen!$B$40,F22))</f>
        <v/>
      </c>
      <c r="H22" s="33"/>
      <c r="I22" s="30"/>
      <c r="J22" s="31" t="str">
        <f aca="false">IF(E22="","",E22-N(I22))</f>
        <v/>
      </c>
      <c r="K22" s="43" t="str">
        <f aca="true">IF(OR(E22="",G22=""),"",IF(J22&lt;=0.004,"",MAX(0,TODAY()-G22)))</f>
        <v/>
      </c>
      <c r="L22" s="43" t="str">
        <f aca="false">IF(K22="","",IF(K22&gt;60,3,IF(K22&gt;30,2,IF(K22&gt;0,1,0))))</f>
        <v/>
      </c>
      <c r="M22" s="35" t="str">
        <f aca="false">IF(E22="","",IF(J22&lt;=0.004,"bezahlt",IF(N(K22)&gt;0,"überfällig – Mahnung "&amp;L22,"offen")))</f>
        <v/>
      </c>
    </row>
    <row r="23" customFormat="false" ht="15" hidden="false" customHeight="false" outlineLevel="0" collapsed="false">
      <c r="A23" s="32"/>
      <c r="B23" s="33"/>
      <c r="C23" s="32"/>
      <c r="D23" s="32"/>
      <c r="E23" s="30"/>
      <c r="F23" s="32"/>
      <c r="G23" s="44" t="str">
        <f aca="false">IF(B23="","",B23+IF(F23="",Einstellungen!$B$40,F23))</f>
        <v/>
      </c>
      <c r="H23" s="33"/>
      <c r="I23" s="30"/>
      <c r="J23" s="31" t="str">
        <f aca="false">IF(E23="","",E23-N(I23))</f>
        <v/>
      </c>
      <c r="K23" s="43" t="str">
        <f aca="true">IF(OR(E23="",G23=""),"",IF(J23&lt;=0.004,"",MAX(0,TODAY()-G23)))</f>
        <v/>
      </c>
      <c r="L23" s="43" t="str">
        <f aca="false">IF(K23="","",IF(K23&gt;60,3,IF(K23&gt;30,2,IF(K23&gt;0,1,0))))</f>
        <v/>
      </c>
      <c r="M23" s="35" t="str">
        <f aca="false">IF(E23="","",IF(J23&lt;=0.004,"bezahlt",IF(N(K23)&gt;0,"überfällig – Mahnung "&amp;L23,"offen")))</f>
        <v/>
      </c>
    </row>
    <row r="24" customFormat="false" ht="15" hidden="false" customHeight="false" outlineLevel="0" collapsed="false">
      <c r="A24" s="32"/>
      <c r="B24" s="33"/>
      <c r="C24" s="32"/>
      <c r="D24" s="32"/>
      <c r="E24" s="30"/>
      <c r="F24" s="32"/>
      <c r="G24" s="44" t="str">
        <f aca="false">IF(B24="","",B24+IF(F24="",Einstellungen!$B$40,F24))</f>
        <v/>
      </c>
      <c r="H24" s="33"/>
      <c r="I24" s="30"/>
      <c r="J24" s="31" t="str">
        <f aca="false">IF(E24="","",E24-N(I24))</f>
        <v/>
      </c>
      <c r="K24" s="43" t="str">
        <f aca="true">IF(OR(E24="",G24=""),"",IF(J24&lt;=0.004,"",MAX(0,TODAY()-G24)))</f>
        <v/>
      </c>
      <c r="L24" s="43" t="str">
        <f aca="false">IF(K24="","",IF(K24&gt;60,3,IF(K24&gt;30,2,IF(K24&gt;0,1,0))))</f>
        <v/>
      </c>
      <c r="M24" s="35" t="str">
        <f aca="false">IF(E24="","",IF(J24&lt;=0.004,"bezahlt",IF(N(K24)&gt;0,"überfällig – Mahnung "&amp;L24,"offen")))</f>
        <v/>
      </c>
    </row>
    <row r="25" customFormat="false" ht="15" hidden="false" customHeight="false" outlineLevel="0" collapsed="false">
      <c r="A25" s="32"/>
      <c r="B25" s="33"/>
      <c r="C25" s="32"/>
      <c r="D25" s="32"/>
      <c r="E25" s="30"/>
      <c r="F25" s="32"/>
      <c r="G25" s="44" t="str">
        <f aca="false">IF(B25="","",B25+IF(F25="",Einstellungen!$B$40,F25))</f>
        <v/>
      </c>
      <c r="H25" s="33"/>
      <c r="I25" s="30"/>
      <c r="J25" s="31" t="str">
        <f aca="false">IF(E25="","",E25-N(I25))</f>
        <v/>
      </c>
      <c r="K25" s="43" t="str">
        <f aca="true">IF(OR(E25="",G25=""),"",IF(J25&lt;=0.004,"",MAX(0,TODAY()-G25)))</f>
        <v/>
      </c>
      <c r="L25" s="43" t="str">
        <f aca="false">IF(K25="","",IF(K25&gt;60,3,IF(K25&gt;30,2,IF(K25&gt;0,1,0))))</f>
        <v/>
      </c>
      <c r="M25" s="35" t="str">
        <f aca="false">IF(E25="","",IF(J25&lt;=0.004,"bezahlt",IF(N(K25)&gt;0,"überfällig – Mahnung "&amp;L25,"offen")))</f>
        <v/>
      </c>
    </row>
    <row r="26" customFormat="false" ht="15" hidden="false" customHeight="false" outlineLevel="0" collapsed="false">
      <c r="A26" s="32"/>
      <c r="B26" s="33"/>
      <c r="C26" s="32"/>
      <c r="D26" s="32"/>
      <c r="E26" s="30"/>
      <c r="F26" s="32"/>
      <c r="G26" s="44" t="str">
        <f aca="false">IF(B26="","",B26+IF(F26="",Einstellungen!$B$40,F26))</f>
        <v/>
      </c>
      <c r="H26" s="33"/>
      <c r="I26" s="30"/>
      <c r="J26" s="31" t="str">
        <f aca="false">IF(E26="","",E26-N(I26))</f>
        <v/>
      </c>
      <c r="K26" s="43" t="str">
        <f aca="true">IF(OR(E26="",G26=""),"",IF(J26&lt;=0.004,"",MAX(0,TODAY()-G26)))</f>
        <v/>
      </c>
      <c r="L26" s="43" t="str">
        <f aca="false">IF(K26="","",IF(K26&gt;60,3,IF(K26&gt;30,2,IF(K26&gt;0,1,0))))</f>
        <v/>
      </c>
      <c r="M26" s="35" t="str">
        <f aca="false">IF(E26="","",IF(J26&lt;=0.004,"bezahlt",IF(N(K26)&gt;0,"überfällig – Mahnung "&amp;L26,"offen")))</f>
        <v/>
      </c>
    </row>
    <row r="27" customFormat="false" ht="15" hidden="false" customHeight="false" outlineLevel="0" collapsed="false">
      <c r="A27" s="32"/>
      <c r="B27" s="33"/>
      <c r="C27" s="32"/>
      <c r="D27" s="32"/>
      <c r="E27" s="30"/>
      <c r="F27" s="32"/>
      <c r="G27" s="44" t="str">
        <f aca="false">IF(B27="","",B27+IF(F27="",Einstellungen!$B$40,F27))</f>
        <v/>
      </c>
      <c r="H27" s="33"/>
      <c r="I27" s="30"/>
      <c r="J27" s="31" t="str">
        <f aca="false">IF(E27="","",E27-N(I27))</f>
        <v/>
      </c>
      <c r="K27" s="43" t="str">
        <f aca="true">IF(OR(E27="",G27=""),"",IF(J27&lt;=0.004,"",MAX(0,TODAY()-G27)))</f>
        <v/>
      </c>
      <c r="L27" s="43" t="str">
        <f aca="false">IF(K27="","",IF(K27&gt;60,3,IF(K27&gt;30,2,IF(K27&gt;0,1,0))))</f>
        <v/>
      </c>
      <c r="M27" s="35" t="str">
        <f aca="false">IF(E27="","",IF(J27&lt;=0.004,"bezahlt",IF(N(K27)&gt;0,"überfällig – Mahnung "&amp;L27,"offen")))</f>
        <v/>
      </c>
    </row>
    <row r="28" customFormat="false" ht="15" hidden="false" customHeight="false" outlineLevel="0" collapsed="false">
      <c r="A28" s="32"/>
      <c r="B28" s="33"/>
      <c r="C28" s="32"/>
      <c r="D28" s="32"/>
      <c r="E28" s="30"/>
      <c r="F28" s="32"/>
      <c r="G28" s="44" t="str">
        <f aca="false">IF(B28="","",B28+IF(F28="",Einstellungen!$B$40,F28))</f>
        <v/>
      </c>
      <c r="H28" s="33"/>
      <c r="I28" s="30"/>
      <c r="J28" s="31" t="str">
        <f aca="false">IF(E28="","",E28-N(I28))</f>
        <v/>
      </c>
      <c r="K28" s="43" t="str">
        <f aca="true">IF(OR(E28="",G28=""),"",IF(J28&lt;=0.004,"",MAX(0,TODAY()-G28)))</f>
        <v/>
      </c>
      <c r="L28" s="43" t="str">
        <f aca="false">IF(K28="","",IF(K28&gt;60,3,IF(K28&gt;30,2,IF(K28&gt;0,1,0))))</f>
        <v/>
      </c>
      <c r="M28" s="35" t="str">
        <f aca="false">IF(E28="","",IF(J28&lt;=0.004,"bezahlt",IF(N(K28)&gt;0,"überfällig – Mahnung "&amp;L28,"offen")))</f>
        <v/>
      </c>
    </row>
    <row r="29" customFormat="false" ht="15" hidden="false" customHeight="false" outlineLevel="0" collapsed="false">
      <c r="A29" s="32"/>
      <c r="B29" s="33"/>
      <c r="C29" s="32"/>
      <c r="D29" s="32"/>
      <c r="E29" s="30"/>
      <c r="F29" s="32"/>
      <c r="G29" s="44" t="str">
        <f aca="false">IF(B29="","",B29+IF(F29="",Einstellungen!$B$40,F29))</f>
        <v/>
      </c>
      <c r="H29" s="33"/>
      <c r="I29" s="30"/>
      <c r="J29" s="31" t="str">
        <f aca="false">IF(E29="","",E29-N(I29))</f>
        <v/>
      </c>
      <c r="K29" s="43" t="str">
        <f aca="true">IF(OR(E29="",G29=""),"",IF(J29&lt;=0.004,"",MAX(0,TODAY()-G29)))</f>
        <v/>
      </c>
      <c r="L29" s="43" t="str">
        <f aca="false">IF(K29="","",IF(K29&gt;60,3,IF(K29&gt;30,2,IF(K29&gt;0,1,0))))</f>
        <v/>
      </c>
      <c r="M29" s="35" t="str">
        <f aca="false">IF(E29="","",IF(J29&lt;=0.004,"bezahlt",IF(N(K29)&gt;0,"überfällig – Mahnung "&amp;L29,"offen")))</f>
        <v/>
      </c>
    </row>
    <row r="30" customFormat="false" ht="15" hidden="false" customHeight="false" outlineLevel="0" collapsed="false">
      <c r="A30" s="32"/>
      <c r="B30" s="33"/>
      <c r="C30" s="32"/>
      <c r="D30" s="32"/>
      <c r="E30" s="30"/>
      <c r="F30" s="32"/>
      <c r="G30" s="44" t="str">
        <f aca="false">IF(B30="","",B30+IF(F30="",Einstellungen!$B$40,F30))</f>
        <v/>
      </c>
      <c r="H30" s="33"/>
      <c r="I30" s="30"/>
      <c r="J30" s="31" t="str">
        <f aca="false">IF(E30="","",E30-N(I30))</f>
        <v/>
      </c>
      <c r="K30" s="43" t="str">
        <f aca="true">IF(OR(E30="",G30=""),"",IF(J30&lt;=0.004,"",MAX(0,TODAY()-G30)))</f>
        <v/>
      </c>
      <c r="L30" s="43" t="str">
        <f aca="false">IF(K30="","",IF(K30&gt;60,3,IF(K30&gt;30,2,IF(K30&gt;0,1,0))))</f>
        <v/>
      </c>
      <c r="M30" s="35" t="str">
        <f aca="false">IF(E30="","",IF(J30&lt;=0.004,"bezahlt",IF(N(K30)&gt;0,"überfällig – Mahnung "&amp;L30,"offen")))</f>
        <v/>
      </c>
    </row>
    <row r="31" customFormat="false" ht="15" hidden="false" customHeight="false" outlineLevel="0" collapsed="false">
      <c r="A31" s="32"/>
      <c r="B31" s="33"/>
      <c r="C31" s="32"/>
      <c r="D31" s="32"/>
      <c r="E31" s="30"/>
      <c r="F31" s="32"/>
      <c r="G31" s="44" t="str">
        <f aca="false">IF(B31="","",B31+IF(F31="",Einstellungen!$B$40,F31))</f>
        <v/>
      </c>
      <c r="H31" s="33"/>
      <c r="I31" s="30"/>
      <c r="J31" s="31" t="str">
        <f aca="false">IF(E31="","",E31-N(I31))</f>
        <v/>
      </c>
      <c r="K31" s="43" t="str">
        <f aca="true">IF(OR(E31="",G31=""),"",IF(J31&lt;=0.004,"",MAX(0,TODAY()-G31)))</f>
        <v/>
      </c>
      <c r="L31" s="43" t="str">
        <f aca="false">IF(K31="","",IF(K31&gt;60,3,IF(K31&gt;30,2,IF(K31&gt;0,1,0))))</f>
        <v/>
      </c>
      <c r="M31" s="35" t="str">
        <f aca="false">IF(E31="","",IF(J31&lt;=0.004,"bezahlt",IF(N(K31)&gt;0,"überfällig – Mahnung "&amp;L31,"offen")))</f>
        <v/>
      </c>
    </row>
    <row r="32" customFormat="false" ht="15" hidden="false" customHeight="false" outlineLevel="0" collapsed="false">
      <c r="A32" s="32"/>
      <c r="B32" s="33"/>
      <c r="C32" s="32"/>
      <c r="D32" s="32"/>
      <c r="E32" s="30"/>
      <c r="F32" s="32"/>
      <c r="G32" s="44" t="str">
        <f aca="false">IF(B32="","",B32+IF(F32="",Einstellungen!$B$40,F32))</f>
        <v/>
      </c>
      <c r="H32" s="33"/>
      <c r="I32" s="30"/>
      <c r="J32" s="31" t="str">
        <f aca="false">IF(E32="","",E32-N(I32))</f>
        <v/>
      </c>
      <c r="K32" s="43" t="str">
        <f aca="true">IF(OR(E32="",G32=""),"",IF(J32&lt;=0.004,"",MAX(0,TODAY()-G32)))</f>
        <v/>
      </c>
      <c r="L32" s="43" t="str">
        <f aca="false">IF(K32="","",IF(K32&gt;60,3,IF(K32&gt;30,2,IF(K32&gt;0,1,0))))</f>
        <v/>
      </c>
      <c r="M32" s="35" t="str">
        <f aca="false">IF(E32="","",IF(J32&lt;=0.004,"bezahlt",IF(N(K32)&gt;0,"überfällig – Mahnung "&amp;L32,"offen")))</f>
        <v/>
      </c>
    </row>
    <row r="33" customFormat="false" ht="15" hidden="false" customHeight="false" outlineLevel="0" collapsed="false">
      <c r="A33" s="32"/>
      <c r="B33" s="33"/>
      <c r="C33" s="32"/>
      <c r="D33" s="32"/>
      <c r="E33" s="30"/>
      <c r="F33" s="32"/>
      <c r="G33" s="44" t="str">
        <f aca="false">IF(B33="","",B33+IF(F33="",Einstellungen!$B$40,F33))</f>
        <v/>
      </c>
      <c r="H33" s="33"/>
      <c r="I33" s="30"/>
      <c r="J33" s="31" t="str">
        <f aca="false">IF(E33="","",E33-N(I33))</f>
        <v/>
      </c>
      <c r="K33" s="43" t="str">
        <f aca="true">IF(OR(E33="",G33=""),"",IF(J33&lt;=0.004,"",MAX(0,TODAY()-G33)))</f>
        <v/>
      </c>
      <c r="L33" s="43" t="str">
        <f aca="false">IF(K33="","",IF(K33&gt;60,3,IF(K33&gt;30,2,IF(K33&gt;0,1,0))))</f>
        <v/>
      </c>
      <c r="M33" s="35" t="str">
        <f aca="false">IF(E33="","",IF(J33&lt;=0.004,"bezahlt",IF(N(K33)&gt;0,"überfällig – Mahnung "&amp;L33,"offen")))</f>
        <v/>
      </c>
    </row>
    <row r="34" customFormat="false" ht="15" hidden="false" customHeight="false" outlineLevel="0" collapsed="false">
      <c r="A34" s="32"/>
      <c r="B34" s="33"/>
      <c r="C34" s="32"/>
      <c r="D34" s="32"/>
      <c r="E34" s="30"/>
      <c r="F34" s="32"/>
      <c r="G34" s="44" t="str">
        <f aca="false">IF(B34="","",B34+IF(F34="",Einstellungen!$B$40,F34))</f>
        <v/>
      </c>
      <c r="H34" s="33"/>
      <c r="I34" s="30"/>
      <c r="J34" s="31" t="str">
        <f aca="false">IF(E34="","",E34-N(I34))</f>
        <v/>
      </c>
      <c r="K34" s="43" t="str">
        <f aca="true">IF(OR(E34="",G34=""),"",IF(J34&lt;=0.004,"",MAX(0,TODAY()-G34)))</f>
        <v/>
      </c>
      <c r="L34" s="43" t="str">
        <f aca="false">IF(K34="","",IF(K34&gt;60,3,IF(K34&gt;30,2,IF(K34&gt;0,1,0))))</f>
        <v/>
      </c>
      <c r="M34" s="35" t="str">
        <f aca="false">IF(E34="","",IF(J34&lt;=0.004,"bezahlt",IF(N(K34)&gt;0,"überfällig – Mahnung "&amp;L34,"offen")))</f>
        <v/>
      </c>
    </row>
    <row r="35" customFormat="false" ht="15" hidden="false" customHeight="false" outlineLevel="0" collapsed="false">
      <c r="A35" s="32"/>
      <c r="B35" s="33"/>
      <c r="C35" s="32"/>
      <c r="D35" s="32"/>
      <c r="E35" s="30"/>
      <c r="F35" s="32"/>
      <c r="G35" s="44" t="str">
        <f aca="false">IF(B35="","",B35+IF(F35="",Einstellungen!$B$40,F35))</f>
        <v/>
      </c>
      <c r="H35" s="33"/>
      <c r="I35" s="30"/>
      <c r="J35" s="31" t="str">
        <f aca="false">IF(E35="","",E35-N(I35))</f>
        <v/>
      </c>
      <c r="K35" s="43" t="str">
        <f aca="true">IF(OR(E35="",G35=""),"",IF(J35&lt;=0.004,"",MAX(0,TODAY()-G35)))</f>
        <v/>
      </c>
      <c r="L35" s="43" t="str">
        <f aca="false">IF(K35="","",IF(K35&gt;60,3,IF(K35&gt;30,2,IF(K35&gt;0,1,0))))</f>
        <v/>
      </c>
      <c r="M35" s="35" t="str">
        <f aca="false">IF(E35="","",IF(J35&lt;=0.004,"bezahlt",IF(N(K35)&gt;0,"überfällig – Mahnung "&amp;L35,"offen")))</f>
        <v/>
      </c>
    </row>
    <row r="36" customFormat="false" ht="15" hidden="false" customHeight="false" outlineLevel="0" collapsed="false">
      <c r="A36" s="32"/>
      <c r="B36" s="33"/>
      <c r="C36" s="32"/>
      <c r="D36" s="32"/>
      <c r="E36" s="30"/>
      <c r="F36" s="32"/>
      <c r="G36" s="44" t="str">
        <f aca="false">IF(B36="","",B36+IF(F36="",Einstellungen!$B$40,F36))</f>
        <v/>
      </c>
      <c r="H36" s="33"/>
      <c r="I36" s="30"/>
      <c r="J36" s="31" t="str">
        <f aca="false">IF(E36="","",E36-N(I36))</f>
        <v/>
      </c>
      <c r="K36" s="43" t="str">
        <f aca="true">IF(OR(E36="",G36=""),"",IF(J36&lt;=0.004,"",MAX(0,TODAY()-G36)))</f>
        <v/>
      </c>
      <c r="L36" s="43" t="str">
        <f aca="false">IF(K36="","",IF(K36&gt;60,3,IF(K36&gt;30,2,IF(K36&gt;0,1,0))))</f>
        <v/>
      </c>
      <c r="M36" s="35" t="str">
        <f aca="false">IF(E36="","",IF(J36&lt;=0.004,"bezahlt",IF(N(K36)&gt;0,"überfällig – Mahnung "&amp;L36,"offen")))</f>
        <v/>
      </c>
    </row>
    <row r="37" customFormat="false" ht="15" hidden="false" customHeight="false" outlineLevel="0" collapsed="false">
      <c r="A37" s="32"/>
      <c r="B37" s="33"/>
      <c r="C37" s="32"/>
      <c r="D37" s="32"/>
      <c r="E37" s="30"/>
      <c r="F37" s="32"/>
      <c r="G37" s="44" t="str">
        <f aca="false">IF(B37="","",B37+IF(F37="",Einstellungen!$B$40,F37))</f>
        <v/>
      </c>
      <c r="H37" s="33"/>
      <c r="I37" s="30"/>
      <c r="J37" s="31" t="str">
        <f aca="false">IF(E37="","",E37-N(I37))</f>
        <v/>
      </c>
      <c r="K37" s="43" t="str">
        <f aca="true">IF(OR(E37="",G37=""),"",IF(J37&lt;=0.004,"",MAX(0,TODAY()-G37)))</f>
        <v/>
      </c>
      <c r="L37" s="43" t="str">
        <f aca="false">IF(K37="","",IF(K37&gt;60,3,IF(K37&gt;30,2,IF(K37&gt;0,1,0))))</f>
        <v/>
      </c>
      <c r="M37" s="35" t="str">
        <f aca="false">IF(E37="","",IF(J37&lt;=0.004,"bezahlt",IF(N(K37)&gt;0,"überfällig – Mahnung "&amp;L37,"offen")))</f>
        <v/>
      </c>
    </row>
    <row r="38" customFormat="false" ht="15" hidden="false" customHeight="false" outlineLevel="0" collapsed="false">
      <c r="A38" s="32"/>
      <c r="B38" s="33"/>
      <c r="C38" s="32"/>
      <c r="D38" s="32"/>
      <c r="E38" s="30"/>
      <c r="F38" s="32"/>
      <c r="G38" s="44" t="str">
        <f aca="false">IF(B38="","",B38+IF(F38="",Einstellungen!$B$40,F38))</f>
        <v/>
      </c>
      <c r="H38" s="33"/>
      <c r="I38" s="30"/>
      <c r="J38" s="31" t="str">
        <f aca="false">IF(E38="","",E38-N(I38))</f>
        <v/>
      </c>
      <c r="K38" s="43" t="str">
        <f aca="true">IF(OR(E38="",G38=""),"",IF(J38&lt;=0.004,"",MAX(0,TODAY()-G38)))</f>
        <v/>
      </c>
      <c r="L38" s="43" t="str">
        <f aca="false">IF(K38="","",IF(K38&gt;60,3,IF(K38&gt;30,2,IF(K38&gt;0,1,0))))</f>
        <v/>
      </c>
      <c r="M38" s="35" t="str">
        <f aca="false">IF(E38="","",IF(J38&lt;=0.004,"bezahlt",IF(N(K38)&gt;0,"überfällig – Mahnung "&amp;L38,"offen")))</f>
        <v/>
      </c>
    </row>
    <row r="39" customFormat="false" ht="15" hidden="false" customHeight="false" outlineLevel="0" collapsed="false">
      <c r="A39" s="32"/>
      <c r="B39" s="33"/>
      <c r="C39" s="32"/>
      <c r="D39" s="32"/>
      <c r="E39" s="30"/>
      <c r="F39" s="32"/>
      <c r="G39" s="44" t="str">
        <f aca="false">IF(B39="","",B39+IF(F39="",Einstellungen!$B$40,F39))</f>
        <v/>
      </c>
      <c r="H39" s="33"/>
      <c r="I39" s="30"/>
      <c r="J39" s="31" t="str">
        <f aca="false">IF(E39="","",E39-N(I39))</f>
        <v/>
      </c>
      <c r="K39" s="43" t="str">
        <f aca="true">IF(OR(E39="",G39=""),"",IF(J39&lt;=0.004,"",MAX(0,TODAY()-G39)))</f>
        <v/>
      </c>
      <c r="L39" s="43" t="str">
        <f aca="false">IF(K39="","",IF(K39&gt;60,3,IF(K39&gt;30,2,IF(K39&gt;0,1,0))))</f>
        <v/>
      </c>
      <c r="M39" s="35" t="str">
        <f aca="false">IF(E39="","",IF(J39&lt;=0.004,"bezahlt",IF(N(K39)&gt;0,"überfällig – Mahnung "&amp;L39,"offen")))</f>
        <v/>
      </c>
    </row>
    <row r="40" customFormat="false" ht="15" hidden="false" customHeight="false" outlineLevel="0" collapsed="false">
      <c r="A40" s="32"/>
      <c r="B40" s="33"/>
      <c r="C40" s="32"/>
      <c r="D40" s="32"/>
      <c r="E40" s="30"/>
      <c r="F40" s="32"/>
      <c r="G40" s="44" t="str">
        <f aca="false">IF(B40="","",B40+IF(F40="",Einstellungen!$B$40,F40))</f>
        <v/>
      </c>
      <c r="H40" s="33"/>
      <c r="I40" s="30"/>
      <c r="J40" s="31" t="str">
        <f aca="false">IF(E40="","",E40-N(I40))</f>
        <v/>
      </c>
      <c r="K40" s="43" t="str">
        <f aca="true">IF(OR(E40="",G40=""),"",IF(J40&lt;=0.004,"",MAX(0,TODAY()-G40)))</f>
        <v/>
      </c>
      <c r="L40" s="43" t="str">
        <f aca="false">IF(K40="","",IF(K40&gt;60,3,IF(K40&gt;30,2,IF(K40&gt;0,1,0))))</f>
        <v/>
      </c>
      <c r="M40" s="35" t="str">
        <f aca="false">IF(E40="","",IF(J40&lt;=0.004,"bezahlt",IF(N(K40)&gt;0,"überfällig – Mahnung "&amp;L40,"offen")))</f>
        <v/>
      </c>
    </row>
    <row r="41" customFormat="false" ht="15" hidden="false" customHeight="false" outlineLevel="0" collapsed="false">
      <c r="A41" s="32"/>
      <c r="B41" s="33"/>
      <c r="C41" s="32"/>
      <c r="D41" s="32"/>
      <c r="E41" s="30"/>
      <c r="F41" s="32"/>
      <c r="G41" s="44" t="str">
        <f aca="false">IF(B41="","",B41+IF(F41="",Einstellungen!$B$40,F41))</f>
        <v/>
      </c>
      <c r="H41" s="33"/>
      <c r="I41" s="30"/>
      <c r="J41" s="31" t="str">
        <f aca="false">IF(E41="","",E41-N(I41))</f>
        <v/>
      </c>
      <c r="K41" s="43" t="str">
        <f aca="true">IF(OR(E41="",G41=""),"",IF(J41&lt;=0.004,"",MAX(0,TODAY()-G41)))</f>
        <v/>
      </c>
      <c r="L41" s="43" t="str">
        <f aca="false">IF(K41="","",IF(K41&gt;60,3,IF(K41&gt;30,2,IF(K41&gt;0,1,0))))</f>
        <v/>
      </c>
      <c r="M41" s="35" t="str">
        <f aca="false">IF(E41="","",IF(J41&lt;=0.004,"bezahlt",IF(N(K41)&gt;0,"überfällig – Mahnung "&amp;L41,"offen")))</f>
        <v/>
      </c>
    </row>
    <row r="42" customFormat="false" ht="15" hidden="false" customHeight="false" outlineLevel="0" collapsed="false">
      <c r="A42" s="32"/>
      <c r="B42" s="33"/>
      <c r="C42" s="32"/>
      <c r="D42" s="32"/>
      <c r="E42" s="30"/>
      <c r="F42" s="32"/>
      <c r="G42" s="44" t="str">
        <f aca="false">IF(B42="","",B42+IF(F42="",Einstellungen!$B$40,F42))</f>
        <v/>
      </c>
      <c r="H42" s="33"/>
      <c r="I42" s="30"/>
      <c r="J42" s="31" t="str">
        <f aca="false">IF(E42="","",E42-N(I42))</f>
        <v/>
      </c>
      <c r="K42" s="43" t="str">
        <f aca="true">IF(OR(E42="",G42=""),"",IF(J42&lt;=0.004,"",MAX(0,TODAY()-G42)))</f>
        <v/>
      </c>
      <c r="L42" s="43" t="str">
        <f aca="false">IF(K42="","",IF(K42&gt;60,3,IF(K42&gt;30,2,IF(K42&gt;0,1,0))))</f>
        <v/>
      </c>
      <c r="M42" s="35" t="str">
        <f aca="false">IF(E42="","",IF(J42&lt;=0.004,"bezahlt",IF(N(K42)&gt;0,"überfällig – Mahnung "&amp;L42,"offen")))</f>
        <v/>
      </c>
    </row>
    <row r="43" customFormat="false" ht="15" hidden="false" customHeight="false" outlineLevel="0" collapsed="false">
      <c r="A43" s="32"/>
      <c r="B43" s="33"/>
      <c r="C43" s="32"/>
      <c r="D43" s="32"/>
      <c r="E43" s="30"/>
      <c r="F43" s="32"/>
      <c r="G43" s="44" t="str">
        <f aca="false">IF(B43="","",B43+IF(F43="",Einstellungen!$B$40,F43))</f>
        <v/>
      </c>
      <c r="H43" s="33"/>
      <c r="I43" s="30"/>
      <c r="J43" s="31" t="str">
        <f aca="false">IF(E43="","",E43-N(I43))</f>
        <v/>
      </c>
      <c r="K43" s="43" t="str">
        <f aca="true">IF(OR(E43="",G43=""),"",IF(J43&lt;=0.004,"",MAX(0,TODAY()-G43)))</f>
        <v/>
      </c>
      <c r="L43" s="43" t="str">
        <f aca="false">IF(K43="","",IF(K43&gt;60,3,IF(K43&gt;30,2,IF(K43&gt;0,1,0))))</f>
        <v/>
      </c>
      <c r="M43" s="35" t="str">
        <f aca="false">IF(E43="","",IF(J43&lt;=0.004,"bezahlt",IF(N(K43)&gt;0,"überfällig – Mahnung "&amp;L43,"offen")))</f>
        <v/>
      </c>
    </row>
    <row r="44" customFormat="false" ht="15" hidden="false" customHeight="false" outlineLevel="0" collapsed="false">
      <c r="A44" s="32"/>
      <c r="B44" s="33"/>
      <c r="C44" s="32"/>
      <c r="D44" s="32"/>
      <c r="E44" s="30"/>
      <c r="F44" s="32"/>
      <c r="G44" s="44" t="str">
        <f aca="false">IF(B44="","",B44+IF(F44="",Einstellungen!$B$40,F44))</f>
        <v/>
      </c>
      <c r="H44" s="33"/>
      <c r="I44" s="30"/>
      <c r="J44" s="31" t="str">
        <f aca="false">IF(E44="","",E44-N(I44))</f>
        <v/>
      </c>
      <c r="K44" s="43" t="str">
        <f aca="true">IF(OR(E44="",G44=""),"",IF(J44&lt;=0.004,"",MAX(0,TODAY()-G44)))</f>
        <v/>
      </c>
      <c r="L44" s="43" t="str">
        <f aca="false">IF(K44="","",IF(K44&gt;60,3,IF(K44&gt;30,2,IF(K44&gt;0,1,0))))</f>
        <v/>
      </c>
      <c r="M44" s="35" t="str">
        <f aca="false">IF(E44="","",IF(J44&lt;=0.004,"bezahlt",IF(N(K44)&gt;0,"überfällig – Mahnung "&amp;L44,"offen")))</f>
        <v/>
      </c>
    </row>
    <row r="45" customFormat="false" ht="15" hidden="false" customHeight="false" outlineLevel="0" collapsed="false">
      <c r="A45" s="32"/>
      <c r="B45" s="33"/>
      <c r="C45" s="32"/>
      <c r="D45" s="32"/>
      <c r="E45" s="30"/>
      <c r="F45" s="32"/>
      <c r="G45" s="44" t="str">
        <f aca="false">IF(B45="","",B45+IF(F45="",Einstellungen!$B$40,F45))</f>
        <v/>
      </c>
      <c r="H45" s="33"/>
      <c r="I45" s="30"/>
      <c r="J45" s="31" t="str">
        <f aca="false">IF(E45="","",E45-N(I45))</f>
        <v/>
      </c>
      <c r="K45" s="43" t="str">
        <f aca="true">IF(OR(E45="",G45=""),"",IF(J45&lt;=0.004,"",MAX(0,TODAY()-G45)))</f>
        <v/>
      </c>
      <c r="L45" s="43" t="str">
        <f aca="false">IF(K45="","",IF(K45&gt;60,3,IF(K45&gt;30,2,IF(K45&gt;0,1,0))))</f>
        <v/>
      </c>
      <c r="M45" s="35" t="str">
        <f aca="false">IF(E45="","",IF(J45&lt;=0.004,"bezahlt",IF(N(K45)&gt;0,"überfällig – Mahnung "&amp;L45,"offen")))</f>
        <v/>
      </c>
    </row>
    <row r="46" customFormat="false" ht="15" hidden="false" customHeight="false" outlineLevel="0" collapsed="false">
      <c r="A46" s="32"/>
      <c r="B46" s="33"/>
      <c r="C46" s="32"/>
      <c r="D46" s="32"/>
      <c r="E46" s="30"/>
      <c r="F46" s="32"/>
      <c r="G46" s="44" t="str">
        <f aca="false">IF(B46="","",B46+IF(F46="",Einstellungen!$B$40,F46))</f>
        <v/>
      </c>
      <c r="H46" s="33"/>
      <c r="I46" s="30"/>
      <c r="J46" s="31" t="str">
        <f aca="false">IF(E46="","",E46-N(I46))</f>
        <v/>
      </c>
      <c r="K46" s="43" t="str">
        <f aca="true">IF(OR(E46="",G46=""),"",IF(J46&lt;=0.004,"",MAX(0,TODAY()-G46)))</f>
        <v/>
      </c>
      <c r="L46" s="43" t="str">
        <f aca="false">IF(K46="","",IF(K46&gt;60,3,IF(K46&gt;30,2,IF(K46&gt;0,1,0))))</f>
        <v/>
      </c>
      <c r="M46" s="35" t="str">
        <f aca="false">IF(E46="","",IF(J46&lt;=0.004,"bezahlt",IF(N(K46)&gt;0,"überfällig – Mahnung "&amp;L46,"offen")))</f>
        <v/>
      </c>
    </row>
    <row r="47" customFormat="false" ht="15" hidden="false" customHeight="false" outlineLevel="0" collapsed="false">
      <c r="A47" s="32"/>
      <c r="B47" s="33"/>
      <c r="C47" s="32"/>
      <c r="D47" s="32"/>
      <c r="E47" s="30"/>
      <c r="F47" s="32"/>
      <c r="G47" s="44" t="str">
        <f aca="false">IF(B47="","",B47+IF(F47="",Einstellungen!$B$40,F47))</f>
        <v/>
      </c>
      <c r="H47" s="33"/>
      <c r="I47" s="30"/>
      <c r="J47" s="31" t="str">
        <f aca="false">IF(E47="","",E47-N(I47))</f>
        <v/>
      </c>
      <c r="K47" s="43" t="str">
        <f aca="true">IF(OR(E47="",G47=""),"",IF(J47&lt;=0.004,"",MAX(0,TODAY()-G47)))</f>
        <v/>
      </c>
      <c r="L47" s="43" t="str">
        <f aca="false">IF(K47="","",IF(K47&gt;60,3,IF(K47&gt;30,2,IF(K47&gt;0,1,0))))</f>
        <v/>
      </c>
      <c r="M47" s="35" t="str">
        <f aca="false">IF(E47="","",IF(J47&lt;=0.004,"bezahlt",IF(N(K47)&gt;0,"überfällig – Mahnung "&amp;L47,"offen")))</f>
        <v/>
      </c>
    </row>
    <row r="48" customFormat="false" ht="15" hidden="false" customHeight="false" outlineLevel="0" collapsed="false">
      <c r="A48" s="32"/>
      <c r="B48" s="33"/>
      <c r="C48" s="32"/>
      <c r="D48" s="32"/>
      <c r="E48" s="30"/>
      <c r="F48" s="32"/>
      <c r="G48" s="44" t="str">
        <f aca="false">IF(B48="","",B48+IF(F48="",Einstellungen!$B$40,F48))</f>
        <v/>
      </c>
      <c r="H48" s="33"/>
      <c r="I48" s="30"/>
      <c r="J48" s="31" t="str">
        <f aca="false">IF(E48="","",E48-N(I48))</f>
        <v/>
      </c>
      <c r="K48" s="43" t="str">
        <f aca="true">IF(OR(E48="",G48=""),"",IF(J48&lt;=0.004,"",MAX(0,TODAY()-G48)))</f>
        <v/>
      </c>
      <c r="L48" s="43" t="str">
        <f aca="false">IF(K48="","",IF(K48&gt;60,3,IF(K48&gt;30,2,IF(K48&gt;0,1,0))))</f>
        <v/>
      </c>
      <c r="M48" s="35" t="str">
        <f aca="false">IF(E48="","",IF(J48&lt;=0.004,"bezahlt",IF(N(K48)&gt;0,"überfällig – Mahnung "&amp;L48,"offen")))</f>
        <v/>
      </c>
    </row>
    <row r="49" customFormat="false" ht="15" hidden="false" customHeight="false" outlineLevel="0" collapsed="false">
      <c r="A49" s="32"/>
      <c r="B49" s="33"/>
      <c r="C49" s="32"/>
      <c r="D49" s="32"/>
      <c r="E49" s="30"/>
      <c r="F49" s="32"/>
      <c r="G49" s="44" t="str">
        <f aca="false">IF(B49="","",B49+IF(F49="",Einstellungen!$B$40,F49))</f>
        <v/>
      </c>
      <c r="H49" s="33"/>
      <c r="I49" s="30"/>
      <c r="J49" s="31" t="str">
        <f aca="false">IF(E49="","",E49-N(I49))</f>
        <v/>
      </c>
      <c r="K49" s="43" t="str">
        <f aca="true">IF(OR(E49="",G49=""),"",IF(J49&lt;=0.004,"",MAX(0,TODAY()-G49)))</f>
        <v/>
      </c>
      <c r="L49" s="43" t="str">
        <f aca="false">IF(K49="","",IF(K49&gt;60,3,IF(K49&gt;30,2,IF(K49&gt;0,1,0))))</f>
        <v/>
      </c>
      <c r="M49" s="35" t="str">
        <f aca="false">IF(E49="","",IF(J49&lt;=0.004,"bezahlt",IF(N(K49)&gt;0,"überfällig – Mahnung "&amp;L49,"offen")))</f>
        <v/>
      </c>
    </row>
    <row r="50" customFormat="false" ht="15" hidden="false" customHeight="false" outlineLevel="0" collapsed="false">
      <c r="A50" s="32"/>
      <c r="B50" s="33"/>
      <c r="C50" s="32"/>
      <c r="D50" s="32"/>
      <c r="E50" s="30"/>
      <c r="F50" s="32"/>
      <c r="G50" s="44" t="str">
        <f aca="false">IF(B50="","",B50+IF(F50="",Einstellungen!$B$40,F50))</f>
        <v/>
      </c>
      <c r="H50" s="33"/>
      <c r="I50" s="30"/>
      <c r="J50" s="31" t="str">
        <f aca="false">IF(E50="","",E50-N(I50))</f>
        <v/>
      </c>
      <c r="K50" s="43" t="str">
        <f aca="true">IF(OR(E50="",G50=""),"",IF(J50&lt;=0.004,"",MAX(0,TODAY()-G50)))</f>
        <v/>
      </c>
      <c r="L50" s="43" t="str">
        <f aca="false">IF(K50="","",IF(K50&gt;60,3,IF(K50&gt;30,2,IF(K50&gt;0,1,0))))</f>
        <v/>
      </c>
      <c r="M50" s="35" t="str">
        <f aca="false">IF(E50="","",IF(J50&lt;=0.004,"bezahlt",IF(N(K50)&gt;0,"überfällig – Mahnung "&amp;L50,"offen")))</f>
        <v/>
      </c>
    </row>
    <row r="51" customFormat="false" ht="15" hidden="false" customHeight="false" outlineLevel="0" collapsed="false">
      <c r="A51" s="32"/>
      <c r="B51" s="33"/>
      <c r="C51" s="32"/>
      <c r="D51" s="32"/>
      <c r="E51" s="30"/>
      <c r="F51" s="32"/>
      <c r="G51" s="44" t="str">
        <f aca="false">IF(B51="","",B51+IF(F51="",Einstellungen!$B$40,F51))</f>
        <v/>
      </c>
      <c r="H51" s="33"/>
      <c r="I51" s="30"/>
      <c r="J51" s="31" t="str">
        <f aca="false">IF(E51="","",E51-N(I51))</f>
        <v/>
      </c>
      <c r="K51" s="43" t="str">
        <f aca="true">IF(OR(E51="",G51=""),"",IF(J51&lt;=0.004,"",MAX(0,TODAY()-G51)))</f>
        <v/>
      </c>
      <c r="L51" s="43" t="str">
        <f aca="false">IF(K51="","",IF(K51&gt;60,3,IF(K51&gt;30,2,IF(K51&gt;0,1,0))))</f>
        <v/>
      </c>
      <c r="M51" s="35" t="str">
        <f aca="false">IF(E51="","",IF(J51&lt;=0.004,"bezahlt",IF(N(K51)&gt;0,"überfällig – Mahnung "&amp;L51,"offen")))</f>
        <v/>
      </c>
    </row>
    <row r="52" customFormat="false" ht="15" hidden="false" customHeight="false" outlineLevel="0" collapsed="false">
      <c r="A52" s="32"/>
      <c r="B52" s="33"/>
      <c r="C52" s="32"/>
      <c r="D52" s="32"/>
      <c r="E52" s="30"/>
      <c r="F52" s="32"/>
      <c r="G52" s="44" t="str">
        <f aca="false">IF(B52="","",B52+IF(F52="",Einstellungen!$B$40,F52))</f>
        <v/>
      </c>
      <c r="H52" s="33"/>
      <c r="I52" s="30"/>
      <c r="J52" s="31" t="str">
        <f aca="false">IF(E52="","",E52-N(I52))</f>
        <v/>
      </c>
      <c r="K52" s="43" t="str">
        <f aca="true">IF(OR(E52="",G52=""),"",IF(J52&lt;=0.004,"",MAX(0,TODAY()-G52)))</f>
        <v/>
      </c>
      <c r="L52" s="43" t="str">
        <f aca="false">IF(K52="","",IF(K52&gt;60,3,IF(K52&gt;30,2,IF(K52&gt;0,1,0))))</f>
        <v/>
      </c>
      <c r="M52" s="35" t="str">
        <f aca="false">IF(E52="","",IF(J52&lt;=0.004,"bezahlt",IF(N(K52)&gt;0,"überfällig – Mahnung "&amp;L52,"offen")))</f>
        <v/>
      </c>
    </row>
    <row r="53" customFormat="false" ht="15" hidden="false" customHeight="false" outlineLevel="0" collapsed="false">
      <c r="A53" s="32"/>
      <c r="B53" s="33"/>
      <c r="C53" s="32"/>
      <c r="D53" s="32"/>
      <c r="E53" s="30"/>
      <c r="F53" s="32"/>
      <c r="G53" s="44" t="str">
        <f aca="false">IF(B53="","",B53+IF(F53="",Einstellungen!$B$40,F53))</f>
        <v/>
      </c>
      <c r="H53" s="33"/>
      <c r="I53" s="30"/>
      <c r="J53" s="31" t="str">
        <f aca="false">IF(E53="","",E53-N(I53))</f>
        <v/>
      </c>
      <c r="K53" s="43" t="str">
        <f aca="true">IF(OR(E53="",G53=""),"",IF(J53&lt;=0.004,"",MAX(0,TODAY()-G53)))</f>
        <v/>
      </c>
      <c r="L53" s="43" t="str">
        <f aca="false">IF(K53="","",IF(K53&gt;60,3,IF(K53&gt;30,2,IF(K53&gt;0,1,0))))</f>
        <v/>
      </c>
      <c r="M53" s="35" t="str">
        <f aca="false">IF(E53="","",IF(J53&lt;=0.004,"bezahlt",IF(N(K53)&gt;0,"überfällig – Mahnung "&amp;L53,"offen")))</f>
        <v/>
      </c>
    </row>
    <row r="54" customFormat="false" ht="15" hidden="false" customHeight="false" outlineLevel="0" collapsed="false">
      <c r="A54" s="32"/>
      <c r="B54" s="33"/>
      <c r="C54" s="32"/>
      <c r="D54" s="32"/>
      <c r="E54" s="30"/>
      <c r="F54" s="32"/>
      <c r="G54" s="44" t="str">
        <f aca="false">IF(B54="","",B54+IF(F54="",Einstellungen!$B$40,F54))</f>
        <v/>
      </c>
      <c r="H54" s="33"/>
      <c r="I54" s="30"/>
      <c r="J54" s="31" t="str">
        <f aca="false">IF(E54="","",E54-N(I54))</f>
        <v/>
      </c>
      <c r="K54" s="43" t="str">
        <f aca="true">IF(OR(E54="",G54=""),"",IF(J54&lt;=0.004,"",MAX(0,TODAY()-G54)))</f>
        <v/>
      </c>
      <c r="L54" s="43" t="str">
        <f aca="false">IF(K54="","",IF(K54&gt;60,3,IF(K54&gt;30,2,IF(K54&gt;0,1,0))))</f>
        <v/>
      </c>
      <c r="M54" s="35" t="str">
        <f aca="false">IF(E54="","",IF(J54&lt;=0.004,"bezahlt",IF(N(K54)&gt;0,"überfällig – Mahnung "&amp;L54,"offen")))</f>
        <v/>
      </c>
    </row>
    <row r="55" customFormat="false" ht="15" hidden="false" customHeight="false" outlineLevel="0" collapsed="false">
      <c r="A55" s="32"/>
      <c r="B55" s="33"/>
      <c r="C55" s="32"/>
      <c r="D55" s="32"/>
      <c r="E55" s="30"/>
      <c r="F55" s="32"/>
      <c r="G55" s="44" t="str">
        <f aca="false">IF(B55="","",B55+IF(F55="",Einstellungen!$B$40,F55))</f>
        <v/>
      </c>
      <c r="H55" s="33"/>
      <c r="I55" s="30"/>
      <c r="J55" s="31" t="str">
        <f aca="false">IF(E55="","",E55-N(I55))</f>
        <v/>
      </c>
      <c r="K55" s="43" t="str">
        <f aca="true">IF(OR(E55="",G55=""),"",IF(J55&lt;=0.004,"",MAX(0,TODAY()-G55)))</f>
        <v/>
      </c>
      <c r="L55" s="43" t="str">
        <f aca="false">IF(K55="","",IF(K55&gt;60,3,IF(K55&gt;30,2,IF(K55&gt;0,1,0))))</f>
        <v/>
      </c>
      <c r="M55" s="35" t="str">
        <f aca="false">IF(E55="","",IF(J55&lt;=0.004,"bezahlt",IF(N(K55)&gt;0,"überfällig – Mahnung "&amp;L55,"offen")))</f>
        <v/>
      </c>
    </row>
    <row r="56" customFormat="false" ht="15" hidden="false" customHeight="false" outlineLevel="0" collapsed="false">
      <c r="A56" s="32"/>
      <c r="B56" s="33"/>
      <c r="C56" s="32"/>
      <c r="D56" s="32"/>
      <c r="E56" s="30"/>
      <c r="F56" s="32"/>
      <c r="G56" s="44" t="str">
        <f aca="false">IF(B56="","",B56+IF(F56="",Einstellungen!$B$40,F56))</f>
        <v/>
      </c>
      <c r="H56" s="33"/>
      <c r="I56" s="30"/>
      <c r="J56" s="31" t="str">
        <f aca="false">IF(E56="","",E56-N(I56))</f>
        <v/>
      </c>
      <c r="K56" s="43" t="str">
        <f aca="true">IF(OR(E56="",G56=""),"",IF(J56&lt;=0.004,"",MAX(0,TODAY()-G56)))</f>
        <v/>
      </c>
      <c r="L56" s="43" t="str">
        <f aca="false">IF(K56="","",IF(K56&gt;60,3,IF(K56&gt;30,2,IF(K56&gt;0,1,0))))</f>
        <v/>
      </c>
      <c r="M56" s="35" t="str">
        <f aca="false">IF(E56="","",IF(J56&lt;=0.004,"bezahlt",IF(N(K56)&gt;0,"überfällig – Mahnung "&amp;L56,"offen")))</f>
        <v/>
      </c>
    </row>
    <row r="57" customFormat="false" ht="15" hidden="false" customHeight="false" outlineLevel="0" collapsed="false">
      <c r="A57" s="32"/>
      <c r="B57" s="33"/>
      <c r="C57" s="32"/>
      <c r="D57" s="32"/>
      <c r="E57" s="30"/>
      <c r="F57" s="32"/>
      <c r="G57" s="44" t="str">
        <f aca="false">IF(B57="","",B57+IF(F57="",Einstellungen!$B$40,F57))</f>
        <v/>
      </c>
      <c r="H57" s="33"/>
      <c r="I57" s="30"/>
      <c r="J57" s="31" t="str">
        <f aca="false">IF(E57="","",E57-N(I57))</f>
        <v/>
      </c>
      <c r="K57" s="43" t="str">
        <f aca="true">IF(OR(E57="",G57=""),"",IF(J57&lt;=0.004,"",MAX(0,TODAY()-G57)))</f>
        <v/>
      </c>
      <c r="L57" s="43" t="str">
        <f aca="false">IF(K57="","",IF(K57&gt;60,3,IF(K57&gt;30,2,IF(K57&gt;0,1,0))))</f>
        <v/>
      </c>
      <c r="M57" s="35" t="str">
        <f aca="false">IF(E57="","",IF(J57&lt;=0.004,"bezahlt",IF(N(K57)&gt;0,"überfällig – Mahnung "&amp;L57,"offen")))</f>
        <v/>
      </c>
    </row>
    <row r="58" customFormat="false" ht="15" hidden="false" customHeight="false" outlineLevel="0" collapsed="false">
      <c r="A58" s="32"/>
      <c r="B58" s="33"/>
      <c r="C58" s="32"/>
      <c r="D58" s="32"/>
      <c r="E58" s="30"/>
      <c r="F58" s="32"/>
      <c r="G58" s="44" t="str">
        <f aca="false">IF(B58="","",B58+IF(F58="",Einstellungen!$B$40,F58))</f>
        <v/>
      </c>
      <c r="H58" s="33"/>
      <c r="I58" s="30"/>
      <c r="J58" s="31" t="str">
        <f aca="false">IF(E58="","",E58-N(I58))</f>
        <v/>
      </c>
      <c r="K58" s="43" t="str">
        <f aca="true">IF(OR(E58="",G58=""),"",IF(J58&lt;=0.004,"",MAX(0,TODAY()-G58)))</f>
        <v/>
      </c>
      <c r="L58" s="43" t="str">
        <f aca="false">IF(K58="","",IF(K58&gt;60,3,IF(K58&gt;30,2,IF(K58&gt;0,1,0))))</f>
        <v/>
      </c>
      <c r="M58" s="35" t="str">
        <f aca="false">IF(E58="","",IF(J58&lt;=0.004,"bezahlt",IF(N(K58)&gt;0,"überfällig – Mahnung "&amp;L58,"offen")))</f>
        <v/>
      </c>
    </row>
    <row r="59" customFormat="false" ht="15" hidden="false" customHeight="false" outlineLevel="0" collapsed="false">
      <c r="A59" s="32"/>
      <c r="B59" s="33"/>
      <c r="C59" s="32"/>
      <c r="D59" s="32"/>
      <c r="E59" s="30"/>
      <c r="F59" s="32"/>
      <c r="G59" s="44" t="str">
        <f aca="false">IF(B59="","",B59+IF(F59="",Einstellungen!$B$40,F59))</f>
        <v/>
      </c>
      <c r="H59" s="33"/>
      <c r="I59" s="30"/>
      <c r="J59" s="31" t="str">
        <f aca="false">IF(E59="","",E59-N(I59))</f>
        <v/>
      </c>
      <c r="K59" s="43" t="str">
        <f aca="true">IF(OR(E59="",G59=""),"",IF(J59&lt;=0.004,"",MAX(0,TODAY()-G59)))</f>
        <v/>
      </c>
      <c r="L59" s="43" t="str">
        <f aca="false">IF(K59="","",IF(K59&gt;60,3,IF(K59&gt;30,2,IF(K59&gt;0,1,0))))</f>
        <v/>
      </c>
      <c r="M59" s="35" t="str">
        <f aca="false">IF(E59="","",IF(J59&lt;=0.004,"bezahlt",IF(N(K59)&gt;0,"überfällig – Mahnung "&amp;L59,"offen")))</f>
        <v/>
      </c>
    </row>
    <row r="60" customFormat="false" ht="15" hidden="false" customHeight="false" outlineLevel="0" collapsed="false">
      <c r="A60" s="32"/>
      <c r="B60" s="33"/>
      <c r="C60" s="32"/>
      <c r="D60" s="32"/>
      <c r="E60" s="30"/>
      <c r="F60" s="32"/>
      <c r="G60" s="44" t="str">
        <f aca="false">IF(B60="","",B60+IF(F60="",Einstellungen!$B$40,F60))</f>
        <v/>
      </c>
      <c r="H60" s="33"/>
      <c r="I60" s="30"/>
      <c r="J60" s="31" t="str">
        <f aca="false">IF(E60="","",E60-N(I60))</f>
        <v/>
      </c>
      <c r="K60" s="43" t="str">
        <f aca="true">IF(OR(E60="",G60=""),"",IF(J60&lt;=0.004,"",MAX(0,TODAY()-G60)))</f>
        <v/>
      </c>
      <c r="L60" s="43" t="str">
        <f aca="false">IF(K60="","",IF(K60&gt;60,3,IF(K60&gt;30,2,IF(K60&gt;0,1,0))))</f>
        <v/>
      </c>
      <c r="M60" s="35" t="str">
        <f aca="false">IF(E60="","",IF(J60&lt;=0.004,"bezahlt",IF(N(K60)&gt;0,"überfällig – Mahnung "&amp;L60,"offen")))</f>
        <v/>
      </c>
    </row>
    <row r="61" customFormat="false" ht="15" hidden="false" customHeight="false" outlineLevel="0" collapsed="false">
      <c r="A61" s="32"/>
      <c r="B61" s="33"/>
      <c r="C61" s="32"/>
      <c r="D61" s="32"/>
      <c r="E61" s="30"/>
      <c r="F61" s="32"/>
      <c r="G61" s="44" t="str">
        <f aca="false">IF(B61="","",B61+IF(F61="",Einstellungen!$B$40,F61))</f>
        <v/>
      </c>
      <c r="H61" s="33"/>
      <c r="I61" s="30"/>
      <c r="J61" s="31" t="str">
        <f aca="false">IF(E61="","",E61-N(I61))</f>
        <v/>
      </c>
      <c r="K61" s="43" t="str">
        <f aca="true">IF(OR(E61="",G61=""),"",IF(J61&lt;=0.004,"",MAX(0,TODAY()-G61)))</f>
        <v/>
      </c>
      <c r="L61" s="43" t="str">
        <f aca="false">IF(K61="","",IF(K61&gt;60,3,IF(K61&gt;30,2,IF(K61&gt;0,1,0))))</f>
        <v/>
      </c>
      <c r="M61" s="35" t="str">
        <f aca="false">IF(E61="","",IF(J61&lt;=0.004,"bezahlt",IF(N(K61)&gt;0,"überfällig – Mahnung "&amp;L61,"offen")))</f>
        <v/>
      </c>
    </row>
    <row r="62" customFormat="false" ht="15" hidden="false" customHeight="false" outlineLevel="0" collapsed="false">
      <c r="A62" s="32"/>
      <c r="B62" s="33"/>
      <c r="C62" s="32"/>
      <c r="D62" s="32"/>
      <c r="E62" s="30"/>
      <c r="F62" s="32"/>
      <c r="G62" s="44" t="str">
        <f aca="false">IF(B62="","",B62+IF(F62="",Einstellungen!$B$40,F62))</f>
        <v/>
      </c>
      <c r="H62" s="33"/>
      <c r="I62" s="30"/>
      <c r="J62" s="31" t="str">
        <f aca="false">IF(E62="","",E62-N(I62))</f>
        <v/>
      </c>
      <c r="K62" s="43" t="str">
        <f aca="true">IF(OR(E62="",G62=""),"",IF(J62&lt;=0.004,"",MAX(0,TODAY()-G62)))</f>
        <v/>
      </c>
      <c r="L62" s="43" t="str">
        <f aca="false">IF(K62="","",IF(K62&gt;60,3,IF(K62&gt;30,2,IF(K62&gt;0,1,0))))</f>
        <v/>
      </c>
      <c r="M62" s="35" t="str">
        <f aca="false">IF(E62="","",IF(J62&lt;=0.004,"bezahlt",IF(N(K62)&gt;0,"überfällig – Mahnung "&amp;L62,"offen")))</f>
        <v/>
      </c>
    </row>
    <row r="63" customFormat="false" ht="15" hidden="false" customHeight="false" outlineLevel="0" collapsed="false">
      <c r="A63" s="32"/>
      <c r="B63" s="33"/>
      <c r="C63" s="32"/>
      <c r="D63" s="32"/>
      <c r="E63" s="30"/>
      <c r="F63" s="32"/>
      <c r="G63" s="44" t="str">
        <f aca="false">IF(B63="","",B63+IF(F63="",Einstellungen!$B$40,F63))</f>
        <v/>
      </c>
      <c r="H63" s="33"/>
      <c r="I63" s="30"/>
      <c r="J63" s="31" t="str">
        <f aca="false">IF(E63="","",E63-N(I63))</f>
        <v/>
      </c>
      <c r="K63" s="43" t="str">
        <f aca="true">IF(OR(E63="",G63=""),"",IF(J63&lt;=0.004,"",MAX(0,TODAY()-G63)))</f>
        <v/>
      </c>
      <c r="L63" s="43" t="str">
        <f aca="false">IF(K63="","",IF(K63&gt;60,3,IF(K63&gt;30,2,IF(K63&gt;0,1,0))))</f>
        <v/>
      </c>
      <c r="M63" s="35" t="str">
        <f aca="false">IF(E63="","",IF(J63&lt;=0.004,"bezahlt",IF(N(K63)&gt;0,"überfällig – Mahnung "&amp;L63,"offen")))</f>
        <v/>
      </c>
    </row>
    <row r="64" customFormat="false" ht="15" hidden="false" customHeight="false" outlineLevel="0" collapsed="false">
      <c r="A64" s="32"/>
      <c r="B64" s="33"/>
      <c r="C64" s="32"/>
      <c r="D64" s="32"/>
      <c r="E64" s="30"/>
      <c r="F64" s="32"/>
      <c r="G64" s="44" t="str">
        <f aca="false">IF(B64="","",B64+IF(F64="",Einstellungen!$B$40,F64))</f>
        <v/>
      </c>
      <c r="H64" s="33"/>
      <c r="I64" s="30"/>
      <c r="J64" s="31" t="str">
        <f aca="false">IF(E64="","",E64-N(I64))</f>
        <v/>
      </c>
      <c r="K64" s="43" t="str">
        <f aca="true">IF(OR(E64="",G64=""),"",IF(J64&lt;=0.004,"",MAX(0,TODAY()-G64)))</f>
        <v/>
      </c>
      <c r="L64" s="43" t="str">
        <f aca="false">IF(K64="","",IF(K64&gt;60,3,IF(K64&gt;30,2,IF(K64&gt;0,1,0))))</f>
        <v/>
      </c>
      <c r="M64" s="35" t="str">
        <f aca="false">IF(E64="","",IF(J64&lt;=0.004,"bezahlt",IF(N(K64)&gt;0,"überfällig – Mahnung "&amp;L64,"offen")))</f>
        <v/>
      </c>
    </row>
    <row r="65" customFormat="false" ht="15" hidden="false" customHeight="false" outlineLevel="0" collapsed="false">
      <c r="A65" s="32"/>
      <c r="B65" s="33"/>
      <c r="C65" s="32"/>
      <c r="D65" s="32"/>
      <c r="E65" s="30"/>
      <c r="F65" s="32"/>
      <c r="G65" s="44" t="str">
        <f aca="false">IF(B65="","",B65+IF(F65="",Einstellungen!$B$40,F65))</f>
        <v/>
      </c>
      <c r="H65" s="33"/>
      <c r="I65" s="30"/>
      <c r="J65" s="31" t="str">
        <f aca="false">IF(E65="","",E65-N(I65))</f>
        <v/>
      </c>
      <c r="K65" s="43" t="str">
        <f aca="true">IF(OR(E65="",G65=""),"",IF(J65&lt;=0.004,"",MAX(0,TODAY()-G65)))</f>
        <v/>
      </c>
      <c r="L65" s="43" t="str">
        <f aca="false">IF(K65="","",IF(K65&gt;60,3,IF(K65&gt;30,2,IF(K65&gt;0,1,0))))</f>
        <v/>
      </c>
      <c r="M65" s="35" t="str">
        <f aca="false">IF(E65="","",IF(J65&lt;=0.004,"bezahlt",IF(N(K65)&gt;0,"überfällig – Mahnung "&amp;L65,"offen")))</f>
        <v/>
      </c>
    </row>
    <row r="66" customFormat="false" ht="15" hidden="false" customHeight="false" outlineLevel="0" collapsed="false">
      <c r="A66" s="32"/>
      <c r="B66" s="33"/>
      <c r="C66" s="32"/>
      <c r="D66" s="32"/>
      <c r="E66" s="30"/>
      <c r="F66" s="32"/>
      <c r="G66" s="44" t="str">
        <f aca="false">IF(B66="","",B66+IF(F66="",Einstellungen!$B$40,F66))</f>
        <v/>
      </c>
      <c r="H66" s="33"/>
      <c r="I66" s="30"/>
      <c r="J66" s="31" t="str">
        <f aca="false">IF(E66="","",E66-N(I66))</f>
        <v/>
      </c>
      <c r="K66" s="43" t="str">
        <f aca="true">IF(OR(E66="",G66=""),"",IF(J66&lt;=0.004,"",MAX(0,TODAY()-G66)))</f>
        <v/>
      </c>
      <c r="L66" s="43" t="str">
        <f aca="false">IF(K66="","",IF(K66&gt;60,3,IF(K66&gt;30,2,IF(K66&gt;0,1,0))))</f>
        <v/>
      </c>
      <c r="M66" s="35" t="str">
        <f aca="false">IF(E66="","",IF(J66&lt;=0.004,"bezahlt",IF(N(K66)&gt;0,"überfällig – Mahnung "&amp;L66,"offen")))</f>
        <v/>
      </c>
    </row>
    <row r="67" customFormat="false" ht="15" hidden="false" customHeight="false" outlineLevel="0" collapsed="false">
      <c r="A67" s="32"/>
      <c r="B67" s="33"/>
      <c r="C67" s="32"/>
      <c r="D67" s="32"/>
      <c r="E67" s="30"/>
      <c r="F67" s="32"/>
      <c r="G67" s="44" t="str">
        <f aca="false">IF(B67="","",B67+IF(F67="",Einstellungen!$B$40,F67))</f>
        <v/>
      </c>
      <c r="H67" s="33"/>
      <c r="I67" s="30"/>
      <c r="J67" s="31" t="str">
        <f aca="false">IF(E67="","",E67-N(I67))</f>
        <v/>
      </c>
      <c r="K67" s="43" t="str">
        <f aca="true">IF(OR(E67="",G67=""),"",IF(J67&lt;=0.004,"",MAX(0,TODAY()-G67)))</f>
        <v/>
      </c>
      <c r="L67" s="43" t="str">
        <f aca="false">IF(K67="","",IF(K67&gt;60,3,IF(K67&gt;30,2,IF(K67&gt;0,1,0))))</f>
        <v/>
      </c>
      <c r="M67" s="35" t="str">
        <f aca="false">IF(E67="","",IF(J67&lt;=0.004,"bezahlt",IF(N(K67)&gt;0,"überfällig – Mahnung "&amp;L67,"offen")))</f>
        <v/>
      </c>
    </row>
    <row r="68" customFormat="false" ht="15" hidden="false" customHeight="false" outlineLevel="0" collapsed="false">
      <c r="A68" s="32"/>
      <c r="B68" s="33"/>
      <c r="C68" s="32"/>
      <c r="D68" s="32"/>
      <c r="E68" s="30"/>
      <c r="F68" s="32"/>
      <c r="G68" s="44" t="str">
        <f aca="false">IF(B68="","",B68+IF(F68="",Einstellungen!$B$40,F68))</f>
        <v/>
      </c>
      <c r="H68" s="33"/>
      <c r="I68" s="30"/>
      <c r="J68" s="31" t="str">
        <f aca="false">IF(E68="","",E68-N(I68))</f>
        <v/>
      </c>
      <c r="K68" s="43" t="str">
        <f aca="true">IF(OR(E68="",G68=""),"",IF(J68&lt;=0.004,"",MAX(0,TODAY()-G68)))</f>
        <v/>
      </c>
      <c r="L68" s="43" t="str">
        <f aca="false">IF(K68="","",IF(K68&gt;60,3,IF(K68&gt;30,2,IF(K68&gt;0,1,0))))</f>
        <v/>
      </c>
      <c r="M68" s="35" t="str">
        <f aca="false">IF(E68="","",IF(J68&lt;=0.004,"bezahlt",IF(N(K68)&gt;0,"überfällig – Mahnung "&amp;L68,"offen")))</f>
        <v/>
      </c>
    </row>
    <row r="69" customFormat="false" ht="15" hidden="false" customHeight="false" outlineLevel="0" collapsed="false">
      <c r="A69" s="32"/>
      <c r="B69" s="33"/>
      <c r="C69" s="32"/>
      <c r="D69" s="32"/>
      <c r="E69" s="30"/>
      <c r="F69" s="32"/>
      <c r="G69" s="44" t="str">
        <f aca="false">IF(B69="","",B69+IF(F69="",Einstellungen!$B$40,F69))</f>
        <v/>
      </c>
      <c r="H69" s="33"/>
      <c r="I69" s="30"/>
      <c r="J69" s="31" t="str">
        <f aca="false">IF(E69="","",E69-N(I69))</f>
        <v/>
      </c>
      <c r="K69" s="43" t="str">
        <f aca="true">IF(OR(E69="",G69=""),"",IF(J69&lt;=0.004,"",MAX(0,TODAY()-G69)))</f>
        <v/>
      </c>
      <c r="L69" s="43" t="str">
        <f aca="false">IF(K69="","",IF(K69&gt;60,3,IF(K69&gt;30,2,IF(K69&gt;0,1,0))))</f>
        <v/>
      </c>
      <c r="M69" s="35" t="str">
        <f aca="false">IF(E69="","",IF(J69&lt;=0.004,"bezahlt",IF(N(K69)&gt;0,"überfällig – Mahnung "&amp;L69,"offen")))</f>
        <v/>
      </c>
    </row>
    <row r="70" customFormat="false" ht="15" hidden="false" customHeight="false" outlineLevel="0" collapsed="false">
      <c r="A70" s="32"/>
      <c r="B70" s="33"/>
      <c r="C70" s="32"/>
      <c r="D70" s="32"/>
      <c r="E70" s="30"/>
      <c r="F70" s="32"/>
      <c r="G70" s="44" t="str">
        <f aca="false">IF(B70="","",B70+IF(F70="",Einstellungen!$B$40,F70))</f>
        <v/>
      </c>
      <c r="H70" s="33"/>
      <c r="I70" s="30"/>
      <c r="J70" s="31" t="str">
        <f aca="false">IF(E70="","",E70-N(I70))</f>
        <v/>
      </c>
      <c r="K70" s="43" t="str">
        <f aca="true">IF(OR(E70="",G70=""),"",IF(J70&lt;=0.004,"",MAX(0,TODAY()-G70)))</f>
        <v/>
      </c>
      <c r="L70" s="43" t="str">
        <f aca="false">IF(K70="","",IF(K70&gt;60,3,IF(K70&gt;30,2,IF(K70&gt;0,1,0))))</f>
        <v/>
      </c>
      <c r="M70" s="35" t="str">
        <f aca="false">IF(E70="","",IF(J70&lt;=0.004,"bezahlt",IF(N(K70)&gt;0,"überfällig – Mahnung "&amp;L70,"offen")))</f>
        <v/>
      </c>
    </row>
    <row r="71" customFormat="false" ht="15" hidden="false" customHeight="false" outlineLevel="0" collapsed="false">
      <c r="A71" s="32"/>
      <c r="B71" s="33"/>
      <c r="C71" s="32"/>
      <c r="D71" s="32"/>
      <c r="E71" s="30"/>
      <c r="F71" s="32"/>
      <c r="G71" s="44" t="str">
        <f aca="false">IF(B71="","",B71+IF(F71="",Einstellungen!$B$40,F71))</f>
        <v/>
      </c>
      <c r="H71" s="33"/>
      <c r="I71" s="30"/>
      <c r="J71" s="31" t="str">
        <f aca="false">IF(E71="","",E71-N(I71))</f>
        <v/>
      </c>
      <c r="K71" s="43" t="str">
        <f aca="true">IF(OR(E71="",G71=""),"",IF(J71&lt;=0.004,"",MAX(0,TODAY()-G71)))</f>
        <v/>
      </c>
      <c r="L71" s="43" t="str">
        <f aca="false">IF(K71="","",IF(K71&gt;60,3,IF(K71&gt;30,2,IF(K71&gt;0,1,0))))</f>
        <v/>
      </c>
      <c r="M71" s="35" t="str">
        <f aca="false">IF(E71="","",IF(J71&lt;=0.004,"bezahlt",IF(N(K71)&gt;0,"überfällig – Mahnung "&amp;L71,"offen")))</f>
        <v/>
      </c>
    </row>
    <row r="72" customFormat="false" ht="15" hidden="false" customHeight="false" outlineLevel="0" collapsed="false">
      <c r="A72" s="32"/>
      <c r="B72" s="33"/>
      <c r="C72" s="32"/>
      <c r="D72" s="32"/>
      <c r="E72" s="30"/>
      <c r="F72" s="32"/>
      <c r="G72" s="44" t="str">
        <f aca="false">IF(B72="","",B72+IF(F72="",Einstellungen!$B$40,F72))</f>
        <v/>
      </c>
      <c r="H72" s="33"/>
      <c r="I72" s="30"/>
      <c r="J72" s="31" t="str">
        <f aca="false">IF(E72="","",E72-N(I72))</f>
        <v/>
      </c>
      <c r="K72" s="43" t="str">
        <f aca="true">IF(OR(E72="",G72=""),"",IF(J72&lt;=0.004,"",MAX(0,TODAY()-G72)))</f>
        <v/>
      </c>
      <c r="L72" s="43" t="str">
        <f aca="false">IF(K72="","",IF(K72&gt;60,3,IF(K72&gt;30,2,IF(K72&gt;0,1,0))))</f>
        <v/>
      </c>
      <c r="M72" s="35" t="str">
        <f aca="false">IF(E72="","",IF(J72&lt;=0.004,"bezahlt",IF(N(K72)&gt;0,"überfällig – Mahnung "&amp;L72,"offen")))</f>
        <v/>
      </c>
    </row>
    <row r="73" customFormat="false" ht="15" hidden="false" customHeight="false" outlineLevel="0" collapsed="false">
      <c r="A73" s="32"/>
      <c r="B73" s="33"/>
      <c r="C73" s="32"/>
      <c r="D73" s="32"/>
      <c r="E73" s="30"/>
      <c r="F73" s="32"/>
      <c r="G73" s="44" t="str">
        <f aca="false">IF(B73="","",B73+IF(F73="",Einstellungen!$B$40,F73))</f>
        <v/>
      </c>
      <c r="H73" s="33"/>
      <c r="I73" s="30"/>
      <c r="J73" s="31" t="str">
        <f aca="false">IF(E73="","",E73-N(I73))</f>
        <v/>
      </c>
      <c r="K73" s="43" t="str">
        <f aca="true">IF(OR(E73="",G73=""),"",IF(J73&lt;=0.004,"",MAX(0,TODAY()-G73)))</f>
        <v/>
      </c>
      <c r="L73" s="43" t="str">
        <f aca="false">IF(K73="","",IF(K73&gt;60,3,IF(K73&gt;30,2,IF(K73&gt;0,1,0))))</f>
        <v/>
      </c>
      <c r="M73" s="35" t="str">
        <f aca="false">IF(E73="","",IF(J73&lt;=0.004,"bezahlt",IF(N(K73)&gt;0,"überfällig – Mahnung "&amp;L73,"offen")))</f>
        <v/>
      </c>
    </row>
    <row r="74" customFormat="false" ht="15" hidden="false" customHeight="false" outlineLevel="0" collapsed="false">
      <c r="A74" s="32"/>
      <c r="B74" s="33"/>
      <c r="C74" s="32"/>
      <c r="D74" s="32"/>
      <c r="E74" s="30"/>
      <c r="F74" s="32"/>
      <c r="G74" s="44" t="str">
        <f aca="false">IF(B74="","",B74+IF(F74="",Einstellungen!$B$40,F74))</f>
        <v/>
      </c>
      <c r="H74" s="33"/>
      <c r="I74" s="30"/>
      <c r="J74" s="31" t="str">
        <f aca="false">IF(E74="","",E74-N(I74))</f>
        <v/>
      </c>
      <c r="K74" s="43" t="str">
        <f aca="true">IF(OR(E74="",G74=""),"",IF(J74&lt;=0.004,"",MAX(0,TODAY()-G74)))</f>
        <v/>
      </c>
      <c r="L74" s="43" t="str">
        <f aca="false">IF(K74="","",IF(K74&gt;60,3,IF(K74&gt;30,2,IF(K74&gt;0,1,0))))</f>
        <v/>
      </c>
      <c r="M74" s="35" t="str">
        <f aca="false">IF(E74="","",IF(J74&lt;=0.004,"bezahlt",IF(N(K74)&gt;0,"überfällig – Mahnung "&amp;L74,"offen")))</f>
        <v/>
      </c>
    </row>
    <row r="75" customFormat="false" ht="15" hidden="false" customHeight="false" outlineLevel="0" collapsed="false">
      <c r="A75" s="32"/>
      <c r="B75" s="33"/>
      <c r="C75" s="32"/>
      <c r="D75" s="32"/>
      <c r="E75" s="30"/>
      <c r="F75" s="32"/>
      <c r="G75" s="44" t="str">
        <f aca="false">IF(B75="","",B75+IF(F75="",Einstellungen!$B$40,F75))</f>
        <v/>
      </c>
      <c r="H75" s="33"/>
      <c r="I75" s="30"/>
      <c r="J75" s="31" t="str">
        <f aca="false">IF(E75="","",E75-N(I75))</f>
        <v/>
      </c>
      <c r="K75" s="43" t="str">
        <f aca="true">IF(OR(E75="",G75=""),"",IF(J75&lt;=0.004,"",MAX(0,TODAY()-G75)))</f>
        <v/>
      </c>
      <c r="L75" s="43" t="str">
        <f aca="false">IF(K75="","",IF(K75&gt;60,3,IF(K75&gt;30,2,IF(K75&gt;0,1,0))))</f>
        <v/>
      </c>
      <c r="M75" s="35" t="str">
        <f aca="false">IF(E75="","",IF(J75&lt;=0.004,"bezahlt",IF(N(K75)&gt;0,"überfällig – Mahnung "&amp;L75,"offen")))</f>
        <v/>
      </c>
    </row>
    <row r="76" customFormat="false" ht="15" hidden="false" customHeight="false" outlineLevel="0" collapsed="false">
      <c r="A76" s="32"/>
      <c r="B76" s="33"/>
      <c r="C76" s="32"/>
      <c r="D76" s="32"/>
      <c r="E76" s="30"/>
      <c r="F76" s="32"/>
      <c r="G76" s="44" t="str">
        <f aca="false">IF(B76="","",B76+IF(F76="",Einstellungen!$B$40,F76))</f>
        <v/>
      </c>
      <c r="H76" s="33"/>
      <c r="I76" s="30"/>
      <c r="J76" s="31" t="str">
        <f aca="false">IF(E76="","",E76-N(I76))</f>
        <v/>
      </c>
      <c r="K76" s="43" t="str">
        <f aca="true">IF(OR(E76="",G76=""),"",IF(J76&lt;=0.004,"",MAX(0,TODAY()-G76)))</f>
        <v/>
      </c>
      <c r="L76" s="43" t="str">
        <f aca="false">IF(K76="","",IF(K76&gt;60,3,IF(K76&gt;30,2,IF(K76&gt;0,1,0))))</f>
        <v/>
      </c>
      <c r="M76" s="35" t="str">
        <f aca="false">IF(E76="","",IF(J76&lt;=0.004,"bezahlt",IF(N(K76)&gt;0,"überfällig – Mahnung "&amp;L76,"offen")))</f>
        <v/>
      </c>
    </row>
    <row r="77" customFormat="false" ht="15" hidden="false" customHeight="false" outlineLevel="0" collapsed="false">
      <c r="A77" s="32"/>
      <c r="B77" s="33"/>
      <c r="C77" s="32"/>
      <c r="D77" s="32"/>
      <c r="E77" s="30"/>
      <c r="F77" s="32"/>
      <c r="G77" s="44" t="str">
        <f aca="false">IF(B77="","",B77+IF(F77="",Einstellungen!$B$40,F77))</f>
        <v/>
      </c>
      <c r="H77" s="33"/>
      <c r="I77" s="30"/>
      <c r="J77" s="31" t="str">
        <f aca="false">IF(E77="","",E77-N(I77))</f>
        <v/>
      </c>
      <c r="K77" s="43" t="str">
        <f aca="true">IF(OR(E77="",G77=""),"",IF(J77&lt;=0.004,"",MAX(0,TODAY()-G77)))</f>
        <v/>
      </c>
      <c r="L77" s="43" t="str">
        <f aca="false">IF(K77="","",IF(K77&gt;60,3,IF(K77&gt;30,2,IF(K77&gt;0,1,0))))</f>
        <v/>
      </c>
      <c r="M77" s="35" t="str">
        <f aca="false">IF(E77="","",IF(J77&lt;=0.004,"bezahlt",IF(N(K77)&gt;0,"überfällig – Mahnung "&amp;L77,"offen")))</f>
        <v/>
      </c>
    </row>
    <row r="78" customFormat="false" ht="15" hidden="false" customHeight="false" outlineLevel="0" collapsed="false">
      <c r="A78" s="32"/>
      <c r="B78" s="33"/>
      <c r="C78" s="32"/>
      <c r="D78" s="32"/>
      <c r="E78" s="30"/>
      <c r="F78" s="32"/>
      <c r="G78" s="44" t="str">
        <f aca="false">IF(B78="","",B78+IF(F78="",Einstellungen!$B$40,F78))</f>
        <v/>
      </c>
      <c r="H78" s="33"/>
      <c r="I78" s="30"/>
      <c r="J78" s="31" t="str">
        <f aca="false">IF(E78="","",E78-N(I78))</f>
        <v/>
      </c>
      <c r="K78" s="43" t="str">
        <f aca="true">IF(OR(E78="",G78=""),"",IF(J78&lt;=0.004,"",MAX(0,TODAY()-G78)))</f>
        <v/>
      </c>
      <c r="L78" s="43" t="str">
        <f aca="false">IF(K78="","",IF(K78&gt;60,3,IF(K78&gt;30,2,IF(K78&gt;0,1,0))))</f>
        <v/>
      </c>
      <c r="M78" s="35" t="str">
        <f aca="false">IF(E78="","",IF(J78&lt;=0.004,"bezahlt",IF(N(K78)&gt;0,"überfällig – Mahnung "&amp;L78,"offen")))</f>
        <v/>
      </c>
    </row>
    <row r="79" customFormat="false" ht="15" hidden="false" customHeight="false" outlineLevel="0" collapsed="false">
      <c r="A79" s="32"/>
      <c r="B79" s="33"/>
      <c r="C79" s="32"/>
      <c r="D79" s="32"/>
      <c r="E79" s="30"/>
      <c r="F79" s="32"/>
      <c r="G79" s="44" t="str">
        <f aca="false">IF(B79="","",B79+IF(F79="",Einstellungen!$B$40,F79))</f>
        <v/>
      </c>
      <c r="H79" s="33"/>
      <c r="I79" s="30"/>
      <c r="J79" s="31" t="str">
        <f aca="false">IF(E79="","",E79-N(I79))</f>
        <v/>
      </c>
      <c r="K79" s="43" t="str">
        <f aca="true">IF(OR(E79="",G79=""),"",IF(J79&lt;=0.004,"",MAX(0,TODAY()-G79)))</f>
        <v/>
      </c>
      <c r="L79" s="43" t="str">
        <f aca="false">IF(K79="","",IF(K79&gt;60,3,IF(K79&gt;30,2,IF(K79&gt;0,1,0))))</f>
        <v/>
      </c>
      <c r="M79" s="35" t="str">
        <f aca="false">IF(E79="","",IF(J79&lt;=0.004,"bezahlt",IF(N(K79)&gt;0,"überfällig – Mahnung "&amp;L79,"offen")))</f>
        <v/>
      </c>
    </row>
    <row r="80" customFormat="false" ht="15" hidden="false" customHeight="false" outlineLevel="0" collapsed="false">
      <c r="A80" s="32"/>
      <c r="B80" s="33"/>
      <c r="C80" s="32"/>
      <c r="D80" s="32"/>
      <c r="E80" s="30"/>
      <c r="F80" s="32"/>
      <c r="G80" s="44" t="str">
        <f aca="false">IF(B80="","",B80+IF(F80="",Einstellungen!$B$40,F80))</f>
        <v/>
      </c>
      <c r="H80" s="33"/>
      <c r="I80" s="30"/>
      <c r="J80" s="31" t="str">
        <f aca="false">IF(E80="","",E80-N(I80))</f>
        <v/>
      </c>
      <c r="K80" s="43" t="str">
        <f aca="true">IF(OR(E80="",G80=""),"",IF(J80&lt;=0.004,"",MAX(0,TODAY()-G80)))</f>
        <v/>
      </c>
      <c r="L80" s="43" t="str">
        <f aca="false">IF(K80="","",IF(K80&gt;60,3,IF(K80&gt;30,2,IF(K80&gt;0,1,0))))</f>
        <v/>
      </c>
      <c r="M80" s="35" t="str">
        <f aca="false">IF(E80="","",IF(J80&lt;=0.004,"bezahlt",IF(N(K80)&gt;0,"überfällig – Mahnung "&amp;L80,"offen")))</f>
        <v/>
      </c>
    </row>
    <row r="81" customFormat="false" ht="15" hidden="false" customHeight="false" outlineLevel="0" collapsed="false">
      <c r="A81" s="32"/>
      <c r="B81" s="33"/>
      <c r="C81" s="32"/>
      <c r="D81" s="32"/>
      <c r="E81" s="30"/>
      <c r="F81" s="32"/>
      <c r="G81" s="44" t="str">
        <f aca="false">IF(B81="","",B81+IF(F81="",Einstellungen!$B$40,F81))</f>
        <v/>
      </c>
      <c r="H81" s="33"/>
      <c r="I81" s="30"/>
      <c r="J81" s="31" t="str">
        <f aca="false">IF(E81="","",E81-N(I81))</f>
        <v/>
      </c>
      <c r="K81" s="43" t="str">
        <f aca="true">IF(OR(E81="",G81=""),"",IF(J81&lt;=0.004,"",MAX(0,TODAY()-G81)))</f>
        <v/>
      </c>
      <c r="L81" s="43" t="str">
        <f aca="false">IF(K81="","",IF(K81&gt;60,3,IF(K81&gt;30,2,IF(K81&gt;0,1,0))))</f>
        <v/>
      </c>
      <c r="M81" s="35" t="str">
        <f aca="false">IF(E81="","",IF(J81&lt;=0.004,"bezahlt",IF(N(K81)&gt;0,"überfällig – Mahnung "&amp;L81,"offen")))</f>
        <v/>
      </c>
    </row>
    <row r="82" customFormat="false" ht="15" hidden="false" customHeight="false" outlineLevel="0" collapsed="false">
      <c r="A82" s="32"/>
      <c r="B82" s="33"/>
      <c r="C82" s="32"/>
      <c r="D82" s="32"/>
      <c r="E82" s="30"/>
      <c r="F82" s="32"/>
      <c r="G82" s="44" t="str">
        <f aca="false">IF(B82="","",B82+IF(F82="",Einstellungen!$B$40,F82))</f>
        <v/>
      </c>
      <c r="H82" s="33"/>
      <c r="I82" s="30"/>
      <c r="J82" s="31" t="str">
        <f aca="false">IF(E82="","",E82-N(I82))</f>
        <v/>
      </c>
      <c r="K82" s="43" t="str">
        <f aca="true">IF(OR(E82="",G82=""),"",IF(J82&lt;=0.004,"",MAX(0,TODAY()-G82)))</f>
        <v/>
      </c>
      <c r="L82" s="43" t="str">
        <f aca="false">IF(K82="","",IF(K82&gt;60,3,IF(K82&gt;30,2,IF(K82&gt;0,1,0))))</f>
        <v/>
      </c>
      <c r="M82" s="35" t="str">
        <f aca="false">IF(E82="","",IF(J82&lt;=0.004,"bezahlt",IF(N(K82)&gt;0,"überfällig – Mahnung "&amp;L82,"offen")))</f>
        <v/>
      </c>
    </row>
    <row r="83" customFormat="false" ht="15" hidden="false" customHeight="false" outlineLevel="0" collapsed="false">
      <c r="A83" s="32"/>
      <c r="B83" s="33"/>
      <c r="C83" s="32"/>
      <c r="D83" s="32"/>
      <c r="E83" s="30"/>
      <c r="F83" s="32"/>
      <c r="G83" s="44" t="str">
        <f aca="false">IF(B83="","",B83+IF(F83="",Einstellungen!$B$40,F83))</f>
        <v/>
      </c>
      <c r="H83" s="33"/>
      <c r="I83" s="30"/>
      <c r="J83" s="31" t="str">
        <f aca="false">IF(E83="","",E83-N(I83))</f>
        <v/>
      </c>
      <c r="K83" s="43" t="str">
        <f aca="true">IF(OR(E83="",G83=""),"",IF(J83&lt;=0.004,"",MAX(0,TODAY()-G83)))</f>
        <v/>
      </c>
      <c r="L83" s="43" t="str">
        <f aca="false">IF(K83="","",IF(K83&gt;60,3,IF(K83&gt;30,2,IF(K83&gt;0,1,0))))</f>
        <v/>
      </c>
      <c r="M83" s="35" t="str">
        <f aca="false">IF(E83="","",IF(J83&lt;=0.004,"bezahlt",IF(N(K83)&gt;0,"überfällig – Mahnung "&amp;L83,"offen")))</f>
        <v/>
      </c>
    </row>
    <row r="84" customFormat="false" ht="15" hidden="false" customHeight="false" outlineLevel="0" collapsed="false">
      <c r="A84" s="32"/>
      <c r="B84" s="33"/>
      <c r="C84" s="32"/>
      <c r="D84" s="32"/>
      <c r="E84" s="30"/>
      <c r="F84" s="32"/>
      <c r="G84" s="44" t="str">
        <f aca="false">IF(B84="","",B84+IF(F84="",Einstellungen!$B$40,F84))</f>
        <v/>
      </c>
      <c r="H84" s="33"/>
      <c r="I84" s="30"/>
      <c r="J84" s="31" t="str">
        <f aca="false">IF(E84="","",E84-N(I84))</f>
        <v/>
      </c>
      <c r="K84" s="43" t="str">
        <f aca="true">IF(OR(E84="",G84=""),"",IF(J84&lt;=0.004,"",MAX(0,TODAY()-G84)))</f>
        <v/>
      </c>
      <c r="L84" s="43" t="str">
        <f aca="false">IF(K84="","",IF(K84&gt;60,3,IF(K84&gt;30,2,IF(K84&gt;0,1,0))))</f>
        <v/>
      </c>
      <c r="M84" s="35" t="str">
        <f aca="false">IF(E84="","",IF(J84&lt;=0.004,"bezahlt",IF(N(K84)&gt;0,"überfällig – Mahnung "&amp;L84,"offen")))</f>
        <v/>
      </c>
    </row>
    <row r="85" customFormat="false" ht="15" hidden="false" customHeight="false" outlineLevel="0" collapsed="false">
      <c r="A85" s="32"/>
      <c r="B85" s="33"/>
      <c r="C85" s="32"/>
      <c r="D85" s="32"/>
      <c r="E85" s="30"/>
      <c r="F85" s="32"/>
      <c r="G85" s="44" t="str">
        <f aca="false">IF(B85="","",B85+IF(F85="",Einstellungen!$B$40,F85))</f>
        <v/>
      </c>
      <c r="H85" s="33"/>
      <c r="I85" s="30"/>
      <c r="J85" s="31" t="str">
        <f aca="false">IF(E85="","",E85-N(I85))</f>
        <v/>
      </c>
      <c r="K85" s="43" t="str">
        <f aca="true">IF(OR(E85="",G85=""),"",IF(J85&lt;=0.004,"",MAX(0,TODAY()-G85)))</f>
        <v/>
      </c>
      <c r="L85" s="43" t="str">
        <f aca="false">IF(K85="","",IF(K85&gt;60,3,IF(K85&gt;30,2,IF(K85&gt;0,1,0))))</f>
        <v/>
      </c>
      <c r="M85" s="35" t="str">
        <f aca="false">IF(E85="","",IF(J85&lt;=0.004,"bezahlt",IF(N(K85)&gt;0,"überfällig – Mahnung "&amp;L85,"offen")))</f>
        <v/>
      </c>
    </row>
    <row r="86" customFormat="false" ht="15" hidden="false" customHeight="false" outlineLevel="0" collapsed="false">
      <c r="A86" s="32"/>
      <c r="B86" s="33"/>
      <c r="C86" s="32"/>
      <c r="D86" s="32"/>
      <c r="E86" s="30"/>
      <c r="F86" s="32"/>
      <c r="G86" s="44" t="str">
        <f aca="false">IF(B86="","",B86+IF(F86="",Einstellungen!$B$40,F86))</f>
        <v/>
      </c>
      <c r="H86" s="33"/>
      <c r="I86" s="30"/>
      <c r="J86" s="31" t="str">
        <f aca="false">IF(E86="","",E86-N(I86))</f>
        <v/>
      </c>
      <c r="K86" s="43" t="str">
        <f aca="true">IF(OR(E86="",G86=""),"",IF(J86&lt;=0.004,"",MAX(0,TODAY()-G86)))</f>
        <v/>
      </c>
      <c r="L86" s="43" t="str">
        <f aca="false">IF(K86="","",IF(K86&gt;60,3,IF(K86&gt;30,2,IF(K86&gt;0,1,0))))</f>
        <v/>
      </c>
      <c r="M86" s="35" t="str">
        <f aca="false">IF(E86="","",IF(J86&lt;=0.004,"bezahlt",IF(N(K86)&gt;0,"überfällig – Mahnung "&amp;L86,"offen")))</f>
        <v/>
      </c>
    </row>
    <row r="87" customFormat="false" ht="15" hidden="false" customHeight="false" outlineLevel="0" collapsed="false">
      <c r="A87" s="32"/>
      <c r="B87" s="33"/>
      <c r="C87" s="32"/>
      <c r="D87" s="32"/>
      <c r="E87" s="30"/>
      <c r="F87" s="32"/>
      <c r="G87" s="44" t="str">
        <f aca="false">IF(B87="","",B87+IF(F87="",Einstellungen!$B$40,F87))</f>
        <v/>
      </c>
      <c r="H87" s="33"/>
      <c r="I87" s="30"/>
      <c r="J87" s="31" t="str">
        <f aca="false">IF(E87="","",E87-N(I87))</f>
        <v/>
      </c>
      <c r="K87" s="43" t="str">
        <f aca="true">IF(OR(E87="",G87=""),"",IF(J87&lt;=0.004,"",MAX(0,TODAY()-G87)))</f>
        <v/>
      </c>
      <c r="L87" s="43" t="str">
        <f aca="false">IF(K87="","",IF(K87&gt;60,3,IF(K87&gt;30,2,IF(K87&gt;0,1,0))))</f>
        <v/>
      </c>
      <c r="M87" s="35" t="str">
        <f aca="false">IF(E87="","",IF(J87&lt;=0.004,"bezahlt",IF(N(K87)&gt;0,"überfällig – Mahnung "&amp;L87,"offen")))</f>
        <v/>
      </c>
    </row>
    <row r="88" customFormat="false" ht="15" hidden="false" customHeight="false" outlineLevel="0" collapsed="false">
      <c r="A88" s="32"/>
      <c r="B88" s="33"/>
      <c r="C88" s="32"/>
      <c r="D88" s="32"/>
      <c r="E88" s="30"/>
      <c r="F88" s="32"/>
      <c r="G88" s="44" t="str">
        <f aca="false">IF(B88="","",B88+IF(F88="",Einstellungen!$B$40,F88))</f>
        <v/>
      </c>
      <c r="H88" s="33"/>
      <c r="I88" s="30"/>
      <c r="J88" s="31" t="str">
        <f aca="false">IF(E88="","",E88-N(I88))</f>
        <v/>
      </c>
      <c r="K88" s="43" t="str">
        <f aca="true">IF(OR(E88="",G88=""),"",IF(J88&lt;=0.004,"",MAX(0,TODAY()-G88)))</f>
        <v/>
      </c>
      <c r="L88" s="43" t="str">
        <f aca="false">IF(K88="","",IF(K88&gt;60,3,IF(K88&gt;30,2,IF(K88&gt;0,1,0))))</f>
        <v/>
      </c>
      <c r="M88" s="35" t="str">
        <f aca="false">IF(E88="","",IF(J88&lt;=0.004,"bezahlt",IF(N(K88)&gt;0,"überfällig – Mahnung "&amp;L88,"offen")))</f>
        <v/>
      </c>
    </row>
    <row r="89" customFormat="false" ht="15" hidden="false" customHeight="false" outlineLevel="0" collapsed="false">
      <c r="A89" s="32"/>
      <c r="B89" s="33"/>
      <c r="C89" s="32"/>
      <c r="D89" s="32"/>
      <c r="E89" s="30"/>
      <c r="F89" s="32"/>
      <c r="G89" s="44" t="str">
        <f aca="false">IF(B89="","",B89+IF(F89="",Einstellungen!$B$40,F89))</f>
        <v/>
      </c>
      <c r="H89" s="33"/>
      <c r="I89" s="30"/>
      <c r="J89" s="31" t="str">
        <f aca="false">IF(E89="","",E89-N(I89))</f>
        <v/>
      </c>
      <c r="K89" s="43" t="str">
        <f aca="true">IF(OR(E89="",G89=""),"",IF(J89&lt;=0.004,"",MAX(0,TODAY()-G89)))</f>
        <v/>
      </c>
      <c r="L89" s="43" t="str">
        <f aca="false">IF(K89="","",IF(K89&gt;60,3,IF(K89&gt;30,2,IF(K89&gt;0,1,0))))</f>
        <v/>
      </c>
      <c r="M89" s="35" t="str">
        <f aca="false">IF(E89="","",IF(J89&lt;=0.004,"bezahlt",IF(N(K89)&gt;0,"überfällig – Mahnung "&amp;L89,"offen")))</f>
        <v/>
      </c>
    </row>
    <row r="90" customFormat="false" ht="15" hidden="false" customHeight="false" outlineLevel="0" collapsed="false">
      <c r="A90" s="32"/>
      <c r="B90" s="33"/>
      <c r="C90" s="32"/>
      <c r="D90" s="32"/>
      <c r="E90" s="30"/>
      <c r="F90" s="32"/>
      <c r="G90" s="44" t="str">
        <f aca="false">IF(B90="","",B90+IF(F90="",Einstellungen!$B$40,F90))</f>
        <v/>
      </c>
      <c r="H90" s="33"/>
      <c r="I90" s="30"/>
      <c r="J90" s="31" t="str">
        <f aca="false">IF(E90="","",E90-N(I90))</f>
        <v/>
      </c>
      <c r="K90" s="43" t="str">
        <f aca="true">IF(OR(E90="",G90=""),"",IF(J90&lt;=0.004,"",MAX(0,TODAY()-G90)))</f>
        <v/>
      </c>
      <c r="L90" s="43" t="str">
        <f aca="false">IF(K90="","",IF(K90&gt;60,3,IF(K90&gt;30,2,IF(K90&gt;0,1,0))))</f>
        <v/>
      </c>
      <c r="M90" s="35" t="str">
        <f aca="false">IF(E90="","",IF(J90&lt;=0.004,"bezahlt",IF(N(K90)&gt;0,"überfällig – Mahnung "&amp;L90,"offen")))</f>
        <v/>
      </c>
    </row>
    <row r="91" customFormat="false" ht="15" hidden="false" customHeight="false" outlineLevel="0" collapsed="false">
      <c r="A91" s="32"/>
      <c r="B91" s="33"/>
      <c r="C91" s="32"/>
      <c r="D91" s="32"/>
      <c r="E91" s="30"/>
      <c r="F91" s="32"/>
      <c r="G91" s="44" t="str">
        <f aca="false">IF(B91="","",B91+IF(F91="",Einstellungen!$B$40,F91))</f>
        <v/>
      </c>
      <c r="H91" s="33"/>
      <c r="I91" s="30"/>
      <c r="J91" s="31" t="str">
        <f aca="false">IF(E91="","",E91-N(I91))</f>
        <v/>
      </c>
      <c r="K91" s="43" t="str">
        <f aca="true">IF(OR(E91="",G91=""),"",IF(J91&lt;=0.004,"",MAX(0,TODAY()-G91)))</f>
        <v/>
      </c>
      <c r="L91" s="43" t="str">
        <f aca="false">IF(K91="","",IF(K91&gt;60,3,IF(K91&gt;30,2,IF(K91&gt;0,1,0))))</f>
        <v/>
      </c>
      <c r="M91" s="35" t="str">
        <f aca="false">IF(E91="","",IF(J91&lt;=0.004,"bezahlt",IF(N(K91)&gt;0,"überfällig – Mahnung "&amp;L91,"offen")))</f>
        <v/>
      </c>
    </row>
    <row r="92" customFormat="false" ht="15" hidden="false" customHeight="false" outlineLevel="0" collapsed="false">
      <c r="A92" s="32"/>
      <c r="B92" s="33"/>
      <c r="C92" s="32"/>
      <c r="D92" s="32"/>
      <c r="E92" s="30"/>
      <c r="F92" s="32"/>
      <c r="G92" s="44" t="str">
        <f aca="false">IF(B92="","",B92+IF(F92="",Einstellungen!$B$40,F92))</f>
        <v/>
      </c>
      <c r="H92" s="33"/>
      <c r="I92" s="30"/>
      <c r="J92" s="31" t="str">
        <f aca="false">IF(E92="","",E92-N(I92))</f>
        <v/>
      </c>
      <c r="K92" s="43" t="str">
        <f aca="true">IF(OR(E92="",G92=""),"",IF(J92&lt;=0.004,"",MAX(0,TODAY()-G92)))</f>
        <v/>
      </c>
      <c r="L92" s="43" t="str">
        <f aca="false">IF(K92="","",IF(K92&gt;60,3,IF(K92&gt;30,2,IF(K92&gt;0,1,0))))</f>
        <v/>
      </c>
      <c r="M92" s="35" t="str">
        <f aca="false">IF(E92="","",IF(J92&lt;=0.004,"bezahlt",IF(N(K92)&gt;0,"überfällig – Mahnung "&amp;L92,"offen")))</f>
        <v/>
      </c>
    </row>
    <row r="93" customFormat="false" ht="15" hidden="false" customHeight="false" outlineLevel="0" collapsed="false">
      <c r="A93" s="32"/>
      <c r="B93" s="33"/>
      <c r="C93" s="32"/>
      <c r="D93" s="32"/>
      <c r="E93" s="30"/>
      <c r="F93" s="32"/>
      <c r="G93" s="44" t="str">
        <f aca="false">IF(B93="","",B93+IF(F93="",Einstellungen!$B$40,F93))</f>
        <v/>
      </c>
      <c r="H93" s="33"/>
      <c r="I93" s="30"/>
      <c r="J93" s="31" t="str">
        <f aca="false">IF(E93="","",E93-N(I93))</f>
        <v/>
      </c>
      <c r="K93" s="43" t="str">
        <f aca="true">IF(OR(E93="",G93=""),"",IF(J93&lt;=0.004,"",MAX(0,TODAY()-G93)))</f>
        <v/>
      </c>
      <c r="L93" s="43" t="str">
        <f aca="false">IF(K93="","",IF(K93&gt;60,3,IF(K93&gt;30,2,IF(K93&gt;0,1,0))))</f>
        <v/>
      </c>
      <c r="M93" s="35" t="str">
        <f aca="false">IF(E93="","",IF(J93&lt;=0.004,"bezahlt",IF(N(K93)&gt;0,"überfällig – Mahnung "&amp;L93,"offen")))</f>
        <v/>
      </c>
    </row>
    <row r="94" customFormat="false" ht="15" hidden="false" customHeight="false" outlineLevel="0" collapsed="false">
      <c r="A94" s="32"/>
      <c r="B94" s="33"/>
      <c r="C94" s="32"/>
      <c r="D94" s="32"/>
      <c r="E94" s="30"/>
      <c r="F94" s="32"/>
      <c r="G94" s="44" t="str">
        <f aca="false">IF(B94="","",B94+IF(F94="",Einstellungen!$B$40,F94))</f>
        <v/>
      </c>
      <c r="H94" s="33"/>
      <c r="I94" s="30"/>
      <c r="J94" s="31" t="str">
        <f aca="false">IF(E94="","",E94-N(I94))</f>
        <v/>
      </c>
      <c r="K94" s="43" t="str">
        <f aca="true">IF(OR(E94="",G94=""),"",IF(J94&lt;=0.004,"",MAX(0,TODAY()-G94)))</f>
        <v/>
      </c>
      <c r="L94" s="43" t="str">
        <f aca="false">IF(K94="","",IF(K94&gt;60,3,IF(K94&gt;30,2,IF(K94&gt;0,1,0))))</f>
        <v/>
      </c>
      <c r="M94" s="35" t="str">
        <f aca="false">IF(E94="","",IF(J94&lt;=0.004,"bezahlt",IF(N(K94)&gt;0,"überfällig – Mahnung "&amp;L94,"offen")))</f>
        <v/>
      </c>
    </row>
    <row r="95" customFormat="false" ht="15" hidden="false" customHeight="false" outlineLevel="0" collapsed="false">
      <c r="A95" s="32"/>
      <c r="B95" s="33"/>
      <c r="C95" s="32"/>
      <c r="D95" s="32"/>
      <c r="E95" s="30"/>
      <c r="F95" s="32"/>
      <c r="G95" s="44" t="str">
        <f aca="false">IF(B95="","",B95+IF(F95="",Einstellungen!$B$40,F95))</f>
        <v/>
      </c>
      <c r="H95" s="33"/>
      <c r="I95" s="30"/>
      <c r="J95" s="31" t="str">
        <f aca="false">IF(E95="","",E95-N(I95))</f>
        <v/>
      </c>
      <c r="K95" s="43" t="str">
        <f aca="true">IF(OR(E95="",G95=""),"",IF(J95&lt;=0.004,"",MAX(0,TODAY()-G95)))</f>
        <v/>
      </c>
      <c r="L95" s="43" t="str">
        <f aca="false">IF(K95="","",IF(K95&gt;60,3,IF(K95&gt;30,2,IF(K95&gt;0,1,0))))</f>
        <v/>
      </c>
      <c r="M95" s="35" t="str">
        <f aca="false">IF(E95="","",IF(J95&lt;=0.004,"bezahlt",IF(N(K95)&gt;0,"überfällig – Mahnung "&amp;L95,"offen")))</f>
        <v/>
      </c>
    </row>
    <row r="96" customFormat="false" ht="15" hidden="false" customHeight="false" outlineLevel="0" collapsed="false">
      <c r="A96" s="32"/>
      <c r="B96" s="33"/>
      <c r="C96" s="32"/>
      <c r="D96" s="32"/>
      <c r="E96" s="30"/>
      <c r="F96" s="32"/>
      <c r="G96" s="44" t="str">
        <f aca="false">IF(B96="","",B96+IF(F96="",Einstellungen!$B$40,F96))</f>
        <v/>
      </c>
      <c r="H96" s="33"/>
      <c r="I96" s="30"/>
      <c r="J96" s="31" t="str">
        <f aca="false">IF(E96="","",E96-N(I96))</f>
        <v/>
      </c>
      <c r="K96" s="43" t="str">
        <f aca="true">IF(OR(E96="",G96=""),"",IF(J96&lt;=0.004,"",MAX(0,TODAY()-G96)))</f>
        <v/>
      </c>
      <c r="L96" s="43" t="str">
        <f aca="false">IF(K96="","",IF(K96&gt;60,3,IF(K96&gt;30,2,IF(K96&gt;0,1,0))))</f>
        <v/>
      </c>
      <c r="M96" s="35" t="str">
        <f aca="false">IF(E96="","",IF(J96&lt;=0.004,"bezahlt",IF(N(K96)&gt;0,"überfällig – Mahnung "&amp;L96,"offen")))</f>
        <v/>
      </c>
    </row>
    <row r="97" customFormat="false" ht="15" hidden="false" customHeight="false" outlineLevel="0" collapsed="false">
      <c r="A97" s="32"/>
      <c r="B97" s="33"/>
      <c r="C97" s="32"/>
      <c r="D97" s="32"/>
      <c r="E97" s="30"/>
      <c r="F97" s="32"/>
      <c r="G97" s="44" t="str">
        <f aca="false">IF(B97="","",B97+IF(F97="",Einstellungen!$B$40,F97))</f>
        <v/>
      </c>
      <c r="H97" s="33"/>
      <c r="I97" s="30"/>
      <c r="J97" s="31" t="str">
        <f aca="false">IF(E97="","",E97-N(I97))</f>
        <v/>
      </c>
      <c r="K97" s="43" t="str">
        <f aca="true">IF(OR(E97="",G97=""),"",IF(J97&lt;=0.004,"",MAX(0,TODAY()-G97)))</f>
        <v/>
      </c>
      <c r="L97" s="43" t="str">
        <f aca="false">IF(K97="","",IF(K97&gt;60,3,IF(K97&gt;30,2,IF(K97&gt;0,1,0))))</f>
        <v/>
      </c>
      <c r="M97" s="35" t="str">
        <f aca="false">IF(E97="","",IF(J97&lt;=0.004,"bezahlt",IF(N(K97)&gt;0,"überfällig – Mahnung "&amp;L97,"offen")))</f>
        <v/>
      </c>
    </row>
    <row r="98" customFormat="false" ht="15" hidden="false" customHeight="false" outlineLevel="0" collapsed="false">
      <c r="A98" s="32"/>
      <c r="B98" s="33"/>
      <c r="C98" s="32"/>
      <c r="D98" s="32"/>
      <c r="E98" s="30"/>
      <c r="F98" s="32"/>
      <c r="G98" s="44" t="str">
        <f aca="false">IF(B98="","",B98+IF(F98="",Einstellungen!$B$40,F98))</f>
        <v/>
      </c>
      <c r="H98" s="33"/>
      <c r="I98" s="30"/>
      <c r="J98" s="31" t="str">
        <f aca="false">IF(E98="","",E98-N(I98))</f>
        <v/>
      </c>
      <c r="K98" s="43" t="str">
        <f aca="true">IF(OR(E98="",G98=""),"",IF(J98&lt;=0.004,"",MAX(0,TODAY()-G98)))</f>
        <v/>
      </c>
      <c r="L98" s="43" t="str">
        <f aca="false">IF(K98="","",IF(K98&gt;60,3,IF(K98&gt;30,2,IF(K98&gt;0,1,0))))</f>
        <v/>
      </c>
      <c r="M98" s="35" t="str">
        <f aca="false">IF(E98="","",IF(J98&lt;=0.004,"bezahlt",IF(N(K98)&gt;0,"überfällig – Mahnung "&amp;L98,"offen")))</f>
        <v/>
      </c>
    </row>
    <row r="99" customFormat="false" ht="15" hidden="false" customHeight="false" outlineLevel="0" collapsed="false">
      <c r="A99" s="32"/>
      <c r="B99" s="33"/>
      <c r="C99" s="32"/>
      <c r="D99" s="32"/>
      <c r="E99" s="30"/>
      <c r="F99" s="32"/>
      <c r="G99" s="44" t="str">
        <f aca="false">IF(B99="","",B99+IF(F99="",Einstellungen!$B$40,F99))</f>
        <v/>
      </c>
      <c r="H99" s="33"/>
      <c r="I99" s="30"/>
      <c r="J99" s="31" t="str">
        <f aca="false">IF(E99="","",E99-N(I99))</f>
        <v/>
      </c>
      <c r="K99" s="43" t="str">
        <f aca="true">IF(OR(E99="",G99=""),"",IF(J99&lt;=0.004,"",MAX(0,TODAY()-G99)))</f>
        <v/>
      </c>
      <c r="L99" s="43" t="str">
        <f aca="false">IF(K99="","",IF(K99&gt;60,3,IF(K99&gt;30,2,IF(K99&gt;0,1,0))))</f>
        <v/>
      </c>
      <c r="M99" s="35" t="str">
        <f aca="false">IF(E99="","",IF(J99&lt;=0.004,"bezahlt",IF(N(K99)&gt;0,"überfällig – Mahnung "&amp;L99,"offen")))</f>
        <v/>
      </c>
    </row>
    <row r="100" customFormat="false" ht="15" hidden="false" customHeight="false" outlineLevel="0" collapsed="false">
      <c r="A100" s="32"/>
      <c r="B100" s="33"/>
      <c r="C100" s="32"/>
      <c r="D100" s="32"/>
      <c r="E100" s="30"/>
      <c r="F100" s="32"/>
      <c r="G100" s="44" t="str">
        <f aca="false">IF(B100="","",B100+IF(F100="",Einstellungen!$B$40,F100))</f>
        <v/>
      </c>
      <c r="H100" s="33"/>
      <c r="I100" s="30"/>
      <c r="J100" s="31" t="str">
        <f aca="false">IF(E100="","",E100-N(I100))</f>
        <v/>
      </c>
      <c r="K100" s="43" t="str">
        <f aca="true">IF(OR(E100="",G100=""),"",IF(J100&lt;=0.004,"",MAX(0,TODAY()-G100)))</f>
        <v/>
      </c>
      <c r="L100" s="43" t="str">
        <f aca="false">IF(K100="","",IF(K100&gt;60,3,IF(K100&gt;30,2,IF(K100&gt;0,1,0))))</f>
        <v/>
      </c>
      <c r="M100" s="35" t="str">
        <f aca="false">IF(E100="","",IF(J100&lt;=0.004,"bezahlt",IF(N(K100)&gt;0,"überfällig – Mahnung "&amp;L100,"offen")))</f>
        <v/>
      </c>
    </row>
    <row r="101" customFormat="false" ht="15" hidden="false" customHeight="false" outlineLevel="0" collapsed="false">
      <c r="A101" s="32"/>
      <c r="B101" s="33"/>
      <c r="C101" s="32"/>
      <c r="D101" s="32"/>
      <c r="E101" s="30"/>
      <c r="F101" s="32"/>
      <c r="G101" s="44" t="str">
        <f aca="false">IF(B101="","",B101+IF(F101="",Einstellungen!$B$40,F101))</f>
        <v/>
      </c>
      <c r="H101" s="33"/>
      <c r="I101" s="30"/>
      <c r="J101" s="31" t="str">
        <f aca="false">IF(E101="","",E101-N(I101))</f>
        <v/>
      </c>
      <c r="K101" s="43" t="str">
        <f aca="true">IF(OR(E101="",G101=""),"",IF(J101&lt;=0.004,"",MAX(0,TODAY()-G101)))</f>
        <v/>
      </c>
      <c r="L101" s="43" t="str">
        <f aca="false">IF(K101="","",IF(K101&gt;60,3,IF(K101&gt;30,2,IF(K101&gt;0,1,0))))</f>
        <v/>
      </c>
      <c r="M101" s="35" t="str">
        <f aca="false">IF(E101="","",IF(J101&lt;=0.004,"bezahlt",IF(N(K101)&gt;0,"überfällig – Mahnung "&amp;L101,"offen")))</f>
        <v/>
      </c>
    </row>
    <row r="102" customFormat="false" ht="15" hidden="false" customHeight="false" outlineLevel="0" collapsed="false">
      <c r="A102" s="32"/>
      <c r="B102" s="33"/>
      <c r="C102" s="32"/>
      <c r="D102" s="32"/>
      <c r="E102" s="30"/>
      <c r="F102" s="32"/>
      <c r="G102" s="44" t="str">
        <f aca="false">IF(B102="","",B102+IF(F102="",Einstellungen!$B$40,F102))</f>
        <v/>
      </c>
      <c r="H102" s="33"/>
      <c r="I102" s="30"/>
      <c r="J102" s="31" t="str">
        <f aca="false">IF(E102="","",E102-N(I102))</f>
        <v/>
      </c>
      <c r="K102" s="43" t="str">
        <f aca="true">IF(OR(E102="",G102=""),"",IF(J102&lt;=0.004,"",MAX(0,TODAY()-G102)))</f>
        <v/>
      </c>
      <c r="L102" s="43" t="str">
        <f aca="false">IF(K102="","",IF(K102&gt;60,3,IF(K102&gt;30,2,IF(K102&gt;0,1,0))))</f>
        <v/>
      </c>
      <c r="M102" s="35" t="str">
        <f aca="false">IF(E102="","",IF(J102&lt;=0.004,"bezahlt",IF(N(K102)&gt;0,"überfällig – Mahnung "&amp;L102,"offen")))</f>
        <v/>
      </c>
    </row>
    <row r="103" customFormat="false" ht="15" hidden="false" customHeight="false" outlineLevel="0" collapsed="false">
      <c r="A103" s="32"/>
      <c r="B103" s="33"/>
      <c r="C103" s="32"/>
      <c r="D103" s="32"/>
      <c r="E103" s="30"/>
      <c r="F103" s="32"/>
      <c r="G103" s="44" t="str">
        <f aca="false">IF(B103="","",B103+IF(F103="",Einstellungen!$B$40,F103))</f>
        <v/>
      </c>
      <c r="H103" s="33"/>
      <c r="I103" s="30"/>
      <c r="J103" s="31" t="str">
        <f aca="false">IF(E103="","",E103-N(I103))</f>
        <v/>
      </c>
      <c r="K103" s="43" t="str">
        <f aca="true">IF(OR(E103="",G103=""),"",IF(J103&lt;=0.004,"",MAX(0,TODAY()-G103)))</f>
        <v/>
      </c>
      <c r="L103" s="43" t="str">
        <f aca="false">IF(K103="","",IF(K103&gt;60,3,IF(K103&gt;30,2,IF(K103&gt;0,1,0))))</f>
        <v/>
      </c>
      <c r="M103" s="35" t="str">
        <f aca="false">IF(E103="","",IF(J103&lt;=0.004,"bezahlt",IF(N(K103)&gt;0,"überfällig – Mahnung "&amp;L103,"offen")))</f>
        <v/>
      </c>
    </row>
    <row r="104" customFormat="false" ht="15" hidden="false" customHeight="false" outlineLevel="0" collapsed="false">
      <c r="A104" s="32"/>
      <c r="B104" s="33"/>
      <c r="C104" s="32"/>
      <c r="D104" s="32"/>
      <c r="E104" s="30"/>
      <c r="F104" s="32"/>
      <c r="G104" s="44" t="str">
        <f aca="false">IF(B104="","",B104+IF(F104="",Einstellungen!$B$40,F104))</f>
        <v/>
      </c>
      <c r="H104" s="33"/>
      <c r="I104" s="30"/>
      <c r="J104" s="31" t="str">
        <f aca="false">IF(E104="","",E104-N(I104))</f>
        <v/>
      </c>
      <c r="K104" s="43" t="str">
        <f aca="true">IF(OR(E104="",G104=""),"",IF(J104&lt;=0.004,"",MAX(0,TODAY()-G104)))</f>
        <v/>
      </c>
      <c r="L104" s="43" t="str">
        <f aca="false">IF(K104="","",IF(K104&gt;60,3,IF(K104&gt;30,2,IF(K104&gt;0,1,0))))</f>
        <v/>
      </c>
      <c r="M104" s="35" t="str">
        <f aca="false">IF(E104="","",IF(J104&lt;=0.004,"bezahlt",IF(N(K104)&gt;0,"überfällig – Mahnung "&amp;L104,"offen")))</f>
        <v/>
      </c>
    </row>
    <row r="105" customFormat="false" ht="15" hidden="false" customHeight="false" outlineLevel="0" collapsed="false">
      <c r="A105" s="32"/>
      <c r="B105" s="33"/>
      <c r="C105" s="32"/>
      <c r="D105" s="32"/>
      <c r="E105" s="30"/>
      <c r="F105" s="32"/>
      <c r="G105" s="44" t="str">
        <f aca="false">IF(B105="","",B105+IF(F105="",Einstellungen!$B$40,F105))</f>
        <v/>
      </c>
      <c r="H105" s="33"/>
      <c r="I105" s="30"/>
      <c r="J105" s="31" t="str">
        <f aca="false">IF(E105="","",E105-N(I105))</f>
        <v/>
      </c>
      <c r="K105" s="43" t="str">
        <f aca="true">IF(OR(E105="",G105=""),"",IF(J105&lt;=0.004,"",MAX(0,TODAY()-G105)))</f>
        <v/>
      </c>
      <c r="L105" s="43" t="str">
        <f aca="false">IF(K105="","",IF(K105&gt;60,3,IF(K105&gt;30,2,IF(K105&gt;0,1,0))))</f>
        <v/>
      </c>
      <c r="M105" s="35" t="str">
        <f aca="false">IF(E105="","",IF(J105&lt;=0.004,"bezahlt",IF(N(K105)&gt;0,"überfällig – Mahnung "&amp;L105,"offen")))</f>
        <v/>
      </c>
    </row>
    <row r="106" customFormat="false" ht="15" hidden="false" customHeight="false" outlineLevel="0" collapsed="false">
      <c r="A106" s="32"/>
      <c r="B106" s="33"/>
      <c r="C106" s="32"/>
      <c r="D106" s="32"/>
      <c r="E106" s="30"/>
      <c r="F106" s="32"/>
      <c r="G106" s="44" t="str">
        <f aca="false">IF(B106="","",B106+IF(F106="",Einstellungen!$B$40,F106))</f>
        <v/>
      </c>
      <c r="H106" s="33"/>
      <c r="I106" s="30"/>
      <c r="J106" s="31" t="str">
        <f aca="false">IF(E106="","",E106-N(I106))</f>
        <v/>
      </c>
      <c r="K106" s="43" t="str">
        <f aca="true">IF(OR(E106="",G106=""),"",IF(J106&lt;=0.004,"",MAX(0,TODAY()-G106)))</f>
        <v/>
      </c>
      <c r="L106" s="43" t="str">
        <f aca="false">IF(K106="","",IF(K106&gt;60,3,IF(K106&gt;30,2,IF(K106&gt;0,1,0))))</f>
        <v/>
      </c>
      <c r="M106" s="35" t="str">
        <f aca="false">IF(E106="","",IF(J106&lt;=0.004,"bezahlt",IF(N(K106)&gt;0,"überfällig – Mahnung "&amp;L106,"offen")))</f>
        <v/>
      </c>
    </row>
    <row r="107" customFormat="false" ht="15" hidden="false" customHeight="false" outlineLevel="0" collapsed="false">
      <c r="A107" s="32"/>
      <c r="B107" s="33"/>
      <c r="C107" s="32"/>
      <c r="D107" s="32"/>
      <c r="E107" s="30"/>
      <c r="F107" s="32"/>
      <c r="G107" s="44" t="str">
        <f aca="false">IF(B107="","",B107+IF(F107="",Einstellungen!$B$40,F107))</f>
        <v/>
      </c>
      <c r="H107" s="33"/>
      <c r="I107" s="30"/>
      <c r="J107" s="31" t="str">
        <f aca="false">IF(E107="","",E107-N(I107))</f>
        <v/>
      </c>
      <c r="K107" s="43" t="str">
        <f aca="true">IF(OR(E107="",G107=""),"",IF(J107&lt;=0.004,"",MAX(0,TODAY()-G107)))</f>
        <v/>
      </c>
      <c r="L107" s="43" t="str">
        <f aca="false">IF(K107="","",IF(K107&gt;60,3,IF(K107&gt;30,2,IF(K107&gt;0,1,0))))</f>
        <v/>
      </c>
      <c r="M107" s="35" t="str">
        <f aca="false">IF(E107="","",IF(J107&lt;=0.004,"bezahlt",IF(N(K107)&gt;0,"überfällig – Mahnung "&amp;L107,"offen")))</f>
        <v/>
      </c>
    </row>
    <row r="108" customFormat="false" ht="15" hidden="false" customHeight="false" outlineLevel="0" collapsed="false">
      <c r="A108" s="32"/>
      <c r="B108" s="33"/>
      <c r="C108" s="32"/>
      <c r="D108" s="32"/>
      <c r="E108" s="30"/>
      <c r="F108" s="32"/>
      <c r="G108" s="44" t="str">
        <f aca="false">IF(B108="","",B108+IF(F108="",Einstellungen!$B$40,F108))</f>
        <v/>
      </c>
      <c r="H108" s="33"/>
      <c r="I108" s="30"/>
      <c r="J108" s="31" t="str">
        <f aca="false">IF(E108="","",E108-N(I108))</f>
        <v/>
      </c>
      <c r="K108" s="43" t="str">
        <f aca="true">IF(OR(E108="",G108=""),"",IF(J108&lt;=0.004,"",MAX(0,TODAY()-G108)))</f>
        <v/>
      </c>
      <c r="L108" s="43" t="str">
        <f aca="false">IF(K108="","",IF(K108&gt;60,3,IF(K108&gt;30,2,IF(K108&gt;0,1,0))))</f>
        <v/>
      </c>
      <c r="M108" s="35" t="str">
        <f aca="false">IF(E108="","",IF(J108&lt;=0.004,"bezahlt",IF(N(K108)&gt;0,"überfällig – Mahnung "&amp;L108,"offen")))</f>
        <v/>
      </c>
    </row>
    <row r="109" customFormat="false" ht="15" hidden="false" customHeight="false" outlineLevel="0" collapsed="false">
      <c r="A109" s="32"/>
      <c r="B109" s="33"/>
      <c r="C109" s="32"/>
      <c r="D109" s="32"/>
      <c r="E109" s="30"/>
      <c r="F109" s="32"/>
      <c r="G109" s="44" t="str">
        <f aca="false">IF(B109="","",B109+IF(F109="",Einstellungen!$B$40,F109))</f>
        <v/>
      </c>
      <c r="H109" s="33"/>
      <c r="I109" s="30"/>
      <c r="J109" s="31" t="str">
        <f aca="false">IF(E109="","",E109-N(I109))</f>
        <v/>
      </c>
      <c r="K109" s="43" t="str">
        <f aca="true">IF(OR(E109="",G109=""),"",IF(J109&lt;=0.004,"",MAX(0,TODAY()-G109)))</f>
        <v/>
      </c>
      <c r="L109" s="43" t="str">
        <f aca="false">IF(K109="","",IF(K109&gt;60,3,IF(K109&gt;30,2,IF(K109&gt;0,1,0))))</f>
        <v/>
      </c>
      <c r="M109" s="35" t="str">
        <f aca="false">IF(E109="","",IF(J109&lt;=0.004,"bezahlt",IF(N(K109)&gt;0,"überfällig – Mahnung "&amp;L109,"offen")))</f>
        <v/>
      </c>
    </row>
    <row r="110" customFormat="false" ht="15" hidden="false" customHeight="false" outlineLevel="0" collapsed="false">
      <c r="A110" s="32"/>
      <c r="B110" s="33"/>
      <c r="C110" s="32"/>
      <c r="D110" s="32"/>
      <c r="E110" s="30"/>
      <c r="F110" s="32"/>
      <c r="G110" s="44" t="str">
        <f aca="false">IF(B110="","",B110+IF(F110="",Einstellungen!$B$40,F110))</f>
        <v/>
      </c>
      <c r="H110" s="33"/>
      <c r="I110" s="30"/>
      <c r="J110" s="31" t="str">
        <f aca="false">IF(E110="","",E110-N(I110))</f>
        <v/>
      </c>
      <c r="K110" s="43" t="str">
        <f aca="true">IF(OR(E110="",G110=""),"",IF(J110&lt;=0.004,"",MAX(0,TODAY()-G110)))</f>
        <v/>
      </c>
      <c r="L110" s="43" t="str">
        <f aca="false">IF(K110="","",IF(K110&gt;60,3,IF(K110&gt;30,2,IF(K110&gt;0,1,0))))</f>
        <v/>
      </c>
      <c r="M110" s="35" t="str">
        <f aca="false">IF(E110="","",IF(J110&lt;=0.004,"bezahlt",IF(N(K110)&gt;0,"überfällig – Mahnung "&amp;L110,"offen")))</f>
        <v/>
      </c>
    </row>
    <row r="111" customFormat="false" ht="15" hidden="false" customHeight="false" outlineLevel="0" collapsed="false">
      <c r="A111" s="32"/>
      <c r="B111" s="33"/>
      <c r="C111" s="32"/>
      <c r="D111" s="32"/>
      <c r="E111" s="30"/>
      <c r="F111" s="32"/>
      <c r="G111" s="44" t="str">
        <f aca="false">IF(B111="","",B111+IF(F111="",Einstellungen!$B$40,F111))</f>
        <v/>
      </c>
      <c r="H111" s="33"/>
      <c r="I111" s="30"/>
      <c r="J111" s="31" t="str">
        <f aca="false">IF(E111="","",E111-N(I111))</f>
        <v/>
      </c>
      <c r="K111" s="43" t="str">
        <f aca="true">IF(OR(E111="",G111=""),"",IF(J111&lt;=0.004,"",MAX(0,TODAY()-G111)))</f>
        <v/>
      </c>
      <c r="L111" s="43" t="str">
        <f aca="false">IF(K111="","",IF(K111&gt;60,3,IF(K111&gt;30,2,IF(K111&gt;0,1,0))))</f>
        <v/>
      </c>
      <c r="M111" s="35" t="str">
        <f aca="false">IF(E111="","",IF(J111&lt;=0.004,"bezahlt",IF(N(K111)&gt;0,"überfällig – Mahnung "&amp;L111,"offen")))</f>
        <v/>
      </c>
    </row>
    <row r="112" customFormat="false" ht="15" hidden="false" customHeight="false" outlineLevel="0" collapsed="false">
      <c r="A112" s="32"/>
      <c r="B112" s="33"/>
      <c r="C112" s="32"/>
      <c r="D112" s="32"/>
      <c r="E112" s="30"/>
      <c r="F112" s="32"/>
      <c r="G112" s="44" t="str">
        <f aca="false">IF(B112="","",B112+IF(F112="",Einstellungen!$B$40,F112))</f>
        <v/>
      </c>
      <c r="H112" s="33"/>
      <c r="I112" s="30"/>
      <c r="J112" s="31" t="str">
        <f aca="false">IF(E112="","",E112-N(I112))</f>
        <v/>
      </c>
      <c r="K112" s="43" t="str">
        <f aca="true">IF(OR(E112="",G112=""),"",IF(J112&lt;=0.004,"",MAX(0,TODAY()-G112)))</f>
        <v/>
      </c>
      <c r="L112" s="43" t="str">
        <f aca="false">IF(K112="","",IF(K112&gt;60,3,IF(K112&gt;30,2,IF(K112&gt;0,1,0))))</f>
        <v/>
      </c>
      <c r="M112" s="35" t="str">
        <f aca="false">IF(E112="","",IF(J112&lt;=0.004,"bezahlt",IF(N(K112)&gt;0,"überfällig – Mahnung "&amp;L112,"offen")))</f>
        <v/>
      </c>
    </row>
    <row r="113" customFormat="false" ht="15" hidden="false" customHeight="false" outlineLevel="0" collapsed="false">
      <c r="A113" s="32"/>
      <c r="B113" s="33"/>
      <c r="C113" s="32"/>
      <c r="D113" s="32"/>
      <c r="E113" s="30"/>
      <c r="F113" s="32"/>
      <c r="G113" s="44" t="str">
        <f aca="false">IF(B113="","",B113+IF(F113="",Einstellungen!$B$40,F113))</f>
        <v/>
      </c>
      <c r="H113" s="33"/>
      <c r="I113" s="30"/>
      <c r="J113" s="31" t="str">
        <f aca="false">IF(E113="","",E113-N(I113))</f>
        <v/>
      </c>
      <c r="K113" s="43" t="str">
        <f aca="true">IF(OR(E113="",G113=""),"",IF(J113&lt;=0.004,"",MAX(0,TODAY()-G113)))</f>
        <v/>
      </c>
      <c r="L113" s="43" t="str">
        <f aca="false">IF(K113="","",IF(K113&gt;60,3,IF(K113&gt;30,2,IF(K113&gt;0,1,0))))</f>
        <v/>
      </c>
      <c r="M113" s="35" t="str">
        <f aca="false">IF(E113="","",IF(J113&lt;=0.004,"bezahlt",IF(N(K113)&gt;0,"überfällig – Mahnung "&amp;L113,"offen")))</f>
        <v/>
      </c>
    </row>
    <row r="114" customFormat="false" ht="15" hidden="false" customHeight="false" outlineLevel="0" collapsed="false">
      <c r="A114" s="32"/>
      <c r="B114" s="33"/>
      <c r="C114" s="32"/>
      <c r="D114" s="32"/>
      <c r="E114" s="30"/>
      <c r="F114" s="32"/>
      <c r="G114" s="44" t="str">
        <f aca="false">IF(B114="","",B114+IF(F114="",Einstellungen!$B$40,F114))</f>
        <v/>
      </c>
      <c r="H114" s="33"/>
      <c r="I114" s="30"/>
      <c r="J114" s="31" t="str">
        <f aca="false">IF(E114="","",E114-N(I114))</f>
        <v/>
      </c>
      <c r="K114" s="43" t="str">
        <f aca="true">IF(OR(E114="",G114=""),"",IF(J114&lt;=0.004,"",MAX(0,TODAY()-G114)))</f>
        <v/>
      </c>
      <c r="L114" s="43" t="str">
        <f aca="false">IF(K114="","",IF(K114&gt;60,3,IF(K114&gt;30,2,IF(K114&gt;0,1,0))))</f>
        <v/>
      </c>
      <c r="M114" s="35" t="str">
        <f aca="false">IF(E114="","",IF(J114&lt;=0.004,"bezahlt",IF(N(K114)&gt;0,"überfällig – Mahnung "&amp;L114,"offen")))</f>
        <v/>
      </c>
    </row>
    <row r="115" customFormat="false" ht="15" hidden="false" customHeight="false" outlineLevel="0" collapsed="false">
      <c r="A115" s="32"/>
      <c r="B115" s="33"/>
      <c r="C115" s="32"/>
      <c r="D115" s="32"/>
      <c r="E115" s="30"/>
      <c r="F115" s="32"/>
      <c r="G115" s="44" t="str">
        <f aca="false">IF(B115="","",B115+IF(F115="",Einstellungen!$B$40,F115))</f>
        <v/>
      </c>
      <c r="H115" s="33"/>
      <c r="I115" s="30"/>
      <c r="J115" s="31" t="str">
        <f aca="false">IF(E115="","",E115-N(I115))</f>
        <v/>
      </c>
      <c r="K115" s="43" t="str">
        <f aca="true">IF(OR(E115="",G115=""),"",IF(J115&lt;=0.004,"",MAX(0,TODAY()-G115)))</f>
        <v/>
      </c>
      <c r="L115" s="43" t="str">
        <f aca="false">IF(K115="","",IF(K115&gt;60,3,IF(K115&gt;30,2,IF(K115&gt;0,1,0))))</f>
        <v/>
      </c>
      <c r="M115" s="35" t="str">
        <f aca="false">IF(E115="","",IF(J115&lt;=0.004,"bezahlt",IF(N(K115)&gt;0,"überfällig – Mahnung "&amp;L115,"offen")))</f>
        <v/>
      </c>
    </row>
    <row r="116" customFormat="false" ht="15" hidden="false" customHeight="false" outlineLevel="0" collapsed="false">
      <c r="A116" s="32"/>
      <c r="B116" s="33"/>
      <c r="C116" s="32"/>
      <c r="D116" s="32"/>
      <c r="E116" s="30"/>
      <c r="F116" s="32"/>
      <c r="G116" s="44" t="str">
        <f aca="false">IF(B116="","",B116+IF(F116="",Einstellungen!$B$40,F116))</f>
        <v/>
      </c>
      <c r="H116" s="33"/>
      <c r="I116" s="30"/>
      <c r="J116" s="31" t="str">
        <f aca="false">IF(E116="","",E116-N(I116))</f>
        <v/>
      </c>
      <c r="K116" s="43" t="str">
        <f aca="true">IF(OR(E116="",G116=""),"",IF(J116&lt;=0.004,"",MAX(0,TODAY()-G116)))</f>
        <v/>
      </c>
      <c r="L116" s="43" t="str">
        <f aca="false">IF(K116="","",IF(K116&gt;60,3,IF(K116&gt;30,2,IF(K116&gt;0,1,0))))</f>
        <v/>
      </c>
      <c r="M116" s="35" t="str">
        <f aca="false">IF(E116="","",IF(J116&lt;=0.004,"bezahlt",IF(N(K116)&gt;0,"überfällig – Mahnung "&amp;L116,"offen")))</f>
        <v/>
      </c>
    </row>
    <row r="117" customFormat="false" ht="15" hidden="false" customHeight="false" outlineLevel="0" collapsed="false">
      <c r="A117" s="32"/>
      <c r="B117" s="33"/>
      <c r="C117" s="32"/>
      <c r="D117" s="32"/>
      <c r="E117" s="30"/>
      <c r="F117" s="32"/>
      <c r="G117" s="44" t="str">
        <f aca="false">IF(B117="","",B117+IF(F117="",Einstellungen!$B$40,F117))</f>
        <v/>
      </c>
      <c r="H117" s="33"/>
      <c r="I117" s="30"/>
      <c r="J117" s="31" t="str">
        <f aca="false">IF(E117="","",E117-N(I117))</f>
        <v/>
      </c>
      <c r="K117" s="43" t="str">
        <f aca="true">IF(OR(E117="",G117=""),"",IF(J117&lt;=0.004,"",MAX(0,TODAY()-G117)))</f>
        <v/>
      </c>
      <c r="L117" s="43" t="str">
        <f aca="false">IF(K117="","",IF(K117&gt;60,3,IF(K117&gt;30,2,IF(K117&gt;0,1,0))))</f>
        <v/>
      </c>
      <c r="M117" s="35" t="str">
        <f aca="false">IF(E117="","",IF(J117&lt;=0.004,"bezahlt",IF(N(K117)&gt;0,"überfällig – Mahnung "&amp;L117,"offen")))</f>
        <v/>
      </c>
    </row>
    <row r="118" customFormat="false" ht="15" hidden="false" customHeight="false" outlineLevel="0" collapsed="false">
      <c r="A118" s="32"/>
      <c r="B118" s="33"/>
      <c r="C118" s="32"/>
      <c r="D118" s="32"/>
      <c r="E118" s="30"/>
      <c r="F118" s="32"/>
      <c r="G118" s="44" t="str">
        <f aca="false">IF(B118="","",B118+IF(F118="",Einstellungen!$B$40,F118))</f>
        <v/>
      </c>
      <c r="H118" s="33"/>
      <c r="I118" s="30"/>
      <c r="J118" s="31" t="str">
        <f aca="false">IF(E118="","",E118-N(I118))</f>
        <v/>
      </c>
      <c r="K118" s="43" t="str">
        <f aca="true">IF(OR(E118="",G118=""),"",IF(J118&lt;=0.004,"",MAX(0,TODAY()-G118)))</f>
        <v/>
      </c>
      <c r="L118" s="43" t="str">
        <f aca="false">IF(K118="","",IF(K118&gt;60,3,IF(K118&gt;30,2,IF(K118&gt;0,1,0))))</f>
        <v/>
      </c>
      <c r="M118" s="35" t="str">
        <f aca="false">IF(E118="","",IF(J118&lt;=0.004,"bezahlt",IF(N(K118)&gt;0,"überfällig – Mahnung "&amp;L118,"offen")))</f>
        <v/>
      </c>
    </row>
    <row r="119" customFormat="false" ht="15" hidden="false" customHeight="false" outlineLevel="0" collapsed="false">
      <c r="A119" s="32"/>
      <c r="B119" s="33"/>
      <c r="C119" s="32"/>
      <c r="D119" s="32"/>
      <c r="E119" s="30"/>
      <c r="F119" s="32"/>
      <c r="G119" s="44" t="str">
        <f aca="false">IF(B119="","",B119+IF(F119="",Einstellungen!$B$40,F119))</f>
        <v/>
      </c>
      <c r="H119" s="33"/>
      <c r="I119" s="30"/>
      <c r="J119" s="31" t="str">
        <f aca="false">IF(E119="","",E119-N(I119))</f>
        <v/>
      </c>
      <c r="K119" s="43" t="str">
        <f aca="true">IF(OR(E119="",G119=""),"",IF(J119&lt;=0.004,"",MAX(0,TODAY()-G119)))</f>
        <v/>
      </c>
      <c r="L119" s="43" t="str">
        <f aca="false">IF(K119="","",IF(K119&gt;60,3,IF(K119&gt;30,2,IF(K119&gt;0,1,0))))</f>
        <v/>
      </c>
      <c r="M119" s="35" t="str">
        <f aca="false">IF(E119="","",IF(J119&lt;=0.004,"bezahlt",IF(N(K119)&gt;0,"überfällig – Mahnung "&amp;L119,"offen")))</f>
        <v/>
      </c>
    </row>
    <row r="120" customFormat="false" ht="15" hidden="false" customHeight="false" outlineLevel="0" collapsed="false">
      <c r="A120" s="32"/>
      <c r="B120" s="33"/>
      <c r="C120" s="32"/>
      <c r="D120" s="32"/>
      <c r="E120" s="30"/>
      <c r="F120" s="32"/>
      <c r="G120" s="44" t="str">
        <f aca="false">IF(B120="","",B120+IF(F120="",Einstellungen!$B$40,F120))</f>
        <v/>
      </c>
      <c r="H120" s="33"/>
      <c r="I120" s="30"/>
      <c r="J120" s="31" t="str">
        <f aca="false">IF(E120="","",E120-N(I120))</f>
        <v/>
      </c>
      <c r="K120" s="43" t="str">
        <f aca="true">IF(OR(E120="",G120=""),"",IF(J120&lt;=0.004,"",MAX(0,TODAY()-G120)))</f>
        <v/>
      </c>
      <c r="L120" s="43" t="str">
        <f aca="false">IF(K120="","",IF(K120&gt;60,3,IF(K120&gt;30,2,IF(K120&gt;0,1,0))))</f>
        <v/>
      </c>
      <c r="M120" s="35" t="str">
        <f aca="false">IF(E120="","",IF(J120&lt;=0.004,"bezahlt",IF(N(K120)&gt;0,"überfällig – Mahnung "&amp;L120,"offen")))</f>
        <v/>
      </c>
    </row>
    <row r="121" customFormat="false" ht="15" hidden="false" customHeight="false" outlineLevel="0" collapsed="false">
      <c r="A121" s="32"/>
      <c r="B121" s="33"/>
      <c r="C121" s="32"/>
      <c r="D121" s="32"/>
      <c r="E121" s="30"/>
      <c r="F121" s="32"/>
      <c r="G121" s="44" t="str">
        <f aca="false">IF(B121="","",B121+IF(F121="",Einstellungen!$B$40,F121))</f>
        <v/>
      </c>
      <c r="H121" s="33"/>
      <c r="I121" s="30"/>
      <c r="J121" s="31" t="str">
        <f aca="false">IF(E121="","",E121-N(I121))</f>
        <v/>
      </c>
      <c r="K121" s="43" t="str">
        <f aca="true">IF(OR(E121="",G121=""),"",IF(J121&lt;=0.004,"",MAX(0,TODAY()-G121)))</f>
        <v/>
      </c>
      <c r="L121" s="43" t="str">
        <f aca="false">IF(K121="","",IF(K121&gt;60,3,IF(K121&gt;30,2,IF(K121&gt;0,1,0))))</f>
        <v/>
      </c>
      <c r="M121" s="35" t="str">
        <f aca="false">IF(E121="","",IF(J121&lt;=0.004,"bezahlt",IF(N(K121)&gt;0,"überfällig – Mahnung "&amp;L121,"offen")))</f>
        <v/>
      </c>
    </row>
    <row r="122" customFormat="false" ht="15" hidden="false" customHeight="false" outlineLevel="0" collapsed="false">
      <c r="A122" s="32"/>
      <c r="B122" s="33"/>
      <c r="C122" s="32"/>
      <c r="D122" s="32"/>
      <c r="E122" s="30"/>
      <c r="F122" s="32"/>
      <c r="G122" s="44" t="str">
        <f aca="false">IF(B122="","",B122+IF(F122="",Einstellungen!$B$40,F122))</f>
        <v/>
      </c>
      <c r="H122" s="33"/>
      <c r="I122" s="30"/>
      <c r="J122" s="31" t="str">
        <f aca="false">IF(E122="","",E122-N(I122))</f>
        <v/>
      </c>
      <c r="K122" s="43" t="str">
        <f aca="true">IF(OR(E122="",G122=""),"",IF(J122&lt;=0.004,"",MAX(0,TODAY()-G122)))</f>
        <v/>
      </c>
      <c r="L122" s="43" t="str">
        <f aca="false">IF(K122="","",IF(K122&gt;60,3,IF(K122&gt;30,2,IF(K122&gt;0,1,0))))</f>
        <v/>
      </c>
      <c r="M122" s="35" t="str">
        <f aca="false">IF(E122="","",IF(J122&lt;=0.004,"bezahlt",IF(N(K122)&gt;0,"überfällig – Mahnung "&amp;L122,"offen")))</f>
        <v/>
      </c>
    </row>
    <row r="123" customFormat="false" ht="15" hidden="false" customHeight="false" outlineLevel="0" collapsed="false">
      <c r="A123" s="32"/>
      <c r="B123" s="33"/>
      <c r="C123" s="32"/>
      <c r="D123" s="32"/>
      <c r="E123" s="30"/>
      <c r="F123" s="32"/>
      <c r="G123" s="44" t="str">
        <f aca="false">IF(B123="","",B123+IF(F123="",Einstellungen!$B$40,F123))</f>
        <v/>
      </c>
      <c r="H123" s="33"/>
      <c r="I123" s="30"/>
      <c r="J123" s="31" t="str">
        <f aca="false">IF(E123="","",E123-N(I123))</f>
        <v/>
      </c>
      <c r="K123" s="43" t="str">
        <f aca="true">IF(OR(E123="",G123=""),"",IF(J123&lt;=0.004,"",MAX(0,TODAY()-G123)))</f>
        <v/>
      </c>
      <c r="L123" s="43" t="str">
        <f aca="false">IF(K123="","",IF(K123&gt;60,3,IF(K123&gt;30,2,IF(K123&gt;0,1,0))))</f>
        <v/>
      </c>
      <c r="M123" s="35" t="str">
        <f aca="false">IF(E123="","",IF(J123&lt;=0.004,"bezahlt",IF(N(K123)&gt;0,"überfällig – Mahnung "&amp;L123,"offen")))</f>
        <v/>
      </c>
    </row>
    <row r="124" customFormat="false" ht="15" hidden="false" customHeight="false" outlineLevel="0" collapsed="false">
      <c r="A124" s="32"/>
      <c r="B124" s="33"/>
      <c r="C124" s="32"/>
      <c r="D124" s="32"/>
      <c r="E124" s="30"/>
      <c r="F124" s="32"/>
      <c r="G124" s="44" t="str">
        <f aca="false">IF(B124="","",B124+IF(F124="",Einstellungen!$B$40,F124))</f>
        <v/>
      </c>
      <c r="H124" s="33"/>
      <c r="I124" s="30"/>
      <c r="J124" s="31" t="str">
        <f aca="false">IF(E124="","",E124-N(I124))</f>
        <v/>
      </c>
      <c r="K124" s="43" t="str">
        <f aca="true">IF(OR(E124="",G124=""),"",IF(J124&lt;=0.004,"",MAX(0,TODAY()-G124)))</f>
        <v/>
      </c>
      <c r="L124" s="43" t="str">
        <f aca="false">IF(K124="","",IF(K124&gt;60,3,IF(K124&gt;30,2,IF(K124&gt;0,1,0))))</f>
        <v/>
      </c>
      <c r="M124" s="35" t="str">
        <f aca="false">IF(E124="","",IF(J124&lt;=0.004,"bezahlt",IF(N(K124)&gt;0,"überfällig – Mahnung "&amp;L124,"offen")))</f>
        <v/>
      </c>
    </row>
    <row r="125" customFormat="false" ht="15" hidden="false" customHeight="false" outlineLevel="0" collapsed="false">
      <c r="A125" s="32"/>
      <c r="B125" s="33"/>
      <c r="C125" s="32"/>
      <c r="D125" s="32"/>
      <c r="E125" s="30"/>
      <c r="F125" s="32"/>
      <c r="G125" s="44" t="str">
        <f aca="false">IF(B125="","",B125+IF(F125="",Einstellungen!$B$40,F125))</f>
        <v/>
      </c>
      <c r="H125" s="33"/>
      <c r="I125" s="30"/>
      <c r="J125" s="31" t="str">
        <f aca="false">IF(E125="","",E125-N(I125))</f>
        <v/>
      </c>
      <c r="K125" s="43" t="str">
        <f aca="true">IF(OR(E125="",G125=""),"",IF(J125&lt;=0.004,"",MAX(0,TODAY()-G125)))</f>
        <v/>
      </c>
      <c r="L125" s="43" t="str">
        <f aca="false">IF(K125="","",IF(K125&gt;60,3,IF(K125&gt;30,2,IF(K125&gt;0,1,0))))</f>
        <v/>
      </c>
      <c r="M125" s="35" t="str">
        <f aca="false">IF(E125="","",IF(J125&lt;=0.004,"bezahlt",IF(N(K125)&gt;0,"überfällig – Mahnung "&amp;L125,"offen")))</f>
        <v/>
      </c>
    </row>
    <row r="126" customFormat="false" ht="15" hidden="false" customHeight="false" outlineLevel="0" collapsed="false">
      <c r="A126" s="32"/>
      <c r="B126" s="33"/>
      <c r="C126" s="32"/>
      <c r="D126" s="32"/>
      <c r="E126" s="30"/>
      <c r="F126" s="32"/>
      <c r="G126" s="44" t="str">
        <f aca="false">IF(B126="","",B126+IF(F126="",Einstellungen!$B$40,F126))</f>
        <v/>
      </c>
      <c r="H126" s="33"/>
      <c r="I126" s="30"/>
      <c r="J126" s="31" t="str">
        <f aca="false">IF(E126="","",E126-N(I126))</f>
        <v/>
      </c>
      <c r="K126" s="43" t="str">
        <f aca="true">IF(OR(E126="",G126=""),"",IF(J126&lt;=0.004,"",MAX(0,TODAY()-G126)))</f>
        <v/>
      </c>
      <c r="L126" s="43" t="str">
        <f aca="false">IF(K126="","",IF(K126&gt;60,3,IF(K126&gt;30,2,IF(K126&gt;0,1,0))))</f>
        <v/>
      </c>
      <c r="M126" s="35" t="str">
        <f aca="false">IF(E126="","",IF(J126&lt;=0.004,"bezahlt",IF(N(K126)&gt;0,"überfällig – Mahnung "&amp;L126,"offen")))</f>
        <v/>
      </c>
    </row>
    <row r="127" customFormat="false" ht="15" hidden="false" customHeight="false" outlineLevel="0" collapsed="false">
      <c r="A127" s="32"/>
      <c r="B127" s="33"/>
      <c r="C127" s="32"/>
      <c r="D127" s="32"/>
      <c r="E127" s="30"/>
      <c r="F127" s="32"/>
      <c r="G127" s="44" t="str">
        <f aca="false">IF(B127="","",B127+IF(F127="",Einstellungen!$B$40,F127))</f>
        <v/>
      </c>
      <c r="H127" s="33"/>
      <c r="I127" s="30"/>
      <c r="J127" s="31" t="str">
        <f aca="false">IF(E127="","",E127-N(I127))</f>
        <v/>
      </c>
      <c r="K127" s="43" t="str">
        <f aca="true">IF(OR(E127="",G127=""),"",IF(J127&lt;=0.004,"",MAX(0,TODAY()-G127)))</f>
        <v/>
      </c>
      <c r="L127" s="43" t="str">
        <f aca="false">IF(K127="","",IF(K127&gt;60,3,IF(K127&gt;30,2,IF(K127&gt;0,1,0))))</f>
        <v/>
      </c>
      <c r="M127" s="35" t="str">
        <f aca="false">IF(E127="","",IF(J127&lt;=0.004,"bezahlt",IF(N(K127)&gt;0,"überfällig – Mahnung "&amp;L127,"offen")))</f>
        <v/>
      </c>
    </row>
    <row r="128" customFormat="false" ht="15" hidden="false" customHeight="false" outlineLevel="0" collapsed="false">
      <c r="A128" s="32"/>
      <c r="B128" s="33"/>
      <c r="C128" s="32"/>
      <c r="D128" s="32"/>
      <c r="E128" s="30"/>
      <c r="F128" s="32"/>
      <c r="G128" s="44" t="str">
        <f aca="false">IF(B128="","",B128+IF(F128="",Einstellungen!$B$40,F128))</f>
        <v/>
      </c>
      <c r="H128" s="33"/>
      <c r="I128" s="30"/>
      <c r="J128" s="31" t="str">
        <f aca="false">IF(E128="","",E128-N(I128))</f>
        <v/>
      </c>
      <c r="K128" s="43" t="str">
        <f aca="true">IF(OR(E128="",G128=""),"",IF(J128&lt;=0.004,"",MAX(0,TODAY()-G128)))</f>
        <v/>
      </c>
      <c r="L128" s="43" t="str">
        <f aca="false">IF(K128="","",IF(K128&gt;60,3,IF(K128&gt;30,2,IF(K128&gt;0,1,0))))</f>
        <v/>
      </c>
      <c r="M128" s="35" t="str">
        <f aca="false">IF(E128="","",IF(J128&lt;=0.004,"bezahlt",IF(N(K128)&gt;0,"überfällig – Mahnung "&amp;L128,"offen")))</f>
        <v/>
      </c>
    </row>
    <row r="129" customFormat="false" ht="15" hidden="false" customHeight="false" outlineLevel="0" collapsed="false">
      <c r="A129" s="32"/>
      <c r="B129" s="33"/>
      <c r="C129" s="32"/>
      <c r="D129" s="32"/>
      <c r="E129" s="30"/>
      <c r="F129" s="32"/>
      <c r="G129" s="44" t="str">
        <f aca="false">IF(B129="","",B129+IF(F129="",Einstellungen!$B$40,F129))</f>
        <v/>
      </c>
      <c r="H129" s="33"/>
      <c r="I129" s="30"/>
      <c r="J129" s="31" t="str">
        <f aca="false">IF(E129="","",E129-N(I129))</f>
        <v/>
      </c>
      <c r="K129" s="43" t="str">
        <f aca="true">IF(OR(E129="",G129=""),"",IF(J129&lt;=0.004,"",MAX(0,TODAY()-G129)))</f>
        <v/>
      </c>
      <c r="L129" s="43" t="str">
        <f aca="false">IF(K129="","",IF(K129&gt;60,3,IF(K129&gt;30,2,IF(K129&gt;0,1,0))))</f>
        <v/>
      </c>
      <c r="M129" s="35" t="str">
        <f aca="false">IF(E129="","",IF(J129&lt;=0.004,"bezahlt",IF(N(K129)&gt;0,"überfällig – Mahnung "&amp;L129,"offen")))</f>
        <v/>
      </c>
    </row>
    <row r="130" customFormat="false" ht="15" hidden="false" customHeight="false" outlineLevel="0" collapsed="false">
      <c r="A130" s="32"/>
      <c r="B130" s="33"/>
      <c r="C130" s="32"/>
      <c r="D130" s="32"/>
      <c r="E130" s="30"/>
      <c r="F130" s="32"/>
      <c r="G130" s="44" t="str">
        <f aca="false">IF(B130="","",B130+IF(F130="",Einstellungen!$B$40,F130))</f>
        <v/>
      </c>
      <c r="H130" s="33"/>
      <c r="I130" s="30"/>
      <c r="J130" s="31" t="str">
        <f aca="false">IF(E130="","",E130-N(I130))</f>
        <v/>
      </c>
      <c r="K130" s="43" t="str">
        <f aca="true">IF(OR(E130="",G130=""),"",IF(J130&lt;=0.004,"",MAX(0,TODAY()-G130)))</f>
        <v/>
      </c>
      <c r="L130" s="43" t="str">
        <f aca="false">IF(K130="","",IF(K130&gt;60,3,IF(K130&gt;30,2,IF(K130&gt;0,1,0))))</f>
        <v/>
      </c>
      <c r="M130" s="35" t="str">
        <f aca="false">IF(E130="","",IF(J130&lt;=0.004,"bezahlt",IF(N(K130)&gt;0,"überfällig – Mahnung "&amp;L130,"offen")))</f>
        <v/>
      </c>
    </row>
    <row r="131" customFormat="false" ht="15" hidden="false" customHeight="false" outlineLevel="0" collapsed="false">
      <c r="A131" s="32"/>
      <c r="B131" s="33"/>
      <c r="C131" s="32"/>
      <c r="D131" s="32"/>
      <c r="E131" s="30"/>
      <c r="F131" s="32"/>
      <c r="G131" s="44" t="str">
        <f aca="false">IF(B131="","",B131+IF(F131="",Einstellungen!$B$40,F131))</f>
        <v/>
      </c>
      <c r="H131" s="33"/>
      <c r="I131" s="30"/>
      <c r="J131" s="31" t="str">
        <f aca="false">IF(E131="","",E131-N(I131))</f>
        <v/>
      </c>
      <c r="K131" s="43" t="str">
        <f aca="true">IF(OR(E131="",G131=""),"",IF(J131&lt;=0.004,"",MAX(0,TODAY()-G131)))</f>
        <v/>
      </c>
      <c r="L131" s="43" t="str">
        <f aca="false">IF(K131="","",IF(K131&gt;60,3,IF(K131&gt;30,2,IF(K131&gt;0,1,0))))</f>
        <v/>
      </c>
      <c r="M131" s="35" t="str">
        <f aca="false">IF(E131="","",IF(J131&lt;=0.004,"bezahlt",IF(N(K131)&gt;0,"überfällig – Mahnung "&amp;L131,"offen")))</f>
        <v/>
      </c>
    </row>
    <row r="132" customFormat="false" ht="15" hidden="false" customHeight="false" outlineLevel="0" collapsed="false">
      <c r="A132" s="32"/>
      <c r="B132" s="33"/>
      <c r="C132" s="32"/>
      <c r="D132" s="32"/>
      <c r="E132" s="30"/>
      <c r="F132" s="32"/>
      <c r="G132" s="44" t="str">
        <f aca="false">IF(B132="","",B132+IF(F132="",Einstellungen!$B$40,F132))</f>
        <v/>
      </c>
      <c r="H132" s="33"/>
      <c r="I132" s="30"/>
      <c r="J132" s="31" t="str">
        <f aca="false">IF(E132="","",E132-N(I132))</f>
        <v/>
      </c>
      <c r="K132" s="43" t="str">
        <f aca="true">IF(OR(E132="",G132=""),"",IF(J132&lt;=0.004,"",MAX(0,TODAY()-G132)))</f>
        <v/>
      </c>
      <c r="L132" s="43" t="str">
        <f aca="false">IF(K132="","",IF(K132&gt;60,3,IF(K132&gt;30,2,IF(K132&gt;0,1,0))))</f>
        <v/>
      </c>
      <c r="M132" s="35" t="str">
        <f aca="false">IF(E132="","",IF(J132&lt;=0.004,"bezahlt",IF(N(K132)&gt;0,"überfällig – Mahnung "&amp;L132,"offen")))</f>
        <v/>
      </c>
    </row>
    <row r="133" customFormat="false" ht="15" hidden="false" customHeight="false" outlineLevel="0" collapsed="false">
      <c r="A133" s="32"/>
      <c r="B133" s="33"/>
      <c r="C133" s="32"/>
      <c r="D133" s="32"/>
      <c r="E133" s="30"/>
      <c r="F133" s="32"/>
      <c r="G133" s="44" t="str">
        <f aca="false">IF(B133="","",B133+IF(F133="",Einstellungen!$B$40,F133))</f>
        <v/>
      </c>
      <c r="H133" s="33"/>
      <c r="I133" s="30"/>
      <c r="J133" s="31" t="str">
        <f aca="false">IF(E133="","",E133-N(I133))</f>
        <v/>
      </c>
      <c r="K133" s="43" t="str">
        <f aca="true">IF(OR(E133="",G133=""),"",IF(J133&lt;=0.004,"",MAX(0,TODAY()-G133)))</f>
        <v/>
      </c>
      <c r="L133" s="43" t="str">
        <f aca="false">IF(K133="","",IF(K133&gt;60,3,IF(K133&gt;30,2,IF(K133&gt;0,1,0))))</f>
        <v/>
      </c>
      <c r="M133" s="35" t="str">
        <f aca="false">IF(E133="","",IF(J133&lt;=0.004,"bezahlt",IF(N(K133)&gt;0,"überfällig – Mahnung "&amp;L133,"offen")))</f>
        <v/>
      </c>
    </row>
    <row r="134" customFormat="false" ht="15" hidden="false" customHeight="false" outlineLevel="0" collapsed="false">
      <c r="A134" s="32"/>
      <c r="B134" s="33"/>
      <c r="C134" s="32"/>
      <c r="D134" s="32"/>
      <c r="E134" s="30"/>
      <c r="F134" s="32"/>
      <c r="G134" s="44" t="str">
        <f aca="false">IF(B134="","",B134+IF(F134="",Einstellungen!$B$40,F134))</f>
        <v/>
      </c>
      <c r="H134" s="33"/>
      <c r="I134" s="30"/>
      <c r="J134" s="31" t="str">
        <f aca="false">IF(E134="","",E134-N(I134))</f>
        <v/>
      </c>
      <c r="K134" s="43" t="str">
        <f aca="true">IF(OR(E134="",G134=""),"",IF(J134&lt;=0.004,"",MAX(0,TODAY()-G134)))</f>
        <v/>
      </c>
      <c r="L134" s="43" t="str">
        <f aca="false">IF(K134="","",IF(K134&gt;60,3,IF(K134&gt;30,2,IF(K134&gt;0,1,0))))</f>
        <v/>
      </c>
      <c r="M134" s="35" t="str">
        <f aca="false">IF(E134="","",IF(J134&lt;=0.004,"bezahlt",IF(N(K134)&gt;0,"überfällig – Mahnung "&amp;L134,"offen")))</f>
        <v/>
      </c>
    </row>
    <row r="135" customFormat="false" ht="15" hidden="false" customHeight="false" outlineLevel="0" collapsed="false">
      <c r="A135" s="32"/>
      <c r="B135" s="33"/>
      <c r="C135" s="32"/>
      <c r="D135" s="32"/>
      <c r="E135" s="30"/>
      <c r="F135" s="32"/>
      <c r="G135" s="44" t="str">
        <f aca="false">IF(B135="","",B135+IF(F135="",Einstellungen!$B$40,F135))</f>
        <v/>
      </c>
      <c r="H135" s="33"/>
      <c r="I135" s="30"/>
      <c r="J135" s="31" t="str">
        <f aca="false">IF(E135="","",E135-N(I135))</f>
        <v/>
      </c>
      <c r="K135" s="43" t="str">
        <f aca="true">IF(OR(E135="",G135=""),"",IF(J135&lt;=0.004,"",MAX(0,TODAY()-G135)))</f>
        <v/>
      </c>
      <c r="L135" s="43" t="str">
        <f aca="false">IF(K135="","",IF(K135&gt;60,3,IF(K135&gt;30,2,IF(K135&gt;0,1,0))))</f>
        <v/>
      </c>
      <c r="M135" s="35" t="str">
        <f aca="false">IF(E135="","",IF(J135&lt;=0.004,"bezahlt",IF(N(K135)&gt;0,"überfällig – Mahnung "&amp;L135,"offen")))</f>
        <v/>
      </c>
    </row>
    <row r="136" customFormat="false" ht="15" hidden="false" customHeight="false" outlineLevel="0" collapsed="false">
      <c r="A136" s="32"/>
      <c r="B136" s="33"/>
      <c r="C136" s="32"/>
      <c r="D136" s="32"/>
      <c r="E136" s="30"/>
      <c r="F136" s="32"/>
      <c r="G136" s="44" t="str">
        <f aca="false">IF(B136="","",B136+IF(F136="",Einstellungen!$B$40,F136))</f>
        <v/>
      </c>
      <c r="H136" s="33"/>
      <c r="I136" s="30"/>
      <c r="J136" s="31" t="str">
        <f aca="false">IF(E136="","",E136-N(I136))</f>
        <v/>
      </c>
      <c r="K136" s="43" t="str">
        <f aca="true">IF(OR(E136="",G136=""),"",IF(J136&lt;=0.004,"",MAX(0,TODAY()-G136)))</f>
        <v/>
      </c>
      <c r="L136" s="43" t="str">
        <f aca="false">IF(K136="","",IF(K136&gt;60,3,IF(K136&gt;30,2,IF(K136&gt;0,1,0))))</f>
        <v/>
      </c>
      <c r="M136" s="35" t="str">
        <f aca="false">IF(E136="","",IF(J136&lt;=0.004,"bezahlt",IF(N(K136)&gt;0,"überfällig – Mahnung "&amp;L136,"offen")))</f>
        <v/>
      </c>
    </row>
    <row r="137" customFormat="false" ht="15" hidden="false" customHeight="false" outlineLevel="0" collapsed="false">
      <c r="A137" s="32"/>
      <c r="B137" s="33"/>
      <c r="C137" s="32"/>
      <c r="D137" s="32"/>
      <c r="E137" s="30"/>
      <c r="F137" s="32"/>
      <c r="G137" s="44" t="str">
        <f aca="false">IF(B137="","",B137+IF(F137="",Einstellungen!$B$40,F137))</f>
        <v/>
      </c>
      <c r="H137" s="33"/>
      <c r="I137" s="30"/>
      <c r="J137" s="31" t="str">
        <f aca="false">IF(E137="","",E137-N(I137))</f>
        <v/>
      </c>
      <c r="K137" s="43" t="str">
        <f aca="true">IF(OR(E137="",G137=""),"",IF(J137&lt;=0.004,"",MAX(0,TODAY()-G137)))</f>
        <v/>
      </c>
      <c r="L137" s="43" t="str">
        <f aca="false">IF(K137="","",IF(K137&gt;60,3,IF(K137&gt;30,2,IF(K137&gt;0,1,0))))</f>
        <v/>
      </c>
      <c r="M137" s="35" t="str">
        <f aca="false">IF(E137="","",IF(J137&lt;=0.004,"bezahlt",IF(N(K137)&gt;0,"überfällig – Mahnung "&amp;L137,"offen")))</f>
        <v/>
      </c>
    </row>
    <row r="138" customFormat="false" ht="15" hidden="false" customHeight="false" outlineLevel="0" collapsed="false">
      <c r="A138" s="32"/>
      <c r="B138" s="33"/>
      <c r="C138" s="32"/>
      <c r="D138" s="32"/>
      <c r="E138" s="30"/>
      <c r="F138" s="32"/>
      <c r="G138" s="44" t="str">
        <f aca="false">IF(B138="","",B138+IF(F138="",Einstellungen!$B$40,F138))</f>
        <v/>
      </c>
      <c r="H138" s="33"/>
      <c r="I138" s="30"/>
      <c r="J138" s="31" t="str">
        <f aca="false">IF(E138="","",E138-N(I138))</f>
        <v/>
      </c>
      <c r="K138" s="43" t="str">
        <f aca="true">IF(OR(E138="",G138=""),"",IF(J138&lt;=0.004,"",MAX(0,TODAY()-G138)))</f>
        <v/>
      </c>
      <c r="L138" s="43" t="str">
        <f aca="false">IF(K138="","",IF(K138&gt;60,3,IF(K138&gt;30,2,IF(K138&gt;0,1,0))))</f>
        <v/>
      </c>
      <c r="M138" s="35" t="str">
        <f aca="false">IF(E138="","",IF(J138&lt;=0.004,"bezahlt",IF(N(K138)&gt;0,"überfällig – Mahnung "&amp;L138,"offen")))</f>
        <v/>
      </c>
    </row>
    <row r="139" customFormat="false" ht="15" hidden="false" customHeight="false" outlineLevel="0" collapsed="false">
      <c r="A139" s="32"/>
      <c r="B139" s="33"/>
      <c r="C139" s="32"/>
      <c r="D139" s="32"/>
      <c r="E139" s="30"/>
      <c r="F139" s="32"/>
      <c r="G139" s="44" t="str">
        <f aca="false">IF(B139="","",B139+IF(F139="",Einstellungen!$B$40,F139))</f>
        <v/>
      </c>
      <c r="H139" s="33"/>
      <c r="I139" s="30"/>
      <c r="J139" s="31" t="str">
        <f aca="false">IF(E139="","",E139-N(I139))</f>
        <v/>
      </c>
      <c r="K139" s="43" t="str">
        <f aca="true">IF(OR(E139="",G139=""),"",IF(J139&lt;=0.004,"",MAX(0,TODAY()-G139)))</f>
        <v/>
      </c>
      <c r="L139" s="43" t="str">
        <f aca="false">IF(K139="","",IF(K139&gt;60,3,IF(K139&gt;30,2,IF(K139&gt;0,1,0))))</f>
        <v/>
      </c>
      <c r="M139" s="35" t="str">
        <f aca="false">IF(E139="","",IF(J139&lt;=0.004,"bezahlt",IF(N(K139)&gt;0,"überfällig – Mahnung "&amp;L139,"offen")))</f>
        <v/>
      </c>
    </row>
    <row r="140" customFormat="false" ht="15" hidden="false" customHeight="false" outlineLevel="0" collapsed="false">
      <c r="A140" s="32"/>
      <c r="B140" s="33"/>
      <c r="C140" s="32"/>
      <c r="D140" s="32"/>
      <c r="E140" s="30"/>
      <c r="F140" s="32"/>
      <c r="G140" s="44" t="str">
        <f aca="false">IF(B140="","",B140+IF(F140="",Einstellungen!$B$40,F140))</f>
        <v/>
      </c>
      <c r="H140" s="33"/>
      <c r="I140" s="30"/>
      <c r="J140" s="31" t="str">
        <f aca="false">IF(E140="","",E140-N(I140))</f>
        <v/>
      </c>
      <c r="K140" s="43" t="str">
        <f aca="true">IF(OR(E140="",G140=""),"",IF(J140&lt;=0.004,"",MAX(0,TODAY()-G140)))</f>
        <v/>
      </c>
      <c r="L140" s="43" t="str">
        <f aca="false">IF(K140="","",IF(K140&gt;60,3,IF(K140&gt;30,2,IF(K140&gt;0,1,0))))</f>
        <v/>
      </c>
      <c r="M140" s="35" t="str">
        <f aca="false">IF(E140="","",IF(J140&lt;=0.004,"bezahlt",IF(N(K140)&gt;0,"überfällig – Mahnung "&amp;L140,"offen")))</f>
        <v/>
      </c>
    </row>
    <row r="141" customFormat="false" ht="15" hidden="false" customHeight="false" outlineLevel="0" collapsed="false">
      <c r="A141" s="32"/>
      <c r="B141" s="33"/>
      <c r="C141" s="32"/>
      <c r="D141" s="32"/>
      <c r="E141" s="30"/>
      <c r="F141" s="32"/>
      <c r="G141" s="44" t="str">
        <f aca="false">IF(B141="","",B141+IF(F141="",Einstellungen!$B$40,F141))</f>
        <v/>
      </c>
      <c r="H141" s="33"/>
      <c r="I141" s="30"/>
      <c r="J141" s="31" t="str">
        <f aca="false">IF(E141="","",E141-N(I141))</f>
        <v/>
      </c>
      <c r="K141" s="43" t="str">
        <f aca="true">IF(OR(E141="",G141=""),"",IF(J141&lt;=0.004,"",MAX(0,TODAY()-G141)))</f>
        <v/>
      </c>
      <c r="L141" s="43" t="str">
        <f aca="false">IF(K141="","",IF(K141&gt;60,3,IF(K141&gt;30,2,IF(K141&gt;0,1,0))))</f>
        <v/>
      </c>
      <c r="M141" s="35" t="str">
        <f aca="false">IF(E141="","",IF(J141&lt;=0.004,"bezahlt",IF(N(K141)&gt;0,"überfällig – Mahnung "&amp;L141,"offen")))</f>
        <v/>
      </c>
    </row>
    <row r="142" customFormat="false" ht="15" hidden="false" customHeight="false" outlineLevel="0" collapsed="false">
      <c r="A142" s="32"/>
      <c r="B142" s="33"/>
      <c r="C142" s="32"/>
      <c r="D142" s="32"/>
      <c r="E142" s="30"/>
      <c r="F142" s="32"/>
      <c r="G142" s="44" t="str">
        <f aca="false">IF(B142="","",B142+IF(F142="",Einstellungen!$B$40,F142))</f>
        <v/>
      </c>
      <c r="H142" s="33"/>
      <c r="I142" s="30"/>
      <c r="J142" s="31" t="str">
        <f aca="false">IF(E142="","",E142-N(I142))</f>
        <v/>
      </c>
      <c r="K142" s="43" t="str">
        <f aca="true">IF(OR(E142="",G142=""),"",IF(J142&lt;=0.004,"",MAX(0,TODAY()-G142)))</f>
        <v/>
      </c>
      <c r="L142" s="43" t="str">
        <f aca="false">IF(K142="","",IF(K142&gt;60,3,IF(K142&gt;30,2,IF(K142&gt;0,1,0))))</f>
        <v/>
      </c>
      <c r="M142" s="35" t="str">
        <f aca="false">IF(E142="","",IF(J142&lt;=0.004,"bezahlt",IF(N(K142)&gt;0,"überfällig – Mahnung "&amp;L142,"offen")))</f>
        <v/>
      </c>
    </row>
    <row r="143" customFormat="false" ht="15" hidden="false" customHeight="false" outlineLevel="0" collapsed="false">
      <c r="A143" s="32"/>
      <c r="B143" s="33"/>
      <c r="C143" s="32"/>
      <c r="D143" s="32"/>
      <c r="E143" s="30"/>
      <c r="F143" s="32"/>
      <c r="G143" s="44" t="str">
        <f aca="false">IF(B143="","",B143+IF(F143="",Einstellungen!$B$40,F143))</f>
        <v/>
      </c>
      <c r="H143" s="33"/>
      <c r="I143" s="30"/>
      <c r="J143" s="31" t="str">
        <f aca="false">IF(E143="","",E143-N(I143))</f>
        <v/>
      </c>
      <c r="K143" s="43" t="str">
        <f aca="true">IF(OR(E143="",G143=""),"",IF(J143&lt;=0.004,"",MAX(0,TODAY()-G143)))</f>
        <v/>
      </c>
      <c r="L143" s="43" t="str">
        <f aca="false">IF(K143="","",IF(K143&gt;60,3,IF(K143&gt;30,2,IF(K143&gt;0,1,0))))</f>
        <v/>
      </c>
      <c r="M143" s="35" t="str">
        <f aca="false">IF(E143="","",IF(J143&lt;=0.004,"bezahlt",IF(N(K143)&gt;0,"überfällig – Mahnung "&amp;L143,"offen")))</f>
        <v/>
      </c>
    </row>
    <row r="144" customFormat="false" ht="15" hidden="false" customHeight="false" outlineLevel="0" collapsed="false">
      <c r="A144" s="32"/>
      <c r="B144" s="33"/>
      <c r="C144" s="32"/>
      <c r="D144" s="32"/>
      <c r="E144" s="30"/>
      <c r="F144" s="32"/>
      <c r="G144" s="44" t="str">
        <f aca="false">IF(B144="","",B144+IF(F144="",Einstellungen!$B$40,F144))</f>
        <v/>
      </c>
      <c r="H144" s="33"/>
      <c r="I144" s="30"/>
      <c r="J144" s="31" t="str">
        <f aca="false">IF(E144="","",E144-N(I144))</f>
        <v/>
      </c>
      <c r="K144" s="43" t="str">
        <f aca="true">IF(OR(E144="",G144=""),"",IF(J144&lt;=0.004,"",MAX(0,TODAY()-G144)))</f>
        <v/>
      </c>
      <c r="L144" s="43" t="str">
        <f aca="false">IF(K144="","",IF(K144&gt;60,3,IF(K144&gt;30,2,IF(K144&gt;0,1,0))))</f>
        <v/>
      </c>
      <c r="M144" s="35" t="str">
        <f aca="false">IF(E144="","",IF(J144&lt;=0.004,"bezahlt",IF(N(K144)&gt;0,"überfällig – Mahnung "&amp;L144,"offen")))</f>
        <v/>
      </c>
    </row>
    <row r="145" customFormat="false" ht="15" hidden="false" customHeight="false" outlineLevel="0" collapsed="false">
      <c r="A145" s="32"/>
      <c r="B145" s="33"/>
      <c r="C145" s="32"/>
      <c r="D145" s="32"/>
      <c r="E145" s="30"/>
      <c r="F145" s="32"/>
      <c r="G145" s="44" t="str">
        <f aca="false">IF(B145="","",B145+IF(F145="",Einstellungen!$B$40,F145))</f>
        <v/>
      </c>
      <c r="H145" s="33"/>
      <c r="I145" s="30"/>
      <c r="J145" s="31" t="str">
        <f aca="false">IF(E145="","",E145-N(I145))</f>
        <v/>
      </c>
      <c r="K145" s="43" t="str">
        <f aca="true">IF(OR(E145="",G145=""),"",IF(J145&lt;=0.004,"",MAX(0,TODAY()-G145)))</f>
        <v/>
      </c>
      <c r="L145" s="43" t="str">
        <f aca="false">IF(K145="","",IF(K145&gt;60,3,IF(K145&gt;30,2,IF(K145&gt;0,1,0))))</f>
        <v/>
      </c>
      <c r="M145" s="35" t="str">
        <f aca="false">IF(E145="","",IF(J145&lt;=0.004,"bezahlt",IF(N(K145)&gt;0,"überfällig – Mahnung "&amp;L145,"offen")))</f>
        <v/>
      </c>
    </row>
    <row r="146" customFormat="false" ht="15" hidden="false" customHeight="false" outlineLevel="0" collapsed="false">
      <c r="A146" s="32"/>
      <c r="B146" s="33"/>
      <c r="C146" s="32"/>
      <c r="D146" s="32"/>
      <c r="E146" s="30"/>
      <c r="F146" s="32"/>
      <c r="G146" s="44" t="str">
        <f aca="false">IF(B146="","",B146+IF(F146="",Einstellungen!$B$40,F146))</f>
        <v/>
      </c>
      <c r="H146" s="33"/>
      <c r="I146" s="30"/>
      <c r="J146" s="31" t="str">
        <f aca="false">IF(E146="","",E146-N(I146))</f>
        <v/>
      </c>
      <c r="K146" s="43" t="str">
        <f aca="true">IF(OR(E146="",G146=""),"",IF(J146&lt;=0.004,"",MAX(0,TODAY()-G146)))</f>
        <v/>
      </c>
      <c r="L146" s="43" t="str">
        <f aca="false">IF(K146="","",IF(K146&gt;60,3,IF(K146&gt;30,2,IF(K146&gt;0,1,0))))</f>
        <v/>
      </c>
      <c r="M146" s="35" t="str">
        <f aca="false">IF(E146="","",IF(J146&lt;=0.004,"bezahlt",IF(N(K146)&gt;0,"überfällig – Mahnung "&amp;L146,"offen")))</f>
        <v/>
      </c>
    </row>
    <row r="147" customFormat="false" ht="15" hidden="false" customHeight="false" outlineLevel="0" collapsed="false">
      <c r="A147" s="32"/>
      <c r="B147" s="33"/>
      <c r="C147" s="32"/>
      <c r="D147" s="32"/>
      <c r="E147" s="30"/>
      <c r="F147" s="32"/>
      <c r="G147" s="44" t="str">
        <f aca="false">IF(B147="","",B147+IF(F147="",Einstellungen!$B$40,F147))</f>
        <v/>
      </c>
      <c r="H147" s="33"/>
      <c r="I147" s="30"/>
      <c r="J147" s="31" t="str">
        <f aca="false">IF(E147="","",E147-N(I147))</f>
        <v/>
      </c>
      <c r="K147" s="43" t="str">
        <f aca="true">IF(OR(E147="",G147=""),"",IF(J147&lt;=0.004,"",MAX(0,TODAY()-G147)))</f>
        <v/>
      </c>
      <c r="L147" s="43" t="str">
        <f aca="false">IF(K147="","",IF(K147&gt;60,3,IF(K147&gt;30,2,IF(K147&gt;0,1,0))))</f>
        <v/>
      </c>
      <c r="M147" s="35" t="str">
        <f aca="false">IF(E147="","",IF(J147&lt;=0.004,"bezahlt",IF(N(K147)&gt;0,"überfällig – Mahnung "&amp;L147,"offen")))</f>
        <v/>
      </c>
    </row>
    <row r="148" customFormat="false" ht="15" hidden="false" customHeight="false" outlineLevel="0" collapsed="false">
      <c r="A148" s="32"/>
      <c r="B148" s="33"/>
      <c r="C148" s="32"/>
      <c r="D148" s="32"/>
      <c r="E148" s="30"/>
      <c r="F148" s="32"/>
      <c r="G148" s="44" t="str">
        <f aca="false">IF(B148="","",B148+IF(F148="",Einstellungen!$B$40,F148))</f>
        <v/>
      </c>
      <c r="H148" s="33"/>
      <c r="I148" s="30"/>
      <c r="J148" s="31" t="str">
        <f aca="false">IF(E148="","",E148-N(I148))</f>
        <v/>
      </c>
      <c r="K148" s="43" t="str">
        <f aca="true">IF(OR(E148="",G148=""),"",IF(J148&lt;=0.004,"",MAX(0,TODAY()-G148)))</f>
        <v/>
      </c>
      <c r="L148" s="43" t="str">
        <f aca="false">IF(K148="","",IF(K148&gt;60,3,IF(K148&gt;30,2,IF(K148&gt;0,1,0))))</f>
        <v/>
      </c>
      <c r="M148" s="35" t="str">
        <f aca="false">IF(E148="","",IF(J148&lt;=0.004,"bezahlt",IF(N(K148)&gt;0,"überfällig – Mahnung "&amp;L148,"offen")))</f>
        <v/>
      </c>
    </row>
    <row r="149" customFormat="false" ht="15" hidden="false" customHeight="false" outlineLevel="0" collapsed="false">
      <c r="A149" s="32"/>
      <c r="B149" s="33"/>
      <c r="C149" s="32"/>
      <c r="D149" s="32"/>
      <c r="E149" s="30"/>
      <c r="F149" s="32"/>
      <c r="G149" s="44" t="str">
        <f aca="false">IF(B149="","",B149+IF(F149="",Einstellungen!$B$40,F149))</f>
        <v/>
      </c>
      <c r="H149" s="33"/>
      <c r="I149" s="30"/>
      <c r="J149" s="31" t="str">
        <f aca="false">IF(E149="","",E149-N(I149))</f>
        <v/>
      </c>
      <c r="K149" s="43" t="str">
        <f aca="true">IF(OR(E149="",G149=""),"",IF(J149&lt;=0.004,"",MAX(0,TODAY()-G149)))</f>
        <v/>
      </c>
      <c r="L149" s="43" t="str">
        <f aca="false">IF(K149="","",IF(K149&gt;60,3,IF(K149&gt;30,2,IF(K149&gt;0,1,0))))</f>
        <v/>
      </c>
      <c r="M149" s="35" t="str">
        <f aca="false">IF(E149="","",IF(J149&lt;=0.004,"bezahlt",IF(N(K149)&gt;0,"überfällig – Mahnung "&amp;L149,"offen")))</f>
        <v/>
      </c>
    </row>
    <row r="150" customFormat="false" ht="15" hidden="false" customHeight="false" outlineLevel="0" collapsed="false">
      <c r="A150" s="32"/>
      <c r="B150" s="33"/>
      <c r="C150" s="32"/>
      <c r="D150" s="32"/>
      <c r="E150" s="30"/>
      <c r="F150" s="32"/>
      <c r="G150" s="44" t="str">
        <f aca="false">IF(B150="","",B150+IF(F150="",Einstellungen!$B$40,F150))</f>
        <v/>
      </c>
      <c r="H150" s="33"/>
      <c r="I150" s="30"/>
      <c r="J150" s="31" t="str">
        <f aca="false">IF(E150="","",E150-N(I150))</f>
        <v/>
      </c>
      <c r="K150" s="43" t="str">
        <f aca="true">IF(OR(E150="",G150=""),"",IF(J150&lt;=0.004,"",MAX(0,TODAY()-G150)))</f>
        <v/>
      </c>
      <c r="L150" s="43" t="str">
        <f aca="false">IF(K150="","",IF(K150&gt;60,3,IF(K150&gt;30,2,IF(K150&gt;0,1,0))))</f>
        <v/>
      </c>
      <c r="M150" s="35" t="str">
        <f aca="false">IF(E150="","",IF(J150&lt;=0.004,"bezahlt",IF(N(K150)&gt;0,"überfällig – Mahnung "&amp;L150,"offen")))</f>
        <v/>
      </c>
    </row>
    <row r="151" customFormat="false" ht="15" hidden="false" customHeight="false" outlineLevel="0" collapsed="false">
      <c r="A151" s="32"/>
      <c r="B151" s="33"/>
      <c r="C151" s="32"/>
      <c r="D151" s="32"/>
      <c r="E151" s="30"/>
      <c r="F151" s="32"/>
      <c r="G151" s="44" t="str">
        <f aca="false">IF(B151="","",B151+IF(F151="",Einstellungen!$B$40,F151))</f>
        <v/>
      </c>
      <c r="H151" s="33"/>
      <c r="I151" s="30"/>
      <c r="J151" s="31" t="str">
        <f aca="false">IF(E151="","",E151-N(I151))</f>
        <v/>
      </c>
      <c r="K151" s="43" t="str">
        <f aca="true">IF(OR(E151="",G151=""),"",IF(J151&lt;=0.004,"",MAX(0,TODAY()-G151)))</f>
        <v/>
      </c>
      <c r="L151" s="43" t="str">
        <f aca="false">IF(K151="","",IF(K151&gt;60,3,IF(K151&gt;30,2,IF(K151&gt;0,1,0))))</f>
        <v/>
      </c>
      <c r="M151" s="35" t="str">
        <f aca="false">IF(E151="","",IF(J151&lt;=0.004,"bezahlt",IF(N(K151)&gt;0,"überfällig – Mahnung "&amp;L151,"offen")))</f>
        <v/>
      </c>
    </row>
    <row r="152" customFormat="false" ht="15" hidden="false" customHeight="false" outlineLevel="0" collapsed="false">
      <c r="A152" s="32"/>
      <c r="B152" s="33"/>
      <c r="C152" s="32"/>
      <c r="D152" s="32"/>
      <c r="E152" s="30"/>
      <c r="F152" s="32"/>
      <c r="G152" s="44" t="str">
        <f aca="false">IF(B152="","",B152+IF(F152="",Einstellungen!$B$40,F152))</f>
        <v/>
      </c>
      <c r="H152" s="33"/>
      <c r="I152" s="30"/>
      <c r="J152" s="31" t="str">
        <f aca="false">IF(E152="","",E152-N(I152))</f>
        <v/>
      </c>
      <c r="K152" s="43" t="str">
        <f aca="true">IF(OR(E152="",G152=""),"",IF(J152&lt;=0.004,"",MAX(0,TODAY()-G152)))</f>
        <v/>
      </c>
      <c r="L152" s="43" t="str">
        <f aca="false">IF(K152="","",IF(K152&gt;60,3,IF(K152&gt;30,2,IF(K152&gt;0,1,0))))</f>
        <v/>
      </c>
      <c r="M152" s="35" t="str">
        <f aca="false">IF(E152="","",IF(J152&lt;=0.004,"bezahlt",IF(N(K152)&gt;0,"überfällig – Mahnung "&amp;L152,"offen")))</f>
        <v/>
      </c>
    </row>
    <row r="153" customFormat="false" ht="15" hidden="false" customHeight="false" outlineLevel="0" collapsed="false">
      <c r="A153" s="32"/>
      <c r="B153" s="33"/>
      <c r="C153" s="32"/>
      <c r="D153" s="32"/>
      <c r="E153" s="30"/>
      <c r="F153" s="32"/>
      <c r="G153" s="44" t="str">
        <f aca="false">IF(B153="","",B153+IF(F153="",Einstellungen!$B$40,F153))</f>
        <v/>
      </c>
      <c r="H153" s="33"/>
      <c r="I153" s="30"/>
      <c r="J153" s="31" t="str">
        <f aca="false">IF(E153="","",E153-N(I153))</f>
        <v/>
      </c>
      <c r="K153" s="43" t="str">
        <f aca="true">IF(OR(E153="",G153=""),"",IF(J153&lt;=0.004,"",MAX(0,TODAY()-G153)))</f>
        <v/>
      </c>
      <c r="L153" s="43" t="str">
        <f aca="false">IF(K153="","",IF(K153&gt;60,3,IF(K153&gt;30,2,IF(K153&gt;0,1,0))))</f>
        <v/>
      </c>
      <c r="M153" s="35" t="str">
        <f aca="false">IF(E153="","",IF(J153&lt;=0.004,"bezahlt",IF(N(K153)&gt;0,"überfällig – Mahnung "&amp;L153,"offen")))</f>
        <v/>
      </c>
    </row>
    <row r="154" customFormat="false" ht="15" hidden="false" customHeight="false" outlineLevel="0" collapsed="false">
      <c r="A154" s="32"/>
      <c r="B154" s="33"/>
      <c r="C154" s="32"/>
      <c r="D154" s="32"/>
      <c r="E154" s="30"/>
      <c r="F154" s="32"/>
      <c r="G154" s="44" t="str">
        <f aca="false">IF(B154="","",B154+IF(F154="",Einstellungen!$B$40,F154))</f>
        <v/>
      </c>
      <c r="H154" s="33"/>
      <c r="I154" s="30"/>
      <c r="J154" s="31" t="str">
        <f aca="false">IF(E154="","",E154-N(I154))</f>
        <v/>
      </c>
      <c r="K154" s="43" t="str">
        <f aca="true">IF(OR(E154="",G154=""),"",IF(J154&lt;=0.004,"",MAX(0,TODAY()-G154)))</f>
        <v/>
      </c>
      <c r="L154" s="43" t="str">
        <f aca="false">IF(K154="","",IF(K154&gt;60,3,IF(K154&gt;30,2,IF(K154&gt;0,1,0))))</f>
        <v/>
      </c>
      <c r="M154" s="35" t="str">
        <f aca="false">IF(E154="","",IF(J154&lt;=0.004,"bezahlt",IF(N(K154)&gt;0,"überfällig – Mahnung "&amp;L154,"offen")))</f>
        <v/>
      </c>
    </row>
    <row r="155" customFormat="false" ht="15" hidden="false" customHeight="false" outlineLevel="0" collapsed="false">
      <c r="A155" s="32"/>
      <c r="B155" s="33"/>
      <c r="C155" s="32"/>
      <c r="D155" s="32"/>
      <c r="E155" s="30"/>
      <c r="F155" s="32"/>
      <c r="G155" s="44" t="str">
        <f aca="false">IF(B155="","",B155+IF(F155="",Einstellungen!$B$40,F155))</f>
        <v/>
      </c>
      <c r="H155" s="33"/>
      <c r="I155" s="30"/>
      <c r="J155" s="31" t="str">
        <f aca="false">IF(E155="","",E155-N(I155))</f>
        <v/>
      </c>
      <c r="K155" s="43" t="str">
        <f aca="true">IF(OR(E155="",G155=""),"",IF(J155&lt;=0.004,"",MAX(0,TODAY()-G155)))</f>
        <v/>
      </c>
      <c r="L155" s="43" t="str">
        <f aca="false">IF(K155="","",IF(K155&gt;60,3,IF(K155&gt;30,2,IF(K155&gt;0,1,0))))</f>
        <v/>
      </c>
      <c r="M155" s="35" t="str">
        <f aca="false">IF(E155="","",IF(J155&lt;=0.004,"bezahlt",IF(N(K155)&gt;0,"überfällig – Mahnung "&amp;L155,"offen")))</f>
        <v/>
      </c>
    </row>
    <row r="156" customFormat="false" ht="15" hidden="false" customHeight="false" outlineLevel="0" collapsed="false">
      <c r="A156" s="32"/>
      <c r="B156" s="33"/>
      <c r="C156" s="32"/>
      <c r="D156" s="32"/>
      <c r="E156" s="30"/>
      <c r="F156" s="32"/>
      <c r="G156" s="44" t="str">
        <f aca="false">IF(B156="","",B156+IF(F156="",Einstellungen!$B$40,F156))</f>
        <v/>
      </c>
      <c r="H156" s="33"/>
      <c r="I156" s="30"/>
      <c r="J156" s="31" t="str">
        <f aca="false">IF(E156="","",E156-N(I156))</f>
        <v/>
      </c>
      <c r="K156" s="43" t="str">
        <f aca="true">IF(OR(E156="",G156=""),"",IF(J156&lt;=0.004,"",MAX(0,TODAY()-G156)))</f>
        <v/>
      </c>
      <c r="L156" s="43" t="str">
        <f aca="false">IF(K156="","",IF(K156&gt;60,3,IF(K156&gt;30,2,IF(K156&gt;0,1,0))))</f>
        <v/>
      </c>
      <c r="M156" s="35" t="str">
        <f aca="false">IF(E156="","",IF(J156&lt;=0.004,"bezahlt",IF(N(K156)&gt;0,"überfällig – Mahnung "&amp;L156,"offen")))</f>
        <v/>
      </c>
    </row>
    <row r="157" customFormat="false" ht="15" hidden="false" customHeight="false" outlineLevel="0" collapsed="false">
      <c r="A157" s="32"/>
      <c r="B157" s="33"/>
      <c r="C157" s="32"/>
      <c r="D157" s="32"/>
      <c r="E157" s="30"/>
      <c r="F157" s="32"/>
      <c r="G157" s="44" t="str">
        <f aca="false">IF(B157="","",B157+IF(F157="",Einstellungen!$B$40,F157))</f>
        <v/>
      </c>
      <c r="H157" s="33"/>
      <c r="I157" s="30"/>
      <c r="J157" s="31" t="str">
        <f aca="false">IF(E157="","",E157-N(I157))</f>
        <v/>
      </c>
      <c r="K157" s="43" t="str">
        <f aca="true">IF(OR(E157="",G157=""),"",IF(J157&lt;=0.004,"",MAX(0,TODAY()-G157)))</f>
        <v/>
      </c>
      <c r="L157" s="43" t="str">
        <f aca="false">IF(K157="","",IF(K157&gt;60,3,IF(K157&gt;30,2,IF(K157&gt;0,1,0))))</f>
        <v/>
      </c>
      <c r="M157" s="35" t="str">
        <f aca="false">IF(E157="","",IF(J157&lt;=0.004,"bezahlt",IF(N(K157)&gt;0,"überfällig – Mahnung "&amp;L157,"offen")))</f>
        <v/>
      </c>
    </row>
    <row r="158" customFormat="false" ht="15" hidden="false" customHeight="false" outlineLevel="0" collapsed="false">
      <c r="A158" s="32"/>
      <c r="B158" s="33"/>
      <c r="C158" s="32"/>
      <c r="D158" s="32"/>
      <c r="E158" s="30"/>
      <c r="F158" s="32"/>
      <c r="G158" s="44" t="str">
        <f aca="false">IF(B158="","",B158+IF(F158="",Einstellungen!$B$40,F158))</f>
        <v/>
      </c>
      <c r="H158" s="33"/>
      <c r="I158" s="30"/>
      <c r="J158" s="31" t="str">
        <f aca="false">IF(E158="","",E158-N(I158))</f>
        <v/>
      </c>
      <c r="K158" s="43" t="str">
        <f aca="true">IF(OR(E158="",G158=""),"",IF(J158&lt;=0.004,"",MAX(0,TODAY()-G158)))</f>
        <v/>
      </c>
      <c r="L158" s="43" t="str">
        <f aca="false">IF(K158="","",IF(K158&gt;60,3,IF(K158&gt;30,2,IF(K158&gt;0,1,0))))</f>
        <v/>
      </c>
      <c r="M158" s="35" t="str">
        <f aca="false">IF(E158="","",IF(J158&lt;=0.004,"bezahlt",IF(N(K158)&gt;0,"überfällig – Mahnung "&amp;L158,"offen")))</f>
        <v/>
      </c>
    </row>
    <row r="159" customFormat="false" ht="15" hidden="false" customHeight="false" outlineLevel="0" collapsed="false">
      <c r="A159" s="32"/>
      <c r="B159" s="33"/>
      <c r="C159" s="32"/>
      <c r="D159" s="32"/>
      <c r="E159" s="30"/>
      <c r="F159" s="32"/>
      <c r="G159" s="44" t="str">
        <f aca="false">IF(B159="","",B159+IF(F159="",Einstellungen!$B$40,F159))</f>
        <v/>
      </c>
      <c r="H159" s="33"/>
      <c r="I159" s="30"/>
      <c r="J159" s="31" t="str">
        <f aca="false">IF(E159="","",E159-N(I159))</f>
        <v/>
      </c>
      <c r="K159" s="43" t="str">
        <f aca="true">IF(OR(E159="",G159=""),"",IF(J159&lt;=0.004,"",MAX(0,TODAY()-G159)))</f>
        <v/>
      </c>
      <c r="L159" s="43" t="str">
        <f aca="false">IF(K159="","",IF(K159&gt;60,3,IF(K159&gt;30,2,IF(K159&gt;0,1,0))))</f>
        <v/>
      </c>
      <c r="M159" s="35" t="str">
        <f aca="false">IF(E159="","",IF(J159&lt;=0.004,"bezahlt",IF(N(K159)&gt;0,"überfällig – Mahnung "&amp;L159,"offen")))</f>
        <v/>
      </c>
    </row>
    <row r="160" customFormat="false" ht="15" hidden="false" customHeight="false" outlineLevel="0" collapsed="false">
      <c r="A160" s="32"/>
      <c r="B160" s="33"/>
      <c r="C160" s="32"/>
      <c r="D160" s="32"/>
      <c r="E160" s="30"/>
      <c r="F160" s="32"/>
      <c r="G160" s="44" t="str">
        <f aca="false">IF(B160="","",B160+IF(F160="",Einstellungen!$B$40,F160))</f>
        <v/>
      </c>
      <c r="H160" s="33"/>
      <c r="I160" s="30"/>
      <c r="J160" s="31" t="str">
        <f aca="false">IF(E160="","",E160-N(I160))</f>
        <v/>
      </c>
      <c r="K160" s="43" t="str">
        <f aca="true">IF(OR(E160="",G160=""),"",IF(J160&lt;=0.004,"",MAX(0,TODAY()-G160)))</f>
        <v/>
      </c>
      <c r="L160" s="43" t="str">
        <f aca="false">IF(K160="","",IF(K160&gt;60,3,IF(K160&gt;30,2,IF(K160&gt;0,1,0))))</f>
        <v/>
      </c>
      <c r="M160" s="35" t="str">
        <f aca="false">IF(E160="","",IF(J160&lt;=0.004,"bezahlt",IF(N(K160)&gt;0,"überfällig – Mahnung "&amp;L160,"offen")))</f>
        <v/>
      </c>
    </row>
    <row r="161" customFormat="false" ht="15" hidden="false" customHeight="false" outlineLevel="0" collapsed="false">
      <c r="A161" s="32"/>
      <c r="B161" s="33"/>
      <c r="C161" s="32"/>
      <c r="D161" s="32"/>
      <c r="E161" s="30"/>
      <c r="F161" s="32"/>
      <c r="G161" s="44" t="str">
        <f aca="false">IF(B161="","",B161+IF(F161="",Einstellungen!$B$40,F161))</f>
        <v/>
      </c>
      <c r="H161" s="33"/>
      <c r="I161" s="30"/>
      <c r="J161" s="31" t="str">
        <f aca="false">IF(E161="","",E161-N(I161))</f>
        <v/>
      </c>
      <c r="K161" s="43" t="str">
        <f aca="true">IF(OR(E161="",G161=""),"",IF(J161&lt;=0.004,"",MAX(0,TODAY()-G161)))</f>
        <v/>
      </c>
      <c r="L161" s="43" t="str">
        <f aca="false">IF(K161="","",IF(K161&gt;60,3,IF(K161&gt;30,2,IF(K161&gt;0,1,0))))</f>
        <v/>
      </c>
      <c r="M161" s="35" t="str">
        <f aca="false">IF(E161="","",IF(J161&lt;=0.004,"bezahlt",IF(N(K161)&gt;0,"überfällig – Mahnung "&amp;L161,"offen")))</f>
        <v/>
      </c>
    </row>
    <row r="162" customFormat="false" ht="15" hidden="false" customHeight="false" outlineLevel="0" collapsed="false">
      <c r="A162" s="32"/>
      <c r="B162" s="33"/>
      <c r="C162" s="32"/>
      <c r="D162" s="32"/>
      <c r="E162" s="30"/>
      <c r="F162" s="32"/>
      <c r="G162" s="44" t="str">
        <f aca="false">IF(B162="","",B162+IF(F162="",Einstellungen!$B$40,F162))</f>
        <v/>
      </c>
      <c r="H162" s="33"/>
      <c r="I162" s="30"/>
      <c r="J162" s="31" t="str">
        <f aca="false">IF(E162="","",E162-N(I162))</f>
        <v/>
      </c>
      <c r="K162" s="43" t="str">
        <f aca="true">IF(OR(E162="",G162=""),"",IF(J162&lt;=0.004,"",MAX(0,TODAY()-G162)))</f>
        <v/>
      </c>
      <c r="L162" s="43" t="str">
        <f aca="false">IF(K162="","",IF(K162&gt;60,3,IF(K162&gt;30,2,IF(K162&gt;0,1,0))))</f>
        <v/>
      </c>
      <c r="M162" s="35" t="str">
        <f aca="false">IF(E162="","",IF(J162&lt;=0.004,"bezahlt",IF(N(K162)&gt;0,"überfällig – Mahnung "&amp;L162,"offen")))</f>
        <v/>
      </c>
    </row>
    <row r="163" customFormat="false" ht="15" hidden="false" customHeight="false" outlineLevel="0" collapsed="false">
      <c r="A163" s="32"/>
      <c r="B163" s="33"/>
      <c r="C163" s="32"/>
      <c r="D163" s="32"/>
      <c r="E163" s="30"/>
      <c r="F163" s="32"/>
      <c r="G163" s="44" t="str">
        <f aca="false">IF(B163="","",B163+IF(F163="",Einstellungen!$B$40,F163))</f>
        <v/>
      </c>
      <c r="H163" s="33"/>
      <c r="I163" s="30"/>
      <c r="J163" s="31" t="str">
        <f aca="false">IF(E163="","",E163-N(I163))</f>
        <v/>
      </c>
      <c r="K163" s="43" t="str">
        <f aca="true">IF(OR(E163="",G163=""),"",IF(J163&lt;=0.004,"",MAX(0,TODAY()-G163)))</f>
        <v/>
      </c>
      <c r="L163" s="43" t="str">
        <f aca="false">IF(K163="","",IF(K163&gt;60,3,IF(K163&gt;30,2,IF(K163&gt;0,1,0))))</f>
        <v/>
      </c>
      <c r="M163" s="35" t="str">
        <f aca="false">IF(E163="","",IF(J163&lt;=0.004,"bezahlt",IF(N(K163)&gt;0,"überfällig – Mahnung "&amp;L163,"offen")))</f>
        <v/>
      </c>
    </row>
    <row r="164" customFormat="false" ht="15" hidden="false" customHeight="false" outlineLevel="0" collapsed="false">
      <c r="A164" s="32"/>
      <c r="B164" s="33"/>
      <c r="C164" s="32"/>
      <c r="D164" s="32"/>
      <c r="E164" s="30"/>
      <c r="F164" s="32"/>
      <c r="G164" s="44" t="str">
        <f aca="false">IF(B164="","",B164+IF(F164="",Einstellungen!$B$40,F164))</f>
        <v/>
      </c>
      <c r="H164" s="33"/>
      <c r="I164" s="30"/>
      <c r="J164" s="31" t="str">
        <f aca="false">IF(E164="","",E164-N(I164))</f>
        <v/>
      </c>
      <c r="K164" s="43" t="str">
        <f aca="true">IF(OR(E164="",G164=""),"",IF(J164&lt;=0.004,"",MAX(0,TODAY()-G164)))</f>
        <v/>
      </c>
      <c r="L164" s="43" t="str">
        <f aca="false">IF(K164="","",IF(K164&gt;60,3,IF(K164&gt;30,2,IF(K164&gt;0,1,0))))</f>
        <v/>
      </c>
      <c r="M164" s="35" t="str">
        <f aca="false">IF(E164="","",IF(J164&lt;=0.004,"bezahlt",IF(N(K164)&gt;0,"überfällig – Mahnung "&amp;L164,"offen")))</f>
        <v/>
      </c>
    </row>
    <row r="165" customFormat="false" ht="15" hidden="false" customHeight="false" outlineLevel="0" collapsed="false">
      <c r="A165" s="32"/>
      <c r="B165" s="33"/>
      <c r="C165" s="32"/>
      <c r="D165" s="32"/>
      <c r="E165" s="30"/>
      <c r="F165" s="32"/>
      <c r="G165" s="44" t="str">
        <f aca="false">IF(B165="","",B165+IF(F165="",Einstellungen!$B$40,F165))</f>
        <v/>
      </c>
      <c r="H165" s="33"/>
      <c r="I165" s="30"/>
      <c r="J165" s="31" t="str">
        <f aca="false">IF(E165="","",E165-N(I165))</f>
        <v/>
      </c>
      <c r="K165" s="43" t="str">
        <f aca="true">IF(OR(E165="",G165=""),"",IF(J165&lt;=0.004,"",MAX(0,TODAY()-G165)))</f>
        <v/>
      </c>
      <c r="L165" s="43" t="str">
        <f aca="false">IF(K165="","",IF(K165&gt;60,3,IF(K165&gt;30,2,IF(K165&gt;0,1,0))))</f>
        <v/>
      </c>
      <c r="M165" s="35" t="str">
        <f aca="false">IF(E165="","",IF(J165&lt;=0.004,"bezahlt",IF(N(K165)&gt;0,"überfällig – Mahnung "&amp;L165,"offen")))</f>
        <v/>
      </c>
    </row>
    <row r="166" customFormat="false" ht="15" hidden="false" customHeight="false" outlineLevel="0" collapsed="false">
      <c r="A166" s="32"/>
      <c r="B166" s="33"/>
      <c r="C166" s="32"/>
      <c r="D166" s="32"/>
      <c r="E166" s="30"/>
      <c r="F166" s="32"/>
      <c r="G166" s="44" t="str">
        <f aca="false">IF(B166="","",B166+IF(F166="",Einstellungen!$B$40,F166))</f>
        <v/>
      </c>
      <c r="H166" s="33"/>
      <c r="I166" s="30"/>
      <c r="J166" s="31" t="str">
        <f aca="false">IF(E166="","",E166-N(I166))</f>
        <v/>
      </c>
      <c r="K166" s="43" t="str">
        <f aca="true">IF(OR(E166="",G166=""),"",IF(J166&lt;=0.004,"",MAX(0,TODAY()-G166)))</f>
        <v/>
      </c>
      <c r="L166" s="43" t="str">
        <f aca="false">IF(K166="","",IF(K166&gt;60,3,IF(K166&gt;30,2,IF(K166&gt;0,1,0))))</f>
        <v/>
      </c>
      <c r="M166" s="35" t="str">
        <f aca="false">IF(E166="","",IF(J166&lt;=0.004,"bezahlt",IF(N(K166)&gt;0,"überfällig – Mahnung "&amp;L166,"offen")))</f>
        <v/>
      </c>
    </row>
    <row r="167" customFormat="false" ht="15" hidden="false" customHeight="false" outlineLevel="0" collapsed="false">
      <c r="A167" s="32"/>
      <c r="B167" s="33"/>
      <c r="C167" s="32"/>
      <c r="D167" s="32"/>
      <c r="E167" s="30"/>
      <c r="F167" s="32"/>
      <c r="G167" s="44" t="str">
        <f aca="false">IF(B167="","",B167+IF(F167="",Einstellungen!$B$40,F167))</f>
        <v/>
      </c>
      <c r="H167" s="33"/>
      <c r="I167" s="30"/>
      <c r="J167" s="31" t="str">
        <f aca="false">IF(E167="","",E167-N(I167))</f>
        <v/>
      </c>
      <c r="K167" s="43" t="str">
        <f aca="true">IF(OR(E167="",G167=""),"",IF(J167&lt;=0.004,"",MAX(0,TODAY()-G167)))</f>
        <v/>
      </c>
      <c r="L167" s="43" t="str">
        <f aca="false">IF(K167="","",IF(K167&gt;60,3,IF(K167&gt;30,2,IF(K167&gt;0,1,0))))</f>
        <v/>
      </c>
      <c r="M167" s="35" t="str">
        <f aca="false">IF(E167="","",IF(J167&lt;=0.004,"bezahlt",IF(N(K167)&gt;0,"überfällig – Mahnung "&amp;L167,"offen")))</f>
        <v/>
      </c>
    </row>
    <row r="168" customFormat="false" ht="15" hidden="false" customHeight="false" outlineLevel="0" collapsed="false">
      <c r="A168" s="32"/>
      <c r="B168" s="33"/>
      <c r="C168" s="32"/>
      <c r="D168" s="32"/>
      <c r="E168" s="30"/>
      <c r="F168" s="32"/>
      <c r="G168" s="44" t="str">
        <f aca="false">IF(B168="","",B168+IF(F168="",Einstellungen!$B$40,F168))</f>
        <v/>
      </c>
      <c r="H168" s="33"/>
      <c r="I168" s="30"/>
      <c r="J168" s="31" t="str">
        <f aca="false">IF(E168="","",E168-N(I168))</f>
        <v/>
      </c>
      <c r="K168" s="43" t="str">
        <f aca="true">IF(OR(E168="",G168=""),"",IF(J168&lt;=0.004,"",MAX(0,TODAY()-G168)))</f>
        <v/>
      </c>
      <c r="L168" s="43" t="str">
        <f aca="false">IF(K168="","",IF(K168&gt;60,3,IF(K168&gt;30,2,IF(K168&gt;0,1,0))))</f>
        <v/>
      </c>
      <c r="M168" s="35" t="str">
        <f aca="false">IF(E168="","",IF(J168&lt;=0.004,"bezahlt",IF(N(K168)&gt;0,"überfällig – Mahnung "&amp;L168,"offen")))</f>
        <v/>
      </c>
    </row>
    <row r="169" customFormat="false" ht="15" hidden="false" customHeight="false" outlineLevel="0" collapsed="false">
      <c r="A169" s="32"/>
      <c r="B169" s="33"/>
      <c r="C169" s="32"/>
      <c r="D169" s="32"/>
      <c r="E169" s="30"/>
      <c r="F169" s="32"/>
      <c r="G169" s="44" t="str">
        <f aca="false">IF(B169="","",B169+IF(F169="",Einstellungen!$B$40,F169))</f>
        <v/>
      </c>
      <c r="H169" s="33"/>
      <c r="I169" s="30"/>
      <c r="J169" s="31" t="str">
        <f aca="false">IF(E169="","",E169-N(I169))</f>
        <v/>
      </c>
      <c r="K169" s="43" t="str">
        <f aca="true">IF(OR(E169="",G169=""),"",IF(J169&lt;=0.004,"",MAX(0,TODAY()-G169)))</f>
        <v/>
      </c>
      <c r="L169" s="43" t="str">
        <f aca="false">IF(K169="","",IF(K169&gt;60,3,IF(K169&gt;30,2,IF(K169&gt;0,1,0))))</f>
        <v/>
      </c>
      <c r="M169" s="35" t="str">
        <f aca="false">IF(E169="","",IF(J169&lt;=0.004,"bezahlt",IF(N(K169)&gt;0,"überfällig – Mahnung "&amp;L169,"offen")))</f>
        <v/>
      </c>
    </row>
    <row r="170" customFormat="false" ht="15" hidden="false" customHeight="false" outlineLevel="0" collapsed="false">
      <c r="A170" s="32"/>
      <c r="B170" s="33"/>
      <c r="C170" s="32"/>
      <c r="D170" s="32"/>
      <c r="E170" s="30"/>
      <c r="F170" s="32"/>
      <c r="G170" s="44" t="str">
        <f aca="false">IF(B170="","",B170+IF(F170="",Einstellungen!$B$40,F170))</f>
        <v/>
      </c>
      <c r="H170" s="33"/>
      <c r="I170" s="30"/>
      <c r="J170" s="31" t="str">
        <f aca="false">IF(E170="","",E170-N(I170))</f>
        <v/>
      </c>
      <c r="K170" s="43" t="str">
        <f aca="true">IF(OR(E170="",G170=""),"",IF(J170&lt;=0.004,"",MAX(0,TODAY()-G170)))</f>
        <v/>
      </c>
      <c r="L170" s="43" t="str">
        <f aca="false">IF(K170="","",IF(K170&gt;60,3,IF(K170&gt;30,2,IF(K170&gt;0,1,0))))</f>
        <v/>
      </c>
      <c r="M170" s="35" t="str">
        <f aca="false">IF(E170="","",IF(J170&lt;=0.004,"bezahlt",IF(N(K170)&gt;0,"überfällig – Mahnung "&amp;L170,"offen")))</f>
        <v/>
      </c>
    </row>
    <row r="171" customFormat="false" ht="15" hidden="false" customHeight="false" outlineLevel="0" collapsed="false">
      <c r="A171" s="32"/>
      <c r="B171" s="33"/>
      <c r="C171" s="32"/>
      <c r="D171" s="32"/>
      <c r="E171" s="30"/>
      <c r="F171" s="32"/>
      <c r="G171" s="44" t="str">
        <f aca="false">IF(B171="","",B171+IF(F171="",Einstellungen!$B$40,F171))</f>
        <v/>
      </c>
      <c r="H171" s="33"/>
      <c r="I171" s="30"/>
      <c r="J171" s="31" t="str">
        <f aca="false">IF(E171="","",E171-N(I171))</f>
        <v/>
      </c>
      <c r="K171" s="43" t="str">
        <f aca="true">IF(OR(E171="",G171=""),"",IF(J171&lt;=0.004,"",MAX(0,TODAY()-G171)))</f>
        <v/>
      </c>
      <c r="L171" s="43" t="str">
        <f aca="false">IF(K171="","",IF(K171&gt;60,3,IF(K171&gt;30,2,IF(K171&gt;0,1,0))))</f>
        <v/>
      </c>
      <c r="M171" s="35" t="str">
        <f aca="false">IF(E171="","",IF(J171&lt;=0.004,"bezahlt",IF(N(K171)&gt;0,"überfällig – Mahnung "&amp;L171,"offen")))</f>
        <v/>
      </c>
    </row>
    <row r="172" customFormat="false" ht="15" hidden="false" customHeight="false" outlineLevel="0" collapsed="false">
      <c r="A172" s="32"/>
      <c r="B172" s="33"/>
      <c r="C172" s="32"/>
      <c r="D172" s="32"/>
      <c r="E172" s="30"/>
      <c r="F172" s="32"/>
      <c r="G172" s="44" t="str">
        <f aca="false">IF(B172="","",B172+IF(F172="",Einstellungen!$B$40,F172))</f>
        <v/>
      </c>
      <c r="H172" s="33"/>
      <c r="I172" s="30"/>
      <c r="J172" s="31" t="str">
        <f aca="false">IF(E172="","",E172-N(I172))</f>
        <v/>
      </c>
      <c r="K172" s="43" t="str">
        <f aca="true">IF(OR(E172="",G172=""),"",IF(J172&lt;=0.004,"",MAX(0,TODAY()-G172)))</f>
        <v/>
      </c>
      <c r="L172" s="43" t="str">
        <f aca="false">IF(K172="","",IF(K172&gt;60,3,IF(K172&gt;30,2,IF(K172&gt;0,1,0))))</f>
        <v/>
      </c>
      <c r="M172" s="35" t="str">
        <f aca="false">IF(E172="","",IF(J172&lt;=0.004,"bezahlt",IF(N(K172)&gt;0,"überfällig – Mahnung "&amp;L172,"offen")))</f>
        <v/>
      </c>
    </row>
    <row r="173" customFormat="false" ht="15" hidden="false" customHeight="false" outlineLevel="0" collapsed="false">
      <c r="A173" s="32"/>
      <c r="B173" s="33"/>
      <c r="C173" s="32"/>
      <c r="D173" s="32"/>
      <c r="E173" s="30"/>
      <c r="F173" s="32"/>
      <c r="G173" s="44" t="str">
        <f aca="false">IF(B173="","",B173+IF(F173="",Einstellungen!$B$40,F173))</f>
        <v/>
      </c>
      <c r="H173" s="33"/>
      <c r="I173" s="30"/>
      <c r="J173" s="31" t="str">
        <f aca="false">IF(E173="","",E173-N(I173))</f>
        <v/>
      </c>
      <c r="K173" s="43" t="str">
        <f aca="true">IF(OR(E173="",G173=""),"",IF(J173&lt;=0.004,"",MAX(0,TODAY()-G173)))</f>
        <v/>
      </c>
      <c r="L173" s="43" t="str">
        <f aca="false">IF(K173="","",IF(K173&gt;60,3,IF(K173&gt;30,2,IF(K173&gt;0,1,0))))</f>
        <v/>
      </c>
      <c r="M173" s="35" t="str">
        <f aca="false">IF(E173="","",IF(J173&lt;=0.004,"bezahlt",IF(N(K173)&gt;0,"überfällig – Mahnung "&amp;L173,"offen")))</f>
        <v/>
      </c>
    </row>
    <row r="174" customFormat="false" ht="15" hidden="false" customHeight="false" outlineLevel="0" collapsed="false">
      <c r="A174" s="32"/>
      <c r="B174" s="33"/>
      <c r="C174" s="32"/>
      <c r="D174" s="32"/>
      <c r="E174" s="30"/>
      <c r="F174" s="32"/>
      <c r="G174" s="44" t="str">
        <f aca="false">IF(B174="","",B174+IF(F174="",Einstellungen!$B$40,F174))</f>
        <v/>
      </c>
      <c r="H174" s="33"/>
      <c r="I174" s="30"/>
      <c r="J174" s="31" t="str">
        <f aca="false">IF(E174="","",E174-N(I174))</f>
        <v/>
      </c>
      <c r="K174" s="43" t="str">
        <f aca="true">IF(OR(E174="",G174=""),"",IF(J174&lt;=0.004,"",MAX(0,TODAY()-G174)))</f>
        <v/>
      </c>
      <c r="L174" s="43" t="str">
        <f aca="false">IF(K174="","",IF(K174&gt;60,3,IF(K174&gt;30,2,IF(K174&gt;0,1,0))))</f>
        <v/>
      </c>
      <c r="M174" s="35" t="str">
        <f aca="false">IF(E174="","",IF(J174&lt;=0.004,"bezahlt",IF(N(K174)&gt;0,"überfällig – Mahnung "&amp;L174,"offen")))</f>
        <v/>
      </c>
    </row>
    <row r="175" customFormat="false" ht="15" hidden="false" customHeight="false" outlineLevel="0" collapsed="false">
      <c r="A175" s="32"/>
      <c r="B175" s="33"/>
      <c r="C175" s="32"/>
      <c r="D175" s="32"/>
      <c r="E175" s="30"/>
      <c r="F175" s="32"/>
      <c r="G175" s="44" t="str">
        <f aca="false">IF(B175="","",B175+IF(F175="",Einstellungen!$B$40,F175))</f>
        <v/>
      </c>
      <c r="H175" s="33"/>
      <c r="I175" s="30"/>
      <c r="J175" s="31" t="str">
        <f aca="false">IF(E175="","",E175-N(I175))</f>
        <v/>
      </c>
      <c r="K175" s="43" t="str">
        <f aca="true">IF(OR(E175="",G175=""),"",IF(J175&lt;=0.004,"",MAX(0,TODAY()-G175)))</f>
        <v/>
      </c>
      <c r="L175" s="43" t="str">
        <f aca="false">IF(K175="","",IF(K175&gt;60,3,IF(K175&gt;30,2,IF(K175&gt;0,1,0))))</f>
        <v/>
      </c>
      <c r="M175" s="35" t="str">
        <f aca="false">IF(E175="","",IF(J175&lt;=0.004,"bezahlt",IF(N(K175)&gt;0,"überfällig – Mahnung "&amp;L175,"offen")))</f>
        <v/>
      </c>
    </row>
    <row r="176" customFormat="false" ht="15" hidden="false" customHeight="false" outlineLevel="0" collapsed="false">
      <c r="A176" s="32"/>
      <c r="B176" s="33"/>
      <c r="C176" s="32"/>
      <c r="D176" s="32"/>
      <c r="E176" s="30"/>
      <c r="F176" s="32"/>
      <c r="G176" s="44" t="str">
        <f aca="false">IF(B176="","",B176+IF(F176="",Einstellungen!$B$40,F176))</f>
        <v/>
      </c>
      <c r="H176" s="33"/>
      <c r="I176" s="30"/>
      <c r="J176" s="31" t="str">
        <f aca="false">IF(E176="","",E176-N(I176))</f>
        <v/>
      </c>
      <c r="K176" s="43" t="str">
        <f aca="true">IF(OR(E176="",G176=""),"",IF(J176&lt;=0.004,"",MAX(0,TODAY()-G176)))</f>
        <v/>
      </c>
      <c r="L176" s="43" t="str">
        <f aca="false">IF(K176="","",IF(K176&gt;60,3,IF(K176&gt;30,2,IF(K176&gt;0,1,0))))</f>
        <v/>
      </c>
      <c r="M176" s="35" t="str">
        <f aca="false">IF(E176="","",IF(J176&lt;=0.004,"bezahlt",IF(N(K176)&gt;0,"überfällig – Mahnung "&amp;L176,"offen")))</f>
        <v/>
      </c>
    </row>
    <row r="177" customFormat="false" ht="15" hidden="false" customHeight="false" outlineLevel="0" collapsed="false">
      <c r="A177" s="32"/>
      <c r="B177" s="33"/>
      <c r="C177" s="32"/>
      <c r="D177" s="32"/>
      <c r="E177" s="30"/>
      <c r="F177" s="32"/>
      <c r="G177" s="44" t="str">
        <f aca="false">IF(B177="","",B177+IF(F177="",Einstellungen!$B$40,F177))</f>
        <v/>
      </c>
      <c r="H177" s="33"/>
      <c r="I177" s="30"/>
      <c r="J177" s="31" t="str">
        <f aca="false">IF(E177="","",E177-N(I177))</f>
        <v/>
      </c>
      <c r="K177" s="43" t="str">
        <f aca="true">IF(OR(E177="",G177=""),"",IF(J177&lt;=0.004,"",MAX(0,TODAY()-G177)))</f>
        <v/>
      </c>
      <c r="L177" s="43" t="str">
        <f aca="false">IF(K177="","",IF(K177&gt;60,3,IF(K177&gt;30,2,IF(K177&gt;0,1,0))))</f>
        <v/>
      </c>
      <c r="M177" s="35" t="str">
        <f aca="false">IF(E177="","",IF(J177&lt;=0.004,"bezahlt",IF(N(K177)&gt;0,"überfällig – Mahnung "&amp;L177,"offen")))</f>
        <v/>
      </c>
    </row>
    <row r="178" customFormat="false" ht="15" hidden="false" customHeight="false" outlineLevel="0" collapsed="false">
      <c r="A178" s="32"/>
      <c r="B178" s="33"/>
      <c r="C178" s="32"/>
      <c r="D178" s="32"/>
      <c r="E178" s="30"/>
      <c r="F178" s="32"/>
      <c r="G178" s="44" t="str">
        <f aca="false">IF(B178="","",B178+IF(F178="",Einstellungen!$B$40,F178))</f>
        <v/>
      </c>
      <c r="H178" s="33"/>
      <c r="I178" s="30"/>
      <c r="J178" s="31" t="str">
        <f aca="false">IF(E178="","",E178-N(I178))</f>
        <v/>
      </c>
      <c r="K178" s="43" t="str">
        <f aca="true">IF(OR(E178="",G178=""),"",IF(J178&lt;=0.004,"",MAX(0,TODAY()-G178)))</f>
        <v/>
      </c>
      <c r="L178" s="43" t="str">
        <f aca="false">IF(K178="","",IF(K178&gt;60,3,IF(K178&gt;30,2,IF(K178&gt;0,1,0))))</f>
        <v/>
      </c>
      <c r="M178" s="35" t="str">
        <f aca="false">IF(E178="","",IF(J178&lt;=0.004,"bezahlt",IF(N(K178)&gt;0,"überfällig – Mahnung "&amp;L178,"offen")))</f>
        <v/>
      </c>
    </row>
    <row r="179" customFormat="false" ht="15" hidden="false" customHeight="false" outlineLevel="0" collapsed="false">
      <c r="A179" s="32"/>
      <c r="B179" s="33"/>
      <c r="C179" s="32"/>
      <c r="D179" s="32"/>
      <c r="E179" s="30"/>
      <c r="F179" s="32"/>
      <c r="G179" s="44" t="str">
        <f aca="false">IF(B179="","",B179+IF(F179="",Einstellungen!$B$40,F179))</f>
        <v/>
      </c>
      <c r="H179" s="33"/>
      <c r="I179" s="30"/>
      <c r="J179" s="31" t="str">
        <f aca="false">IF(E179="","",E179-N(I179))</f>
        <v/>
      </c>
      <c r="K179" s="43" t="str">
        <f aca="true">IF(OR(E179="",G179=""),"",IF(J179&lt;=0.004,"",MAX(0,TODAY()-G179)))</f>
        <v/>
      </c>
      <c r="L179" s="43" t="str">
        <f aca="false">IF(K179="","",IF(K179&gt;60,3,IF(K179&gt;30,2,IF(K179&gt;0,1,0))))</f>
        <v/>
      </c>
      <c r="M179" s="35" t="str">
        <f aca="false">IF(E179="","",IF(J179&lt;=0.004,"bezahlt",IF(N(K179)&gt;0,"überfällig – Mahnung "&amp;L179,"offen")))</f>
        <v/>
      </c>
    </row>
    <row r="180" customFormat="false" ht="15" hidden="false" customHeight="false" outlineLevel="0" collapsed="false">
      <c r="A180" s="32"/>
      <c r="B180" s="33"/>
      <c r="C180" s="32"/>
      <c r="D180" s="32"/>
      <c r="E180" s="30"/>
      <c r="F180" s="32"/>
      <c r="G180" s="44" t="str">
        <f aca="false">IF(B180="","",B180+IF(F180="",Einstellungen!$B$40,F180))</f>
        <v/>
      </c>
      <c r="H180" s="33"/>
      <c r="I180" s="30"/>
      <c r="J180" s="31" t="str">
        <f aca="false">IF(E180="","",E180-N(I180))</f>
        <v/>
      </c>
      <c r="K180" s="43" t="str">
        <f aca="true">IF(OR(E180="",G180=""),"",IF(J180&lt;=0.004,"",MAX(0,TODAY()-G180)))</f>
        <v/>
      </c>
      <c r="L180" s="43" t="str">
        <f aca="false">IF(K180="","",IF(K180&gt;60,3,IF(K180&gt;30,2,IF(K180&gt;0,1,0))))</f>
        <v/>
      </c>
      <c r="M180" s="35" t="str">
        <f aca="false">IF(E180="","",IF(J180&lt;=0.004,"bezahlt",IF(N(K180)&gt;0,"überfällig – Mahnung "&amp;L180,"offen")))</f>
        <v/>
      </c>
    </row>
    <row r="181" customFormat="false" ht="15" hidden="false" customHeight="false" outlineLevel="0" collapsed="false">
      <c r="A181" s="32"/>
      <c r="B181" s="33"/>
      <c r="C181" s="32"/>
      <c r="D181" s="32"/>
      <c r="E181" s="30"/>
      <c r="F181" s="32"/>
      <c r="G181" s="44" t="str">
        <f aca="false">IF(B181="","",B181+IF(F181="",Einstellungen!$B$40,F181))</f>
        <v/>
      </c>
      <c r="H181" s="33"/>
      <c r="I181" s="30"/>
      <c r="J181" s="31" t="str">
        <f aca="false">IF(E181="","",E181-N(I181))</f>
        <v/>
      </c>
      <c r="K181" s="43" t="str">
        <f aca="true">IF(OR(E181="",G181=""),"",IF(J181&lt;=0.004,"",MAX(0,TODAY()-G181)))</f>
        <v/>
      </c>
      <c r="L181" s="43" t="str">
        <f aca="false">IF(K181="","",IF(K181&gt;60,3,IF(K181&gt;30,2,IF(K181&gt;0,1,0))))</f>
        <v/>
      </c>
      <c r="M181" s="35" t="str">
        <f aca="false">IF(E181="","",IF(J181&lt;=0.004,"bezahlt",IF(N(K181)&gt;0,"überfällig – Mahnung "&amp;L181,"offen")))</f>
        <v/>
      </c>
    </row>
    <row r="182" customFormat="false" ht="15" hidden="false" customHeight="false" outlineLevel="0" collapsed="false">
      <c r="A182" s="32"/>
      <c r="B182" s="33"/>
      <c r="C182" s="32"/>
      <c r="D182" s="32"/>
      <c r="E182" s="30"/>
      <c r="F182" s="32"/>
      <c r="G182" s="44" t="str">
        <f aca="false">IF(B182="","",B182+IF(F182="",Einstellungen!$B$40,F182))</f>
        <v/>
      </c>
      <c r="H182" s="33"/>
      <c r="I182" s="30"/>
      <c r="J182" s="31" t="str">
        <f aca="false">IF(E182="","",E182-N(I182))</f>
        <v/>
      </c>
      <c r="K182" s="43" t="str">
        <f aca="true">IF(OR(E182="",G182=""),"",IF(J182&lt;=0.004,"",MAX(0,TODAY()-G182)))</f>
        <v/>
      </c>
      <c r="L182" s="43" t="str">
        <f aca="false">IF(K182="","",IF(K182&gt;60,3,IF(K182&gt;30,2,IF(K182&gt;0,1,0))))</f>
        <v/>
      </c>
      <c r="M182" s="35" t="str">
        <f aca="false">IF(E182="","",IF(J182&lt;=0.004,"bezahlt",IF(N(K182)&gt;0,"überfällig – Mahnung "&amp;L182,"offen")))</f>
        <v/>
      </c>
    </row>
    <row r="183" customFormat="false" ht="15" hidden="false" customHeight="false" outlineLevel="0" collapsed="false">
      <c r="A183" s="32"/>
      <c r="B183" s="33"/>
      <c r="C183" s="32"/>
      <c r="D183" s="32"/>
      <c r="E183" s="30"/>
      <c r="F183" s="32"/>
      <c r="G183" s="44" t="str">
        <f aca="false">IF(B183="","",B183+IF(F183="",Einstellungen!$B$40,F183))</f>
        <v/>
      </c>
      <c r="H183" s="33"/>
      <c r="I183" s="30"/>
      <c r="J183" s="31" t="str">
        <f aca="false">IF(E183="","",E183-N(I183))</f>
        <v/>
      </c>
      <c r="K183" s="43" t="str">
        <f aca="true">IF(OR(E183="",G183=""),"",IF(J183&lt;=0.004,"",MAX(0,TODAY()-G183)))</f>
        <v/>
      </c>
      <c r="L183" s="43" t="str">
        <f aca="false">IF(K183="","",IF(K183&gt;60,3,IF(K183&gt;30,2,IF(K183&gt;0,1,0))))</f>
        <v/>
      </c>
      <c r="M183" s="35" t="str">
        <f aca="false">IF(E183="","",IF(J183&lt;=0.004,"bezahlt",IF(N(K183)&gt;0,"überfällig – Mahnung "&amp;L183,"offen")))</f>
        <v/>
      </c>
    </row>
    <row r="184" customFormat="false" ht="15" hidden="false" customHeight="false" outlineLevel="0" collapsed="false">
      <c r="A184" s="32"/>
      <c r="B184" s="33"/>
      <c r="C184" s="32"/>
      <c r="D184" s="32"/>
      <c r="E184" s="30"/>
      <c r="F184" s="32"/>
      <c r="G184" s="44" t="str">
        <f aca="false">IF(B184="","",B184+IF(F184="",Einstellungen!$B$40,F184))</f>
        <v/>
      </c>
      <c r="H184" s="33"/>
      <c r="I184" s="30"/>
      <c r="J184" s="31" t="str">
        <f aca="false">IF(E184="","",E184-N(I184))</f>
        <v/>
      </c>
      <c r="K184" s="43" t="str">
        <f aca="true">IF(OR(E184="",G184=""),"",IF(J184&lt;=0.004,"",MAX(0,TODAY()-G184)))</f>
        <v/>
      </c>
      <c r="L184" s="43" t="str">
        <f aca="false">IF(K184="","",IF(K184&gt;60,3,IF(K184&gt;30,2,IF(K184&gt;0,1,0))))</f>
        <v/>
      </c>
      <c r="M184" s="35" t="str">
        <f aca="false">IF(E184="","",IF(J184&lt;=0.004,"bezahlt",IF(N(K184)&gt;0,"überfällig – Mahnung "&amp;L184,"offen")))</f>
        <v/>
      </c>
    </row>
    <row r="185" customFormat="false" ht="15" hidden="false" customHeight="false" outlineLevel="0" collapsed="false">
      <c r="A185" s="32"/>
      <c r="B185" s="33"/>
      <c r="C185" s="32"/>
      <c r="D185" s="32"/>
      <c r="E185" s="30"/>
      <c r="F185" s="32"/>
      <c r="G185" s="44" t="str">
        <f aca="false">IF(B185="","",B185+IF(F185="",Einstellungen!$B$40,F185))</f>
        <v/>
      </c>
      <c r="H185" s="33"/>
      <c r="I185" s="30"/>
      <c r="J185" s="31" t="str">
        <f aca="false">IF(E185="","",E185-N(I185))</f>
        <v/>
      </c>
      <c r="K185" s="43" t="str">
        <f aca="true">IF(OR(E185="",G185=""),"",IF(J185&lt;=0.004,"",MAX(0,TODAY()-G185)))</f>
        <v/>
      </c>
      <c r="L185" s="43" t="str">
        <f aca="false">IF(K185="","",IF(K185&gt;60,3,IF(K185&gt;30,2,IF(K185&gt;0,1,0))))</f>
        <v/>
      </c>
      <c r="M185" s="35" t="str">
        <f aca="false">IF(E185="","",IF(J185&lt;=0.004,"bezahlt",IF(N(K185)&gt;0,"überfällig – Mahnung "&amp;L185,"offen")))</f>
        <v/>
      </c>
    </row>
    <row r="186" customFormat="false" ht="15" hidden="false" customHeight="false" outlineLevel="0" collapsed="false">
      <c r="A186" s="32"/>
      <c r="B186" s="33"/>
      <c r="C186" s="32"/>
      <c r="D186" s="32"/>
      <c r="E186" s="30"/>
      <c r="F186" s="32"/>
      <c r="G186" s="44" t="str">
        <f aca="false">IF(B186="","",B186+IF(F186="",Einstellungen!$B$40,F186))</f>
        <v/>
      </c>
      <c r="H186" s="33"/>
      <c r="I186" s="30"/>
      <c r="J186" s="31" t="str">
        <f aca="false">IF(E186="","",E186-N(I186))</f>
        <v/>
      </c>
      <c r="K186" s="43" t="str">
        <f aca="true">IF(OR(E186="",G186=""),"",IF(J186&lt;=0.004,"",MAX(0,TODAY()-G186)))</f>
        <v/>
      </c>
      <c r="L186" s="43" t="str">
        <f aca="false">IF(K186="","",IF(K186&gt;60,3,IF(K186&gt;30,2,IF(K186&gt;0,1,0))))</f>
        <v/>
      </c>
      <c r="M186" s="35" t="str">
        <f aca="false">IF(E186="","",IF(J186&lt;=0.004,"bezahlt",IF(N(K186)&gt;0,"überfällig – Mahnung "&amp;L186,"offen")))</f>
        <v/>
      </c>
    </row>
    <row r="187" customFormat="false" ht="15" hidden="false" customHeight="false" outlineLevel="0" collapsed="false">
      <c r="A187" s="32"/>
      <c r="B187" s="33"/>
      <c r="C187" s="32"/>
      <c r="D187" s="32"/>
      <c r="E187" s="30"/>
      <c r="F187" s="32"/>
      <c r="G187" s="44" t="str">
        <f aca="false">IF(B187="","",B187+IF(F187="",Einstellungen!$B$40,F187))</f>
        <v/>
      </c>
      <c r="H187" s="33"/>
      <c r="I187" s="30"/>
      <c r="J187" s="31" t="str">
        <f aca="false">IF(E187="","",E187-N(I187))</f>
        <v/>
      </c>
      <c r="K187" s="43" t="str">
        <f aca="true">IF(OR(E187="",G187=""),"",IF(J187&lt;=0.004,"",MAX(0,TODAY()-G187)))</f>
        <v/>
      </c>
      <c r="L187" s="43" t="str">
        <f aca="false">IF(K187="","",IF(K187&gt;60,3,IF(K187&gt;30,2,IF(K187&gt;0,1,0))))</f>
        <v/>
      </c>
      <c r="M187" s="35" t="str">
        <f aca="false">IF(E187="","",IF(J187&lt;=0.004,"bezahlt",IF(N(K187)&gt;0,"überfällig – Mahnung "&amp;L187,"offen")))</f>
        <v/>
      </c>
    </row>
    <row r="188" customFormat="false" ht="15" hidden="false" customHeight="false" outlineLevel="0" collapsed="false">
      <c r="A188" s="32"/>
      <c r="B188" s="33"/>
      <c r="C188" s="32"/>
      <c r="D188" s="32"/>
      <c r="E188" s="30"/>
      <c r="F188" s="32"/>
      <c r="G188" s="44" t="str">
        <f aca="false">IF(B188="","",B188+IF(F188="",Einstellungen!$B$40,F188))</f>
        <v/>
      </c>
      <c r="H188" s="33"/>
      <c r="I188" s="30"/>
      <c r="J188" s="31" t="str">
        <f aca="false">IF(E188="","",E188-N(I188))</f>
        <v/>
      </c>
      <c r="K188" s="43" t="str">
        <f aca="true">IF(OR(E188="",G188=""),"",IF(J188&lt;=0.004,"",MAX(0,TODAY()-G188)))</f>
        <v/>
      </c>
      <c r="L188" s="43" t="str">
        <f aca="false">IF(K188="","",IF(K188&gt;60,3,IF(K188&gt;30,2,IF(K188&gt;0,1,0))))</f>
        <v/>
      </c>
      <c r="M188" s="35" t="str">
        <f aca="false">IF(E188="","",IF(J188&lt;=0.004,"bezahlt",IF(N(K188)&gt;0,"überfällig – Mahnung "&amp;L188,"offen")))</f>
        <v/>
      </c>
    </row>
    <row r="189" customFormat="false" ht="15" hidden="false" customHeight="false" outlineLevel="0" collapsed="false">
      <c r="A189" s="32"/>
      <c r="B189" s="33"/>
      <c r="C189" s="32"/>
      <c r="D189" s="32"/>
      <c r="E189" s="30"/>
      <c r="F189" s="32"/>
      <c r="G189" s="44" t="str">
        <f aca="false">IF(B189="","",B189+IF(F189="",Einstellungen!$B$40,F189))</f>
        <v/>
      </c>
      <c r="H189" s="33"/>
      <c r="I189" s="30"/>
      <c r="J189" s="31" t="str">
        <f aca="false">IF(E189="","",E189-N(I189))</f>
        <v/>
      </c>
      <c r="K189" s="43" t="str">
        <f aca="true">IF(OR(E189="",G189=""),"",IF(J189&lt;=0.004,"",MAX(0,TODAY()-G189)))</f>
        <v/>
      </c>
      <c r="L189" s="43" t="str">
        <f aca="false">IF(K189="","",IF(K189&gt;60,3,IF(K189&gt;30,2,IF(K189&gt;0,1,0))))</f>
        <v/>
      </c>
      <c r="M189" s="35" t="str">
        <f aca="false">IF(E189="","",IF(J189&lt;=0.004,"bezahlt",IF(N(K189)&gt;0,"überfällig – Mahnung "&amp;L189,"offen")))</f>
        <v/>
      </c>
    </row>
    <row r="190" customFormat="false" ht="15" hidden="false" customHeight="false" outlineLevel="0" collapsed="false">
      <c r="A190" s="32"/>
      <c r="B190" s="33"/>
      <c r="C190" s="32"/>
      <c r="D190" s="32"/>
      <c r="E190" s="30"/>
      <c r="F190" s="32"/>
      <c r="G190" s="44" t="str">
        <f aca="false">IF(B190="","",B190+IF(F190="",Einstellungen!$B$40,F190))</f>
        <v/>
      </c>
      <c r="H190" s="33"/>
      <c r="I190" s="30"/>
      <c r="J190" s="31" t="str">
        <f aca="false">IF(E190="","",E190-N(I190))</f>
        <v/>
      </c>
      <c r="K190" s="43" t="str">
        <f aca="true">IF(OR(E190="",G190=""),"",IF(J190&lt;=0.004,"",MAX(0,TODAY()-G190)))</f>
        <v/>
      </c>
      <c r="L190" s="43" t="str">
        <f aca="false">IF(K190="","",IF(K190&gt;60,3,IF(K190&gt;30,2,IF(K190&gt;0,1,0))))</f>
        <v/>
      </c>
      <c r="M190" s="35" t="str">
        <f aca="false">IF(E190="","",IF(J190&lt;=0.004,"bezahlt",IF(N(K190)&gt;0,"überfällig – Mahnung "&amp;L190,"offen")))</f>
        <v/>
      </c>
    </row>
    <row r="191" customFormat="false" ht="15" hidden="false" customHeight="false" outlineLevel="0" collapsed="false">
      <c r="A191" s="32"/>
      <c r="B191" s="33"/>
      <c r="C191" s="32"/>
      <c r="D191" s="32"/>
      <c r="E191" s="30"/>
      <c r="F191" s="32"/>
      <c r="G191" s="44" t="str">
        <f aca="false">IF(B191="","",B191+IF(F191="",Einstellungen!$B$40,F191))</f>
        <v/>
      </c>
      <c r="H191" s="33"/>
      <c r="I191" s="30"/>
      <c r="J191" s="31" t="str">
        <f aca="false">IF(E191="","",E191-N(I191))</f>
        <v/>
      </c>
      <c r="K191" s="43" t="str">
        <f aca="true">IF(OR(E191="",G191=""),"",IF(J191&lt;=0.004,"",MAX(0,TODAY()-G191)))</f>
        <v/>
      </c>
      <c r="L191" s="43" t="str">
        <f aca="false">IF(K191="","",IF(K191&gt;60,3,IF(K191&gt;30,2,IF(K191&gt;0,1,0))))</f>
        <v/>
      </c>
      <c r="M191" s="35" t="str">
        <f aca="false">IF(E191="","",IF(J191&lt;=0.004,"bezahlt",IF(N(K191)&gt;0,"überfällig – Mahnung "&amp;L191,"offen")))</f>
        <v/>
      </c>
    </row>
    <row r="192" customFormat="false" ht="15" hidden="false" customHeight="false" outlineLevel="0" collapsed="false">
      <c r="A192" s="32"/>
      <c r="B192" s="33"/>
      <c r="C192" s="32"/>
      <c r="D192" s="32"/>
      <c r="E192" s="30"/>
      <c r="F192" s="32"/>
      <c r="G192" s="44" t="str">
        <f aca="false">IF(B192="","",B192+IF(F192="",Einstellungen!$B$40,F192))</f>
        <v/>
      </c>
      <c r="H192" s="33"/>
      <c r="I192" s="30"/>
      <c r="J192" s="31" t="str">
        <f aca="false">IF(E192="","",E192-N(I192))</f>
        <v/>
      </c>
      <c r="K192" s="43" t="str">
        <f aca="true">IF(OR(E192="",G192=""),"",IF(J192&lt;=0.004,"",MAX(0,TODAY()-G192)))</f>
        <v/>
      </c>
      <c r="L192" s="43" t="str">
        <f aca="false">IF(K192="","",IF(K192&gt;60,3,IF(K192&gt;30,2,IF(K192&gt;0,1,0))))</f>
        <v/>
      </c>
      <c r="M192" s="35" t="str">
        <f aca="false">IF(E192="","",IF(J192&lt;=0.004,"bezahlt",IF(N(K192)&gt;0,"überfällig – Mahnung "&amp;L192,"offen")))</f>
        <v/>
      </c>
    </row>
    <row r="193" customFormat="false" ht="15" hidden="false" customHeight="false" outlineLevel="0" collapsed="false">
      <c r="A193" s="32"/>
      <c r="B193" s="33"/>
      <c r="C193" s="32"/>
      <c r="D193" s="32"/>
      <c r="E193" s="30"/>
      <c r="F193" s="32"/>
      <c r="G193" s="44" t="str">
        <f aca="false">IF(B193="","",B193+IF(F193="",Einstellungen!$B$40,F193))</f>
        <v/>
      </c>
      <c r="H193" s="33"/>
      <c r="I193" s="30"/>
      <c r="J193" s="31" t="str">
        <f aca="false">IF(E193="","",E193-N(I193))</f>
        <v/>
      </c>
      <c r="K193" s="43" t="str">
        <f aca="true">IF(OR(E193="",G193=""),"",IF(J193&lt;=0.004,"",MAX(0,TODAY()-G193)))</f>
        <v/>
      </c>
      <c r="L193" s="43" t="str">
        <f aca="false">IF(K193="","",IF(K193&gt;60,3,IF(K193&gt;30,2,IF(K193&gt;0,1,0))))</f>
        <v/>
      </c>
      <c r="M193" s="35" t="str">
        <f aca="false">IF(E193="","",IF(J193&lt;=0.004,"bezahlt",IF(N(K193)&gt;0,"überfällig – Mahnung "&amp;L193,"offen")))</f>
        <v/>
      </c>
    </row>
    <row r="194" customFormat="false" ht="15" hidden="false" customHeight="false" outlineLevel="0" collapsed="false">
      <c r="A194" s="32"/>
      <c r="B194" s="33"/>
      <c r="C194" s="32"/>
      <c r="D194" s="32"/>
      <c r="E194" s="30"/>
      <c r="F194" s="32"/>
      <c r="G194" s="44" t="str">
        <f aca="false">IF(B194="","",B194+IF(F194="",Einstellungen!$B$40,F194))</f>
        <v/>
      </c>
      <c r="H194" s="33"/>
      <c r="I194" s="30"/>
      <c r="J194" s="31" t="str">
        <f aca="false">IF(E194="","",E194-N(I194))</f>
        <v/>
      </c>
      <c r="K194" s="43" t="str">
        <f aca="true">IF(OR(E194="",G194=""),"",IF(J194&lt;=0.004,"",MAX(0,TODAY()-G194)))</f>
        <v/>
      </c>
      <c r="L194" s="43" t="str">
        <f aca="false">IF(K194="","",IF(K194&gt;60,3,IF(K194&gt;30,2,IF(K194&gt;0,1,0))))</f>
        <v/>
      </c>
      <c r="M194" s="35" t="str">
        <f aca="false">IF(E194="","",IF(J194&lt;=0.004,"bezahlt",IF(N(K194)&gt;0,"überfällig – Mahnung "&amp;L194,"offen")))</f>
        <v/>
      </c>
    </row>
    <row r="195" customFormat="false" ht="15" hidden="false" customHeight="false" outlineLevel="0" collapsed="false">
      <c r="A195" s="32"/>
      <c r="B195" s="33"/>
      <c r="C195" s="32"/>
      <c r="D195" s="32"/>
      <c r="E195" s="30"/>
      <c r="F195" s="32"/>
      <c r="G195" s="44" t="str">
        <f aca="false">IF(B195="","",B195+IF(F195="",Einstellungen!$B$40,F195))</f>
        <v/>
      </c>
      <c r="H195" s="33"/>
      <c r="I195" s="30"/>
      <c r="J195" s="31" t="str">
        <f aca="false">IF(E195="","",E195-N(I195))</f>
        <v/>
      </c>
      <c r="K195" s="43" t="str">
        <f aca="true">IF(OR(E195="",G195=""),"",IF(J195&lt;=0.004,"",MAX(0,TODAY()-G195)))</f>
        <v/>
      </c>
      <c r="L195" s="43" t="str">
        <f aca="false">IF(K195="","",IF(K195&gt;60,3,IF(K195&gt;30,2,IF(K195&gt;0,1,0))))</f>
        <v/>
      </c>
      <c r="M195" s="35" t="str">
        <f aca="false">IF(E195="","",IF(J195&lt;=0.004,"bezahlt",IF(N(K195)&gt;0,"überfällig – Mahnung "&amp;L195,"offen")))</f>
        <v/>
      </c>
    </row>
    <row r="196" customFormat="false" ht="15" hidden="false" customHeight="false" outlineLevel="0" collapsed="false">
      <c r="A196" s="32"/>
      <c r="B196" s="33"/>
      <c r="C196" s="32"/>
      <c r="D196" s="32"/>
      <c r="E196" s="30"/>
      <c r="F196" s="32"/>
      <c r="G196" s="44" t="str">
        <f aca="false">IF(B196="","",B196+IF(F196="",Einstellungen!$B$40,F196))</f>
        <v/>
      </c>
      <c r="H196" s="33"/>
      <c r="I196" s="30"/>
      <c r="J196" s="31" t="str">
        <f aca="false">IF(E196="","",E196-N(I196))</f>
        <v/>
      </c>
      <c r="K196" s="43" t="str">
        <f aca="true">IF(OR(E196="",G196=""),"",IF(J196&lt;=0.004,"",MAX(0,TODAY()-G196)))</f>
        <v/>
      </c>
      <c r="L196" s="43" t="str">
        <f aca="false">IF(K196="","",IF(K196&gt;60,3,IF(K196&gt;30,2,IF(K196&gt;0,1,0))))</f>
        <v/>
      </c>
      <c r="M196" s="35" t="str">
        <f aca="false">IF(E196="","",IF(J196&lt;=0.004,"bezahlt",IF(N(K196)&gt;0,"überfällig – Mahnung "&amp;L196,"offen")))</f>
        <v/>
      </c>
    </row>
    <row r="197" customFormat="false" ht="15" hidden="false" customHeight="false" outlineLevel="0" collapsed="false">
      <c r="A197" s="32"/>
      <c r="B197" s="33"/>
      <c r="C197" s="32"/>
      <c r="D197" s="32"/>
      <c r="E197" s="30"/>
      <c r="F197" s="32"/>
      <c r="G197" s="44" t="str">
        <f aca="false">IF(B197="","",B197+IF(F197="",Einstellungen!$B$40,F197))</f>
        <v/>
      </c>
      <c r="H197" s="33"/>
      <c r="I197" s="30"/>
      <c r="J197" s="31" t="str">
        <f aca="false">IF(E197="","",E197-N(I197))</f>
        <v/>
      </c>
      <c r="K197" s="43" t="str">
        <f aca="true">IF(OR(E197="",G197=""),"",IF(J197&lt;=0.004,"",MAX(0,TODAY()-G197)))</f>
        <v/>
      </c>
      <c r="L197" s="43" t="str">
        <f aca="false">IF(K197="","",IF(K197&gt;60,3,IF(K197&gt;30,2,IF(K197&gt;0,1,0))))</f>
        <v/>
      </c>
      <c r="M197" s="35" t="str">
        <f aca="false">IF(E197="","",IF(J197&lt;=0.004,"bezahlt",IF(N(K197)&gt;0,"überfällig – Mahnung "&amp;L197,"offen")))</f>
        <v/>
      </c>
    </row>
    <row r="198" customFormat="false" ht="15" hidden="false" customHeight="false" outlineLevel="0" collapsed="false">
      <c r="A198" s="32"/>
      <c r="B198" s="33"/>
      <c r="C198" s="32"/>
      <c r="D198" s="32"/>
      <c r="E198" s="30"/>
      <c r="F198" s="32"/>
      <c r="G198" s="44" t="str">
        <f aca="false">IF(B198="","",B198+IF(F198="",Einstellungen!$B$40,F198))</f>
        <v/>
      </c>
      <c r="H198" s="33"/>
      <c r="I198" s="30"/>
      <c r="J198" s="31" t="str">
        <f aca="false">IF(E198="","",E198-N(I198))</f>
        <v/>
      </c>
      <c r="K198" s="43" t="str">
        <f aca="true">IF(OR(E198="",G198=""),"",IF(J198&lt;=0.004,"",MAX(0,TODAY()-G198)))</f>
        <v/>
      </c>
      <c r="L198" s="43" t="str">
        <f aca="false">IF(K198="","",IF(K198&gt;60,3,IF(K198&gt;30,2,IF(K198&gt;0,1,0))))</f>
        <v/>
      </c>
      <c r="M198" s="35" t="str">
        <f aca="false">IF(E198="","",IF(J198&lt;=0.004,"bezahlt",IF(N(K198)&gt;0,"überfällig – Mahnung "&amp;L198,"offen")))</f>
        <v/>
      </c>
    </row>
    <row r="199" customFormat="false" ht="15" hidden="false" customHeight="false" outlineLevel="0" collapsed="false">
      <c r="A199" s="32"/>
      <c r="B199" s="33"/>
      <c r="C199" s="32"/>
      <c r="D199" s="32"/>
      <c r="E199" s="30"/>
      <c r="F199" s="32"/>
      <c r="G199" s="44" t="str">
        <f aca="false">IF(B199="","",B199+IF(F199="",Einstellungen!$B$40,F199))</f>
        <v/>
      </c>
      <c r="H199" s="33"/>
      <c r="I199" s="30"/>
      <c r="J199" s="31" t="str">
        <f aca="false">IF(E199="","",E199-N(I199))</f>
        <v/>
      </c>
      <c r="K199" s="43" t="str">
        <f aca="true">IF(OR(E199="",G199=""),"",IF(J199&lt;=0.004,"",MAX(0,TODAY()-G199)))</f>
        <v/>
      </c>
      <c r="L199" s="43" t="str">
        <f aca="false">IF(K199="","",IF(K199&gt;60,3,IF(K199&gt;30,2,IF(K199&gt;0,1,0))))</f>
        <v/>
      </c>
      <c r="M199" s="35" t="str">
        <f aca="false">IF(E199="","",IF(J199&lt;=0.004,"bezahlt",IF(N(K199)&gt;0,"überfällig – Mahnung "&amp;L199,"offen")))</f>
        <v/>
      </c>
    </row>
    <row r="200" customFormat="false" ht="15" hidden="false" customHeight="false" outlineLevel="0" collapsed="false">
      <c r="A200" s="32"/>
      <c r="B200" s="33"/>
      <c r="C200" s="32"/>
      <c r="D200" s="32"/>
      <c r="E200" s="30"/>
      <c r="F200" s="32"/>
      <c r="G200" s="44" t="str">
        <f aca="false">IF(B200="","",B200+IF(F200="",Einstellungen!$B$40,F200))</f>
        <v/>
      </c>
      <c r="H200" s="33"/>
      <c r="I200" s="30"/>
      <c r="J200" s="31" t="str">
        <f aca="false">IF(E200="","",E200-N(I200))</f>
        <v/>
      </c>
      <c r="K200" s="43" t="str">
        <f aca="true">IF(OR(E200="",G200=""),"",IF(J200&lt;=0.004,"",MAX(0,TODAY()-G200)))</f>
        <v/>
      </c>
      <c r="L200" s="43" t="str">
        <f aca="false">IF(K200="","",IF(K200&gt;60,3,IF(K200&gt;30,2,IF(K200&gt;0,1,0))))</f>
        <v/>
      </c>
      <c r="M200" s="35" t="str">
        <f aca="false">IF(E200="","",IF(J200&lt;=0.004,"bezahlt",IF(N(K200)&gt;0,"überfällig – Mahnung "&amp;L200,"offen")))</f>
        <v/>
      </c>
    </row>
    <row r="201" customFormat="false" ht="15" hidden="false" customHeight="false" outlineLevel="0" collapsed="false">
      <c r="A201" s="32"/>
      <c r="B201" s="33"/>
      <c r="C201" s="32"/>
      <c r="D201" s="32"/>
      <c r="E201" s="30"/>
      <c r="F201" s="32"/>
      <c r="G201" s="44" t="str">
        <f aca="false">IF(B201="","",B201+IF(F201="",Einstellungen!$B$40,F201))</f>
        <v/>
      </c>
      <c r="H201" s="33"/>
      <c r="I201" s="30"/>
      <c r="J201" s="31" t="str">
        <f aca="false">IF(E201="","",E201-N(I201))</f>
        <v/>
      </c>
      <c r="K201" s="43" t="str">
        <f aca="true">IF(OR(E201="",G201=""),"",IF(J201&lt;=0.004,"",MAX(0,TODAY()-G201)))</f>
        <v/>
      </c>
      <c r="L201" s="43" t="str">
        <f aca="false">IF(K201="","",IF(K201&gt;60,3,IF(K201&gt;30,2,IF(K201&gt;0,1,0))))</f>
        <v/>
      </c>
      <c r="M201" s="35" t="str">
        <f aca="false">IF(E201="","",IF(J201&lt;=0.004,"bezahlt",IF(N(K201)&gt;0,"überfällig – Mahnung "&amp;L201,"offen")))</f>
        <v/>
      </c>
    </row>
    <row r="202" customFormat="false" ht="15" hidden="false" customHeight="false" outlineLevel="0" collapsed="false">
      <c r="A202" s="32"/>
      <c r="B202" s="33"/>
      <c r="C202" s="32"/>
      <c r="D202" s="32"/>
      <c r="E202" s="30"/>
      <c r="F202" s="32"/>
      <c r="G202" s="44" t="str">
        <f aca="false">IF(B202="","",B202+IF(F202="",Einstellungen!$B$40,F202))</f>
        <v/>
      </c>
      <c r="H202" s="33"/>
      <c r="I202" s="30"/>
      <c r="J202" s="31" t="str">
        <f aca="false">IF(E202="","",E202-N(I202))</f>
        <v/>
      </c>
      <c r="K202" s="43" t="str">
        <f aca="true">IF(OR(E202="",G202=""),"",IF(J202&lt;=0.004,"",MAX(0,TODAY()-G202)))</f>
        <v/>
      </c>
      <c r="L202" s="43" t="str">
        <f aca="false">IF(K202="","",IF(K202&gt;60,3,IF(K202&gt;30,2,IF(K202&gt;0,1,0))))</f>
        <v/>
      </c>
      <c r="M202" s="35" t="str">
        <f aca="false">IF(E202="","",IF(J202&lt;=0.004,"bezahlt",IF(N(K202)&gt;0,"überfällig – Mahnung "&amp;L202,"offen")))</f>
        <v/>
      </c>
    </row>
    <row r="203" customFormat="false" ht="15" hidden="false" customHeight="false" outlineLevel="0" collapsed="false">
      <c r="A203" s="32"/>
      <c r="B203" s="33"/>
      <c r="C203" s="32"/>
      <c r="D203" s="32"/>
      <c r="E203" s="30"/>
      <c r="F203" s="32"/>
      <c r="G203" s="44" t="str">
        <f aca="false">IF(B203="","",B203+IF(F203="",Einstellungen!$B$40,F203))</f>
        <v/>
      </c>
      <c r="H203" s="33"/>
      <c r="I203" s="30"/>
      <c r="J203" s="31" t="str">
        <f aca="false">IF(E203="","",E203-N(I203))</f>
        <v/>
      </c>
      <c r="K203" s="43" t="str">
        <f aca="true">IF(OR(E203="",G203=""),"",IF(J203&lt;=0.004,"",MAX(0,TODAY()-G203)))</f>
        <v/>
      </c>
      <c r="L203" s="43" t="str">
        <f aca="false">IF(K203="","",IF(K203&gt;60,3,IF(K203&gt;30,2,IF(K203&gt;0,1,0))))</f>
        <v/>
      </c>
      <c r="M203" s="35" t="str">
        <f aca="false">IF(E203="","",IF(J203&lt;=0.004,"bezahlt",IF(N(K203)&gt;0,"überfällig – Mahnung "&amp;L203,"offen")))</f>
        <v/>
      </c>
    </row>
    <row r="204" customFormat="false" ht="15" hidden="false" customHeight="false" outlineLevel="0" collapsed="false">
      <c r="A204" s="32"/>
      <c r="B204" s="33"/>
      <c r="C204" s="32"/>
      <c r="D204" s="32"/>
      <c r="E204" s="30"/>
      <c r="F204" s="32"/>
      <c r="G204" s="44" t="str">
        <f aca="false">IF(B204="","",B204+IF(F204="",Einstellungen!$B$40,F204))</f>
        <v/>
      </c>
      <c r="H204" s="33"/>
      <c r="I204" s="30"/>
      <c r="J204" s="31" t="str">
        <f aca="false">IF(E204="","",E204-N(I204))</f>
        <v/>
      </c>
      <c r="K204" s="43" t="str">
        <f aca="true">IF(OR(E204="",G204=""),"",IF(J204&lt;=0.004,"",MAX(0,TODAY()-G204)))</f>
        <v/>
      </c>
      <c r="L204" s="43" t="str">
        <f aca="false">IF(K204="","",IF(K204&gt;60,3,IF(K204&gt;30,2,IF(K204&gt;0,1,0))))</f>
        <v/>
      </c>
      <c r="M204" s="35" t="str">
        <f aca="false">IF(E204="","",IF(J204&lt;=0.004,"bezahlt",IF(N(K204)&gt;0,"überfällig – Mahnung "&amp;L204,"offen")))</f>
        <v/>
      </c>
    </row>
    <row r="205" customFormat="false" ht="15" hidden="false" customHeight="false" outlineLevel="0" collapsed="false">
      <c r="A205" s="32"/>
      <c r="B205" s="33"/>
      <c r="C205" s="32"/>
      <c r="D205" s="32"/>
      <c r="E205" s="30"/>
      <c r="F205" s="32"/>
      <c r="G205" s="44" t="str">
        <f aca="false">IF(B205="","",B205+IF(F205="",Einstellungen!$B$40,F205))</f>
        <v/>
      </c>
      <c r="H205" s="33"/>
      <c r="I205" s="30"/>
      <c r="J205" s="31" t="str">
        <f aca="false">IF(E205="","",E205-N(I205))</f>
        <v/>
      </c>
      <c r="K205" s="43" t="str">
        <f aca="true">IF(OR(E205="",G205=""),"",IF(J205&lt;=0.004,"",MAX(0,TODAY()-G205)))</f>
        <v/>
      </c>
      <c r="L205" s="43" t="str">
        <f aca="false">IF(K205="","",IF(K205&gt;60,3,IF(K205&gt;30,2,IF(K205&gt;0,1,0))))</f>
        <v/>
      </c>
      <c r="M205" s="35" t="str">
        <f aca="false">IF(E205="","",IF(J205&lt;=0.004,"bezahlt",IF(N(K205)&gt;0,"überfällig – Mahnung "&amp;L205,"offen")))</f>
        <v/>
      </c>
    </row>
    <row r="206" customFormat="false" ht="15" hidden="false" customHeight="false" outlineLevel="0" collapsed="false">
      <c r="A206" s="32"/>
      <c r="B206" s="33"/>
      <c r="C206" s="32"/>
      <c r="D206" s="32"/>
      <c r="E206" s="30"/>
      <c r="F206" s="32"/>
      <c r="G206" s="44" t="str">
        <f aca="false">IF(B206="","",B206+IF(F206="",Einstellungen!$B$40,F206))</f>
        <v/>
      </c>
      <c r="H206" s="33"/>
      <c r="I206" s="30"/>
      <c r="J206" s="31" t="str">
        <f aca="false">IF(E206="","",E206-N(I206))</f>
        <v/>
      </c>
      <c r="K206" s="43" t="str">
        <f aca="true">IF(OR(E206="",G206=""),"",IF(J206&lt;=0.004,"",MAX(0,TODAY()-G206)))</f>
        <v/>
      </c>
      <c r="L206" s="43" t="str">
        <f aca="false">IF(K206="","",IF(K206&gt;60,3,IF(K206&gt;30,2,IF(K206&gt;0,1,0))))</f>
        <v/>
      </c>
      <c r="M206" s="35" t="str">
        <f aca="false">IF(E206="","",IF(J206&lt;=0.004,"bezahlt",IF(N(K206)&gt;0,"überfällig – Mahnung "&amp;L206,"offen")))</f>
        <v/>
      </c>
    </row>
    <row r="207" customFormat="false" ht="15" hidden="false" customHeight="false" outlineLevel="0" collapsed="false">
      <c r="A207" s="32"/>
      <c r="B207" s="33"/>
      <c r="C207" s="32"/>
      <c r="D207" s="32"/>
      <c r="E207" s="30"/>
      <c r="F207" s="32"/>
      <c r="G207" s="44" t="str">
        <f aca="false">IF(B207="","",B207+IF(F207="",Einstellungen!$B$40,F207))</f>
        <v/>
      </c>
      <c r="H207" s="33"/>
      <c r="I207" s="30"/>
      <c r="J207" s="31" t="str">
        <f aca="false">IF(E207="","",E207-N(I207))</f>
        <v/>
      </c>
      <c r="K207" s="43" t="str">
        <f aca="true">IF(OR(E207="",G207=""),"",IF(J207&lt;=0.004,"",MAX(0,TODAY()-G207)))</f>
        <v/>
      </c>
      <c r="L207" s="43" t="str">
        <f aca="false">IF(K207="","",IF(K207&gt;60,3,IF(K207&gt;30,2,IF(K207&gt;0,1,0))))</f>
        <v/>
      </c>
      <c r="M207" s="35" t="str">
        <f aca="false">IF(E207="","",IF(J207&lt;=0.004,"bezahlt",IF(N(K207)&gt;0,"überfällig – Mahnung "&amp;L207,"offen")))</f>
        <v/>
      </c>
    </row>
    <row r="208" customFormat="false" ht="15" hidden="false" customHeight="false" outlineLevel="0" collapsed="false">
      <c r="A208" s="32"/>
      <c r="B208" s="33"/>
      <c r="C208" s="32"/>
      <c r="D208" s="32"/>
      <c r="E208" s="30"/>
      <c r="F208" s="32"/>
      <c r="G208" s="44" t="str">
        <f aca="false">IF(B208="","",B208+IF(F208="",Einstellungen!$B$40,F208))</f>
        <v/>
      </c>
      <c r="H208" s="33"/>
      <c r="I208" s="30"/>
      <c r="J208" s="31" t="str">
        <f aca="false">IF(E208="","",E208-N(I208))</f>
        <v/>
      </c>
      <c r="K208" s="43" t="str">
        <f aca="true">IF(OR(E208="",G208=""),"",IF(J208&lt;=0.004,"",MAX(0,TODAY()-G208)))</f>
        <v/>
      </c>
      <c r="L208" s="43" t="str">
        <f aca="false">IF(K208="","",IF(K208&gt;60,3,IF(K208&gt;30,2,IF(K208&gt;0,1,0))))</f>
        <v/>
      </c>
      <c r="M208" s="35" t="str">
        <f aca="false">IF(E208="","",IF(J208&lt;=0.004,"bezahlt",IF(N(K208)&gt;0,"überfällig – Mahnung "&amp;L208,"offen")))</f>
        <v/>
      </c>
    </row>
    <row r="209" customFormat="false" ht="15" hidden="false" customHeight="false" outlineLevel="0" collapsed="false">
      <c r="A209" s="32"/>
      <c r="B209" s="33"/>
      <c r="C209" s="32"/>
      <c r="D209" s="32"/>
      <c r="E209" s="30"/>
      <c r="F209" s="32"/>
      <c r="G209" s="44" t="str">
        <f aca="false">IF(B209="","",B209+IF(F209="",Einstellungen!$B$40,F209))</f>
        <v/>
      </c>
      <c r="H209" s="33"/>
      <c r="I209" s="30"/>
      <c r="J209" s="31" t="str">
        <f aca="false">IF(E209="","",E209-N(I209))</f>
        <v/>
      </c>
      <c r="K209" s="43" t="str">
        <f aca="true">IF(OR(E209="",G209=""),"",IF(J209&lt;=0.004,"",MAX(0,TODAY()-G209)))</f>
        <v/>
      </c>
      <c r="L209" s="43" t="str">
        <f aca="false">IF(K209="","",IF(K209&gt;60,3,IF(K209&gt;30,2,IF(K209&gt;0,1,0))))</f>
        <v/>
      </c>
      <c r="M209" s="35" t="str">
        <f aca="false">IF(E209="","",IF(J209&lt;=0.004,"bezahlt",IF(N(K209)&gt;0,"überfällig – Mahnung "&amp;L209,"offen")))</f>
        <v/>
      </c>
    </row>
    <row r="210" customFormat="false" ht="15" hidden="false" customHeight="false" outlineLevel="0" collapsed="false">
      <c r="A210" s="32"/>
      <c r="B210" s="33"/>
      <c r="C210" s="32"/>
      <c r="D210" s="32"/>
      <c r="E210" s="30"/>
      <c r="F210" s="32"/>
      <c r="G210" s="44" t="str">
        <f aca="false">IF(B210="","",B210+IF(F210="",Einstellungen!$B$40,F210))</f>
        <v/>
      </c>
      <c r="H210" s="33"/>
      <c r="I210" s="30"/>
      <c r="J210" s="31" t="str">
        <f aca="false">IF(E210="","",E210-N(I210))</f>
        <v/>
      </c>
      <c r="K210" s="43" t="str">
        <f aca="true">IF(OR(E210="",G210=""),"",IF(J210&lt;=0.004,"",MAX(0,TODAY()-G210)))</f>
        <v/>
      </c>
      <c r="L210" s="43" t="str">
        <f aca="false">IF(K210="","",IF(K210&gt;60,3,IF(K210&gt;30,2,IF(K210&gt;0,1,0))))</f>
        <v/>
      </c>
      <c r="M210" s="35" t="str">
        <f aca="false">IF(E210="","",IF(J210&lt;=0.004,"bezahlt",IF(N(K210)&gt;0,"überfällig – Mahnung "&amp;L210,"offen")))</f>
        <v/>
      </c>
    </row>
    <row r="211" customFormat="false" ht="15" hidden="false" customHeight="false" outlineLevel="0" collapsed="false">
      <c r="A211" s="32"/>
      <c r="B211" s="33"/>
      <c r="C211" s="32"/>
      <c r="D211" s="32"/>
      <c r="E211" s="30"/>
      <c r="F211" s="32"/>
      <c r="G211" s="44" t="str">
        <f aca="false">IF(B211="","",B211+IF(F211="",Einstellungen!$B$40,F211))</f>
        <v/>
      </c>
      <c r="H211" s="33"/>
      <c r="I211" s="30"/>
      <c r="J211" s="31" t="str">
        <f aca="false">IF(E211="","",E211-N(I211))</f>
        <v/>
      </c>
      <c r="K211" s="43" t="str">
        <f aca="true">IF(OR(E211="",G211=""),"",IF(J211&lt;=0.004,"",MAX(0,TODAY()-G211)))</f>
        <v/>
      </c>
      <c r="L211" s="43" t="str">
        <f aca="false">IF(K211="","",IF(K211&gt;60,3,IF(K211&gt;30,2,IF(K211&gt;0,1,0))))</f>
        <v/>
      </c>
      <c r="M211" s="35" t="str">
        <f aca="false">IF(E211="","",IF(J211&lt;=0.004,"bezahlt",IF(N(K211)&gt;0,"überfällig – Mahnung "&amp;L211,"offen")))</f>
        <v/>
      </c>
    </row>
    <row r="212" customFormat="false" ht="15" hidden="false" customHeight="false" outlineLevel="0" collapsed="false">
      <c r="A212" s="32"/>
      <c r="B212" s="33"/>
      <c r="C212" s="32"/>
      <c r="D212" s="32"/>
      <c r="E212" s="30"/>
      <c r="F212" s="32"/>
      <c r="G212" s="44" t="str">
        <f aca="false">IF(B212="","",B212+IF(F212="",Einstellungen!$B$40,F212))</f>
        <v/>
      </c>
      <c r="H212" s="33"/>
      <c r="I212" s="30"/>
      <c r="J212" s="31" t="str">
        <f aca="false">IF(E212="","",E212-N(I212))</f>
        <v/>
      </c>
      <c r="K212" s="43" t="str">
        <f aca="true">IF(OR(E212="",G212=""),"",IF(J212&lt;=0.004,"",MAX(0,TODAY()-G212)))</f>
        <v/>
      </c>
      <c r="L212" s="43" t="str">
        <f aca="false">IF(K212="","",IF(K212&gt;60,3,IF(K212&gt;30,2,IF(K212&gt;0,1,0))))</f>
        <v/>
      </c>
      <c r="M212" s="35" t="str">
        <f aca="false">IF(E212="","",IF(J212&lt;=0.004,"bezahlt",IF(N(K212)&gt;0,"überfällig – Mahnung "&amp;L212,"offen")))</f>
        <v/>
      </c>
    </row>
    <row r="213" customFormat="false" ht="15" hidden="false" customHeight="false" outlineLevel="0" collapsed="false">
      <c r="A213" s="32"/>
      <c r="B213" s="33"/>
      <c r="C213" s="32"/>
      <c r="D213" s="32"/>
      <c r="E213" s="30"/>
      <c r="F213" s="32"/>
      <c r="G213" s="44" t="str">
        <f aca="false">IF(B213="","",B213+IF(F213="",Einstellungen!$B$40,F213))</f>
        <v/>
      </c>
      <c r="H213" s="33"/>
      <c r="I213" s="30"/>
      <c r="J213" s="31" t="str">
        <f aca="false">IF(E213="","",E213-N(I213))</f>
        <v/>
      </c>
      <c r="K213" s="43" t="str">
        <f aca="true">IF(OR(E213="",G213=""),"",IF(J213&lt;=0.004,"",MAX(0,TODAY()-G213)))</f>
        <v/>
      </c>
      <c r="L213" s="43" t="str">
        <f aca="false">IF(K213="","",IF(K213&gt;60,3,IF(K213&gt;30,2,IF(K213&gt;0,1,0))))</f>
        <v/>
      </c>
      <c r="M213" s="35" t="str">
        <f aca="false">IF(E213="","",IF(J213&lt;=0.004,"bezahlt",IF(N(K213)&gt;0,"überfällig – Mahnung "&amp;L213,"offen")))</f>
        <v/>
      </c>
    </row>
    <row r="214" customFormat="false" ht="15" hidden="false" customHeight="false" outlineLevel="0" collapsed="false">
      <c r="A214" s="32"/>
      <c r="B214" s="33"/>
      <c r="C214" s="32"/>
      <c r="D214" s="32"/>
      <c r="E214" s="30"/>
      <c r="F214" s="32"/>
      <c r="G214" s="44" t="str">
        <f aca="false">IF(B214="","",B214+IF(F214="",Einstellungen!$B$40,F214))</f>
        <v/>
      </c>
      <c r="H214" s="33"/>
      <c r="I214" s="30"/>
      <c r="J214" s="31" t="str">
        <f aca="false">IF(E214="","",E214-N(I214))</f>
        <v/>
      </c>
      <c r="K214" s="43" t="str">
        <f aca="true">IF(OR(E214="",G214=""),"",IF(J214&lt;=0.004,"",MAX(0,TODAY()-G214)))</f>
        <v/>
      </c>
      <c r="L214" s="43" t="str">
        <f aca="false">IF(K214="","",IF(K214&gt;60,3,IF(K214&gt;30,2,IF(K214&gt;0,1,0))))</f>
        <v/>
      </c>
      <c r="M214" s="35" t="str">
        <f aca="false">IF(E214="","",IF(J214&lt;=0.004,"bezahlt",IF(N(K214)&gt;0,"überfällig – Mahnung "&amp;L214,"offen")))</f>
        <v/>
      </c>
    </row>
    <row r="215" customFormat="false" ht="15" hidden="false" customHeight="false" outlineLevel="0" collapsed="false">
      <c r="A215" s="32"/>
      <c r="B215" s="33"/>
      <c r="C215" s="32"/>
      <c r="D215" s="32"/>
      <c r="E215" s="30"/>
      <c r="F215" s="32"/>
      <c r="G215" s="44" t="str">
        <f aca="false">IF(B215="","",B215+IF(F215="",Einstellungen!$B$40,F215))</f>
        <v/>
      </c>
      <c r="H215" s="33"/>
      <c r="I215" s="30"/>
      <c r="J215" s="31" t="str">
        <f aca="false">IF(E215="","",E215-N(I215))</f>
        <v/>
      </c>
      <c r="K215" s="43" t="str">
        <f aca="true">IF(OR(E215="",G215=""),"",IF(J215&lt;=0.004,"",MAX(0,TODAY()-G215)))</f>
        <v/>
      </c>
      <c r="L215" s="43" t="str">
        <f aca="false">IF(K215="","",IF(K215&gt;60,3,IF(K215&gt;30,2,IF(K215&gt;0,1,0))))</f>
        <v/>
      </c>
      <c r="M215" s="35" t="str">
        <f aca="false">IF(E215="","",IF(J215&lt;=0.004,"bezahlt",IF(N(K215)&gt;0,"überfällig – Mahnung "&amp;L215,"offen")))</f>
        <v/>
      </c>
    </row>
    <row r="216" customFormat="false" ht="15" hidden="false" customHeight="false" outlineLevel="0" collapsed="false">
      <c r="A216" s="32"/>
      <c r="B216" s="33"/>
      <c r="C216" s="32"/>
      <c r="D216" s="32"/>
      <c r="E216" s="30"/>
      <c r="F216" s="32"/>
      <c r="G216" s="44" t="str">
        <f aca="false">IF(B216="","",B216+IF(F216="",Einstellungen!$B$40,F216))</f>
        <v/>
      </c>
      <c r="H216" s="33"/>
      <c r="I216" s="30"/>
      <c r="J216" s="31" t="str">
        <f aca="false">IF(E216="","",E216-N(I216))</f>
        <v/>
      </c>
      <c r="K216" s="43" t="str">
        <f aca="true">IF(OR(E216="",G216=""),"",IF(J216&lt;=0.004,"",MAX(0,TODAY()-G216)))</f>
        <v/>
      </c>
      <c r="L216" s="43" t="str">
        <f aca="false">IF(K216="","",IF(K216&gt;60,3,IF(K216&gt;30,2,IF(K216&gt;0,1,0))))</f>
        <v/>
      </c>
      <c r="M216" s="35" t="str">
        <f aca="false">IF(E216="","",IF(J216&lt;=0.004,"bezahlt",IF(N(K216)&gt;0,"überfällig – Mahnung "&amp;L216,"offen")))</f>
        <v/>
      </c>
    </row>
    <row r="217" customFormat="false" ht="15" hidden="false" customHeight="false" outlineLevel="0" collapsed="false">
      <c r="A217" s="32"/>
      <c r="B217" s="33"/>
      <c r="C217" s="32"/>
      <c r="D217" s="32"/>
      <c r="E217" s="30"/>
      <c r="F217" s="32"/>
      <c r="G217" s="44" t="str">
        <f aca="false">IF(B217="","",B217+IF(F217="",Einstellungen!$B$40,F217))</f>
        <v/>
      </c>
      <c r="H217" s="33"/>
      <c r="I217" s="30"/>
      <c r="J217" s="31" t="str">
        <f aca="false">IF(E217="","",E217-N(I217))</f>
        <v/>
      </c>
      <c r="K217" s="43" t="str">
        <f aca="true">IF(OR(E217="",G217=""),"",IF(J217&lt;=0.004,"",MAX(0,TODAY()-G217)))</f>
        <v/>
      </c>
      <c r="L217" s="43" t="str">
        <f aca="false">IF(K217="","",IF(K217&gt;60,3,IF(K217&gt;30,2,IF(K217&gt;0,1,0))))</f>
        <v/>
      </c>
      <c r="M217" s="35" t="str">
        <f aca="false">IF(E217="","",IF(J217&lt;=0.004,"bezahlt",IF(N(K217)&gt;0,"überfällig – Mahnung "&amp;L217,"offen")))</f>
        <v/>
      </c>
    </row>
    <row r="218" customFormat="false" ht="15" hidden="false" customHeight="false" outlineLevel="0" collapsed="false">
      <c r="A218" s="32"/>
      <c r="B218" s="33"/>
      <c r="C218" s="32"/>
      <c r="D218" s="32"/>
      <c r="E218" s="30"/>
      <c r="F218" s="32"/>
      <c r="G218" s="44" t="str">
        <f aca="false">IF(B218="","",B218+IF(F218="",Einstellungen!$B$40,F218))</f>
        <v/>
      </c>
      <c r="H218" s="33"/>
      <c r="I218" s="30"/>
      <c r="J218" s="31" t="str">
        <f aca="false">IF(E218="","",E218-N(I218))</f>
        <v/>
      </c>
      <c r="K218" s="43" t="str">
        <f aca="true">IF(OR(E218="",G218=""),"",IF(J218&lt;=0.004,"",MAX(0,TODAY()-G218)))</f>
        <v/>
      </c>
      <c r="L218" s="43" t="str">
        <f aca="false">IF(K218="","",IF(K218&gt;60,3,IF(K218&gt;30,2,IF(K218&gt;0,1,0))))</f>
        <v/>
      </c>
      <c r="M218" s="35" t="str">
        <f aca="false">IF(E218="","",IF(J218&lt;=0.004,"bezahlt",IF(N(K218)&gt;0,"überfällig – Mahnung "&amp;L218,"offen")))</f>
        <v/>
      </c>
    </row>
    <row r="219" customFormat="false" ht="15" hidden="false" customHeight="false" outlineLevel="0" collapsed="false">
      <c r="A219" s="32"/>
      <c r="B219" s="33"/>
      <c r="C219" s="32"/>
      <c r="D219" s="32"/>
      <c r="E219" s="30"/>
      <c r="F219" s="32"/>
      <c r="G219" s="44" t="str">
        <f aca="false">IF(B219="","",B219+IF(F219="",Einstellungen!$B$40,F219))</f>
        <v/>
      </c>
      <c r="H219" s="33"/>
      <c r="I219" s="30"/>
      <c r="J219" s="31" t="str">
        <f aca="false">IF(E219="","",E219-N(I219))</f>
        <v/>
      </c>
      <c r="K219" s="43" t="str">
        <f aca="true">IF(OR(E219="",G219=""),"",IF(J219&lt;=0.004,"",MAX(0,TODAY()-G219)))</f>
        <v/>
      </c>
      <c r="L219" s="43" t="str">
        <f aca="false">IF(K219="","",IF(K219&gt;60,3,IF(K219&gt;30,2,IF(K219&gt;0,1,0))))</f>
        <v/>
      </c>
      <c r="M219" s="35" t="str">
        <f aca="false">IF(E219="","",IF(J219&lt;=0.004,"bezahlt",IF(N(K219)&gt;0,"überfällig – Mahnung "&amp;L219,"offen")))</f>
        <v/>
      </c>
    </row>
    <row r="220" customFormat="false" ht="15" hidden="false" customHeight="false" outlineLevel="0" collapsed="false">
      <c r="A220" s="32"/>
      <c r="B220" s="33"/>
      <c r="C220" s="32"/>
      <c r="D220" s="32"/>
      <c r="E220" s="30"/>
      <c r="F220" s="32"/>
      <c r="G220" s="44" t="str">
        <f aca="false">IF(B220="","",B220+IF(F220="",Einstellungen!$B$40,F220))</f>
        <v/>
      </c>
      <c r="H220" s="33"/>
      <c r="I220" s="30"/>
      <c r="J220" s="31" t="str">
        <f aca="false">IF(E220="","",E220-N(I220))</f>
        <v/>
      </c>
      <c r="K220" s="43" t="str">
        <f aca="true">IF(OR(E220="",G220=""),"",IF(J220&lt;=0.004,"",MAX(0,TODAY()-G220)))</f>
        <v/>
      </c>
      <c r="L220" s="43" t="str">
        <f aca="false">IF(K220="","",IF(K220&gt;60,3,IF(K220&gt;30,2,IF(K220&gt;0,1,0))))</f>
        <v/>
      </c>
      <c r="M220" s="35" t="str">
        <f aca="false">IF(E220="","",IF(J220&lt;=0.004,"bezahlt",IF(N(K220)&gt;0,"überfällig – Mahnung "&amp;L220,"offen")))</f>
        <v/>
      </c>
    </row>
    <row r="221" customFormat="false" ht="15" hidden="false" customHeight="false" outlineLevel="0" collapsed="false">
      <c r="A221" s="32"/>
      <c r="B221" s="33"/>
      <c r="C221" s="32"/>
      <c r="D221" s="32"/>
      <c r="E221" s="30"/>
      <c r="F221" s="32"/>
      <c r="G221" s="44" t="str">
        <f aca="false">IF(B221="","",B221+IF(F221="",Einstellungen!$B$40,F221))</f>
        <v/>
      </c>
      <c r="H221" s="33"/>
      <c r="I221" s="30"/>
      <c r="J221" s="31" t="str">
        <f aca="false">IF(E221="","",E221-N(I221))</f>
        <v/>
      </c>
      <c r="K221" s="43" t="str">
        <f aca="true">IF(OR(E221="",G221=""),"",IF(J221&lt;=0.004,"",MAX(0,TODAY()-G221)))</f>
        <v/>
      </c>
      <c r="L221" s="43" t="str">
        <f aca="false">IF(K221="","",IF(K221&gt;60,3,IF(K221&gt;30,2,IF(K221&gt;0,1,0))))</f>
        <v/>
      </c>
      <c r="M221" s="35" t="str">
        <f aca="false">IF(E221="","",IF(J221&lt;=0.004,"bezahlt",IF(N(K221)&gt;0,"überfällig – Mahnung "&amp;L221,"offen")))</f>
        <v/>
      </c>
    </row>
    <row r="222" customFormat="false" ht="15" hidden="false" customHeight="false" outlineLevel="0" collapsed="false">
      <c r="A222" s="32"/>
      <c r="B222" s="33"/>
      <c r="C222" s="32"/>
      <c r="D222" s="32"/>
      <c r="E222" s="30"/>
      <c r="F222" s="32"/>
      <c r="G222" s="44" t="str">
        <f aca="false">IF(B222="","",B222+IF(F222="",Einstellungen!$B$40,F222))</f>
        <v/>
      </c>
      <c r="H222" s="33"/>
      <c r="I222" s="30"/>
      <c r="J222" s="31" t="str">
        <f aca="false">IF(E222="","",E222-N(I222))</f>
        <v/>
      </c>
      <c r="K222" s="43" t="str">
        <f aca="true">IF(OR(E222="",G222=""),"",IF(J222&lt;=0.004,"",MAX(0,TODAY()-G222)))</f>
        <v/>
      </c>
      <c r="L222" s="43" t="str">
        <f aca="false">IF(K222="","",IF(K222&gt;60,3,IF(K222&gt;30,2,IF(K222&gt;0,1,0))))</f>
        <v/>
      </c>
      <c r="M222" s="35" t="str">
        <f aca="false">IF(E222="","",IF(J222&lt;=0.004,"bezahlt",IF(N(K222)&gt;0,"überfällig – Mahnung "&amp;L222,"offen")))</f>
        <v/>
      </c>
    </row>
    <row r="223" customFormat="false" ht="15" hidden="false" customHeight="false" outlineLevel="0" collapsed="false">
      <c r="A223" s="32"/>
      <c r="B223" s="33"/>
      <c r="C223" s="32"/>
      <c r="D223" s="32"/>
      <c r="E223" s="30"/>
      <c r="F223" s="32"/>
      <c r="G223" s="44" t="str">
        <f aca="false">IF(B223="","",B223+IF(F223="",Einstellungen!$B$40,F223))</f>
        <v/>
      </c>
      <c r="H223" s="33"/>
      <c r="I223" s="30"/>
      <c r="J223" s="31" t="str">
        <f aca="false">IF(E223="","",E223-N(I223))</f>
        <v/>
      </c>
      <c r="K223" s="43" t="str">
        <f aca="true">IF(OR(E223="",G223=""),"",IF(J223&lt;=0.004,"",MAX(0,TODAY()-G223)))</f>
        <v/>
      </c>
      <c r="L223" s="43" t="str">
        <f aca="false">IF(K223="","",IF(K223&gt;60,3,IF(K223&gt;30,2,IF(K223&gt;0,1,0))))</f>
        <v/>
      </c>
      <c r="M223" s="35" t="str">
        <f aca="false">IF(E223="","",IF(J223&lt;=0.004,"bezahlt",IF(N(K223)&gt;0,"überfällig – Mahnung "&amp;L223,"offen")))</f>
        <v/>
      </c>
    </row>
    <row r="224" customFormat="false" ht="15" hidden="false" customHeight="false" outlineLevel="0" collapsed="false">
      <c r="A224" s="32"/>
      <c r="B224" s="33"/>
      <c r="C224" s="32"/>
      <c r="D224" s="32"/>
      <c r="E224" s="30"/>
      <c r="F224" s="32"/>
      <c r="G224" s="44" t="str">
        <f aca="false">IF(B224="","",B224+IF(F224="",Einstellungen!$B$40,F224))</f>
        <v/>
      </c>
      <c r="H224" s="33"/>
      <c r="I224" s="30"/>
      <c r="J224" s="31" t="str">
        <f aca="false">IF(E224="","",E224-N(I224))</f>
        <v/>
      </c>
      <c r="K224" s="43" t="str">
        <f aca="true">IF(OR(E224="",G224=""),"",IF(J224&lt;=0.004,"",MAX(0,TODAY()-G224)))</f>
        <v/>
      </c>
      <c r="L224" s="43" t="str">
        <f aca="false">IF(K224="","",IF(K224&gt;60,3,IF(K224&gt;30,2,IF(K224&gt;0,1,0))))</f>
        <v/>
      </c>
      <c r="M224" s="35" t="str">
        <f aca="false">IF(E224="","",IF(J224&lt;=0.004,"bezahlt",IF(N(K224)&gt;0,"überfällig – Mahnung "&amp;L224,"offen")))</f>
        <v/>
      </c>
    </row>
    <row r="225" customFormat="false" ht="15" hidden="false" customHeight="false" outlineLevel="0" collapsed="false">
      <c r="A225" s="32"/>
      <c r="B225" s="33"/>
      <c r="C225" s="32"/>
      <c r="D225" s="32"/>
      <c r="E225" s="30"/>
      <c r="F225" s="32"/>
      <c r="G225" s="44" t="str">
        <f aca="false">IF(B225="","",B225+IF(F225="",Einstellungen!$B$40,F225))</f>
        <v/>
      </c>
      <c r="H225" s="33"/>
      <c r="I225" s="30"/>
      <c r="J225" s="31" t="str">
        <f aca="false">IF(E225="","",E225-N(I225))</f>
        <v/>
      </c>
      <c r="K225" s="43" t="str">
        <f aca="true">IF(OR(E225="",G225=""),"",IF(J225&lt;=0.004,"",MAX(0,TODAY()-G225)))</f>
        <v/>
      </c>
      <c r="L225" s="43" t="str">
        <f aca="false">IF(K225="","",IF(K225&gt;60,3,IF(K225&gt;30,2,IF(K225&gt;0,1,0))))</f>
        <v/>
      </c>
      <c r="M225" s="35" t="str">
        <f aca="false">IF(E225="","",IF(J225&lt;=0.004,"bezahlt",IF(N(K225)&gt;0,"überfällig – Mahnung "&amp;L225,"offen")))</f>
        <v/>
      </c>
    </row>
    <row r="226" customFormat="false" ht="15" hidden="false" customHeight="false" outlineLevel="0" collapsed="false">
      <c r="A226" s="32"/>
      <c r="B226" s="33"/>
      <c r="C226" s="32"/>
      <c r="D226" s="32"/>
      <c r="E226" s="30"/>
      <c r="F226" s="32"/>
      <c r="G226" s="44" t="str">
        <f aca="false">IF(B226="","",B226+IF(F226="",Einstellungen!$B$40,F226))</f>
        <v/>
      </c>
      <c r="H226" s="33"/>
      <c r="I226" s="30"/>
      <c r="J226" s="31" t="str">
        <f aca="false">IF(E226="","",E226-N(I226))</f>
        <v/>
      </c>
      <c r="K226" s="43" t="str">
        <f aca="true">IF(OR(E226="",G226=""),"",IF(J226&lt;=0.004,"",MAX(0,TODAY()-G226)))</f>
        <v/>
      </c>
      <c r="L226" s="43" t="str">
        <f aca="false">IF(K226="","",IF(K226&gt;60,3,IF(K226&gt;30,2,IF(K226&gt;0,1,0))))</f>
        <v/>
      </c>
      <c r="M226" s="35" t="str">
        <f aca="false">IF(E226="","",IF(J226&lt;=0.004,"bezahlt",IF(N(K226)&gt;0,"überfällig – Mahnung "&amp;L226,"offen")))</f>
        <v/>
      </c>
    </row>
    <row r="227" customFormat="false" ht="15" hidden="false" customHeight="false" outlineLevel="0" collapsed="false">
      <c r="A227" s="32"/>
      <c r="B227" s="33"/>
      <c r="C227" s="32"/>
      <c r="D227" s="32"/>
      <c r="E227" s="30"/>
      <c r="F227" s="32"/>
      <c r="G227" s="44" t="str">
        <f aca="false">IF(B227="","",B227+IF(F227="",Einstellungen!$B$40,F227))</f>
        <v/>
      </c>
      <c r="H227" s="33"/>
      <c r="I227" s="30"/>
      <c r="J227" s="31" t="str">
        <f aca="false">IF(E227="","",E227-N(I227))</f>
        <v/>
      </c>
      <c r="K227" s="43" t="str">
        <f aca="true">IF(OR(E227="",G227=""),"",IF(J227&lt;=0.004,"",MAX(0,TODAY()-G227)))</f>
        <v/>
      </c>
      <c r="L227" s="43" t="str">
        <f aca="false">IF(K227="","",IF(K227&gt;60,3,IF(K227&gt;30,2,IF(K227&gt;0,1,0))))</f>
        <v/>
      </c>
      <c r="M227" s="35" t="str">
        <f aca="false">IF(E227="","",IF(J227&lt;=0.004,"bezahlt",IF(N(K227)&gt;0,"überfällig – Mahnung "&amp;L227,"offen")))</f>
        <v/>
      </c>
    </row>
    <row r="228" customFormat="false" ht="15" hidden="false" customHeight="false" outlineLevel="0" collapsed="false">
      <c r="A228" s="32"/>
      <c r="B228" s="33"/>
      <c r="C228" s="32"/>
      <c r="D228" s="32"/>
      <c r="E228" s="30"/>
      <c r="F228" s="32"/>
      <c r="G228" s="44" t="str">
        <f aca="false">IF(B228="","",B228+IF(F228="",Einstellungen!$B$40,F228))</f>
        <v/>
      </c>
      <c r="H228" s="33"/>
      <c r="I228" s="30"/>
      <c r="J228" s="31" t="str">
        <f aca="false">IF(E228="","",E228-N(I228))</f>
        <v/>
      </c>
      <c r="K228" s="43" t="str">
        <f aca="true">IF(OR(E228="",G228=""),"",IF(J228&lt;=0.004,"",MAX(0,TODAY()-G228)))</f>
        <v/>
      </c>
      <c r="L228" s="43" t="str">
        <f aca="false">IF(K228="","",IF(K228&gt;60,3,IF(K228&gt;30,2,IF(K228&gt;0,1,0))))</f>
        <v/>
      </c>
      <c r="M228" s="35" t="str">
        <f aca="false">IF(E228="","",IF(J228&lt;=0.004,"bezahlt",IF(N(K228)&gt;0,"überfällig – Mahnung "&amp;L228,"offen")))</f>
        <v/>
      </c>
    </row>
    <row r="229" customFormat="false" ht="15" hidden="false" customHeight="false" outlineLevel="0" collapsed="false">
      <c r="A229" s="32"/>
      <c r="B229" s="33"/>
      <c r="C229" s="32"/>
      <c r="D229" s="32"/>
      <c r="E229" s="30"/>
      <c r="F229" s="32"/>
      <c r="G229" s="44" t="str">
        <f aca="false">IF(B229="","",B229+IF(F229="",Einstellungen!$B$40,F229))</f>
        <v/>
      </c>
      <c r="H229" s="33"/>
      <c r="I229" s="30"/>
      <c r="J229" s="31" t="str">
        <f aca="false">IF(E229="","",E229-N(I229))</f>
        <v/>
      </c>
      <c r="K229" s="43" t="str">
        <f aca="true">IF(OR(E229="",G229=""),"",IF(J229&lt;=0.004,"",MAX(0,TODAY()-G229)))</f>
        <v/>
      </c>
      <c r="L229" s="43" t="str">
        <f aca="false">IF(K229="","",IF(K229&gt;60,3,IF(K229&gt;30,2,IF(K229&gt;0,1,0))))</f>
        <v/>
      </c>
      <c r="M229" s="35" t="str">
        <f aca="false">IF(E229="","",IF(J229&lt;=0.004,"bezahlt",IF(N(K229)&gt;0,"überfällig – Mahnung "&amp;L229,"offen")))</f>
        <v/>
      </c>
    </row>
    <row r="230" customFormat="false" ht="15" hidden="false" customHeight="false" outlineLevel="0" collapsed="false">
      <c r="A230" s="32"/>
      <c r="B230" s="33"/>
      <c r="C230" s="32"/>
      <c r="D230" s="32"/>
      <c r="E230" s="30"/>
      <c r="F230" s="32"/>
      <c r="G230" s="44" t="str">
        <f aca="false">IF(B230="","",B230+IF(F230="",Einstellungen!$B$40,F230))</f>
        <v/>
      </c>
      <c r="H230" s="33"/>
      <c r="I230" s="30"/>
      <c r="J230" s="31" t="str">
        <f aca="false">IF(E230="","",E230-N(I230))</f>
        <v/>
      </c>
      <c r="K230" s="43" t="str">
        <f aca="true">IF(OR(E230="",G230=""),"",IF(J230&lt;=0.004,"",MAX(0,TODAY()-G230)))</f>
        <v/>
      </c>
      <c r="L230" s="43" t="str">
        <f aca="false">IF(K230="","",IF(K230&gt;60,3,IF(K230&gt;30,2,IF(K230&gt;0,1,0))))</f>
        <v/>
      </c>
      <c r="M230" s="35" t="str">
        <f aca="false">IF(E230="","",IF(J230&lt;=0.004,"bezahlt",IF(N(K230)&gt;0,"überfällig – Mahnung "&amp;L230,"offen")))</f>
        <v/>
      </c>
    </row>
    <row r="231" customFormat="false" ht="15" hidden="false" customHeight="false" outlineLevel="0" collapsed="false">
      <c r="A231" s="32"/>
      <c r="B231" s="33"/>
      <c r="C231" s="32"/>
      <c r="D231" s="32"/>
      <c r="E231" s="30"/>
      <c r="F231" s="32"/>
      <c r="G231" s="44" t="str">
        <f aca="false">IF(B231="","",B231+IF(F231="",Einstellungen!$B$40,F231))</f>
        <v/>
      </c>
      <c r="H231" s="33"/>
      <c r="I231" s="30"/>
      <c r="J231" s="31" t="str">
        <f aca="false">IF(E231="","",E231-N(I231))</f>
        <v/>
      </c>
      <c r="K231" s="43" t="str">
        <f aca="true">IF(OR(E231="",G231=""),"",IF(J231&lt;=0.004,"",MAX(0,TODAY()-G231)))</f>
        <v/>
      </c>
      <c r="L231" s="43" t="str">
        <f aca="false">IF(K231="","",IF(K231&gt;60,3,IF(K231&gt;30,2,IF(K231&gt;0,1,0))))</f>
        <v/>
      </c>
      <c r="M231" s="35" t="str">
        <f aca="false">IF(E231="","",IF(J231&lt;=0.004,"bezahlt",IF(N(K231)&gt;0,"überfällig – Mahnung "&amp;L231,"offen")))</f>
        <v/>
      </c>
    </row>
    <row r="232" customFormat="false" ht="15" hidden="false" customHeight="false" outlineLevel="0" collapsed="false">
      <c r="A232" s="32"/>
      <c r="B232" s="33"/>
      <c r="C232" s="32"/>
      <c r="D232" s="32"/>
      <c r="E232" s="30"/>
      <c r="F232" s="32"/>
      <c r="G232" s="44" t="str">
        <f aca="false">IF(B232="","",B232+IF(F232="",Einstellungen!$B$40,F232))</f>
        <v/>
      </c>
      <c r="H232" s="33"/>
      <c r="I232" s="30"/>
      <c r="J232" s="31" t="str">
        <f aca="false">IF(E232="","",E232-N(I232))</f>
        <v/>
      </c>
      <c r="K232" s="43" t="str">
        <f aca="true">IF(OR(E232="",G232=""),"",IF(J232&lt;=0.004,"",MAX(0,TODAY()-G232)))</f>
        <v/>
      </c>
      <c r="L232" s="43" t="str">
        <f aca="false">IF(K232="","",IF(K232&gt;60,3,IF(K232&gt;30,2,IF(K232&gt;0,1,0))))</f>
        <v/>
      </c>
      <c r="M232" s="35" t="str">
        <f aca="false">IF(E232="","",IF(J232&lt;=0.004,"bezahlt",IF(N(K232)&gt;0,"überfällig – Mahnung "&amp;L232,"offen")))</f>
        <v/>
      </c>
    </row>
    <row r="233" customFormat="false" ht="15" hidden="false" customHeight="false" outlineLevel="0" collapsed="false">
      <c r="A233" s="32"/>
      <c r="B233" s="33"/>
      <c r="C233" s="32"/>
      <c r="D233" s="32"/>
      <c r="E233" s="30"/>
      <c r="F233" s="32"/>
      <c r="G233" s="44" t="str">
        <f aca="false">IF(B233="","",B233+IF(F233="",Einstellungen!$B$40,F233))</f>
        <v/>
      </c>
      <c r="H233" s="33"/>
      <c r="I233" s="30"/>
      <c r="J233" s="31" t="str">
        <f aca="false">IF(E233="","",E233-N(I233))</f>
        <v/>
      </c>
      <c r="K233" s="43" t="str">
        <f aca="true">IF(OR(E233="",G233=""),"",IF(J233&lt;=0.004,"",MAX(0,TODAY()-G233)))</f>
        <v/>
      </c>
      <c r="L233" s="43" t="str">
        <f aca="false">IF(K233="","",IF(K233&gt;60,3,IF(K233&gt;30,2,IF(K233&gt;0,1,0))))</f>
        <v/>
      </c>
      <c r="M233" s="35" t="str">
        <f aca="false">IF(E233="","",IF(J233&lt;=0.004,"bezahlt",IF(N(K233)&gt;0,"überfällig – Mahnung "&amp;L233,"offen")))</f>
        <v/>
      </c>
    </row>
    <row r="234" customFormat="false" ht="15" hidden="false" customHeight="false" outlineLevel="0" collapsed="false">
      <c r="A234" s="32"/>
      <c r="B234" s="33"/>
      <c r="C234" s="32"/>
      <c r="D234" s="32"/>
      <c r="E234" s="30"/>
      <c r="F234" s="32"/>
      <c r="G234" s="44" t="str">
        <f aca="false">IF(B234="","",B234+IF(F234="",Einstellungen!$B$40,F234))</f>
        <v/>
      </c>
      <c r="H234" s="33"/>
      <c r="I234" s="30"/>
      <c r="J234" s="31" t="str">
        <f aca="false">IF(E234="","",E234-N(I234))</f>
        <v/>
      </c>
      <c r="K234" s="43" t="str">
        <f aca="true">IF(OR(E234="",G234=""),"",IF(J234&lt;=0.004,"",MAX(0,TODAY()-G234)))</f>
        <v/>
      </c>
      <c r="L234" s="43" t="str">
        <f aca="false">IF(K234="","",IF(K234&gt;60,3,IF(K234&gt;30,2,IF(K234&gt;0,1,0))))</f>
        <v/>
      </c>
      <c r="M234" s="35" t="str">
        <f aca="false">IF(E234="","",IF(J234&lt;=0.004,"bezahlt",IF(N(K234)&gt;0,"überfällig – Mahnung "&amp;L234,"offen")))</f>
        <v/>
      </c>
    </row>
    <row r="235" customFormat="false" ht="15" hidden="false" customHeight="false" outlineLevel="0" collapsed="false">
      <c r="A235" s="32"/>
      <c r="B235" s="33"/>
      <c r="C235" s="32"/>
      <c r="D235" s="32"/>
      <c r="E235" s="30"/>
      <c r="F235" s="32"/>
      <c r="G235" s="44" t="str">
        <f aca="false">IF(B235="","",B235+IF(F235="",Einstellungen!$B$40,F235))</f>
        <v/>
      </c>
      <c r="H235" s="33"/>
      <c r="I235" s="30"/>
      <c r="J235" s="31" t="str">
        <f aca="false">IF(E235="","",E235-N(I235))</f>
        <v/>
      </c>
      <c r="K235" s="43" t="str">
        <f aca="true">IF(OR(E235="",G235=""),"",IF(J235&lt;=0.004,"",MAX(0,TODAY()-G235)))</f>
        <v/>
      </c>
      <c r="L235" s="43" t="str">
        <f aca="false">IF(K235="","",IF(K235&gt;60,3,IF(K235&gt;30,2,IF(K235&gt;0,1,0))))</f>
        <v/>
      </c>
      <c r="M235" s="35" t="str">
        <f aca="false">IF(E235="","",IF(J235&lt;=0.004,"bezahlt",IF(N(K235)&gt;0,"überfällig – Mahnung "&amp;L235,"offen")))</f>
        <v/>
      </c>
    </row>
    <row r="236" customFormat="false" ht="15" hidden="false" customHeight="false" outlineLevel="0" collapsed="false">
      <c r="A236" s="32"/>
      <c r="B236" s="33"/>
      <c r="C236" s="32"/>
      <c r="D236" s="32"/>
      <c r="E236" s="30"/>
      <c r="F236" s="32"/>
      <c r="G236" s="44" t="str">
        <f aca="false">IF(B236="","",B236+IF(F236="",Einstellungen!$B$40,F236))</f>
        <v/>
      </c>
      <c r="H236" s="33"/>
      <c r="I236" s="30"/>
      <c r="J236" s="31" t="str">
        <f aca="false">IF(E236="","",E236-N(I236))</f>
        <v/>
      </c>
      <c r="K236" s="43" t="str">
        <f aca="true">IF(OR(E236="",G236=""),"",IF(J236&lt;=0.004,"",MAX(0,TODAY()-G236)))</f>
        <v/>
      </c>
      <c r="L236" s="43" t="str">
        <f aca="false">IF(K236="","",IF(K236&gt;60,3,IF(K236&gt;30,2,IF(K236&gt;0,1,0))))</f>
        <v/>
      </c>
      <c r="M236" s="35" t="str">
        <f aca="false">IF(E236="","",IF(J236&lt;=0.004,"bezahlt",IF(N(K236)&gt;0,"überfällig – Mahnung "&amp;L236,"offen")))</f>
        <v/>
      </c>
    </row>
    <row r="237" customFormat="false" ht="15" hidden="false" customHeight="false" outlineLevel="0" collapsed="false">
      <c r="A237" s="32"/>
      <c r="B237" s="33"/>
      <c r="C237" s="32"/>
      <c r="D237" s="32"/>
      <c r="E237" s="30"/>
      <c r="F237" s="32"/>
      <c r="G237" s="44" t="str">
        <f aca="false">IF(B237="","",B237+IF(F237="",Einstellungen!$B$40,F237))</f>
        <v/>
      </c>
      <c r="H237" s="33"/>
      <c r="I237" s="30"/>
      <c r="J237" s="31" t="str">
        <f aca="false">IF(E237="","",E237-N(I237))</f>
        <v/>
      </c>
      <c r="K237" s="43" t="str">
        <f aca="true">IF(OR(E237="",G237=""),"",IF(J237&lt;=0.004,"",MAX(0,TODAY()-G237)))</f>
        <v/>
      </c>
      <c r="L237" s="43" t="str">
        <f aca="false">IF(K237="","",IF(K237&gt;60,3,IF(K237&gt;30,2,IF(K237&gt;0,1,0))))</f>
        <v/>
      </c>
      <c r="M237" s="35" t="str">
        <f aca="false">IF(E237="","",IF(J237&lt;=0.004,"bezahlt",IF(N(K237)&gt;0,"überfällig – Mahnung "&amp;L237,"offen")))</f>
        <v/>
      </c>
    </row>
    <row r="238" customFormat="false" ht="15" hidden="false" customHeight="false" outlineLevel="0" collapsed="false">
      <c r="A238" s="32"/>
      <c r="B238" s="33"/>
      <c r="C238" s="32"/>
      <c r="D238" s="32"/>
      <c r="E238" s="30"/>
      <c r="F238" s="32"/>
      <c r="G238" s="44" t="str">
        <f aca="false">IF(B238="","",B238+IF(F238="",Einstellungen!$B$40,F238))</f>
        <v/>
      </c>
      <c r="H238" s="33"/>
      <c r="I238" s="30"/>
      <c r="J238" s="31" t="str">
        <f aca="false">IF(E238="","",E238-N(I238))</f>
        <v/>
      </c>
      <c r="K238" s="43" t="str">
        <f aca="true">IF(OR(E238="",G238=""),"",IF(J238&lt;=0.004,"",MAX(0,TODAY()-G238)))</f>
        <v/>
      </c>
      <c r="L238" s="43" t="str">
        <f aca="false">IF(K238="","",IF(K238&gt;60,3,IF(K238&gt;30,2,IF(K238&gt;0,1,0))))</f>
        <v/>
      </c>
      <c r="M238" s="35" t="str">
        <f aca="false">IF(E238="","",IF(J238&lt;=0.004,"bezahlt",IF(N(K238)&gt;0,"überfällig – Mahnung "&amp;L238,"offen")))</f>
        <v/>
      </c>
    </row>
    <row r="239" customFormat="false" ht="15" hidden="false" customHeight="false" outlineLevel="0" collapsed="false">
      <c r="A239" s="32"/>
      <c r="B239" s="33"/>
      <c r="C239" s="32"/>
      <c r="D239" s="32"/>
      <c r="E239" s="30"/>
      <c r="F239" s="32"/>
      <c r="G239" s="44" t="str">
        <f aca="false">IF(B239="","",B239+IF(F239="",Einstellungen!$B$40,F239))</f>
        <v/>
      </c>
      <c r="H239" s="33"/>
      <c r="I239" s="30"/>
      <c r="J239" s="31" t="str">
        <f aca="false">IF(E239="","",E239-N(I239))</f>
        <v/>
      </c>
      <c r="K239" s="43" t="str">
        <f aca="true">IF(OR(E239="",G239=""),"",IF(J239&lt;=0.004,"",MAX(0,TODAY()-G239)))</f>
        <v/>
      </c>
      <c r="L239" s="43" t="str">
        <f aca="false">IF(K239="","",IF(K239&gt;60,3,IF(K239&gt;30,2,IF(K239&gt;0,1,0))))</f>
        <v/>
      </c>
      <c r="M239" s="35" t="str">
        <f aca="false">IF(E239="","",IF(J239&lt;=0.004,"bezahlt",IF(N(K239)&gt;0,"überfällig – Mahnung "&amp;L239,"offen")))</f>
        <v/>
      </c>
    </row>
    <row r="240" customFormat="false" ht="15" hidden="false" customHeight="false" outlineLevel="0" collapsed="false">
      <c r="A240" s="32"/>
      <c r="B240" s="33"/>
      <c r="C240" s="32"/>
      <c r="D240" s="32"/>
      <c r="E240" s="30"/>
      <c r="F240" s="32"/>
      <c r="G240" s="44" t="str">
        <f aca="false">IF(B240="","",B240+IF(F240="",Einstellungen!$B$40,F240))</f>
        <v/>
      </c>
      <c r="H240" s="33"/>
      <c r="I240" s="30"/>
      <c r="J240" s="31" t="str">
        <f aca="false">IF(E240="","",E240-N(I240))</f>
        <v/>
      </c>
      <c r="K240" s="43" t="str">
        <f aca="true">IF(OR(E240="",G240=""),"",IF(J240&lt;=0.004,"",MAX(0,TODAY()-G240)))</f>
        <v/>
      </c>
      <c r="L240" s="43" t="str">
        <f aca="false">IF(K240="","",IF(K240&gt;60,3,IF(K240&gt;30,2,IF(K240&gt;0,1,0))))</f>
        <v/>
      </c>
      <c r="M240" s="35" t="str">
        <f aca="false">IF(E240="","",IF(J240&lt;=0.004,"bezahlt",IF(N(K240)&gt;0,"überfällig – Mahnung "&amp;L240,"offen")))</f>
        <v/>
      </c>
    </row>
    <row r="241" customFormat="false" ht="15" hidden="false" customHeight="false" outlineLevel="0" collapsed="false">
      <c r="A241" s="32"/>
      <c r="B241" s="33"/>
      <c r="C241" s="32"/>
      <c r="D241" s="32"/>
      <c r="E241" s="30"/>
      <c r="F241" s="32"/>
      <c r="G241" s="44" t="str">
        <f aca="false">IF(B241="","",B241+IF(F241="",Einstellungen!$B$40,F241))</f>
        <v/>
      </c>
      <c r="H241" s="33"/>
      <c r="I241" s="30"/>
      <c r="J241" s="31" t="str">
        <f aca="false">IF(E241="","",E241-N(I241))</f>
        <v/>
      </c>
      <c r="K241" s="43" t="str">
        <f aca="true">IF(OR(E241="",G241=""),"",IF(J241&lt;=0.004,"",MAX(0,TODAY()-G241)))</f>
        <v/>
      </c>
      <c r="L241" s="43" t="str">
        <f aca="false">IF(K241="","",IF(K241&gt;60,3,IF(K241&gt;30,2,IF(K241&gt;0,1,0))))</f>
        <v/>
      </c>
      <c r="M241" s="35" t="str">
        <f aca="false">IF(E241="","",IF(J241&lt;=0.004,"bezahlt",IF(N(K241)&gt;0,"überfällig – Mahnung "&amp;L241,"offen")))</f>
        <v/>
      </c>
    </row>
    <row r="242" customFormat="false" ht="15" hidden="false" customHeight="false" outlineLevel="0" collapsed="false">
      <c r="A242" s="32"/>
      <c r="B242" s="33"/>
      <c r="C242" s="32"/>
      <c r="D242" s="32"/>
      <c r="E242" s="30"/>
      <c r="F242" s="32"/>
      <c r="G242" s="44" t="str">
        <f aca="false">IF(B242="","",B242+IF(F242="",Einstellungen!$B$40,F242))</f>
        <v/>
      </c>
      <c r="H242" s="33"/>
      <c r="I242" s="30"/>
      <c r="J242" s="31" t="str">
        <f aca="false">IF(E242="","",E242-N(I242))</f>
        <v/>
      </c>
      <c r="K242" s="43" t="str">
        <f aca="true">IF(OR(E242="",G242=""),"",IF(J242&lt;=0.004,"",MAX(0,TODAY()-G242)))</f>
        <v/>
      </c>
      <c r="L242" s="43" t="str">
        <f aca="false">IF(K242="","",IF(K242&gt;60,3,IF(K242&gt;30,2,IF(K242&gt;0,1,0))))</f>
        <v/>
      </c>
      <c r="M242" s="35" t="str">
        <f aca="false">IF(E242="","",IF(J242&lt;=0.004,"bezahlt",IF(N(K242)&gt;0,"überfällig – Mahnung "&amp;L242,"offen")))</f>
        <v/>
      </c>
    </row>
    <row r="243" customFormat="false" ht="15" hidden="false" customHeight="false" outlineLevel="0" collapsed="false">
      <c r="A243" s="32"/>
      <c r="B243" s="33"/>
      <c r="C243" s="32"/>
      <c r="D243" s="32"/>
      <c r="E243" s="30"/>
      <c r="F243" s="32"/>
      <c r="G243" s="44" t="str">
        <f aca="false">IF(B243="","",B243+IF(F243="",Einstellungen!$B$40,F243))</f>
        <v/>
      </c>
      <c r="H243" s="33"/>
      <c r="I243" s="30"/>
      <c r="J243" s="31" t="str">
        <f aca="false">IF(E243="","",E243-N(I243))</f>
        <v/>
      </c>
      <c r="K243" s="43" t="str">
        <f aca="true">IF(OR(E243="",G243=""),"",IF(J243&lt;=0.004,"",MAX(0,TODAY()-G243)))</f>
        <v/>
      </c>
      <c r="L243" s="43" t="str">
        <f aca="false">IF(K243="","",IF(K243&gt;60,3,IF(K243&gt;30,2,IF(K243&gt;0,1,0))))</f>
        <v/>
      </c>
      <c r="M243" s="35" t="str">
        <f aca="false">IF(E243="","",IF(J243&lt;=0.004,"bezahlt",IF(N(K243)&gt;0,"überfällig – Mahnung "&amp;L243,"offen")))</f>
        <v/>
      </c>
    </row>
    <row r="244" customFormat="false" ht="15" hidden="false" customHeight="false" outlineLevel="0" collapsed="false">
      <c r="A244" s="32"/>
      <c r="B244" s="33"/>
      <c r="C244" s="32"/>
      <c r="D244" s="32"/>
      <c r="E244" s="30"/>
      <c r="F244" s="32"/>
      <c r="G244" s="44" t="str">
        <f aca="false">IF(B244="","",B244+IF(F244="",Einstellungen!$B$40,F244))</f>
        <v/>
      </c>
      <c r="H244" s="33"/>
      <c r="I244" s="30"/>
      <c r="J244" s="31" t="str">
        <f aca="false">IF(E244="","",E244-N(I244))</f>
        <v/>
      </c>
      <c r="K244" s="43" t="str">
        <f aca="true">IF(OR(E244="",G244=""),"",IF(J244&lt;=0.004,"",MAX(0,TODAY()-G244)))</f>
        <v/>
      </c>
      <c r="L244" s="43" t="str">
        <f aca="false">IF(K244="","",IF(K244&gt;60,3,IF(K244&gt;30,2,IF(K244&gt;0,1,0))))</f>
        <v/>
      </c>
      <c r="M244" s="35" t="str">
        <f aca="false">IF(E244="","",IF(J244&lt;=0.004,"bezahlt",IF(N(K244)&gt;0,"überfällig – Mahnung "&amp;L244,"offen")))</f>
        <v/>
      </c>
    </row>
    <row r="245" customFormat="false" ht="15" hidden="false" customHeight="false" outlineLevel="0" collapsed="false">
      <c r="A245" s="32"/>
      <c r="B245" s="33"/>
      <c r="C245" s="32"/>
      <c r="D245" s="32"/>
      <c r="E245" s="30"/>
      <c r="F245" s="32"/>
      <c r="G245" s="44" t="str">
        <f aca="false">IF(B245="","",B245+IF(F245="",Einstellungen!$B$40,F245))</f>
        <v/>
      </c>
      <c r="H245" s="33"/>
      <c r="I245" s="30"/>
      <c r="J245" s="31" t="str">
        <f aca="false">IF(E245="","",E245-N(I245))</f>
        <v/>
      </c>
      <c r="K245" s="43" t="str">
        <f aca="true">IF(OR(E245="",G245=""),"",IF(J245&lt;=0.004,"",MAX(0,TODAY()-G245)))</f>
        <v/>
      </c>
      <c r="L245" s="43" t="str">
        <f aca="false">IF(K245="","",IF(K245&gt;60,3,IF(K245&gt;30,2,IF(K245&gt;0,1,0))))</f>
        <v/>
      </c>
      <c r="M245" s="35" t="str">
        <f aca="false">IF(E245="","",IF(J245&lt;=0.004,"bezahlt",IF(N(K245)&gt;0,"überfällig – Mahnung "&amp;L245,"offen")))</f>
        <v/>
      </c>
    </row>
    <row r="246" customFormat="false" ht="15" hidden="false" customHeight="false" outlineLevel="0" collapsed="false">
      <c r="A246" s="32"/>
      <c r="B246" s="33"/>
      <c r="C246" s="32"/>
      <c r="D246" s="32"/>
      <c r="E246" s="30"/>
      <c r="F246" s="32"/>
      <c r="G246" s="44" t="str">
        <f aca="false">IF(B246="","",B246+IF(F246="",Einstellungen!$B$40,F246))</f>
        <v/>
      </c>
      <c r="H246" s="33"/>
      <c r="I246" s="30"/>
      <c r="J246" s="31" t="str">
        <f aca="false">IF(E246="","",E246-N(I246))</f>
        <v/>
      </c>
      <c r="K246" s="43" t="str">
        <f aca="true">IF(OR(E246="",G246=""),"",IF(J246&lt;=0.004,"",MAX(0,TODAY()-G246)))</f>
        <v/>
      </c>
      <c r="L246" s="43" t="str">
        <f aca="false">IF(K246="","",IF(K246&gt;60,3,IF(K246&gt;30,2,IF(K246&gt;0,1,0))))</f>
        <v/>
      </c>
      <c r="M246" s="35" t="str">
        <f aca="false">IF(E246="","",IF(J246&lt;=0.004,"bezahlt",IF(N(K246)&gt;0,"überfällig – Mahnung "&amp;L246,"offen")))</f>
        <v/>
      </c>
    </row>
    <row r="247" customFormat="false" ht="15" hidden="false" customHeight="false" outlineLevel="0" collapsed="false">
      <c r="A247" s="32"/>
      <c r="B247" s="33"/>
      <c r="C247" s="32"/>
      <c r="D247" s="32"/>
      <c r="E247" s="30"/>
      <c r="F247" s="32"/>
      <c r="G247" s="44" t="str">
        <f aca="false">IF(B247="","",B247+IF(F247="",Einstellungen!$B$40,F247))</f>
        <v/>
      </c>
      <c r="H247" s="33"/>
      <c r="I247" s="30"/>
      <c r="J247" s="31" t="str">
        <f aca="false">IF(E247="","",E247-N(I247))</f>
        <v/>
      </c>
      <c r="K247" s="43" t="str">
        <f aca="true">IF(OR(E247="",G247=""),"",IF(J247&lt;=0.004,"",MAX(0,TODAY()-G247)))</f>
        <v/>
      </c>
      <c r="L247" s="43" t="str">
        <f aca="false">IF(K247="","",IF(K247&gt;60,3,IF(K247&gt;30,2,IF(K247&gt;0,1,0))))</f>
        <v/>
      </c>
      <c r="M247" s="35" t="str">
        <f aca="false">IF(E247="","",IF(J247&lt;=0.004,"bezahlt",IF(N(K247)&gt;0,"überfällig – Mahnung "&amp;L247,"offen")))</f>
        <v/>
      </c>
    </row>
    <row r="248" customFormat="false" ht="15" hidden="false" customHeight="false" outlineLevel="0" collapsed="false">
      <c r="A248" s="32"/>
      <c r="B248" s="33"/>
      <c r="C248" s="32"/>
      <c r="D248" s="32"/>
      <c r="E248" s="30"/>
      <c r="F248" s="32"/>
      <c r="G248" s="44" t="str">
        <f aca="false">IF(B248="","",B248+IF(F248="",Einstellungen!$B$40,F248))</f>
        <v/>
      </c>
      <c r="H248" s="33"/>
      <c r="I248" s="30"/>
      <c r="J248" s="31" t="str">
        <f aca="false">IF(E248="","",E248-N(I248))</f>
        <v/>
      </c>
      <c r="K248" s="43" t="str">
        <f aca="true">IF(OR(E248="",G248=""),"",IF(J248&lt;=0.004,"",MAX(0,TODAY()-G248)))</f>
        <v/>
      </c>
      <c r="L248" s="43" t="str">
        <f aca="false">IF(K248="","",IF(K248&gt;60,3,IF(K248&gt;30,2,IF(K248&gt;0,1,0))))</f>
        <v/>
      </c>
      <c r="M248" s="35" t="str">
        <f aca="false">IF(E248="","",IF(J248&lt;=0.004,"bezahlt",IF(N(K248)&gt;0,"überfällig – Mahnung "&amp;L248,"offen")))</f>
        <v/>
      </c>
    </row>
    <row r="249" customFormat="false" ht="15" hidden="false" customHeight="false" outlineLevel="0" collapsed="false">
      <c r="A249" s="32"/>
      <c r="B249" s="33"/>
      <c r="C249" s="32"/>
      <c r="D249" s="32"/>
      <c r="E249" s="30"/>
      <c r="F249" s="32"/>
      <c r="G249" s="44" t="str">
        <f aca="false">IF(B249="","",B249+IF(F249="",Einstellungen!$B$40,F249))</f>
        <v/>
      </c>
      <c r="H249" s="33"/>
      <c r="I249" s="30"/>
      <c r="J249" s="31" t="str">
        <f aca="false">IF(E249="","",E249-N(I249))</f>
        <v/>
      </c>
      <c r="K249" s="43" t="str">
        <f aca="true">IF(OR(E249="",G249=""),"",IF(J249&lt;=0.004,"",MAX(0,TODAY()-G249)))</f>
        <v/>
      </c>
      <c r="L249" s="43" t="str">
        <f aca="false">IF(K249="","",IF(K249&gt;60,3,IF(K249&gt;30,2,IF(K249&gt;0,1,0))))</f>
        <v/>
      </c>
      <c r="M249" s="35" t="str">
        <f aca="false">IF(E249="","",IF(J249&lt;=0.004,"bezahlt",IF(N(K249)&gt;0,"überfällig – Mahnung "&amp;L249,"offen")))</f>
        <v/>
      </c>
    </row>
    <row r="250" customFormat="false" ht="15" hidden="false" customHeight="false" outlineLevel="0" collapsed="false">
      <c r="A250" s="32"/>
      <c r="B250" s="33"/>
      <c r="C250" s="32"/>
      <c r="D250" s="32"/>
      <c r="E250" s="30"/>
      <c r="F250" s="32"/>
      <c r="G250" s="44" t="str">
        <f aca="false">IF(B250="","",B250+IF(F250="",Einstellungen!$B$40,F250))</f>
        <v/>
      </c>
      <c r="H250" s="33"/>
      <c r="I250" s="30"/>
      <c r="J250" s="31" t="str">
        <f aca="false">IF(E250="","",E250-N(I250))</f>
        <v/>
      </c>
      <c r="K250" s="43" t="str">
        <f aca="true">IF(OR(E250="",G250=""),"",IF(J250&lt;=0.004,"",MAX(0,TODAY()-G250)))</f>
        <v/>
      </c>
      <c r="L250" s="43" t="str">
        <f aca="false">IF(K250="","",IF(K250&gt;60,3,IF(K250&gt;30,2,IF(K250&gt;0,1,0))))</f>
        <v/>
      </c>
      <c r="M250" s="35" t="str">
        <f aca="false">IF(E250="","",IF(J250&lt;=0.004,"bezahlt",IF(N(K250)&gt;0,"überfällig – Mahnung "&amp;L250,"offen")))</f>
        <v/>
      </c>
    </row>
    <row r="251" customFormat="false" ht="15" hidden="false" customHeight="false" outlineLevel="0" collapsed="false">
      <c r="A251" s="32"/>
      <c r="B251" s="33"/>
      <c r="C251" s="32"/>
      <c r="D251" s="32"/>
      <c r="E251" s="30"/>
      <c r="F251" s="32"/>
      <c r="G251" s="44" t="str">
        <f aca="false">IF(B251="","",B251+IF(F251="",Einstellungen!$B$40,F251))</f>
        <v/>
      </c>
      <c r="H251" s="33"/>
      <c r="I251" s="30"/>
      <c r="J251" s="31" t="str">
        <f aca="false">IF(E251="","",E251-N(I251))</f>
        <v/>
      </c>
      <c r="K251" s="43" t="str">
        <f aca="true">IF(OR(E251="",G251=""),"",IF(J251&lt;=0.004,"",MAX(0,TODAY()-G251)))</f>
        <v/>
      </c>
      <c r="L251" s="43" t="str">
        <f aca="false">IF(K251="","",IF(K251&gt;60,3,IF(K251&gt;30,2,IF(K251&gt;0,1,0))))</f>
        <v/>
      </c>
      <c r="M251" s="35" t="str">
        <f aca="false">IF(E251="","",IF(J251&lt;=0.004,"bezahlt",IF(N(K251)&gt;0,"überfällig – Mahnung "&amp;L251,"offen")))</f>
        <v/>
      </c>
    </row>
    <row r="252" customFormat="false" ht="15" hidden="false" customHeight="false" outlineLevel="0" collapsed="false">
      <c r="A252" s="32"/>
      <c r="B252" s="33"/>
      <c r="C252" s="32"/>
      <c r="D252" s="32"/>
      <c r="E252" s="30"/>
      <c r="F252" s="32"/>
      <c r="G252" s="44" t="str">
        <f aca="false">IF(B252="","",B252+IF(F252="",Einstellungen!$B$40,F252))</f>
        <v/>
      </c>
      <c r="H252" s="33"/>
      <c r="I252" s="30"/>
      <c r="J252" s="31" t="str">
        <f aca="false">IF(E252="","",E252-N(I252))</f>
        <v/>
      </c>
      <c r="K252" s="43" t="str">
        <f aca="true">IF(OR(E252="",G252=""),"",IF(J252&lt;=0.004,"",MAX(0,TODAY()-G252)))</f>
        <v/>
      </c>
      <c r="L252" s="43" t="str">
        <f aca="false">IF(K252="","",IF(K252&gt;60,3,IF(K252&gt;30,2,IF(K252&gt;0,1,0))))</f>
        <v/>
      </c>
      <c r="M252" s="35" t="str">
        <f aca="false">IF(E252="","",IF(J252&lt;=0.004,"bezahlt",IF(N(K252)&gt;0,"überfällig – Mahnung "&amp;L252,"offen")))</f>
        <v/>
      </c>
    </row>
    <row r="253" customFormat="false" ht="15" hidden="false" customHeight="false" outlineLevel="0" collapsed="false">
      <c r="A253" s="32"/>
      <c r="B253" s="33"/>
      <c r="C253" s="32"/>
      <c r="D253" s="32"/>
      <c r="E253" s="30"/>
      <c r="F253" s="32"/>
      <c r="G253" s="44" t="str">
        <f aca="false">IF(B253="","",B253+IF(F253="",Einstellungen!$B$40,F253))</f>
        <v/>
      </c>
      <c r="H253" s="33"/>
      <c r="I253" s="30"/>
      <c r="J253" s="31" t="str">
        <f aca="false">IF(E253="","",E253-N(I253))</f>
        <v/>
      </c>
      <c r="K253" s="43" t="str">
        <f aca="true">IF(OR(E253="",G253=""),"",IF(J253&lt;=0.004,"",MAX(0,TODAY()-G253)))</f>
        <v/>
      </c>
      <c r="L253" s="43" t="str">
        <f aca="false">IF(K253="","",IF(K253&gt;60,3,IF(K253&gt;30,2,IF(K253&gt;0,1,0))))</f>
        <v/>
      </c>
      <c r="M253" s="35" t="str">
        <f aca="false">IF(E253="","",IF(J253&lt;=0.004,"bezahlt",IF(N(K253)&gt;0,"überfällig – Mahnung "&amp;L253,"offen")))</f>
        <v/>
      </c>
    </row>
    <row r="254" customFormat="false" ht="15" hidden="false" customHeight="false" outlineLevel="0" collapsed="false">
      <c r="A254" s="32"/>
      <c r="B254" s="33"/>
      <c r="C254" s="32"/>
      <c r="D254" s="32"/>
      <c r="E254" s="30"/>
      <c r="F254" s="32"/>
      <c r="G254" s="44" t="str">
        <f aca="false">IF(B254="","",B254+IF(F254="",Einstellungen!$B$40,F254))</f>
        <v/>
      </c>
      <c r="H254" s="33"/>
      <c r="I254" s="30"/>
      <c r="J254" s="31" t="str">
        <f aca="false">IF(E254="","",E254-N(I254))</f>
        <v/>
      </c>
      <c r="K254" s="43" t="str">
        <f aca="true">IF(OR(E254="",G254=""),"",IF(J254&lt;=0.004,"",MAX(0,TODAY()-G254)))</f>
        <v/>
      </c>
      <c r="L254" s="43" t="str">
        <f aca="false">IF(K254="","",IF(K254&gt;60,3,IF(K254&gt;30,2,IF(K254&gt;0,1,0))))</f>
        <v/>
      </c>
      <c r="M254" s="35" t="str">
        <f aca="false">IF(E254="","",IF(J254&lt;=0.004,"bezahlt",IF(N(K254)&gt;0,"überfällig – Mahnung "&amp;L254,"offen")))</f>
        <v/>
      </c>
    </row>
    <row r="255" customFormat="false" ht="15" hidden="false" customHeight="false" outlineLevel="0" collapsed="false">
      <c r="A255" s="32"/>
      <c r="B255" s="33"/>
      <c r="C255" s="32"/>
      <c r="D255" s="32"/>
      <c r="E255" s="30"/>
      <c r="F255" s="32"/>
      <c r="G255" s="44" t="str">
        <f aca="false">IF(B255="","",B255+IF(F255="",Einstellungen!$B$40,F255))</f>
        <v/>
      </c>
      <c r="H255" s="33"/>
      <c r="I255" s="30"/>
      <c r="J255" s="31" t="str">
        <f aca="false">IF(E255="","",E255-N(I255))</f>
        <v/>
      </c>
      <c r="K255" s="43" t="str">
        <f aca="true">IF(OR(E255="",G255=""),"",IF(J255&lt;=0.004,"",MAX(0,TODAY()-G255)))</f>
        <v/>
      </c>
      <c r="L255" s="43" t="str">
        <f aca="false">IF(K255="","",IF(K255&gt;60,3,IF(K255&gt;30,2,IF(K255&gt;0,1,0))))</f>
        <v/>
      </c>
      <c r="M255" s="35" t="str">
        <f aca="false">IF(E255="","",IF(J255&lt;=0.004,"bezahlt",IF(N(K255)&gt;0,"überfällig – Mahnung "&amp;L255,"offen")))</f>
        <v/>
      </c>
    </row>
    <row r="256" customFormat="false" ht="15" hidden="false" customHeight="false" outlineLevel="0" collapsed="false">
      <c r="A256" s="32"/>
      <c r="B256" s="33"/>
      <c r="C256" s="32"/>
      <c r="D256" s="32"/>
      <c r="E256" s="30"/>
      <c r="F256" s="32"/>
      <c r="G256" s="44" t="str">
        <f aca="false">IF(B256="","",B256+IF(F256="",Einstellungen!$B$40,F256))</f>
        <v/>
      </c>
      <c r="H256" s="33"/>
      <c r="I256" s="30"/>
      <c r="J256" s="31" t="str">
        <f aca="false">IF(E256="","",E256-N(I256))</f>
        <v/>
      </c>
      <c r="K256" s="43" t="str">
        <f aca="true">IF(OR(E256="",G256=""),"",IF(J256&lt;=0.004,"",MAX(0,TODAY()-G256)))</f>
        <v/>
      </c>
      <c r="L256" s="43" t="str">
        <f aca="false">IF(K256="","",IF(K256&gt;60,3,IF(K256&gt;30,2,IF(K256&gt;0,1,0))))</f>
        <v/>
      </c>
      <c r="M256" s="35" t="str">
        <f aca="false">IF(E256="","",IF(J256&lt;=0.004,"bezahlt",IF(N(K256)&gt;0,"überfällig – Mahnung "&amp;L256,"offen")))</f>
        <v/>
      </c>
    </row>
    <row r="257" customFormat="false" ht="15" hidden="false" customHeight="false" outlineLevel="0" collapsed="false">
      <c r="A257" s="32"/>
      <c r="B257" s="33"/>
      <c r="C257" s="32"/>
      <c r="D257" s="32"/>
      <c r="E257" s="30"/>
      <c r="F257" s="32"/>
      <c r="G257" s="44" t="str">
        <f aca="false">IF(B257="","",B257+IF(F257="",Einstellungen!$B$40,F257))</f>
        <v/>
      </c>
      <c r="H257" s="33"/>
      <c r="I257" s="30"/>
      <c r="J257" s="31" t="str">
        <f aca="false">IF(E257="","",E257-N(I257))</f>
        <v/>
      </c>
      <c r="K257" s="43" t="str">
        <f aca="true">IF(OR(E257="",G257=""),"",IF(J257&lt;=0.004,"",MAX(0,TODAY()-G257)))</f>
        <v/>
      </c>
      <c r="L257" s="43" t="str">
        <f aca="false">IF(K257="","",IF(K257&gt;60,3,IF(K257&gt;30,2,IF(K257&gt;0,1,0))))</f>
        <v/>
      </c>
      <c r="M257" s="35" t="str">
        <f aca="false">IF(E257="","",IF(J257&lt;=0.004,"bezahlt",IF(N(K257)&gt;0,"überfällig – Mahnung "&amp;L257,"offen")))</f>
        <v/>
      </c>
    </row>
    <row r="258" customFormat="false" ht="15" hidden="false" customHeight="false" outlineLevel="0" collapsed="false">
      <c r="A258" s="32"/>
      <c r="B258" s="33"/>
      <c r="C258" s="32"/>
      <c r="D258" s="32"/>
      <c r="E258" s="30"/>
      <c r="F258" s="32"/>
      <c r="G258" s="44" t="str">
        <f aca="false">IF(B258="","",B258+IF(F258="",Einstellungen!$B$40,F258))</f>
        <v/>
      </c>
      <c r="H258" s="33"/>
      <c r="I258" s="30"/>
      <c r="J258" s="31" t="str">
        <f aca="false">IF(E258="","",E258-N(I258))</f>
        <v/>
      </c>
      <c r="K258" s="43" t="str">
        <f aca="true">IF(OR(E258="",G258=""),"",IF(J258&lt;=0.004,"",MAX(0,TODAY()-G258)))</f>
        <v/>
      </c>
      <c r="L258" s="43" t="str">
        <f aca="false">IF(K258="","",IF(K258&gt;60,3,IF(K258&gt;30,2,IF(K258&gt;0,1,0))))</f>
        <v/>
      </c>
      <c r="M258" s="35" t="str">
        <f aca="false">IF(E258="","",IF(J258&lt;=0.004,"bezahlt",IF(N(K258)&gt;0,"überfällig – Mahnung "&amp;L258,"offen")))</f>
        <v/>
      </c>
    </row>
    <row r="259" customFormat="false" ht="15" hidden="false" customHeight="false" outlineLevel="0" collapsed="false">
      <c r="A259" s="32"/>
      <c r="B259" s="33"/>
      <c r="C259" s="32"/>
      <c r="D259" s="32"/>
      <c r="E259" s="30"/>
      <c r="F259" s="32"/>
      <c r="G259" s="44" t="str">
        <f aca="false">IF(B259="","",B259+IF(F259="",Einstellungen!$B$40,F259))</f>
        <v/>
      </c>
      <c r="H259" s="33"/>
      <c r="I259" s="30"/>
      <c r="J259" s="31" t="str">
        <f aca="false">IF(E259="","",E259-N(I259))</f>
        <v/>
      </c>
      <c r="K259" s="43" t="str">
        <f aca="true">IF(OR(E259="",G259=""),"",IF(J259&lt;=0.004,"",MAX(0,TODAY()-G259)))</f>
        <v/>
      </c>
      <c r="L259" s="43" t="str">
        <f aca="false">IF(K259="","",IF(K259&gt;60,3,IF(K259&gt;30,2,IF(K259&gt;0,1,0))))</f>
        <v/>
      </c>
      <c r="M259" s="35" t="str">
        <f aca="false">IF(E259="","",IF(J259&lt;=0.004,"bezahlt",IF(N(K259)&gt;0,"überfällig – Mahnung "&amp;L259,"offen")))</f>
        <v/>
      </c>
    </row>
    <row r="260" customFormat="false" ht="15" hidden="false" customHeight="false" outlineLevel="0" collapsed="false">
      <c r="A260" s="32"/>
      <c r="B260" s="33"/>
      <c r="C260" s="32"/>
      <c r="D260" s="32"/>
      <c r="E260" s="30"/>
      <c r="F260" s="32"/>
      <c r="G260" s="44" t="str">
        <f aca="false">IF(B260="","",B260+IF(F260="",Einstellungen!$B$40,F260))</f>
        <v/>
      </c>
      <c r="H260" s="33"/>
      <c r="I260" s="30"/>
      <c r="J260" s="31" t="str">
        <f aca="false">IF(E260="","",E260-N(I260))</f>
        <v/>
      </c>
      <c r="K260" s="43" t="str">
        <f aca="true">IF(OR(E260="",G260=""),"",IF(J260&lt;=0.004,"",MAX(0,TODAY()-G260)))</f>
        <v/>
      </c>
      <c r="L260" s="43" t="str">
        <f aca="false">IF(K260="","",IF(K260&gt;60,3,IF(K260&gt;30,2,IF(K260&gt;0,1,0))))</f>
        <v/>
      </c>
      <c r="M260" s="35" t="str">
        <f aca="false">IF(E260="","",IF(J260&lt;=0.004,"bezahlt",IF(N(K260)&gt;0,"überfällig – Mahnung "&amp;L260,"offen")))</f>
        <v/>
      </c>
    </row>
    <row r="261" customFormat="false" ht="15" hidden="false" customHeight="false" outlineLevel="0" collapsed="false">
      <c r="A261" s="32"/>
      <c r="B261" s="33"/>
      <c r="C261" s="32"/>
      <c r="D261" s="32"/>
      <c r="E261" s="30"/>
      <c r="F261" s="32"/>
      <c r="G261" s="44" t="str">
        <f aca="false">IF(B261="","",B261+IF(F261="",Einstellungen!$B$40,F261))</f>
        <v/>
      </c>
      <c r="H261" s="33"/>
      <c r="I261" s="30"/>
      <c r="J261" s="31" t="str">
        <f aca="false">IF(E261="","",E261-N(I261))</f>
        <v/>
      </c>
      <c r="K261" s="43" t="str">
        <f aca="true">IF(OR(E261="",G261=""),"",IF(J261&lt;=0.004,"",MAX(0,TODAY()-G261)))</f>
        <v/>
      </c>
      <c r="L261" s="43" t="str">
        <f aca="false">IF(K261="","",IF(K261&gt;60,3,IF(K261&gt;30,2,IF(K261&gt;0,1,0))))</f>
        <v/>
      </c>
      <c r="M261" s="35" t="str">
        <f aca="false">IF(E261="","",IF(J261&lt;=0.004,"bezahlt",IF(N(K261)&gt;0,"überfällig – Mahnung "&amp;L261,"offen")))</f>
        <v/>
      </c>
    </row>
    <row r="262" customFormat="false" ht="15" hidden="false" customHeight="false" outlineLevel="0" collapsed="false">
      <c r="A262" s="32"/>
      <c r="B262" s="33"/>
      <c r="C262" s="32"/>
      <c r="D262" s="32"/>
      <c r="E262" s="30"/>
      <c r="F262" s="32"/>
      <c r="G262" s="44" t="str">
        <f aca="false">IF(B262="","",B262+IF(F262="",Einstellungen!$B$40,F262))</f>
        <v/>
      </c>
      <c r="H262" s="33"/>
      <c r="I262" s="30"/>
      <c r="J262" s="31" t="str">
        <f aca="false">IF(E262="","",E262-N(I262))</f>
        <v/>
      </c>
      <c r="K262" s="43" t="str">
        <f aca="true">IF(OR(E262="",G262=""),"",IF(J262&lt;=0.004,"",MAX(0,TODAY()-G262)))</f>
        <v/>
      </c>
      <c r="L262" s="43" t="str">
        <f aca="false">IF(K262="","",IF(K262&gt;60,3,IF(K262&gt;30,2,IF(K262&gt;0,1,0))))</f>
        <v/>
      </c>
      <c r="M262" s="35" t="str">
        <f aca="false">IF(E262="","",IF(J262&lt;=0.004,"bezahlt",IF(N(K262)&gt;0,"überfällig – Mahnung "&amp;L262,"offen")))</f>
        <v/>
      </c>
    </row>
    <row r="263" customFormat="false" ht="15" hidden="false" customHeight="false" outlineLevel="0" collapsed="false">
      <c r="A263" s="32"/>
      <c r="B263" s="33"/>
      <c r="C263" s="32"/>
      <c r="D263" s="32"/>
      <c r="E263" s="30"/>
      <c r="F263" s="32"/>
      <c r="G263" s="44" t="str">
        <f aca="false">IF(B263="","",B263+IF(F263="",Einstellungen!$B$40,F263))</f>
        <v/>
      </c>
      <c r="H263" s="33"/>
      <c r="I263" s="30"/>
      <c r="J263" s="31" t="str">
        <f aca="false">IF(E263="","",E263-N(I263))</f>
        <v/>
      </c>
      <c r="K263" s="43" t="str">
        <f aca="true">IF(OR(E263="",G263=""),"",IF(J263&lt;=0.004,"",MAX(0,TODAY()-G263)))</f>
        <v/>
      </c>
      <c r="L263" s="43" t="str">
        <f aca="false">IF(K263="","",IF(K263&gt;60,3,IF(K263&gt;30,2,IF(K263&gt;0,1,0))))</f>
        <v/>
      </c>
      <c r="M263" s="35" t="str">
        <f aca="false">IF(E263="","",IF(J263&lt;=0.004,"bezahlt",IF(N(K263)&gt;0,"überfällig – Mahnung "&amp;L263,"offen")))</f>
        <v/>
      </c>
    </row>
    <row r="264" customFormat="false" ht="15" hidden="false" customHeight="false" outlineLevel="0" collapsed="false">
      <c r="A264" s="32"/>
      <c r="B264" s="33"/>
      <c r="C264" s="32"/>
      <c r="D264" s="32"/>
      <c r="E264" s="30"/>
      <c r="F264" s="32"/>
      <c r="G264" s="44" t="str">
        <f aca="false">IF(B264="","",B264+IF(F264="",Einstellungen!$B$40,F264))</f>
        <v/>
      </c>
      <c r="H264" s="33"/>
      <c r="I264" s="30"/>
      <c r="J264" s="31" t="str">
        <f aca="false">IF(E264="","",E264-N(I264))</f>
        <v/>
      </c>
      <c r="K264" s="43" t="str">
        <f aca="true">IF(OR(E264="",G264=""),"",IF(J264&lt;=0.004,"",MAX(0,TODAY()-G264)))</f>
        <v/>
      </c>
      <c r="L264" s="43" t="str">
        <f aca="false">IF(K264="","",IF(K264&gt;60,3,IF(K264&gt;30,2,IF(K264&gt;0,1,0))))</f>
        <v/>
      </c>
      <c r="M264" s="35" t="str">
        <f aca="false">IF(E264="","",IF(J264&lt;=0.004,"bezahlt",IF(N(K264)&gt;0,"überfällig – Mahnung "&amp;L264,"offen")))</f>
        <v/>
      </c>
    </row>
    <row r="265" customFormat="false" ht="15" hidden="false" customHeight="false" outlineLevel="0" collapsed="false">
      <c r="A265" s="32"/>
      <c r="B265" s="33"/>
      <c r="C265" s="32"/>
      <c r="D265" s="32"/>
      <c r="E265" s="30"/>
      <c r="F265" s="32"/>
      <c r="G265" s="44" t="str">
        <f aca="false">IF(B265="","",B265+IF(F265="",Einstellungen!$B$40,F265))</f>
        <v/>
      </c>
      <c r="H265" s="33"/>
      <c r="I265" s="30"/>
      <c r="J265" s="31" t="str">
        <f aca="false">IF(E265="","",E265-N(I265))</f>
        <v/>
      </c>
      <c r="K265" s="43" t="str">
        <f aca="true">IF(OR(E265="",G265=""),"",IF(J265&lt;=0.004,"",MAX(0,TODAY()-G265)))</f>
        <v/>
      </c>
      <c r="L265" s="43" t="str">
        <f aca="false">IF(K265="","",IF(K265&gt;60,3,IF(K265&gt;30,2,IF(K265&gt;0,1,0))))</f>
        <v/>
      </c>
      <c r="M265" s="35" t="str">
        <f aca="false">IF(E265="","",IF(J265&lt;=0.004,"bezahlt",IF(N(K265)&gt;0,"überfällig – Mahnung "&amp;L265,"offen")))</f>
        <v/>
      </c>
    </row>
    <row r="266" customFormat="false" ht="15" hidden="false" customHeight="false" outlineLevel="0" collapsed="false">
      <c r="A266" s="32"/>
      <c r="B266" s="33"/>
      <c r="C266" s="32"/>
      <c r="D266" s="32"/>
      <c r="E266" s="30"/>
      <c r="F266" s="32"/>
      <c r="G266" s="44" t="str">
        <f aca="false">IF(B266="","",B266+IF(F266="",Einstellungen!$B$40,F266))</f>
        <v/>
      </c>
      <c r="H266" s="33"/>
      <c r="I266" s="30"/>
      <c r="J266" s="31" t="str">
        <f aca="false">IF(E266="","",E266-N(I266))</f>
        <v/>
      </c>
      <c r="K266" s="43" t="str">
        <f aca="true">IF(OR(E266="",G266=""),"",IF(J266&lt;=0.004,"",MAX(0,TODAY()-G266)))</f>
        <v/>
      </c>
      <c r="L266" s="43" t="str">
        <f aca="false">IF(K266="","",IF(K266&gt;60,3,IF(K266&gt;30,2,IF(K266&gt;0,1,0))))</f>
        <v/>
      </c>
      <c r="M266" s="35" t="str">
        <f aca="false">IF(E266="","",IF(J266&lt;=0.004,"bezahlt",IF(N(K266)&gt;0,"überfällig – Mahnung "&amp;L266,"offen")))</f>
        <v/>
      </c>
    </row>
    <row r="267" customFormat="false" ht="15" hidden="false" customHeight="false" outlineLevel="0" collapsed="false">
      <c r="A267" s="32"/>
      <c r="B267" s="33"/>
      <c r="C267" s="32"/>
      <c r="D267" s="32"/>
      <c r="E267" s="30"/>
      <c r="F267" s="32"/>
      <c r="G267" s="44" t="str">
        <f aca="false">IF(B267="","",B267+IF(F267="",Einstellungen!$B$40,F267))</f>
        <v/>
      </c>
      <c r="H267" s="33"/>
      <c r="I267" s="30"/>
      <c r="J267" s="31" t="str">
        <f aca="false">IF(E267="","",E267-N(I267))</f>
        <v/>
      </c>
      <c r="K267" s="43" t="str">
        <f aca="true">IF(OR(E267="",G267=""),"",IF(J267&lt;=0.004,"",MAX(0,TODAY()-G267)))</f>
        <v/>
      </c>
      <c r="L267" s="43" t="str">
        <f aca="false">IF(K267="","",IF(K267&gt;60,3,IF(K267&gt;30,2,IF(K267&gt;0,1,0))))</f>
        <v/>
      </c>
      <c r="M267" s="35" t="str">
        <f aca="false">IF(E267="","",IF(J267&lt;=0.004,"bezahlt",IF(N(K267)&gt;0,"überfällig – Mahnung "&amp;L267,"offen")))</f>
        <v/>
      </c>
    </row>
    <row r="268" customFormat="false" ht="15" hidden="false" customHeight="false" outlineLevel="0" collapsed="false">
      <c r="A268" s="32"/>
      <c r="B268" s="33"/>
      <c r="C268" s="32"/>
      <c r="D268" s="32"/>
      <c r="E268" s="30"/>
      <c r="F268" s="32"/>
      <c r="G268" s="44" t="str">
        <f aca="false">IF(B268="","",B268+IF(F268="",Einstellungen!$B$40,F268))</f>
        <v/>
      </c>
      <c r="H268" s="33"/>
      <c r="I268" s="30"/>
      <c r="J268" s="31" t="str">
        <f aca="false">IF(E268="","",E268-N(I268))</f>
        <v/>
      </c>
      <c r="K268" s="43" t="str">
        <f aca="true">IF(OR(E268="",G268=""),"",IF(J268&lt;=0.004,"",MAX(0,TODAY()-G268)))</f>
        <v/>
      </c>
      <c r="L268" s="43" t="str">
        <f aca="false">IF(K268="","",IF(K268&gt;60,3,IF(K268&gt;30,2,IF(K268&gt;0,1,0))))</f>
        <v/>
      </c>
      <c r="M268" s="35" t="str">
        <f aca="false">IF(E268="","",IF(J268&lt;=0.004,"bezahlt",IF(N(K268)&gt;0,"überfällig – Mahnung "&amp;L268,"offen")))</f>
        <v/>
      </c>
    </row>
    <row r="269" customFormat="false" ht="15" hidden="false" customHeight="false" outlineLevel="0" collapsed="false">
      <c r="A269" s="32"/>
      <c r="B269" s="33"/>
      <c r="C269" s="32"/>
      <c r="D269" s="32"/>
      <c r="E269" s="30"/>
      <c r="F269" s="32"/>
      <c r="G269" s="44" t="str">
        <f aca="false">IF(B269="","",B269+IF(F269="",Einstellungen!$B$40,F269))</f>
        <v/>
      </c>
      <c r="H269" s="33"/>
      <c r="I269" s="30"/>
      <c r="J269" s="31" t="str">
        <f aca="false">IF(E269="","",E269-N(I269))</f>
        <v/>
      </c>
      <c r="K269" s="43" t="str">
        <f aca="true">IF(OR(E269="",G269=""),"",IF(J269&lt;=0.004,"",MAX(0,TODAY()-G269)))</f>
        <v/>
      </c>
      <c r="L269" s="43" t="str">
        <f aca="false">IF(K269="","",IF(K269&gt;60,3,IF(K269&gt;30,2,IF(K269&gt;0,1,0))))</f>
        <v/>
      </c>
      <c r="M269" s="35" t="str">
        <f aca="false">IF(E269="","",IF(J269&lt;=0.004,"bezahlt",IF(N(K269)&gt;0,"überfällig – Mahnung "&amp;L269,"offen")))</f>
        <v/>
      </c>
    </row>
    <row r="270" customFormat="false" ht="15" hidden="false" customHeight="false" outlineLevel="0" collapsed="false">
      <c r="A270" s="32"/>
      <c r="B270" s="33"/>
      <c r="C270" s="32"/>
      <c r="D270" s="32"/>
      <c r="E270" s="30"/>
      <c r="F270" s="32"/>
      <c r="G270" s="44" t="str">
        <f aca="false">IF(B270="","",B270+IF(F270="",Einstellungen!$B$40,F270))</f>
        <v/>
      </c>
      <c r="H270" s="33"/>
      <c r="I270" s="30"/>
      <c r="J270" s="31" t="str">
        <f aca="false">IF(E270="","",E270-N(I270))</f>
        <v/>
      </c>
      <c r="K270" s="43" t="str">
        <f aca="true">IF(OR(E270="",G270=""),"",IF(J270&lt;=0.004,"",MAX(0,TODAY()-G270)))</f>
        <v/>
      </c>
      <c r="L270" s="43" t="str">
        <f aca="false">IF(K270="","",IF(K270&gt;60,3,IF(K270&gt;30,2,IF(K270&gt;0,1,0))))</f>
        <v/>
      </c>
      <c r="M270" s="35" t="str">
        <f aca="false">IF(E270="","",IF(J270&lt;=0.004,"bezahlt",IF(N(K270)&gt;0,"überfällig – Mahnung "&amp;L270,"offen")))</f>
        <v/>
      </c>
    </row>
    <row r="271" customFormat="false" ht="15" hidden="false" customHeight="false" outlineLevel="0" collapsed="false">
      <c r="A271" s="32"/>
      <c r="B271" s="33"/>
      <c r="C271" s="32"/>
      <c r="D271" s="32"/>
      <c r="E271" s="30"/>
      <c r="F271" s="32"/>
      <c r="G271" s="44" t="str">
        <f aca="false">IF(B271="","",B271+IF(F271="",Einstellungen!$B$40,F271))</f>
        <v/>
      </c>
      <c r="H271" s="33"/>
      <c r="I271" s="30"/>
      <c r="J271" s="31" t="str">
        <f aca="false">IF(E271="","",E271-N(I271))</f>
        <v/>
      </c>
      <c r="K271" s="43" t="str">
        <f aca="true">IF(OR(E271="",G271=""),"",IF(J271&lt;=0.004,"",MAX(0,TODAY()-G271)))</f>
        <v/>
      </c>
      <c r="L271" s="43" t="str">
        <f aca="false">IF(K271="","",IF(K271&gt;60,3,IF(K271&gt;30,2,IF(K271&gt;0,1,0))))</f>
        <v/>
      </c>
      <c r="M271" s="35" t="str">
        <f aca="false">IF(E271="","",IF(J271&lt;=0.004,"bezahlt",IF(N(K271)&gt;0,"überfällig – Mahnung "&amp;L271,"offen")))</f>
        <v/>
      </c>
    </row>
    <row r="272" customFormat="false" ht="15" hidden="false" customHeight="false" outlineLevel="0" collapsed="false">
      <c r="A272" s="32"/>
      <c r="B272" s="33"/>
      <c r="C272" s="32"/>
      <c r="D272" s="32"/>
      <c r="E272" s="30"/>
      <c r="F272" s="32"/>
      <c r="G272" s="44" t="str">
        <f aca="false">IF(B272="","",B272+IF(F272="",Einstellungen!$B$40,F272))</f>
        <v/>
      </c>
      <c r="H272" s="33"/>
      <c r="I272" s="30"/>
      <c r="J272" s="31" t="str">
        <f aca="false">IF(E272="","",E272-N(I272))</f>
        <v/>
      </c>
      <c r="K272" s="43" t="str">
        <f aca="true">IF(OR(E272="",G272=""),"",IF(J272&lt;=0.004,"",MAX(0,TODAY()-G272)))</f>
        <v/>
      </c>
      <c r="L272" s="43" t="str">
        <f aca="false">IF(K272="","",IF(K272&gt;60,3,IF(K272&gt;30,2,IF(K272&gt;0,1,0))))</f>
        <v/>
      </c>
      <c r="M272" s="35" t="str">
        <f aca="false">IF(E272="","",IF(J272&lt;=0.004,"bezahlt",IF(N(K272)&gt;0,"überfällig – Mahnung "&amp;L272,"offen")))</f>
        <v/>
      </c>
    </row>
    <row r="273" customFormat="false" ht="15" hidden="false" customHeight="false" outlineLevel="0" collapsed="false">
      <c r="A273" s="32"/>
      <c r="B273" s="33"/>
      <c r="C273" s="32"/>
      <c r="D273" s="32"/>
      <c r="E273" s="30"/>
      <c r="F273" s="32"/>
      <c r="G273" s="44" t="str">
        <f aca="false">IF(B273="","",B273+IF(F273="",Einstellungen!$B$40,F273))</f>
        <v/>
      </c>
      <c r="H273" s="33"/>
      <c r="I273" s="30"/>
      <c r="J273" s="31" t="str">
        <f aca="false">IF(E273="","",E273-N(I273))</f>
        <v/>
      </c>
      <c r="K273" s="43" t="str">
        <f aca="true">IF(OR(E273="",G273=""),"",IF(J273&lt;=0.004,"",MAX(0,TODAY()-G273)))</f>
        <v/>
      </c>
      <c r="L273" s="43" t="str">
        <f aca="false">IF(K273="","",IF(K273&gt;60,3,IF(K273&gt;30,2,IF(K273&gt;0,1,0))))</f>
        <v/>
      </c>
      <c r="M273" s="35" t="str">
        <f aca="false">IF(E273="","",IF(J273&lt;=0.004,"bezahlt",IF(N(K273)&gt;0,"überfällig – Mahnung "&amp;L273,"offen")))</f>
        <v/>
      </c>
    </row>
    <row r="274" customFormat="false" ht="15" hidden="false" customHeight="false" outlineLevel="0" collapsed="false">
      <c r="A274" s="32"/>
      <c r="B274" s="33"/>
      <c r="C274" s="32"/>
      <c r="D274" s="32"/>
      <c r="E274" s="30"/>
      <c r="F274" s="32"/>
      <c r="G274" s="44" t="str">
        <f aca="false">IF(B274="","",B274+IF(F274="",Einstellungen!$B$40,F274))</f>
        <v/>
      </c>
      <c r="H274" s="33"/>
      <c r="I274" s="30"/>
      <c r="J274" s="31" t="str">
        <f aca="false">IF(E274="","",E274-N(I274))</f>
        <v/>
      </c>
      <c r="K274" s="43" t="str">
        <f aca="true">IF(OR(E274="",G274=""),"",IF(J274&lt;=0.004,"",MAX(0,TODAY()-G274)))</f>
        <v/>
      </c>
      <c r="L274" s="43" t="str">
        <f aca="false">IF(K274="","",IF(K274&gt;60,3,IF(K274&gt;30,2,IF(K274&gt;0,1,0))))</f>
        <v/>
      </c>
      <c r="M274" s="35" t="str">
        <f aca="false">IF(E274="","",IF(J274&lt;=0.004,"bezahlt",IF(N(K274)&gt;0,"überfällig – Mahnung "&amp;L274,"offen")))</f>
        <v/>
      </c>
    </row>
    <row r="275" customFormat="false" ht="15" hidden="false" customHeight="false" outlineLevel="0" collapsed="false">
      <c r="A275" s="32"/>
      <c r="B275" s="33"/>
      <c r="C275" s="32"/>
      <c r="D275" s="32"/>
      <c r="E275" s="30"/>
      <c r="F275" s="32"/>
      <c r="G275" s="44" t="str">
        <f aca="false">IF(B275="","",B275+IF(F275="",Einstellungen!$B$40,F275))</f>
        <v/>
      </c>
      <c r="H275" s="33"/>
      <c r="I275" s="30"/>
      <c r="J275" s="31" t="str">
        <f aca="false">IF(E275="","",E275-N(I275))</f>
        <v/>
      </c>
      <c r="K275" s="43" t="str">
        <f aca="true">IF(OR(E275="",G275=""),"",IF(J275&lt;=0.004,"",MAX(0,TODAY()-G275)))</f>
        <v/>
      </c>
      <c r="L275" s="43" t="str">
        <f aca="false">IF(K275="","",IF(K275&gt;60,3,IF(K275&gt;30,2,IF(K275&gt;0,1,0))))</f>
        <v/>
      </c>
      <c r="M275" s="35" t="str">
        <f aca="false">IF(E275="","",IF(J275&lt;=0.004,"bezahlt",IF(N(K275)&gt;0,"überfällig – Mahnung "&amp;L275,"offen")))</f>
        <v/>
      </c>
    </row>
    <row r="276" customFormat="false" ht="15" hidden="false" customHeight="false" outlineLevel="0" collapsed="false">
      <c r="A276" s="32"/>
      <c r="B276" s="33"/>
      <c r="C276" s="32"/>
      <c r="D276" s="32"/>
      <c r="E276" s="30"/>
      <c r="F276" s="32"/>
      <c r="G276" s="44" t="str">
        <f aca="false">IF(B276="","",B276+IF(F276="",Einstellungen!$B$40,F276))</f>
        <v/>
      </c>
      <c r="H276" s="33"/>
      <c r="I276" s="30"/>
      <c r="J276" s="31" t="str">
        <f aca="false">IF(E276="","",E276-N(I276))</f>
        <v/>
      </c>
      <c r="K276" s="43" t="str">
        <f aca="true">IF(OR(E276="",G276=""),"",IF(J276&lt;=0.004,"",MAX(0,TODAY()-G276)))</f>
        <v/>
      </c>
      <c r="L276" s="43" t="str">
        <f aca="false">IF(K276="","",IF(K276&gt;60,3,IF(K276&gt;30,2,IF(K276&gt;0,1,0))))</f>
        <v/>
      </c>
      <c r="M276" s="35" t="str">
        <f aca="false">IF(E276="","",IF(J276&lt;=0.004,"bezahlt",IF(N(K276)&gt;0,"überfällig – Mahnung "&amp;L276,"offen")))</f>
        <v/>
      </c>
    </row>
    <row r="277" customFormat="false" ht="15" hidden="false" customHeight="false" outlineLevel="0" collapsed="false">
      <c r="A277" s="32"/>
      <c r="B277" s="33"/>
      <c r="C277" s="32"/>
      <c r="D277" s="32"/>
      <c r="E277" s="30"/>
      <c r="F277" s="32"/>
      <c r="G277" s="44" t="str">
        <f aca="false">IF(B277="","",B277+IF(F277="",Einstellungen!$B$40,F277))</f>
        <v/>
      </c>
      <c r="H277" s="33"/>
      <c r="I277" s="30"/>
      <c r="J277" s="31" t="str">
        <f aca="false">IF(E277="","",E277-N(I277))</f>
        <v/>
      </c>
      <c r="K277" s="43" t="str">
        <f aca="true">IF(OR(E277="",G277=""),"",IF(J277&lt;=0.004,"",MAX(0,TODAY()-G277)))</f>
        <v/>
      </c>
      <c r="L277" s="43" t="str">
        <f aca="false">IF(K277="","",IF(K277&gt;60,3,IF(K277&gt;30,2,IF(K277&gt;0,1,0))))</f>
        <v/>
      </c>
      <c r="M277" s="35" t="str">
        <f aca="false">IF(E277="","",IF(J277&lt;=0.004,"bezahlt",IF(N(K277)&gt;0,"überfällig – Mahnung "&amp;L277,"offen")))</f>
        <v/>
      </c>
    </row>
    <row r="278" customFormat="false" ht="15" hidden="false" customHeight="false" outlineLevel="0" collapsed="false">
      <c r="A278" s="32"/>
      <c r="B278" s="33"/>
      <c r="C278" s="32"/>
      <c r="D278" s="32"/>
      <c r="E278" s="30"/>
      <c r="F278" s="32"/>
      <c r="G278" s="44" t="str">
        <f aca="false">IF(B278="","",B278+IF(F278="",Einstellungen!$B$40,F278))</f>
        <v/>
      </c>
      <c r="H278" s="33"/>
      <c r="I278" s="30"/>
      <c r="J278" s="31" t="str">
        <f aca="false">IF(E278="","",E278-N(I278))</f>
        <v/>
      </c>
      <c r="K278" s="43" t="str">
        <f aca="true">IF(OR(E278="",G278=""),"",IF(J278&lt;=0.004,"",MAX(0,TODAY()-G278)))</f>
        <v/>
      </c>
      <c r="L278" s="43" t="str">
        <f aca="false">IF(K278="","",IF(K278&gt;60,3,IF(K278&gt;30,2,IF(K278&gt;0,1,0))))</f>
        <v/>
      </c>
      <c r="M278" s="35" t="str">
        <f aca="false">IF(E278="","",IF(J278&lt;=0.004,"bezahlt",IF(N(K278)&gt;0,"überfällig – Mahnung "&amp;L278,"offen")))</f>
        <v/>
      </c>
    </row>
    <row r="279" customFormat="false" ht="15" hidden="false" customHeight="false" outlineLevel="0" collapsed="false">
      <c r="A279" s="32"/>
      <c r="B279" s="33"/>
      <c r="C279" s="32"/>
      <c r="D279" s="32"/>
      <c r="E279" s="30"/>
      <c r="F279" s="32"/>
      <c r="G279" s="44" t="str">
        <f aca="false">IF(B279="","",B279+IF(F279="",Einstellungen!$B$40,F279))</f>
        <v/>
      </c>
      <c r="H279" s="33"/>
      <c r="I279" s="30"/>
      <c r="J279" s="31" t="str">
        <f aca="false">IF(E279="","",E279-N(I279))</f>
        <v/>
      </c>
      <c r="K279" s="43" t="str">
        <f aca="true">IF(OR(E279="",G279=""),"",IF(J279&lt;=0.004,"",MAX(0,TODAY()-G279)))</f>
        <v/>
      </c>
      <c r="L279" s="43" t="str">
        <f aca="false">IF(K279="","",IF(K279&gt;60,3,IF(K279&gt;30,2,IF(K279&gt;0,1,0))))</f>
        <v/>
      </c>
      <c r="M279" s="35" t="str">
        <f aca="false">IF(E279="","",IF(J279&lt;=0.004,"bezahlt",IF(N(K279)&gt;0,"überfällig – Mahnung "&amp;L279,"offen")))</f>
        <v/>
      </c>
    </row>
    <row r="280" customFormat="false" ht="15" hidden="false" customHeight="false" outlineLevel="0" collapsed="false">
      <c r="A280" s="32"/>
      <c r="B280" s="33"/>
      <c r="C280" s="32"/>
      <c r="D280" s="32"/>
      <c r="E280" s="30"/>
      <c r="F280" s="32"/>
      <c r="G280" s="44" t="str">
        <f aca="false">IF(B280="","",B280+IF(F280="",Einstellungen!$B$40,F280))</f>
        <v/>
      </c>
      <c r="H280" s="33"/>
      <c r="I280" s="30"/>
      <c r="J280" s="31" t="str">
        <f aca="false">IF(E280="","",E280-N(I280))</f>
        <v/>
      </c>
      <c r="K280" s="43" t="str">
        <f aca="true">IF(OR(E280="",G280=""),"",IF(J280&lt;=0.004,"",MAX(0,TODAY()-G280)))</f>
        <v/>
      </c>
      <c r="L280" s="43" t="str">
        <f aca="false">IF(K280="","",IF(K280&gt;60,3,IF(K280&gt;30,2,IF(K280&gt;0,1,0))))</f>
        <v/>
      </c>
      <c r="M280" s="35" t="str">
        <f aca="false">IF(E280="","",IF(J280&lt;=0.004,"bezahlt",IF(N(K280)&gt;0,"überfällig – Mahnung "&amp;L280,"offen")))</f>
        <v/>
      </c>
    </row>
    <row r="281" customFormat="false" ht="15" hidden="false" customHeight="false" outlineLevel="0" collapsed="false">
      <c r="A281" s="32"/>
      <c r="B281" s="33"/>
      <c r="C281" s="32"/>
      <c r="D281" s="32"/>
      <c r="E281" s="30"/>
      <c r="F281" s="32"/>
      <c r="G281" s="44" t="str">
        <f aca="false">IF(B281="","",B281+IF(F281="",Einstellungen!$B$40,F281))</f>
        <v/>
      </c>
      <c r="H281" s="33"/>
      <c r="I281" s="30"/>
      <c r="J281" s="31" t="str">
        <f aca="false">IF(E281="","",E281-N(I281))</f>
        <v/>
      </c>
      <c r="K281" s="43" t="str">
        <f aca="true">IF(OR(E281="",G281=""),"",IF(J281&lt;=0.004,"",MAX(0,TODAY()-G281)))</f>
        <v/>
      </c>
      <c r="L281" s="43" t="str">
        <f aca="false">IF(K281="","",IF(K281&gt;60,3,IF(K281&gt;30,2,IF(K281&gt;0,1,0))))</f>
        <v/>
      </c>
      <c r="M281" s="35" t="str">
        <f aca="false">IF(E281="","",IF(J281&lt;=0.004,"bezahlt",IF(N(K281)&gt;0,"überfällig – Mahnung "&amp;L281,"offen")))</f>
        <v/>
      </c>
    </row>
    <row r="282" customFormat="false" ht="15" hidden="false" customHeight="false" outlineLevel="0" collapsed="false">
      <c r="A282" s="32"/>
      <c r="B282" s="33"/>
      <c r="C282" s="32"/>
      <c r="D282" s="32"/>
      <c r="E282" s="30"/>
      <c r="F282" s="32"/>
      <c r="G282" s="44" t="str">
        <f aca="false">IF(B282="","",B282+IF(F282="",Einstellungen!$B$40,F282))</f>
        <v/>
      </c>
      <c r="H282" s="33"/>
      <c r="I282" s="30"/>
      <c r="J282" s="31" t="str">
        <f aca="false">IF(E282="","",E282-N(I282))</f>
        <v/>
      </c>
      <c r="K282" s="43" t="str">
        <f aca="true">IF(OR(E282="",G282=""),"",IF(J282&lt;=0.004,"",MAX(0,TODAY()-G282)))</f>
        <v/>
      </c>
      <c r="L282" s="43" t="str">
        <f aca="false">IF(K282="","",IF(K282&gt;60,3,IF(K282&gt;30,2,IF(K282&gt;0,1,0))))</f>
        <v/>
      </c>
      <c r="M282" s="35" t="str">
        <f aca="false">IF(E282="","",IF(J282&lt;=0.004,"bezahlt",IF(N(K282)&gt;0,"überfällig – Mahnung "&amp;L282,"offen")))</f>
        <v/>
      </c>
    </row>
    <row r="283" customFormat="false" ht="15" hidden="false" customHeight="false" outlineLevel="0" collapsed="false">
      <c r="A283" s="32"/>
      <c r="B283" s="33"/>
      <c r="C283" s="32"/>
      <c r="D283" s="32"/>
      <c r="E283" s="30"/>
      <c r="F283" s="32"/>
      <c r="G283" s="44" t="str">
        <f aca="false">IF(B283="","",B283+IF(F283="",Einstellungen!$B$40,F283))</f>
        <v/>
      </c>
      <c r="H283" s="33"/>
      <c r="I283" s="30"/>
      <c r="J283" s="31" t="str">
        <f aca="false">IF(E283="","",E283-N(I283))</f>
        <v/>
      </c>
      <c r="K283" s="43" t="str">
        <f aca="true">IF(OR(E283="",G283=""),"",IF(J283&lt;=0.004,"",MAX(0,TODAY()-G283)))</f>
        <v/>
      </c>
      <c r="L283" s="43" t="str">
        <f aca="false">IF(K283="","",IF(K283&gt;60,3,IF(K283&gt;30,2,IF(K283&gt;0,1,0))))</f>
        <v/>
      </c>
      <c r="M283" s="35" t="str">
        <f aca="false">IF(E283="","",IF(J283&lt;=0.004,"bezahlt",IF(N(K283)&gt;0,"überfällig – Mahnung "&amp;L283,"offen")))</f>
        <v/>
      </c>
    </row>
    <row r="284" customFormat="false" ht="15" hidden="false" customHeight="false" outlineLevel="0" collapsed="false">
      <c r="A284" s="32"/>
      <c r="B284" s="33"/>
      <c r="C284" s="32"/>
      <c r="D284" s="32"/>
      <c r="E284" s="30"/>
      <c r="F284" s="32"/>
      <c r="G284" s="44" t="str">
        <f aca="false">IF(B284="","",B284+IF(F284="",Einstellungen!$B$40,F284))</f>
        <v/>
      </c>
      <c r="H284" s="33"/>
      <c r="I284" s="30"/>
      <c r="J284" s="31" t="str">
        <f aca="false">IF(E284="","",E284-N(I284))</f>
        <v/>
      </c>
      <c r="K284" s="43" t="str">
        <f aca="true">IF(OR(E284="",G284=""),"",IF(J284&lt;=0.004,"",MAX(0,TODAY()-G284)))</f>
        <v/>
      </c>
      <c r="L284" s="43" t="str">
        <f aca="false">IF(K284="","",IF(K284&gt;60,3,IF(K284&gt;30,2,IF(K284&gt;0,1,0))))</f>
        <v/>
      </c>
      <c r="M284" s="35" t="str">
        <f aca="false">IF(E284="","",IF(J284&lt;=0.004,"bezahlt",IF(N(K284)&gt;0,"überfällig – Mahnung "&amp;L284,"offen")))</f>
        <v/>
      </c>
    </row>
    <row r="285" customFormat="false" ht="15" hidden="false" customHeight="false" outlineLevel="0" collapsed="false">
      <c r="A285" s="32"/>
      <c r="B285" s="33"/>
      <c r="C285" s="32"/>
      <c r="D285" s="32"/>
      <c r="E285" s="30"/>
      <c r="F285" s="32"/>
      <c r="G285" s="44" t="str">
        <f aca="false">IF(B285="","",B285+IF(F285="",Einstellungen!$B$40,F285))</f>
        <v/>
      </c>
      <c r="H285" s="33"/>
      <c r="I285" s="30"/>
      <c r="J285" s="31" t="str">
        <f aca="false">IF(E285="","",E285-N(I285))</f>
        <v/>
      </c>
      <c r="K285" s="43" t="str">
        <f aca="true">IF(OR(E285="",G285=""),"",IF(J285&lt;=0.004,"",MAX(0,TODAY()-G285)))</f>
        <v/>
      </c>
      <c r="L285" s="43" t="str">
        <f aca="false">IF(K285="","",IF(K285&gt;60,3,IF(K285&gt;30,2,IF(K285&gt;0,1,0))))</f>
        <v/>
      </c>
      <c r="M285" s="35" t="str">
        <f aca="false">IF(E285="","",IF(J285&lt;=0.004,"bezahlt",IF(N(K285)&gt;0,"überfällig – Mahnung "&amp;L285,"offen")))</f>
        <v/>
      </c>
    </row>
    <row r="286" customFormat="false" ht="15" hidden="false" customHeight="false" outlineLevel="0" collapsed="false">
      <c r="A286" s="32"/>
      <c r="B286" s="33"/>
      <c r="C286" s="32"/>
      <c r="D286" s="32"/>
      <c r="E286" s="30"/>
      <c r="F286" s="32"/>
      <c r="G286" s="44" t="str">
        <f aca="false">IF(B286="","",B286+IF(F286="",Einstellungen!$B$40,F286))</f>
        <v/>
      </c>
      <c r="H286" s="33"/>
      <c r="I286" s="30"/>
      <c r="J286" s="31" t="str">
        <f aca="false">IF(E286="","",E286-N(I286))</f>
        <v/>
      </c>
      <c r="K286" s="43" t="str">
        <f aca="true">IF(OR(E286="",G286=""),"",IF(J286&lt;=0.004,"",MAX(0,TODAY()-G286)))</f>
        <v/>
      </c>
      <c r="L286" s="43" t="str">
        <f aca="false">IF(K286="","",IF(K286&gt;60,3,IF(K286&gt;30,2,IF(K286&gt;0,1,0))))</f>
        <v/>
      </c>
      <c r="M286" s="35" t="str">
        <f aca="false">IF(E286="","",IF(J286&lt;=0.004,"bezahlt",IF(N(K286)&gt;0,"überfällig – Mahnung "&amp;L286,"offen")))</f>
        <v/>
      </c>
    </row>
    <row r="287" customFormat="false" ht="15" hidden="false" customHeight="false" outlineLevel="0" collapsed="false">
      <c r="A287" s="32"/>
      <c r="B287" s="33"/>
      <c r="C287" s="32"/>
      <c r="D287" s="32"/>
      <c r="E287" s="30"/>
      <c r="F287" s="32"/>
      <c r="G287" s="44" t="str">
        <f aca="false">IF(B287="","",B287+IF(F287="",Einstellungen!$B$40,F287))</f>
        <v/>
      </c>
      <c r="H287" s="33"/>
      <c r="I287" s="30"/>
      <c r="J287" s="31" t="str">
        <f aca="false">IF(E287="","",E287-N(I287))</f>
        <v/>
      </c>
      <c r="K287" s="43" t="str">
        <f aca="true">IF(OR(E287="",G287=""),"",IF(J287&lt;=0.004,"",MAX(0,TODAY()-G287)))</f>
        <v/>
      </c>
      <c r="L287" s="43" t="str">
        <f aca="false">IF(K287="","",IF(K287&gt;60,3,IF(K287&gt;30,2,IF(K287&gt;0,1,0))))</f>
        <v/>
      </c>
      <c r="M287" s="35" t="str">
        <f aca="false">IF(E287="","",IF(J287&lt;=0.004,"bezahlt",IF(N(K287)&gt;0,"überfällig – Mahnung "&amp;L287,"offen")))</f>
        <v/>
      </c>
    </row>
    <row r="288" customFormat="false" ht="15" hidden="false" customHeight="false" outlineLevel="0" collapsed="false">
      <c r="A288" s="32"/>
      <c r="B288" s="33"/>
      <c r="C288" s="32"/>
      <c r="D288" s="32"/>
      <c r="E288" s="30"/>
      <c r="F288" s="32"/>
      <c r="G288" s="44" t="str">
        <f aca="false">IF(B288="","",B288+IF(F288="",Einstellungen!$B$40,F288))</f>
        <v/>
      </c>
      <c r="H288" s="33"/>
      <c r="I288" s="30"/>
      <c r="J288" s="31" t="str">
        <f aca="false">IF(E288="","",E288-N(I288))</f>
        <v/>
      </c>
      <c r="K288" s="43" t="str">
        <f aca="true">IF(OR(E288="",G288=""),"",IF(J288&lt;=0.004,"",MAX(0,TODAY()-G288)))</f>
        <v/>
      </c>
      <c r="L288" s="43" t="str">
        <f aca="false">IF(K288="","",IF(K288&gt;60,3,IF(K288&gt;30,2,IF(K288&gt;0,1,0))))</f>
        <v/>
      </c>
      <c r="M288" s="35" t="str">
        <f aca="false">IF(E288="","",IF(J288&lt;=0.004,"bezahlt",IF(N(K288)&gt;0,"überfällig – Mahnung "&amp;L288,"offen")))</f>
        <v/>
      </c>
    </row>
    <row r="289" customFormat="false" ht="15" hidden="false" customHeight="false" outlineLevel="0" collapsed="false">
      <c r="A289" s="32"/>
      <c r="B289" s="33"/>
      <c r="C289" s="32"/>
      <c r="D289" s="32"/>
      <c r="E289" s="30"/>
      <c r="F289" s="32"/>
      <c r="G289" s="44" t="str">
        <f aca="false">IF(B289="","",B289+IF(F289="",Einstellungen!$B$40,F289))</f>
        <v/>
      </c>
      <c r="H289" s="33"/>
      <c r="I289" s="30"/>
      <c r="J289" s="31" t="str">
        <f aca="false">IF(E289="","",E289-N(I289))</f>
        <v/>
      </c>
      <c r="K289" s="43" t="str">
        <f aca="true">IF(OR(E289="",G289=""),"",IF(J289&lt;=0.004,"",MAX(0,TODAY()-G289)))</f>
        <v/>
      </c>
      <c r="L289" s="43" t="str">
        <f aca="false">IF(K289="","",IF(K289&gt;60,3,IF(K289&gt;30,2,IF(K289&gt;0,1,0))))</f>
        <v/>
      </c>
      <c r="M289" s="35" t="str">
        <f aca="false">IF(E289="","",IF(J289&lt;=0.004,"bezahlt",IF(N(K289)&gt;0,"überfällig – Mahnung "&amp;L289,"offen")))</f>
        <v/>
      </c>
    </row>
    <row r="290" customFormat="false" ht="15" hidden="false" customHeight="false" outlineLevel="0" collapsed="false">
      <c r="A290" s="32"/>
      <c r="B290" s="33"/>
      <c r="C290" s="32"/>
      <c r="D290" s="32"/>
      <c r="E290" s="30"/>
      <c r="F290" s="32"/>
      <c r="G290" s="44" t="str">
        <f aca="false">IF(B290="","",B290+IF(F290="",Einstellungen!$B$40,F290))</f>
        <v/>
      </c>
      <c r="H290" s="33"/>
      <c r="I290" s="30"/>
      <c r="J290" s="31" t="str">
        <f aca="false">IF(E290="","",E290-N(I290))</f>
        <v/>
      </c>
      <c r="K290" s="43" t="str">
        <f aca="true">IF(OR(E290="",G290=""),"",IF(J290&lt;=0.004,"",MAX(0,TODAY()-G290)))</f>
        <v/>
      </c>
      <c r="L290" s="43" t="str">
        <f aca="false">IF(K290="","",IF(K290&gt;60,3,IF(K290&gt;30,2,IF(K290&gt;0,1,0))))</f>
        <v/>
      </c>
      <c r="M290" s="35" t="str">
        <f aca="false">IF(E290="","",IF(J290&lt;=0.004,"bezahlt",IF(N(K290)&gt;0,"überfällig – Mahnung "&amp;L290,"offen")))</f>
        <v/>
      </c>
    </row>
    <row r="291" customFormat="false" ht="15" hidden="false" customHeight="false" outlineLevel="0" collapsed="false">
      <c r="A291" s="32"/>
      <c r="B291" s="33"/>
      <c r="C291" s="32"/>
      <c r="D291" s="32"/>
      <c r="E291" s="30"/>
      <c r="F291" s="32"/>
      <c r="G291" s="44" t="str">
        <f aca="false">IF(B291="","",B291+IF(F291="",Einstellungen!$B$40,F291))</f>
        <v/>
      </c>
      <c r="H291" s="33"/>
      <c r="I291" s="30"/>
      <c r="J291" s="31" t="str">
        <f aca="false">IF(E291="","",E291-N(I291))</f>
        <v/>
      </c>
      <c r="K291" s="43" t="str">
        <f aca="true">IF(OR(E291="",G291=""),"",IF(J291&lt;=0.004,"",MAX(0,TODAY()-G291)))</f>
        <v/>
      </c>
      <c r="L291" s="43" t="str">
        <f aca="false">IF(K291="","",IF(K291&gt;60,3,IF(K291&gt;30,2,IF(K291&gt;0,1,0))))</f>
        <v/>
      </c>
      <c r="M291" s="35" t="str">
        <f aca="false">IF(E291="","",IF(J291&lt;=0.004,"bezahlt",IF(N(K291)&gt;0,"überfällig – Mahnung "&amp;L291,"offen")))</f>
        <v/>
      </c>
    </row>
    <row r="292" customFormat="false" ht="15" hidden="false" customHeight="false" outlineLevel="0" collapsed="false">
      <c r="A292" s="32"/>
      <c r="B292" s="33"/>
      <c r="C292" s="32"/>
      <c r="D292" s="32"/>
      <c r="E292" s="30"/>
      <c r="F292" s="32"/>
      <c r="G292" s="44" t="str">
        <f aca="false">IF(B292="","",B292+IF(F292="",Einstellungen!$B$40,F292))</f>
        <v/>
      </c>
      <c r="H292" s="33"/>
      <c r="I292" s="30"/>
      <c r="J292" s="31" t="str">
        <f aca="false">IF(E292="","",E292-N(I292))</f>
        <v/>
      </c>
      <c r="K292" s="43" t="str">
        <f aca="true">IF(OR(E292="",G292=""),"",IF(J292&lt;=0.004,"",MAX(0,TODAY()-G292)))</f>
        <v/>
      </c>
      <c r="L292" s="43" t="str">
        <f aca="false">IF(K292="","",IF(K292&gt;60,3,IF(K292&gt;30,2,IF(K292&gt;0,1,0))))</f>
        <v/>
      </c>
      <c r="M292" s="35" t="str">
        <f aca="false">IF(E292="","",IF(J292&lt;=0.004,"bezahlt",IF(N(K292)&gt;0,"überfällig – Mahnung "&amp;L292,"offen")))</f>
        <v/>
      </c>
    </row>
    <row r="293" customFormat="false" ht="15" hidden="false" customHeight="false" outlineLevel="0" collapsed="false">
      <c r="A293" s="32"/>
      <c r="B293" s="33"/>
      <c r="C293" s="32"/>
      <c r="D293" s="32"/>
      <c r="E293" s="30"/>
      <c r="F293" s="32"/>
      <c r="G293" s="44" t="str">
        <f aca="false">IF(B293="","",B293+IF(F293="",Einstellungen!$B$40,F293))</f>
        <v/>
      </c>
      <c r="H293" s="33"/>
      <c r="I293" s="30"/>
      <c r="J293" s="31" t="str">
        <f aca="false">IF(E293="","",E293-N(I293))</f>
        <v/>
      </c>
      <c r="K293" s="43" t="str">
        <f aca="true">IF(OR(E293="",G293=""),"",IF(J293&lt;=0.004,"",MAX(0,TODAY()-G293)))</f>
        <v/>
      </c>
      <c r="L293" s="43" t="str">
        <f aca="false">IF(K293="","",IF(K293&gt;60,3,IF(K293&gt;30,2,IF(K293&gt;0,1,0))))</f>
        <v/>
      </c>
      <c r="M293" s="35" t="str">
        <f aca="false">IF(E293="","",IF(J293&lt;=0.004,"bezahlt",IF(N(K293)&gt;0,"überfällig – Mahnung "&amp;L293,"offen")))</f>
        <v/>
      </c>
    </row>
    <row r="294" customFormat="false" ht="15" hidden="false" customHeight="false" outlineLevel="0" collapsed="false">
      <c r="A294" s="32"/>
      <c r="B294" s="33"/>
      <c r="C294" s="32"/>
      <c r="D294" s="32"/>
      <c r="E294" s="30"/>
      <c r="F294" s="32"/>
      <c r="G294" s="44" t="str">
        <f aca="false">IF(B294="","",B294+IF(F294="",Einstellungen!$B$40,F294))</f>
        <v/>
      </c>
      <c r="H294" s="33"/>
      <c r="I294" s="30"/>
      <c r="J294" s="31" t="str">
        <f aca="false">IF(E294="","",E294-N(I294))</f>
        <v/>
      </c>
      <c r="K294" s="43" t="str">
        <f aca="true">IF(OR(E294="",G294=""),"",IF(J294&lt;=0.004,"",MAX(0,TODAY()-G294)))</f>
        <v/>
      </c>
      <c r="L294" s="43" t="str">
        <f aca="false">IF(K294="","",IF(K294&gt;60,3,IF(K294&gt;30,2,IF(K294&gt;0,1,0))))</f>
        <v/>
      </c>
      <c r="M294" s="35" t="str">
        <f aca="false">IF(E294="","",IF(J294&lt;=0.004,"bezahlt",IF(N(K294)&gt;0,"überfällig – Mahnung "&amp;L294,"offen")))</f>
        <v/>
      </c>
    </row>
    <row r="295" customFormat="false" ht="15" hidden="false" customHeight="false" outlineLevel="0" collapsed="false">
      <c r="A295" s="32"/>
      <c r="B295" s="33"/>
      <c r="C295" s="32"/>
      <c r="D295" s="32"/>
      <c r="E295" s="30"/>
      <c r="F295" s="32"/>
      <c r="G295" s="44" t="str">
        <f aca="false">IF(B295="","",B295+IF(F295="",Einstellungen!$B$40,F295))</f>
        <v/>
      </c>
      <c r="H295" s="33"/>
      <c r="I295" s="30"/>
      <c r="J295" s="31" t="str">
        <f aca="false">IF(E295="","",E295-N(I295))</f>
        <v/>
      </c>
      <c r="K295" s="43" t="str">
        <f aca="true">IF(OR(E295="",G295=""),"",IF(J295&lt;=0.004,"",MAX(0,TODAY()-G295)))</f>
        <v/>
      </c>
      <c r="L295" s="43" t="str">
        <f aca="false">IF(K295="","",IF(K295&gt;60,3,IF(K295&gt;30,2,IF(K295&gt;0,1,0))))</f>
        <v/>
      </c>
      <c r="M295" s="35" t="str">
        <f aca="false">IF(E295="","",IF(J295&lt;=0.004,"bezahlt",IF(N(K295)&gt;0,"überfällig – Mahnung "&amp;L295,"offen")))</f>
        <v/>
      </c>
    </row>
    <row r="296" customFormat="false" ht="15" hidden="false" customHeight="false" outlineLevel="0" collapsed="false">
      <c r="A296" s="32"/>
      <c r="B296" s="33"/>
      <c r="C296" s="32"/>
      <c r="D296" s="32"/>
      <c r="E296" s="30"/>
      <c r="F296" s="32"/>
      <c r="G296" s="44" t="str">
        <f aca="false">IF(B296="","",B296+IF(F296="",Einstellungen!$B$40,F296))</f>
        <v/>
      </c>
      <c r="H296" s="33"/>
      <c r="I296" s="30"/>
      <c r="J296" s="31" t="str">
        <f aca="false">IF(E296="","",E296-N(I296))</f>
        <v/>
      </c>
      <c r="K296" s="43" t="str">
        <f aca="true">IF(OR(E296="",G296=""),"",IF(J296&lt;=0.004,"",MAX(0,TODAY()-G296)))</f>
        <v/>
      </c>
      <c r="L296" s="43" t="str">
        <f aca="false">IF(K296="","",IF(K296&gt;60,3,IF(K296&gt;30,2,IF(K296&gt;0,1,0))))</f>
        <v/>
      </c>
      <c r="M296" s="35" t="str">
        <f aca="false">IF(E296="","",IF(J296&lt;=0.004,"bezahlt",IF(N(K296)&gt;0,"überfällig – Mahnung "&amp;L296,"offen")))</f>
        <v/>
      </c>
    </row>
    <row r="297" customFormat="false" ht="15" hidden="false" customHeight="false" outlineLevel="0" collapsed="false">
      <c r="A297" s="32"/>
      <c r="B297" s="33"/>
      <c r="C297" s="32"/>
      <c r="D297" s="32"/>
      <c r="E297" s="30"/>
      <c r="F297" s="32"/>
      <c r="G297" s="44" t="str">
        <f aca="false">IF(B297="","",B297+IF(F297="",Einstellungen!$B$40,F297))</f>
        <v/>
      </c>
      <c r="H297" s="33"/>
      <c r="I297" s="30"/>
      <c r="J297" s="31" t="str">
        <f aca="false">IF(E297="","",E297-N(I297))</f>
        <v/>
      </c>
      <c r="K297" s="43" t="str">
        <f aca="true">IF(OR(E297="",G297=""),"",IF(J297&lt;=0.004,"",MAX(0,TODAY()-G297)))</f>
        <v/>
      </c>
      <c r="L297" s="43" t="str">
        <f aca="false">IF(K297="","",IF(K297&gt;60,3,IF(K297&gt;30,2,IF(K297&gt;0,1,0))))</f>
        <v/>
      </c>
      <c r="M297" s="35" t="str">
        <f aca="false">IF(E297="","",IF(J297&lt;=0.004,"bezahlt",IF(N(K297)&gt;0,"überfällig – Mahnung "&amp;L297,"offen")))</f>
        <v/>
      </c>
    </row>
    <row r="298" customFormat="false" ht="15" hidden="false" customHeight="false" outlineLevel="0" collapsed="false">
      <c r="A298" s="32"/>
      <c r="B298" s="33"/>
      <c r="C298" s="32"/>
      <c r="D298" s="32"/>
      <c r="E298" s="30"/>
      <c r="F298" s="32"/>
      <c r="G298" s="44" t="str">
        <f aca="false">IF(B298="","",B298+IF(F298="",Einstellungen!$B$40,F298))</f>
        <v/>
      </c>
      <c r="H298" s="33"/>
      <c r="I298" s="30"/>
      <c r="J298" s="31" t="str">
        <f aca="false">IF(E298="","",E298-N(I298))</f>
        <v/>
      </c>
      <c r="K298" s="43" t="str">
        <f aca="true">IF(OR(E298="",G298=""),"",IF(J298&lt;=0.004,"",MAX(0,TODAY()-G298)))</f>
        <v/>
      </c>
      <c r="L298" s="43" t="str">
        <f aca="false">IF(K298="","",IF(K298&gt;60,3,IF(K298&gt;30,2,IF(K298&gt;0,1,0))))</f>
        <v/>
      </c>
      <c r="M298" s="35" t="str">
        <f aca="false">IF(E298="","",IF(J298&lt;=0.004,"bezahlt",IF(N(K298)&gt;0,"überfällig – Mahnung "&amp;L298,"offen")))</f>
        <v/>
      </c>
    </row>
    <row r="299" customFormat="false" ht="15" hidden="false" customHeight="false" outlineLevel="0" collapsed="false">
      <c r="A299" s="32"/>
      <c r="B299" s="33"/>
      <c r="C299" s="32"/>
      <c r="D299" s="32"/>
      <c r="E299" s="30"/>
      <c r="F299" s="32"/>
      <c r="G299" s="44" t="str">
        <f aca="false">IF(B299="","",B299+IF(F299="",Einstellungen!$B$40,F299))</f>
        <v/>
      </c>
      <c r="H299" s="33"/>
      <c r="I299" s="30"/>
      <c r="J299" s="31" t="str">
        <f aca="false">IF(E299="","",E299-N(I299))</f>
        <v/>
      </c>
      <c r="K299" s="43" t="str">
        <f aca="true">IF(OR(E299="",G299=""),"",IF(J299&lt;=0.004,"",MAX(0,TODAY()-G299)))</f>
        <v/>
      </c>
      <c r="L299" s="43" t="str">
        <f aca="false">IF(K299="","",IF(K299&gt;60,3,IF(K299&gt;30,2,IF(K299&gt;0,1,0))))</f>
        <v/>
      </c>
      <c r="M299" s="35" t="str">
        <f aca="false">IF(E299="","",IF(J299&lt;=0.004,"bezahlt",IF(N(K299)&gt;0,"überfällig – Mahnung "&amp;L299,"offen")))</f>
        <v/>
      </c>
    </row>
    <row r="300" customFormat="false" ht="15" hidden="false" customHeight="false" outlineLevel="0" collapsed="false">
      <c r="A300" s="32"/>
      <c r="B300" s="33"/>
      <c r="C300" s="32"/>
      <c r="D300" s="32"/>
      <c r="E300" s="30"/>
      <c r="F300" s="32"/>
      <c r="G300" s="44" t="str">
        <f aca="false">IF(B300="","",B300+IF(F300="",Einstellungen!$B$40,F300))</f>
        <v/>
      </c>
      <c r="H300" s="33"/>
      <c r="I300" s="30"/>
      <c r="J300" s="31" t="str">
        <f aca="false">IF(E300="","",E300-N(I300))</f>
        <v/>
      </c>
      <c r="K300" s="43" t="str">
        <f aca="true">IF(OR(E300="",G300=""),"",IF(J300&lt;=0.004,"",MAX(0,TODAY()-G300)))</f>
        <v/>
      </c>
      <c r="L300" s="43" t="str">
        <f aca="false">IF(K300="","",IF(K300&gt;60,3,IF(K300&gt;30,2,IF(K300&gt;0,1,0))))</f>
        <v/>
      </c>
      <c r="M300" s="35" t="str">
        <f aca="false">IF(E300="","",IF(J300&lt;=0.004,"bezahlt",IF(N(K300)&gt;0,"überfällig – Mahnung "&amp;L300,"offen")))</f>
        <v/>
      </c>
    </row>
    <row r="301" customFormat="false" ht="15" hidden="false" customHeight="false" outlineLevel="0" collapsed="false">
      <c r="A301" s="32"/>
      <c r="B301" s="33"/>
      <c r="C301" s="32"/>
      <c r="D301" s="32"/>
      <c r="E301" s="30"/>
      <c r="F301" s="32"/>
      <c r="G301" s="44" t="str">
        <f aca="false">IF(B301="","",B301+IF(F301="",Einstellungen!$B$40,F301))</f>
        <v/>
      </c>
      <c r="H301" s="33"/>
      <c r="I301" s="30"/>
      <c r="J301" s="31" t="str">
        <f aca="false">IF(E301="","",E301-N(I301))</f>
        <v/>
      </c>
      <c r="K301" s="43" t="str">
        <f aca="true">IF(OR(E301="",G301=""),"",IF(J301&lt;=0.004,"",MAX(0,TODAY()-G301)))</f>
        <v/>
      </c>
      <c r="L301" s="43" t="str">
        <f aca="false">IF(K301="","",IF(K301&gt;60,3,IF(K301&gt;30,2,IF(K301&gt;0,1,0))))</f>
        <v/>
      </c>
      <c r="M301" s="35" t="str">
        <f aca="false">IF(E301="","",IF(J301&lt;=0.004,"bezahlt",IF(N(K301)&gt;0,"überfällig – Mahnung "&amp;L301,"offen")))</f>
        <v/>
      </c>
    </row>
    <row r="302" customFormat="false" ht="15" hidden="false" customHeight="false" outlineLevel="0" collapsed="false">
      <c r="A302" s="32"/>
      <c r="B302" s="33"/>
      <c r="C302" s="32"/>
      <c r="D302" s="32"/>
      <c r="E302" s="30"/>
      <c r="F302" s="32"/>
      <c r="G302" s="44" t="str">
        <f aca="false">IF(B302="","",B302+IF(F302="",Einstellungen!$B$40,F302))</f>
        <v/>
      </c>
      <c r="H302" s="33"/>
      <c r="I302" s="30"/>
      <c r="J302" s="31" t="str">
        <f aca="false">IF(E302="","",E302-N(I302))</f>
        <v/>
      </c>
      <c r="K302" s="43" t="str">
        <f aca="true">IF(OR(E302="",G302=""),"",IF(J302&lt;=0.004,"",MAX(0,TODAY()-G302)))</f>
        <v/>
      </c>
      <c r="L302" s="43" t="str">
        <f aca="false">IF(K302="","",IF(K302&gt;60,3,IF(K302&gt;30,2,IF(K302&gt;0,1,0))))</f>
        <v/>
      </c>
      <c r="M302" s="35" t="str">
        <f aca="false">IF(E302="","",IF(J302&lt;=0.004,"bezahlt",IF(N(K302)&gt;0,"überfällig – Mahnung "&amp;L302,"offen")))</f>
        <v/>
      </c>
    </row>
    <row r="303" customFormat="false" ht="15" hidden="false" customHeight="false" outlineLevel="0" collapsed="false">
      <c r="A303" s="32"/>
      <c r="B303" s="33"/>
      <c r="C303" s="32"/>
      <c r="D303" s="32"/>
      <c r="E303" s="30"/>
      <c r="F303" s="32"/>
      <c r="G303" s="44" t="str">
        <f aca="false">IF(B303="","",B303+IF(F303="",Einstellungen!$B$40,F303))</f>
        <v/>
      </c>
      <c r="H303" s="33"/>
      <c r="I303" s="30"/>
      <c r="J303" s="31" t="str">
        <f aca="false">IF(E303="","",E303-N(I303))</f>
        <v/>
      </c>
      <c r="K303" s="43" t="str">
        <f aca="true">IF(OR(E303="",G303=""),"",IF(J303&lt;=0.004,"",MAX(0,TODAY()-G303)))</f>
        <v/>
      </c>
      <c r="L303" s="43" t="str">
        <f aca="false">IF(K303="","",IF(K303&gt;60,3,IF(K303&gt;30,2,IF(K303&gt;0,1,0))))</f>
        <v/>
      </c>
      <c r="M303" s="35" t="str">
        <f aca="false">IF(E303="","",IF(J303&lt;=0.004,"bezahlt",IF(N(K303)&gt;0,"überfällig – Mahnung "&amp;L303,"offen")))</f>
        <v/>
      </c>
    </row>
    <row r="304" customFormat="false" ht="15" hidden="false" customHeight="false" outlineLevel="0" collapsed="false">
      <c r="A304" s="32"/>
      <c r="B304" s="33"/>
      <c r="C304" s="32"/>
      <c r="D304" s="32"/>
      <c r="E304" s="30"/>
      <c r="F304" s="32"/>
      <c r="G304" s="44" t="str">
        <f aca="false">IF(B304="","",B304+IF(F304="",Einstellungen!$B$40,F304))</f>
        <v/>
      </c>
      <c r="H304" s="33"/>
      <c r="I304" s="30"/>
      <c r="J304" s="31" t="str">
        <f aca="false">IF(E304="","",E304-N(I304))</f>
        <v/>
      </c>
      <c r="K304" s="43" t="str">
        <f aca="true">IF(OR(E304="",G304=""),"",IF(J304&lt;=0.004,"",MAX(0,TODAY()-G304)))</f>
        <v/>
      </c>
      <c r="L304" s="43" t="str">
        <f aca="false">IF(K304="","",IF(K304&gt;60,3,IF(K304&gt;30,2,IF(K304&gt;0,1,0))))</f>
        <v/>
      </c>
      <c r="M304" s="35" t="str">
        <f aca="false">IF(E304="","",IF(J304&lt;=0.004,"bezahlt",IF(N(K304)&gt;0,"überfällig – Mahnung "&amp;L304,"offen")))</f>
        <v/>
      </c>
    </row>
    <row r="305" customFormat="false" ht="15" hidden="false" customHeight="false" outlineLevel="0" collapsed="false">
      <c r="A305" s="32"/>
      <c r="B305" s="33"/>
      <c r="C305" s="32"/>
      <c r="D305" s="32"/>
      <c r="E305" s="30"/>
      <c r="F305" s="32"/>
      <c r="G305" s="44" t="str">
        <f aca="false">IF(B305="","",B305+IF(F305="",Einstellungen!$B$40,F305))</f>
        <v/>
      </c>
      <c r="H305" s="33"/>
      <c r="I305" s="30"/>
      <c r="J305" s="31" t="str">
        <f aca="false">IF(E305="","",E305-N(I305))</f>
        <v/>
      </c>
      <c r="K305" s="43" t="str">
        <f aca="true">IF(OR(E305="",G305=""),"",IF(J305&lt;=0.004,"",MAX(0,TODAY()-G305)))</f>
        <v/>
      </c>
      <c r="L305" s="43" t="str">
        <f aca="false">IF(K305="","",IF(K305&gt;60,3,IF(K305&gt;30,2,IF(K305&gt;0,1,0))))</f>
        <v/>
      </c>
      <c r="M305" s="35" t="str">
        <f aca="false">IF(E305="","",IF(J305&lt;=0.004,"bezahlt",IF(N(K305)&gt;0,"überfällig – Mahnung "&amp;L305,"offen")))</f>
        <v/>
      </c>
    </row>
    <row r="306" customFormat="false" ht="15" hidden="false" customHeight="false" outlineLevel="0" collapsed="false">
      <c r="A306" s="32"/>
      <c r="B306" s="33"/>
      <c r="C306" s="32"/>
      <c r="D306" s="32"/>
      <c r="E306" s="30"/>
      <c r="F306" s="32"/>
      <c r="G306" s="44" t="str">
        <f aca="false">IF(B306="","",B306+IF(F306="",Einstellungen!$B$40,F306))</f>
        <v/>
      </c>
      <c r="H306" s="33"/>
      <c r="I306" s="30"/>
      <c r="J306" s="31" t="str">
        <f aca="false">IF(E306="","",E306-N(I306))</f>
        <v/>
      </c>
      <c r="K306" s="43" t="str">
        <f aca="true">IF(OR(E306="",G306=""),"",IF(J306&lt;=0.004,"",MAX(0,TODAY()-G306)))</f>
        <v/>
      </c>
      <c r="L306" s="43" t="str">
        <f aca="false">IF(K306="","",IF(K306&gt;60,3,IF(K306&gt;30,2,IF(K306&gt;0,1,0))))</f>
        <v/>
      </c>
      <c r="M306" s="35" t="str">
        <f aca="false">IF(E306="","",IF(J306&lt;=0.004,"bezahlt",IF(N(K306)&gt;0,"überfällig – Mahnung "&amp;L306,"offen")))</f>
        <v/>
      </c>
    </row>
    <row r="307" customFormat="false" ht="15" hidden="false" customHeight="false" outlineLevel="0" collapsed="false">
      <c r="A307" s="32"/>
      <c r="B307" s="33"/>
      <c r="C307" s="32"/>
      <c r="D307" s="32"/>
      <c r="E307" s="30"/>
      <c r="F307" s="32"/>
      <c r="G307" s="44" t="str">
        <f aca="false">IF(B307="","",B307+IF(F307="",Einstellungen!$B$40,F307))</f>
        <v/>
      </c>
      <c r="H307" s="33"/>
      <c r="I307" s="30"/>
      <c r="J307" s="31" t="str">
        <f aca="false">IF(E307="","",E307-N(I307))</f>
        <v/>
      </c>
      <c r="K307" s="43" t="str">
        <f aca="true">IF(OR(E307="",G307=""),"",IF(J307&lt;=0.004,"",MAX(0,TODAY()-G307)))</f>
        <v/>
      </c>
      <c r="L307" s="43" t="str">
        <f aca="false">IF(K307="","",IF(K307&gt;60,3,IF(K307&gt;30,2,IF(K307&gt;0,1,0))))</f>
        <v/>
      </c>
      <c r="M307" s="35" t="str">
        <f aca="false">IF(E307="","",IF(J307&lt;=0.004,"bezahlt",IF(N(K307)&gt;0,"überfällig – Mahnung "&amp;L307,"offen")))</f>
        <v/>
      </c>
    </row>
    <row r="308" customFormat="false" ht="15" hidden="false" customHeight="false" outlineLevel="0" collapsed="false">
      <c r="A308" s="32"/>
      <c r="B308" s="33"/>
      <c r="C308" s="32"/>
      <c r="D308" s="32"/>
      <c r="E308" s="30"/>
      <c r="F308" s="32"/>
      <c r="G308" s="44" t="str">
        <f aca="false">IF(B308="","",B308+IF(F308="",Einstellungen!$B$40,F308))</f>
        <v/>
      </c>
      <c r="H308" s="33"/>
      <c r="I308" s="30"/>
      <c r="J308" s="31" t="str">
        <f aca="false">IF(E308="","",E308-N(I308))</f>
        <v/>
      </c>
      <c r="K308" s="43" t="str">
        <f aca="true">IF(OR(E308="",G308=""),"",IF(J308&lt;=0.004,"",MAX(0,TODAY()-G308)))</f>
        <v/>
      </c>
      <c r="L308" s="43" t="str">
        <f aca="false">IF(K308="","",IF(K308&gt;60,3,IF(K308&gt;30,2,IF(K308&gt;0,1,0))))</f>
        <v/>
      </c>
      <c r="M308" s="35" t="str">
        <f aca="false">IF(E308="","",IF(J308&lt;=0.004,"bezahlt",IF(N(K308)&gt;0,"überfällig – Mahnung "&amp;L308,"offen")))</f>
        <v/>
      </c>
    </row>
    <row r="309" customFormat="false" ht="15" hidden="false" customHeight="false" outlineLevel="0" collapsed="false">
      <c r="A309" s="32"/>
      <c r="B309" s="33"/>
      <c r="C309" s="32"/>
      <c r="D309" s="32"/>
      <c r="E309" s="30"/>
      <c r="F309" s="32"/>
      <c r="G309" s="44" t="str">
        <f aca="false">IF(B309="","",B309+IF(F309="",Einstellungen!$B$40,F309))</f>
        <v/>
      </c>
      <c r="H309" s="33"/>
      <c r="I309" s="30"/>
      <c r="J309" s="31" t="str">
        <f aca="false">IF(E309="","",E309-N(I309))</f>
        <v/>
      </c>
      <c r="K309" s="43" t="str">
        <f aca="true">IF(OR(E309="",G309=""),"",IF(J309&lt;=0.004,"",MAX(0,TODAY()-G309)))</f>
        <v/>
      </c>
      <c r="L309" s="43" t="str">
        <f aca="false">IF(K309="","",IF(K309&gt;60,3,IF(K309&gt;30,2,IF(K309&gt;0,1,0))))</f>
        <v/>
      </c>
      <c r="M309" s="35" t="str">
        <f aca="false">IF(E309="","",IF(J309&lt;=0.004,"bezahlt",IF(N(K309)&gt;0,"überfällig – Mahnung "&amp;L309,"offen")))</f>
        <v/>
      </c>
    </row>
    <row r="310" customFormat="false" ht="15" hidden="false" customHeight="false" outlineLevel="0" collapsed="false">
      <c r="A310" s="32"/>
      <c r="B310" s="33"/>
      <c r="C310" s="32"/>
      <c r="D310" s="32"/>
      <c r="E310" s="30"/>
      <c r="F310" s="32"/>
      <c r="G310" s="44" t="str">
        <f aca="false">IF(B310="","",B310+IF(F310="",Einstellungen!$B$40,F310))</f>
        <v/>
      </c>
      <c r="H310" s="33"/>
      <c r="I310" s="30"/>
      <c r="J310" s="31" t="str">
        <f aca="false">IF(E310="","",E310-N(I310))</f>
        <v/>
      </c>
      <c r="K310" s="43" t="str">
        <f aca="true">IF(OR(E310="",G310=""),"",IF(J310&lt;=0.004,"",MAX(0,TODAY()-G310)))</f>
        <v/>
      </c>
      <c r="L310" s="43" t="str">
        <f aca="false">IF(K310="","",IF(K310&gt;60,3,IF(K310&gt;30,2,IF(K310&gt;0,1,0))))</f>
        <v/>
      </c>
      <c r="M310" s="35" t="str">
        <f aca="false">IF(E310="","",IF(J310&lt;=0.004,"bezahlt",IF(N(K310)&gt;0,"überfällig – Mahnung "&amp;L310,"offen")))</f>
        <v/>
      </c>
    </row>
    <row r="311" customFormat="false" ht="15" hidden="false" customHeight="false" outlineLevel="0" collapsed="false">
      <c r="A311" s="32"/>
      <c r="B311" s="33"/>
      <c r="C311" s="32"/>
      <c r="D311" s="32"/>
      <c r="E311" s="30"/>
      <c r="F311" s="32"/>
      <c r="G311" s="44" t="str">
        <f aca="false">IF(B311="","",B311+IF(F311="",Einstellungen!$B$40,F311))</f>
        <v/>
      </c>
      <c r="H311" s="33"/>
      <c r="I311" s="30"/>
      <c r="J311" s="31" t="str">
        <f aca="false">IF(E311="","",E311-N(I311))</f>
        <v/>
      </c>
      <c r="K311" s="43" t="str">
        <f aca="true">IF(OR(E311="",G311=""),"",IF(J311&lt;=0.004,"",MAX(0,TODAY()-G311)))</f>
        <v/>
      </c>
      <c r="L311" s="43" t="str">
        <f aca="false">IF(K311="","",IF(K311&gt;60,3,IF(K311&gt;30,2,IF(K311&gt;0,1,0))))</f>
        <v/>
      </c>
      <c r="M311" s="35" t="str">
        <f aca="false">IF(E311="","",IF(J311&lt;=0.004,"bezahlt",IF(N(K311)&gt;0,"überfällig – Mahnung "&amp;L311,"offen")))</f>
        <v/>
      </c>
    </row>
    <row r="312" customFormat="false" ht="15" hidden="false" customHeight="false" outlineLevel="0" collapsed="false">
      <c r="A312" s="32"/>
      <c r="B312" s="33"/>
      <c r="C312" s="32"/>
      <c r="D312" s="32"/>
      <c r="E312" s="30"/>
      <c r="F312" s="32"/>
      <c r="G312" s="44" t="str">
        <f aca="false">IF(B312="","",B312+IF(F312="",Einstellungen!$B$40,F312))</f>
        <v/>
      </c>
      <c r="H312" s="33"/>
      <c r="I312" s="30"/>
      <c r="J312" s="31" t="str">
        <f aca="false">IF(E312="","",E312-N(I312))</f>
        <v/>
      </c>
      <c r="K312" s="43" t="str">
        <f aca="true">IF(OR(E312="",G312=""),"",IF(J312&lt;=0.004,"",MAX(0,TODAY()-G312)))</f>
        <v/>
      </c>
      <c r="L312" s="43" t="str">
        <f aca="false">IF(K312="","",IF(K312&gt;60,3,IF(K312&gt;30,2,IF(K312&gt;0,1,0))))</f>
        <v/>
      </c>
      <c r="M312" s="35" t="str">
        <f aca="false">IF(E312="","",IF(J312&lt;=0.004,"bezahlt",IF(N(K312)&gt;0,"überfällig – Mahnung "&amp;L312,"offen")))</f>
        <v/>
      </c>
    </row>
    <row r="313" customFormat="false" ht="15" hidden="false" customHeight="false" outlineLevel="0" collapsed="false">
      <c r="A313" s="32"/>
      <c r="B313" s="33"/>
      <c r="C313" s="32"/>
      <c r="D313" s="32"/>
      <c r="E313" s="30"/>
      <c r="F313" s="32"/>
      <c r="G313" s="44" t="str">
        <f aca="false">IF(B313="","",B313+IF(F313="",Einstellungen!$B$40,F313))</f>
        <v/>
      </c>
      <c r="H313" s="33"/>
      <c r="I313" s="30"/>
      <c r="J313" s="31" t="str">
        <f aca="false">IF(E313="","",E313-N(I313))</f>
        <v/>
      </c>
      <c r="K313" s="43" t="str">
        <f aca="true">IF(OR(E313="",G313=""),"",IF(J313&lt;=0.004,"",MAX(0,TODAY()-G313)))</f>
        <v/>
      </c>
      <c r="L313" s="43" t="str">
        <f aca="false">IF(K313="","",IF(K313&gt;60,3,IF(K313&gt;30,2,IF(K313&gt;0,1,0))))</f>
        <v/>
      </c>
      <c r="M313" s="35" t="str">
        <f aca="false">IF(E313="","",IF(J313&lt;=0.004,"bezahlt",IF(N(K313)&gt;0,"überfällig – Mahnung "&amp;L313,"offen")))</f>
        <v/>
      </c>
    </row>
    <row r="314" customFormat="false" ht="15" hidden="false" customHeight="false" outlineLevel="0" collapsed="false">
      <c r="A314" s="32"/>
      <c r="B314" s="33"/>
      <c r="C314" s="32"/>
      <c r="D314" s="32"/>
      <c r="E314" s="30"/>
      <c r="F314" s="32"/>
      <c r="G314" s="44" t="str">
        <f aca="false">IF(B314="","",B314+IF(F314="",Einstellungen!$B$40,F314))</f>
        <v/>
      </c>
      <c r="H314" s="33"/>
      <c r="I314" s="30"/>
      <c r="J314" s="31" t="str">
        <f aca="false">IF(E314="","",E314-N(I314))</f>
        <v/>
      </c>
      <c r="K314" s="43" t="str">
        <f aca="true">IF(OR(E314="",G314=""),"",IF(J314&lt;=0.004,"",MAX(0,TODAY()-G314)))</f>
        <v/>
      </c>
      <c r="L314" s="43" t="str">
        <f aca="false">IF(K314="","",IF(K314&gt;60,3,IF(K314&gt;30,2,IF(K314&gt;0,1,0))))</f>
        <v/>
      </c>
      <c r="M314" s="35" t="str">
        <f aca="false">IF(E314="","",IF(J314&lt;=0.004,"bezahlt",IF(N(K314)&gt;0,"überfällig – Mahnung "&amp;L314,"offen")))</f>
        <v/>
      </c>
    </row>
    <row r="315" customFormat="false" ht="15" hidden="false" customHeight="false" outlineLevel="0" collapsed="false">
      <c r="A315" s="32"/>
      <c r="B315" s="33"/>
      <c r="C315" s="32"/>
      <c r="D315" s="32"/>
      <c r="E315" s="30"/>
      <c r="F315" s="32"/>
      <c r="G315" s="44" t="str">
        <f aca="false">IF(B315="","",B315+IF(F315="",Einstellungen!$B$40,F315))</f>
        <v/>
      </c>
      <c r="H315" s="33"/>
      <c r="I315" s="30"/>
      <c r="J315" s="31" t="str">
        <f aca="false">IF(E315="","",E315-N(I315))</f>
        <v/>
      </c>
      <c r="K315" s="43" t="str">
        <f aca="true">IF(OR(E315="",G315=""),"",IF(J315&lt;=0.004,"",MAX(0,TODAY()-G315)))</f>
        <v/>
      </c>
      <c r="L315" s="43" t="str">
        <f aca="false">IF(K315="","",IF(K315&gt;60,3,IF(K315&gt;30,2,IF(K315&gt;0,1,0))))</f>
        <v/>
      </c>
      <c r="M315" s="35" t="str">
        <f aca="false">IF(E315="","",IF(J315&lt;=0.004,"bezahlt",IF(N(K315)&gt;0,"überfällig – Mahnung "&amp;L315,"offen")))</f>
        <v/>
      </c>
    </row>
    <row r="316" customFormat="false" ht="15" hidden="false" customHeight="false" outlineLevel="0" collapsed="false">
      <c r="A316" s="32"/>
      <c r="B316" s="33"/>
      <c r="C316" s="32"/>
      <c r="D316" s="32"/>
      <c r="E316" s="30"/>
      <c r="F316" s="32"/>
      <c r="G316" s="44" t="str">
        <f aca="false">IF(B316="","",B316+IF(F316="",Einstellungen!$B$40,F316))</f>
        <v/>
      </c>
      <c r="H316" s="33"/>
      <c r="I316" s="30"/>
      <c r="J316" s="31" t="str">
        <f aca="false">IF(E316="","",E316-N(I316))</f>
        <v/>
      </c>
      <c r="K316" s="43" t="str">
        <f aca="true">IF(OR(E316="",G316=""),"",IF(J316&lt;=0.004,"",MAX(0,TODAY()-G316)))</f>
        <v/>
      </c>
      <c r="L316" s="43" t="str">
        <f aca="false">IF(K316="","",IF(K316&gt;60,3,IF(K316&gt;30,2,IF(K316&gt;0,1,0))))</f>
        <v/>
      </c>
      <c r="M316" s="35" t="str">
        <f aca="false">IF(E316="","",IF(J316&lt;=0.004,"bezahlt",IF(N(K316)&gt;0,"überfällig – Mahnung "&amp;L316,"offen")))</f>
        <v/>
      </c>
    </row>
    <row r="317" customFormat="false" ht="15" hidden="false" customHeight="false" outlineLevel="0" collapsed="false">
      <c r="A317" s="32"/>
      <c r="B317" s="33"/>
      <c r="C317" s="32"/>
      <c r="D317" s="32"/>
      <c r="E317" s="30"/>
      <c r="F317" s="32"/>
      <c r="G317" s="44" t="str">
        <f aca="false">IF(B317="","",B317+IF(F317="",Einstellungen!$B$40,F317))</f>
        <v/>
      </c>
      <c r="H317" s="33"/>
      <c r="I317" s="30"/>
      <c r="J317" s="31" t="str">
        <f aca="false">IF(E317="","",E317-N(I317))</f>
        <v/>
      </c>
      <c r="K317" s="43" t="str">
        <f aca="true">IF(OR(E317="",G317=""),"",IF(J317&lt;=0.004,"",MAX(0,TODAY()-G317)))</f>
        <v/>
      </c>
      <c r="L317" s="43" t="str">
        <f aca="false">IF(K317="","",IF(K317&gt;60,3,IF(K317&gt;30,2,IF(K317&gt;0,1,0))))</f>
        <v/>
      </c>
      <c r="M317" s="35" t="str">
        <f aca="false">IF(E317="","",IF(J317&lt;=0.004,"bezahlt",IF(N(K317)&gt;0,"überfällig – Mahnung "&amp;L317,"offen")))</f>
        <v/>
      </c>
    </row>
    <row r="318" customFormat="false" ht="15" hidden="false" customHeight="false" outlineLevel="0" collapsed="false">
      <c r="A318" s="32"/>
      <c r="B318" s="33"/>
      <c r="C318" s="32"/>
      <c r="D318" s="32"/>
      <c r="E318" s="30"/>
      <c r="F318" s="32"/>
      <c r="G318" s="44" t="str">
        <f aca="false">IF(B318="","",B318+IF(F318="",Einstellungen!$B$40,F318))</f>
        <v/>
      </c>
      <c r="H318" s="33"/>
      <c r="I318" s="30"/>
      <c r="J318" s="31" t="str">
        <f aca="false">IF(E318="","",E318-N(I318))</f>
        <v/>
      </c>
      <c r="K318" s="43" t="str">
        <f aca="true">IF(OR(E318="",G318=""),"",IF(J318&lt;=0.004,"",MAX(0,TODAY()-G318)))</f>
        <v/>
      </c>
      <c r="L318" s="43" t="str">
        <f aca="false">IF(K318="","",IF(K318&gt;60,3,IF(K318&gt;30,2,IF(K318&gt;0,1,0))))</f>
        <v/>
      </c>
      <c r="M318" s="35" t="str">
        <f aca="false">IF(E318="","",IF(J318&lt;=0.004,"bezahlt",IF(N(K318)&gt;0,"überfällig – Mahnung "&amp;L318,"offen")))</f>
        <v/>
      </c>
    </row>
    <row r="319" customFormat="false" ht="15" hidden="false" customHeight="false" outlineLevel="0" collapsed="false">
      <c r="A319" s="32"/>
      <c r="B319" s="33"/>
      <c r="C319" s="32"/>
      <c r="D319" s="32"/>
      <c r="E319" s="30"/>
      <c r="F319" s="32"/>
      <c r="G319" s="44" t="str">
        <f aca="false">IF(B319="","",B319+IF(F319="",Einstellungen!$B$40,F319))</f>
        <v/>
      </c>
      <c r="H319" s="33"/>
      <c r="I319" s="30"/>
      <c r="J319" s="31" t="str">
        <f aca="false">IF(E319="","",E319-N(I319))</f>
        <v/>
      </c>
      <c r="K319" s="43" t="str">
        <f aca="true">IF(OR(E319="",G319=""),"",IF(J319&lt;=0.004,"",MAX(0,TODAY()-G319)))</f>
        <v/>
      </c>
      <c r="L319" s="43" t="str">
        <f aca="false">IF(K319="","",IF(K319&gt;60,3,IF(K319&gt;30,2,IF(K319&gt;0,1,0))))</f>
        <v/>
      </c>
      <c r="M319" s="35" t="str">
        <f aca="false">IF(E319="","",IF(J319&lt;=0.004,"bezahlt",IF(N(K319)&gt;0,"überfällig – Mahnung "&amp;L319,"offen")))</f>
        <v/>
      </c>
    </row>
    <row r="320" customFormat="false" ht="15" hidden="false" customHeight="false" outlineLevel="0" collapsed="false">
      <c r="A320" s="32"/>
      <c r="B320" s="33"/>
      <c r="C320" s="32"/>
      <c r="D320" s="32"/>
      <c r="E320" s="30"/>
      <c r="F320" s="32"/>
      <c r="G320" s="44" t="str">
        <f aca="false">IF(B320="","",B320+IF(F320="",Einstellungen!$B$40,F320))</f>
        <v/>
      </c>
      <c r="H320" s="33"/>
      <c r="I320" s="30"/>
      <c r="J320" s="31" t="str">
        <f aca="false">IF(E320="","",E320-N(I320))</f>
        <v/>
      </c>
      <c r="K320" s="43" t="str">
        <f aca="true">IF(OR(E320="",G320=""),"",IF(J320&lt;=0.004,"",MAX(0,TODAY()-G320)))</f>
        <v/>
      </c>
      <c r="L320" s="43" t="str">
        <f aca="false">IF(K320="","",IF(K320&gt;60,3,IF(K320&gt;30,2,IF(K320&gt;0,1,0))))</f>
        <v/>
      </c>
      <c r="M320" s="35" t="str">
        <f aca="false">IF(E320="","",IF(J320&lt;=0.004,"bezahlt",IF(N(K320)&gt;0,"überfällig – Mahnung "&amp;L320,"offen")))</f>
        <v/>
      </c>
    </row>
    <row r="321" customFormat="false" ht="15" hidden="false" customHeight="false" outlineLevel="0" collapsed="false">
      <c r="A321" s="32"/>
      <c r="B321" s="33"/>
      <c r="C321" s="32"/>
      <c r="D321" s="32"/>
      <c r="E321" s="30"/>
      <c r="F321" s="32"/>
      <c r="G321" s="44" t="str">
        <f aca="false">IF(B321="","",B321+IF(F321="",Einstellungen!$B$40,F321))</f>
        <v/>
      </c>
      <c r="H321" s="33"/>
      <c r="I321" s="30"/>
      <c r="J321" s="31" t="str">
        <f aca="false">IF(E321="","",E321-N(I321))</f>
        <v/>
      </c>
      <c r="K321" s="43" t="str">
        <f aca="true">IF(OR(E321="",G321=""),"",IF(J321&lt;=0.004,"",MAX(0,TODAY()-G321)))</f>
        <v/>
      </c>
      <c r="L321" s="43" t="str">
        <f aca="false">IF(K321="","",IF(K321&gt;60,3,IF(K321&gt;30,2,IF(K321&gt;0,1,0))))</f>
        <v/>
      </c>
      <c r="M321" s="35" t="str">
        <f aca="false">IF(E321="","",IF(J321&lt;=0.004,"bezahlt",IF(N(K321)&gt;0,"überfällig – Mahnung "&amp;L321,"offen")))</f>
        <v/>
      </c>
    </row>
    <row r="322" customFormat="false" ht="15" hidden="false" customHeight="false" outlineLevel="0" collapsed="false">
      <c r="A322" s="32"/>
      <c r="B322" s="33"/>
      <c r="C322" s="32"/>
      <c r="D322" s="32"/>
      <c r="E322" s="30"/>
      <c r="F322" s="32"/>
      <c r="G322" s="44" t="str">
        <f aca="false">IF(B322="","",B322+IF(F322="",Einstellungen!$B$40,F322))</f>
        <v/>
      </c>
      <c r="H322" s="33"/>
      <c r="I322" s="30"/>
      <c r="J322" s="31" t="str">
        <f aca="false">IF(E322="","",E322-N(I322))</f>
        <v/>
      </c>
      <c r="K322" s="43" t="str">
        <f aca="true">IF(OR(E322="",G322=""),"",IF(J322&lt;=0.004,"",MAX(0,TODAY()-G322)))</f>
        <v/>
      </c>
      <c r="L322" s="43" t="str">
        <f aca="false">IF(K322="","",IF(K322&gt;60,3,IF(K322&gt;30,2,IF(K322&gt;0,1,0))))</f>
        <v/>
      </c>
      <c r="M322" s="35" t="str">
        <f aca="false">IF(E322="","",IF(J322&lt;=0.004,"bezahlt",IF(N(K322)&gt;0,"überfällig – Mahnung "&amp;L322,"offen")))</f>
        <v/>
      </c>
    </row>
    <row r="323" customFormat="false" ht="15" hidden="false" customHeight="false" outlineLevel="0" collapsed="false">
      <c r="A323" s="32"/>
      <c r="B323" s="33"/>
      <c r="C323" s="32"/>
      <c r="D323" s="32"/>
      <c r="E323" s="30"/>
      <c r="F323" s="32"/>
      <c r="G323" s="44" t="str">
        <f aca="false">IF(B323="","",B323+IF(F323="",Einstellungen!$B$40,F323))</f>
        <v/>
      </c>
      <c r="H323" s="33"/>
      <c r="I323" s="30"/>
      <c r="J323" s="31" t="str">
        <f aca="false">IF(E323="","",E323-N(I323))</f>
        <v/>
      </c>
      <c r="K323" s="43" t="str">
        <f aca="true">IF(OR(E323="",G323=""),"",IF(J323&lt;=0.004,"",MAX(0,TODAY()-G323)))</f>
        <v/>
      </c>
      <c r="L323" s="43" t="str">
        <f aca="false">IF(K323="","",IF(K323&gt;60,3,IF(K323&gt;30,2,IF(K323&gt;0,1,0))))</f>
        <v/>
      </c>
      <c r="M323" s="35" t="str">
        <f aca="false">IF(E323="","",IF(J323&lt;=0.004,"bezahlt",IF(N(K323)&gt;0,"überfällig – Mahnung "&amp;L323,"offen")))</f>
        <v/>
      </c>
    </row>
    <row r="324" customFormat="false" ht="15" hidden="false" customHeight="false" outlineLevel="0" collapsed="false">
      <c r="A324" s="32"/>
      <c r="B324" s="33"/>
      <c r="C324" s="32"/>
      <c r="D324" s="32"/>
      <c r="E324" s="30"/>
      <c r="F324" s="32"/>
      <c r="G324" s="44" t="str">
        <f aca="false">IF(B324="","",B324+IF(F324="",Einstellungen!$B$40,F324))</f>
        <v/>
      </c>
      <c r="H324" s="33"/>
      <c r="I324" s="30"/>
      <c r="J324" s="31" t="str">
        <f aca="false">IF(E324="","",E324-N(I324))</f>
        <v/>
      </c>
      <c r="K324" s="43" t="str">
        <f aca="true">IF(OR(E324="",G324=""),"",IF(J324&lt;=0.004,"",MAX(0,TODAY()-G324)))</f>
        <v/>
      </c>
      <c r="L324" s="43" t="str">
        <f aca="false">IF(K324="","",IF(K324&gt;60,3,IF(K324&gt;30,2,IF(K324&gt;0,1,0))))</f>
        <v/>
      </c>
      <c r="M324" s="35" t="str">
        <f aca="false">IF(E324="","",IF(J324&lt;=0.004,"bezahlt",IF(N(K324)&gt;0,"überfällig – Mahnung "&amp;L324,"offen")))</f>
        <v/>
      </c>
    </row>
    <row r="325" customFormat="false" ht="15" hidden="false" customHeight="false" outlineLevel="0" collapsed="false">
      <c r="A325" s="32"/>
      <c r="B325" s="33"/>
      <c r="C325" s="32"/>
      <c r="D325" s="32"/>
      <c r="E325" s="30"/>
      <c r="F325" s="32"/>
      <c r="G325" s="44" t="str">
        <f aca="false">IF(B325="","",B325+IF(F325="",Einstellungen!$B$40,F325))</f>
        <v/>
      </c>
      <c r="H325" s="33"/>
      <c r="I325" s="30"/>
      <c r="J325" s="31" t="str">
        <f aca="false">IF(E325="","",E325-N(I325))</f>
        <v/>
      </c>
      <c r="K325" s="43" t="str">
        <f aca="true">IF(OR(E325="",G325=""),"",IF(J325&lt;=0.004,"",MAX(0,TODAY()-G325)))</f>
        <v/>
      </c>
      <c r="L325" s="43" t="str">
        <f aca="false">IF(K325="","",IF(K325&gt;60,3,IF(K325&gt;30,2,IF(K325&gt;0,1,0))))</f>
        <v/>
      </c>
      <c r="M325" s="35" t="str">
        <f aca="false">IF(E325="","",IF(J325&lt;=0.004,"bezahlt",IF(N(K325)&gt;0,"überfällig – Mahnung "&amp;L325,"offen")))</f>
        <v/>
      </c>
    </row>
    <row r="326" customFormat="false" ht="15" hidden="false" customHeight="false" outlineLevel="0" collapsed="false">
      <c r="A326" s="32"/>
      <c r="B326" s="33"/>
      <c r="C326" s="32"/>
      <c r="D326" s="32"/>
      <c r="E326" s="30"/>
      <c r="F326" s="32"/>
      <c r="G326" s="44" t="str">
        <f aca="false">IF(B326="","",B326+IF(F326="",Einstellungen!$B$40,F326))</f>
        <v/>
      </c>
      <c r="H326" s="33"/>
      <c r="I326" s="30"/>
      <c r="J326" s="31" t="str">
        <f aca="false">IF(E326="","",E326-N(I326))</f>
        <v/>
      </c>
      <c r="K326" s="43" t="str">
        <f aca="true">IF(OR(E326="",G326=""),"",IF(J326&lt;=0.004,"",MAX(0,TODAY()-G326)))</f>
        <v/>
      </c>
      <c r="L326" s="43" t="str">
        <f aca="false">IF(K326="","",IF(K326&gt;60,3,IF(K326&gt;30,2,IF(K326&gt;0,1,0))))</f>
        <v/>
      </c>
      <c r="M326" s="35" t="str">
        <f aca="false">IF(E326="","",IF(J326&lt;=0.004,"bezahlt",IF(N(K326)&gt;0,"überfällig – Mahnung "&amp;L326,"offen")))</f>
        <v/>
      </c>
    </row>
    <row r="327" customFormat="false" ht="15" hidden="false" customHeight="false" outlineLevel="0" collapsed="false">
      <c r="A327" s="32"/>
      <c r="B327" s="33"/>
      <c r="C327" s="32"/>
      <c r="D327" s="32"/>
      <c r="E327" s="30"/>
      <c r="F327" s="32"/>
      <c r="G327" s="44" t="str">
        <f aca="false">IF(B327="","",B327+IF(F327="",Einstellungen!$B$40,F327))</f>
        <v/>
      </c>
      <c r="H327" s="33"/>
      <c r="I327" s="30"/>
      <c r="J327" s="31" t="str">
        <f aca="false">IF(E327="","",E327-N(I327))</f>
        <v/>
      </c>
      <c r="K327" s="43" t="str">
        <f aca="true">IF(OR(E327="",G327=""),"",IF(J327&lt;=0.004,"",MAX(0,TODAY()-G327)))</f>
        <v/>
      </c>
      <c r="L327" s="43" t="str">
        <f aca="false">IF(K327="","",IF(K327&gt;60,3,IF(K327&gt;30,2,IF(K327&gt;0,1,0))))</f>
        <v/>
      </c>
      <c r="M327" s="35" t="str">
        <f aca="false">IF(E327="","",IF(J327&lt;=0.004,"bezahlt",IF(N(K327)&gt;0,"überfällig – Mahnung "&amp;L327,"offen")))</f>
        <v/>
      </c>
    </row>
    <row r="328" customFormat="false" ht="15" hidden="false" customHeight="false" outlineLevel="0" collapsed="false">
      <c r="A328" s="32"/>
      <c r="B328" s="33"/>
      <c r="C328" s="32"/>
      <c r="D328" s="32"/>
      <c r="E328" s="30"/>
      <c r="F328" s="32"/>
      <c r="G328" s="44" t="str">
        <f aca="false">IF(B328="","",B328+IF(F328="",Einstellungen!$B$40,F328))</f>
        <v/>
      </c>
      <c r="H328" s="33"/>
      <c r="I328" s="30"/>
      <c r="J328" s="31" t="str">
        <f aca="false">IF(E328="","",E328-N(I328))</f>
        <v/>
      </c>
      <c r="K328" s="43" t="str">
        <f aca="true">IF(OR(E328="",G328=""),"",IF(J328&lt;=0.004,"",MAX(0,TODAY()-G328)))</f>
        <v/>
      </c>
      <c r="L328" s="43" t="str">
        <f aca="false">IF(K328="","",IF(K328&gt;60,3,IF(K328&gt;30,2,IF(K328&gt;0,1,0))))</f>
        <v/>
      </c>
      <c r="M328" s="35" t="str">
        <f aca="false">IF(E328="","",IF(J328&lt;=0.004,"bezahlt",IF(N(K328)&gt;0,"überfällig – Mahnung "&amp;L328,"offen")))</f>
        <v/>
      </c>
    </row>
    <row r="329" customFormat="false" ht="15" hidden="false" customHeight="false" outlineLevel="0" collapsed="false">
      <c r="A329" s="32"/>
      <c r="B329" s="33"/>
      <c r="C329" s="32"/>
      <c r="D329" s="32"/>
      <c r="E329" s="30"/>
      <c r="F329" s="32"/>
      <c r="G329" s="44" t="str">
        <f aca="false">IF(B329="","",B329+IF(F329="",Einstellungen!$B$40,F329))</f>
        <v/>
      </c>
      <c r="H329" s="33"/>
      <c r="I329" s="30"/>
      <c r="J329" s="31" t="str">
        <f aca="false">IF(E329="","",E329-N(I329))</f>
        <v/>
      </c>
      <c r="K329" s="43" t="str">
        <f aca="true">IF(OR(E329="",G329=""),"",IF(J329&lt;=0.004,"",MAX(0,TODAY()-G329)))</f>
        <v/>
      </c>
      <c r="L329" s="43" t="str">
        <f aca="false">IF(K329="","",IF(K329&gt;60,3,IF(K329&gt;30,2,IF(K329&gt;0,1,0))))</f>
        <v/>
      </c>
      <c r="M329" s="35" t="str">
        <f aca="false">IF(E329="","",IF(J329&lt;=0.004,"bezahlt",IF(N(K329)&gt;0,"überfällig – Mahnung "&amp;L329,"offen")))</f>
        <v/>
      </c>
    </row>
    <row r="330" customFormat="false" ht="15" hidden="false" customHeight="false" outlineLevel="0" collapsed="false">
      <c r="A330" s="32"/>
      <c r="B330" s="33"/>
      <c r="C330" s="32"/>
      <c r="D330" s="32"/>
      <c r="E330" s="30"/>
      <c r="F330" s="32"/>
      <c r="G330" s="44" t="str">
        <f aca="false">IF(B330="","",B330+IF(F330="",Einstellungen!$B$40,F330))</f>
        <v/>
      </c>
      <c r="H330" s="33"/>
      <c r="I330" s="30"/>
      <c r="J330" s="31" t="str">
        <f aca="false">IF(E330="","",E330-N(I330))</f>
        <v/>
      </c>
      <c r="K330" s="43" t="str">
        <f aca="true">IF(OR(E330="",G330=""),"",IF(J330&lt;=0.004,"",MAX(0,TODAY()-G330)))</f>
        <v/>
      </c>
      <c r="L330" s="43" t="str">
        <f aca="false">IF(K330="","",IF(K330&gt;60,3,IF(K330&gt;30,2,IF(K330&gt;0,1,0))))</f>
        <v/>
      </c>
      <c r="M330" s="35" t="str">
        <f aca="false">IF(E330="","",IF(J330&lt;=0.004,"bezahlt",IF(N(K330)&gt;0,"überfällig – Mahnung "&amp;L330,"offen")))</f>
        <v/>
      </c>
    </row>
    <row r="331" customFormat="false" ht="15" hidden="false" customHeight="false" outlineLevel="0" collapsed="false">
      <c r="A331" s="32"/>
      <c r="B331" s="33"/>
      <c r="C331" s="32"/>
      <c r="D331" s="32"/>
      <c r="E331" s="30"/>
      <c r="F331" s="32"/>
      <c r="G331" s="44" t="str">
        <f aca="false">IF(B331="","",B331+IF(F331="",Einstellungen!$B$40,F331))</f>
        <v/>
      </c>
      <c r="H331" s="33"/>
      <c r="I331" s="30"/>
      <c r="J331" s="31" t="str">
        <f aca="false">IF(E331="","",E331-N(I331))</f>
        <v/>
      </c>
      <c r="K331" s="43" t="str">
        <f aca="true">IF(OR(E331="",G331=""),"",IF(J331&lt;=0.004,"",MAX(0,TODAY()-G331)))</f>
        <v/>
      </c>
      <c r="L331" s="43" t="str">
        <f aca="false">IF(K331="","",IF(K331&gt;60,3,IF(K331&gt;30,2,IF(K331&gt;0,1,0))))</f>
        <v/>
      </c>
      <c r="M331" s="35" t="str">
        <f aca="false">IF(E331="","",IF(J331&lt;=0.004,"bezahlt",IF(N(K331)&gt;0,"überfällig – Mahnung "&amp;L331,"offen")))</f>
        <v/>
      </c>
    </row>
    <row r="332" customFormat="false" ht="15" hidden="false" customHeight="false" outlineLevel="0" collapsed="false">
      <c r="A332" s="32"/>
      <c r="B332" s="33"/>
      <c r="C332" s="32"/>
      <c r="D332" s="32"/>
      <c r="E332" s="30"/>
      <c r="F332" s="32"/>
      <c r="G332" s="44" t="str">
        <f aca="false">IF(B332="","",B332+IF(F332="",Einstellungen!$B$40,F332))</f>
        <v/>
      </c>
      <c r="H332" s="33"/>
      <c r="I332" s="30"/>
      <c r="J332" s="31" t="str">
        <f aca="false">IF(E332="","",E332-N(I332))</f>
        <v/>
      </c>
      <c r="K332" s="43" t="str">
        <f aca="true">IF(OR(E332="",G332=""),"",IF(J332&lt;=0.004,"",MAX(0,TODAY()-G332)))</f>
        <v/>
      </c>
      <c r="L332" s="43" t="str">
        <f aca="false">IF(K332="","",IF(K332&gt;60,3,IF(K332&gt;30,2,IF(K332&gt;0,1,0))))</f>
        <v/>
      </c>
      <c r="M332" s="35" t="str">
        <f aca="false">IF(E332="","",IF(J332&lt;=0.004,"bezahlt",IF(N(K332)&gt;0,"überfällig – Mahnung "&amp;L332,"offen")))</f>
        <v/>
      </c>
    </row>
    <row r="333" customFormat="false" ht="15" hidden="false" customHeight="false" outlineLevel="0" collapsed="false">
      <c r="A333" s="32"/>
      <c r="B333" s="33"/>
      <c r="C333" s="32"/>
      <c r="D333" s="32"/>
      <c r="E333" s="30"/>
      <c r="F333" s="32"/>
      <c r="G333" s="44" t="str">
        <f aca="false">IF(B333="","",B333+IF(F333="",Einstellungen!$B$40,F333))</f>
        <v/>
      </c>
      <c r="H333" s="33"/>
      <c r="I333" s="30"/>
      <c r="J333" s="31" t="str">
        <f aca="false">IF(E333="","",E333-N(I333))</f>
        <v/>
      </c>
      <c r="K333" s="43" t="str">
        <f aca="true">IF(OR(E333="",G333=""),"",IF(J333&lt;=0.004,"",MAX(0,TODAY()-G333)))</f>
        <v/>
      </c>
      <c r="L333" s="43" t="str">
        <f aca="false">IF(K333="","",IF(K333&gt;60,3,IF(K333&gt;30,2,IF(K333&gt;0,1,0))))</f>
        <v/>
      </c>
      <c r="M333" s="35" t="str">
        <f aca="false">IF(E333="","",IF(J333&lt;=0.004,"bezahlt",IF(N(K333)&gt;0,"überfällig – Mahnung "&amp;L333,"offen")))</f>
        <v/>
      </c>
    </row>
    <row r="334" customFormat="false" ht="15" hidden="false" customHeight="false" outlineLevel="0" collapsed="false">
      <c r="A334" s="32"/>
      <c r="B334" s="33"/>
      <c r="C334" s="32"/>
      <c r="D334" s="32"/>
      <c r="E334" s="30"/>
      <c r="F334" s="32"/>
      <c r="G334" s="44" t="str">
        <f aca="false">IF(B334="","",B334+IF(F334="",Einstellungen!$B$40,F334))</f>
        <v/>
      </c>
      <c r="H334" s="33"/>
      <c r="I334" s="30"/>
      <c r="J334" s="31" t="str">
        <f aca="false">IF(E334="","",E334-N(I334))</f>
        <v/>
      </c>
      <c r="K334" s="43" t="str">
        <f aca="true">IF(OR(E334="",G334=""),"",IF(J334&lt;=0.004,"",MAX(0,TODAY()-G334)))</f>
        <v/>
      </c>
      <c r="L334" s="43" t="str">
        <f aca="false">IF(K334="","",IF(K334&gt;60,3,IF(K334&gt;30,2,IF(K334&gt;0,1,0))))</f>
        <v/>
      </c>
      <c r="M334" s="35" t="str">
        <f aca="false">IF(E334="","",IF(J334&lt;=0.004,"bezahlt",IF(N(K334)&gt;0,"überfällig – Mahnung "&amp;L334,"offen")))</f>
        <v/>
      </c>
    </row>
    <row r="335" customFormat="false" ht="15" hidden="false" customHeight="false" outlineLevel="0" collapsed="false">
      <c r="A335" s="32"/>
      <c r="B335" s="33"/>
      <c r="C335" s="32"/>
      <c r="D335" s="32"/>
      <c r="E335" s="30"/>
      <c r="F335" s="32"/>
      <c r="G335" s="44" t="str">
        <f aca="false">IF(B335="","",B335+IF(F335="",Einstellungen!$B$40,F335))</f>
        <v/>
      </c>
      <c r="H335" s="33"/>
      <c r="I335" s="30"/>
      <c r="J335" s="31" t="str">
        <f aca="false">IF(E335="","",E335-N(I335))</f>
        <v/>
      </c>
      <c r="K335" s="43" t="str">
        <f aca="true">IF(OR(E335="",G335=""),"",IF(J335&lt;=0.004,"",MAX(0,TODAY()-G335)))</f>
        <v/>
      </c>
      <c r="L335" s="43" t="str">
        <f aca="false">IF(K335="","",IF(K335&gt;60,3,IF(K335&gt;30,2,IF(K335&gt;0,1,0))))</f>
        <v/>
      </c>
      <c r="M335" s="35" t="str">
        <f aca="false">IF(E335="","",IF(J335&lt;=0.004,"bezahlt",IF(N(K335)&gt;0,"überfällig – Mahnung "&amp;L335,"offen")))</f>
        <v/>
      </c>
    </row>
    <row r="336" customFormat="false" ht="15" hidden="false" customHeight="false" outlineLevel="0" collapsed="false">
      <c r="A336" s="32"/>
      <c r="B336" s="33"/>
      <c r="C336" s="32"/>
      <c r="D336" s="32"/>
      <c r="E336" s="30"/>
      <c r="F336" s="32"/>
      <c r="G336" s="44" t="str">
        <f aca="false">IF(B336="","",B336+IF(F336="",Einstellungen!$B$40,F336))</f>
        <v/>
      </c>
      <c r="H336" s="33"/>
      <c r="I336" s="30"/>
      <c r="J336" s="31" t="str">
        <f aca="false">IF(E336="","",E336-N(I336))</f>
        <v/>
      </c>
      <c r="K336" s="43" t="str">
        <f aca="true">IF(OR(E336="",G336=""),"",IF(J336&lt;=0.004,"",MAX(0,TODAY()-G336)))</f>
        <v/>
      </c>
      <c r="L336" s="43" t="str">
        <f aca="false">IF(K336="","",IF(K336&gt;60,3,IF(K336&gt;30,2,IF(K336&gt;0,1,0))))</f>
        <v/>
      </c>
      <c r="M336" s="35" t="str">
        <f aca="false">IF(E336="","",IF(J336&lt;=0.004,"bezahlt",IF(N(K336)&gt;0,"überfällig – Mahnung "&amp;L336,"offen")))</f>
        <v/>
      </c>
    </row>
    <row r="337" customFormat="false" ht="15" hidden="false" customHeight="false" outlineLevel="0" collapsed="false">
      <c r="A337" s="32"/>
      <c r="B337" s="33"/>
      <c r="C337" s="32"/>
      <c r="D337" s="32"/>
      <c r="E337" s="30"/>
      <c r="F337" s="32"/>
      <c r="G337" s="44" t="str">
        <f aca="false">IF(B337="","",B337+IF(F337="",Einstellungen!$B$40,F337))</f>
        <v/>
      </c>
      <c r="H337" s="33"/>
      <c r="I337" s="30"/>
      <c r="J337" s="31" t="str">
        <f aca="false">IF(E337="","",E337-N(I337))</f>
        <v/>
      </c>
      <c r="K337" s="43" t="str">
        <f aca="true">IF(OR(E337="",G337=""),"",IF(J337&lt;=0.004,"",MAX(0,TODAY()-G337)))</f>
        <v/>
      </c>
      <c r="L337" s="43" t="str">
        <f aca="false">IF(K337="","",IF(K337&gt;60,3,IF(K337&gt;30,2,IF(K337&gt;0,1,0))))</f>
        <v/>
      </c>
      <c r="M337" s="35" t="str">
        <f aca="false">IF(E337="","",IF(J337&lt;=0.004,"bezahlt",IF(N(K337)&gt;0,"überfällig – Mahnung "&amp;L337,"offen")))</f>
        <v/>
      </c>
    </row>
    <row r="338" customFormat="false" ht="15" hidden="false" customHeight="false" outlineLevel="0" collapsed="false">
      <c r="A338" s="32"/>
      <c r="B338" s="33"/>
      <c r="C338" s="32"/>
      <c r="D338" s="32"/>
      <c r="E338" s="30"/>
      <c r="F338" s="32"/>
      <c r="G338" s="44" t="str">
        <f aca="false">IF(B338="","",B338+IF(F338="",Einstellungen!$B$40,F338))</f>
        <v/>
      </c>
      <c r="H338" s="33"/>
      <c r="I338" s="30"/>
      <c r="J338" s="31" t="str">
        <f aca="false">IF(E338="","",E338-N(I338))</f>
        <v/>
      </c>
      <c r="K338" s="43" t="str">
        <f aca="true">IF(OR(E338="",G338=""),"",IF(J338&lt;=0.004,"",MAX(0,TODAY()-G338)))</f>
        <v/>
      </c>
      <c r="L338" s="43" t="str">
        <f aca="false">IF(K338="","",IF(K338&gt;60,3,IF(K338&gt;30,2,IF(K338&gt;0,1,0))))</f>
        <v/>
      </c>
      <c r="M338" s="35" t="str">
        <f aca="false">IF(E338="","",IF(J338&lt;=0.004,"bezahlt",IF(N(K338)&gt;0,"überfällig – Mahnung "&amp;L338,"offen")))</f>
        <v/>
      </c>
    </row>
    <row r="339" customFormat="false" ht="15" hidden="false" customHeight="false" outlineLevel="0" collapsed="false">
      <c r="A339" s="32"/>
      <c r="B339" s="33"/>
      <c r="C339" s="32"/>
      <c r="D339" s="32"/>
      <c r="E339" s="30"/>
      <c r="F339" s="32"/>
      <c r="G339" s="44" t="str">
        <f aca="false">IF(B339="","",B339+IF(F339="",Einstellungen!$B$40,F339))</f>
        <v/>
      </c>
      <c r="H339" s="33"/>
      <c r="I339" s="30"/>
      <c r="J339" s="31" t="str">
        <f aca="false">IF(E339="","",E339-N(I339))</f>
        <v/>
      </c>
      <c r="K339" s="43" t="str">
        <f aca="true">IF(OR(E339="",G339=""),"",IF(J339&lt;=0.004,"",MAX(0,TODAY()-G339)))</f>
        <v/>
      </c>
      <c r="L339" s="43" t="str">
        <f aca="false">IF(K339="","",IF(K339&gt;60,3,IF(K339&gt;30,2,IF(K339&gt;0,1,0))))</f>
        <v/>
      </c>
      <c r="M339" s="35" t="str">
        <f aca="false">IF(E339="","",IF(J339&lt;=0.004,"bezahlt",IF(N(K339)&gt;0,"überfällig – Mahnung "&amp;L339,"offen")))</f>
        <v/>
      </c>
    </row>
    <row r="340" customFormat="false" ht="15" hidden="false" customHeight="false" outlineLevel="0" collapsed="false">
      <c r="A340" s="32"/>
      <c r="B340" s="33"/>
      <c r="C340" s="32"/>
      <c r="D340" s="32"/>
      <c r="E340" s="30"/>
      <c r="F340" s="32"/>
      <c r="G340" s="44" t="str">
        <f aca="false">IF(B340="","",B340+IF(F340="",Einstellungen!$B$40,F340))</f>
        <v/>
      </c>
      <c r="H340" s="33"/>
      <c r="I340" s="30"/>
      <c r="J340" s="31" t="str">
        <f aca="false">IF(E340="","",E340-N(I340))</f>
        <v/>
      </c>
      <c r="K340" s="43" t="str">
        <f aca="true">IF(OR(E340="",G340=""),"",IF(J340&lt;=0.004,"",MAX(0,TODAY()-G340)))</f>
        <v/>
      </c>
      <c r="L340" s="43" t="str">
        <f aca="false">IF(K340="","",IF(K340&gt;60,3,IF(K340&gt;30,2,IF(K340&gt;0,1,0))))</f>
        <v/>
      </c>
      <c r="M340" s="35" t="str">
        <f aca="false">IF(E340="","",IF(J340&lt;=0.004,"bezahlt",IF(N(K340)&gt;0,"überfällig – Mahnung "&amp;L340,"offen")))</f>
        <v/>
      </c>
    </row>
    <row r="341" customFormat="false" ht="15" hidden="false" customHeight="false" outlineLevel="0" collapsed="false">
      <c r="A341" s="32"/>
      <c r="B341" s="33"/>
      <c r="C341" s="32"/>
      <c r="D341" s="32"/>
      <c r="E341" s="30"/>
      <c r="F341" s="32"/>
      <c r="G341" s="44" t="str">
        <f aca="false">IF(B341="","",B341+IF(F341="",Einstellungen!$B$40,F341))</f>
        <v/>
      </c>
      <c r="H341" s="33"/>
      <c r="I341" s="30"/>
      <c r="J341" s="31" t="str">
        <f aca="false">IF(E341="","",E341-N(I341))</f>
        <v/>
      </c>
      <c r="K341" s="43" t="str">
        <f aca="true">IF(OR(E341="",G341=""),"",IF(J341&lt;=0.004,"",MAX(0,TODAY()-G341)))</f>
        <v/>
      </c>
      <c r="L341" s="43" t="str">
        <f aca="false">IF(K341="","",IF(K341&gt;60,3,IF(K341&gt;30,2,IF(K341&gt;0,1,0))))</f>
        <v/>
      </c>
      <c r="M341" s="35" t="str">
        <f aca="false">IF(E341="","",IF(J341&lt;=0.004,"bezahlt",IF(N(K341)&gt;0,"überfällig – Mahnung "&amp;L341,"offen")))</f>
        <v/>
      </c>
    </row>
    <row r="342" customFormat="false" ht="15" hidden="false" customHeight="false" outlineLevel="0" collapsed="false">
      <c r="A342" s="32"/>
      <c r="B342" s="33"/>
      <c r="C342" s="32"/>
      <c r="D342" s="32"/>
      <c r="E342" s="30"/>
      <c r="F342" s="32"/>
      <c r="G342" s="44" t="str">
        <f aca="false">IF(B342="","",B342+IF(F342="",Einstellungen!$B$40,F342))</f>
        <v/>
      </c>
      <c r="H342" s="33"/>
      <c r="I342" s="30"/>
      <c r="J342" s="31" t="str">
        <f aca="false">IF(E342="","",E342-N(I342))</f>
        <v/>
      </c>
      <c r="K342" s="43" t="str">
        <f aca="true">IF(OR(E342="",G342=""),"",IF(J342&lt;=0.004,"",MAX(0,TODAY()-G342)))</f>
        <v/>
      </c>
      <c r="L342" s="43" t="str">
        <f aca="false">IF(K342="","",IF(K342&gt;60,3,IF(K342&gt;30,2,IF(K342&gt;0,1,0))))</f>
        <v/>
      </c>
      <c r="M342" s="35" t="str">
        <f aca="false">IF(E342="","",IF(J342&lt;=0.004,"bezahlt",IF(N(K342)&gt;0,"überfällig – Mahnung "&amp;L342,"offen")))</f>
        <v/>
      </c>
    </row>
    <row r="343" customFormat="false" ht="15" hidden="false" customHeight="false" outlineLevel="0" collapsed="false">
      <c r="A343" s="32"/>
      <c r="B343" s="33"/>
      <c r="C343" s="32"/>
      <c r="D343" s="32"/>
      <c r="E343" s="30"/>
      <c r="F343" s="32"/>
      <c r="G343" s="44" t="str">
        <f aca="false">IF(B343="","",B343+IF(F343="",Einstellungen!$B$40,F343))</f>
        <v/>
      </c>
      <c r="H343" s="33"/>
      <c r="I343" s="30"/>
      <c r="J343" s="31" t="str">
        <f aca="false">IF(E343="","",E343-N(I343))</f>
        <v/>
      </c>
      <c r="K343" s="43" t="str">
        <f aca="true">IF(OR(E343="",G343=""),"",IF(J343&lt;=0.004,"",MAX(0,TODAY()-G343)))</f>
        <v/>
      </c>
      <c r="L343" s="43" t="str">
        <f aca="false">IF(K343="","",IF(K343&gt;60,3,IF(K343&gt;30,2,IF(K343&gt;0,1,0))))</f>
        <v/>
      </c>
      <c r="M343" s="35" t="str">
        <f aca="false">IF(E343="","",IF(J343&lt;=0.004,"bezahlt",IF(N(K343)&gt;0,"überfällig – Mahnung "&amp;L343,"offen")))</f>
        <v/>
      </c>
    </row>
    <row r="344" customFormat="false" ht="15" hidden="false" customHeight="false" outlineLevel="0" collapsed="false">
      <c r="A344" s="32"/>
      <c r="B344" s="33"/>
      <c r="C344" s="32"/>
      <c r="D344" s="32"/>
      <c r="E344" s="30"/>
      <c r="F344" s="32"/>
      <c r="G344" s="44" t="str">
        <f aca="false">IF(B344="","",B344+IF(F344="",Einstellungen!$B$40,F344))</f>
        <v/>
      </c>
      <c r="H344" s="33"/>
      <c r="I344" s="30"/>
      <c r="J344" s="31" t="str">
        <f aca="false">IF(E344="","",E344-N(I344))</f>
        <v/>
      </c>
      <c r="K344" s="43" t="str">
        <f aca="true">IF(OR(E344="",G344=""),"",IF(J344&lt;=0.004,"",MAX(0,TODAY()-G344)))</f>
        <v/>
      </c>
      <c r="L344" s="43" t="str">
        <f aca="false">IF(K344="","",IF(K344&gt;60,3,IF(K344&gt;30,2,IF(K344&gt;0,1,0))))</f>
        <v/>
      </c>
      <c r="M344" s="35" t="str">
        <f aca="false">IF(E344="","",IF(J344&lt;=0.004,"bezahlt",IF(N(K344)&gt;0,"überfällig – Mahnung "&amp;L344,"offen")))</f>
        <v/>
      </c>
    </row>
    <row r="345" customFormat="false" ht="15" hidden="false" customHeight="false" outlineLevel="0" collapsed="false">
      <c r="A345" s="32"/>
      <c r="B345" s="33"/>
      <c r="C345" s="32"/>
      <c r="D345" s="32"/>
      <c r="E345" s="30"/>
      <c r="F345" s="32"/>
      <c r="G345" s="44" t="str">
        <f aca="false">IF(B345="","",B345+IF(F345="",Einstellungen!$B$40,F345))</f>
        <v/>
      </c>
      <c r="H345" s="33"/>
      <c r="I345" s="30"/>
      <c r="J345" s="31" t="str">
        <f aca="false">IF(E345="","",E345-N(I345))</f>
        <v/>
      </c>
      <c r="K345" s="43" t="str">
        <f aca="true">IF(OR(E345="",G345=""),"",IF(J345&lt;=0.004,"",MAX(0,TODAY()-G345)))</f>
        <v/>
      </c>
      <c r="L345" s="43" t="str">
        <f aca="false">IF(K345="","",IF(K345&gt;60,3,IF(K345&gt;30,2,IF(K345&gt;0,1,0))))</f>
        <v/>
      </c>
      <c r="M345" s="35" t="str">
        <f aca="false">IF(E345="","",IF(J345&lt;=0.004,"bezahlt",IF(N(K345)&gt;0,"überfällig – Mahnung "&amp;L345,"offen")))</f>
        <v/>
      </c>
    </row>
    <row r="346" customFormat="false" ht="15" hidden="false" customHeight="false" outlineLevel="0" collapsed="false">
      <c r="A346" s="32"/>
      <c r="B346" s="33"/>
      <c r="C346" s="32"/>
      <c r="D346" s="32"/>
      <c r="E346" s="30"/>
      <c r="F346" s="32"/>
      <c r="G346" s="44" t="str">
        <f aca="false">IF(B346="","",B346+IF(F346="",Einstellungen!$B$40,F346))</f>
        <v/>
      </c>
      <c r="H346" s="33"/>
      <c r="I346" s="30"/>
      <c r="J346" s="31" t="str">
        <f aca="false">IF(E346="","",E346-N(I346))</f>
        <v/>
      </c>
      <c r="K346" s="43" t="str">
        <f aca="true">IF(OR(E346="",G346=""),"",IF(J346&lt;=0.004,"",MAX(0,TODAY()-G346)))</f>
        <v/>
      </c>
      <c r="L346" s="43" t="str">
        <f aca="false">IF(K346="","",IF(K346&gt;60,3,IF(K346&gt;30,2,IF(K346&gt;0,1,0))))</f>
        <v/>
      </c>
      <c r="M346" s="35" t="str">
        <f aca="false">IF(E346="","",IF(J346&lt;=0.004,"bezahlt",IF(N(K346)&gt;0,"überfällig – Mahnung "&amp;L346,"offen")))</f>
        <v/>
      </c>
    </row>
    <row r="347" customFormat="false" ht="15" hidden="false" customHeight="false" outlineLevel="0" collapsed="false">
      <c r="A347" s="32"/>
      <c r="B347" s="33"/>
      <c r="C347" s="32"/>
      <c r="D347" s="32"/>
      <c r="E347" s="30"/>
      <c r="F347" s="32"/>
      <c r="G347" s="44" t="str">
        <f aca="false">IF(B347="","",B347+IF(F347="",Einstellungen!$B$40,F347))</f>
        <v/>
      </c>
      <c r="H347" s="33"/>
      <c r="I347" s="30"/>
      <c r="J347" s="31" t="str">
        <f aca="false">IF(E347="","",E347-N(I347))</f>
        <v/>
      </c>
      <c r="K347" s="43" t="str">
        <f aca="true">IF(OR(E347="",G347=""),"",IF(J347&lt;=0.004,"",MAX(0,TODAY()-G347)))</f>
        <v/>
      </c>
      <c r="L347" s="43" t="str">
        <f aca="false">IF(K347="","",IF(K347&gt;60,3,IF(K347&gt;30,2,IF(K347&gt;0,1,0))))</f>
        <v/>
      </c>
      <c r="M347" s="35" t="str">
        <f aca="false">IF(E347="","",IF(J347&lt;=0.004,"bezahlt",IF(N(K347)&gt;0,"überfällig – Mahnung "&amp;L347,"offen")))</f>
        <v/>
      </c>
    </row>
    <row r="348" customFormat="false" ht="15" hidden="false" customHeight="false" outlineLevel="0" collapsed="false">
      <c r="A348" s="32"/>
      <c r="B348" s="33"/>
      <c r="C348" s="32"/>
      <c r="D348" s="32"/>
      <c r="E348" s="30"/>
      <c r="F348" s="32"/>
      <c r="G348" s="44" t="str">
        <f aca="false">IF(B348="","",B348+IF(F348="",Einstellungen!$B$40,F348))</f>
        <v/>
      </c>
      <c r="H348" s="33"/>
      <c r="I348" s="30"/>
      <c r="J348" s="31" t="str">
        <f aca="false">IF(E348="","",E348-N(I348))</f>
        <v/>
      </c>
      <c r="K348" s="43" t="str">
        <f aca="true">IF(OR(E348="",G348=""),"",IF(J348&lt;=0.004,"",MAX(0,TODAY()-G348)))</f>
        <v/>
      </c>
      <c r="L348" s="43" t="str">
        <f aca="false">IF(K348="","",IF(K348&gt;60,3,IF(K348&gt;30,2,IF(K348&gt;0,1,0))))</f>
        <v/>
      </c>
      <c r="M348" s="35" t="str">
        <f aca="false">IF(E348="","",IF(J348&lt;=0.004,"bezahlt",IF(N(K348)&gt;0,"überfällig – Mahnung "&amp;L348,"offen")))</f>
        <v/>
      </c>
    </row>
    <row r="349" customFormat="false" ht="15" hidden="false" customHeight="false" outlineLevel="0" collapsed="false">
      <c r="A349" s="32"/>
      <c r="B349" s="33"/>
      <c r="C349" s="32"/>
      <c r="D349" s="32"/>
      <c r="E349" s="30"/>
      <c r="F349" s="32"/>
      <c r="G349" s="44" t="str">
        <f aca="false">IF(B349="","",B349+IF(F349="",Einstellungen!$B$40,F349))</f>
        <v/>
      </c>
      <c r="H349" s="33"/>
      <c r="I349" s="30"/>
      <c r="J349" s="31" t="str">
        <f aca="false">IF(E349="","",E349-N(I349))</f>
        <v/>
      </c>
      <c r="K349" s="43" t="str">
        <f aca="true">IF(OR(E349="",G349=""),"",IF(J349&lt;=0.004,"",MAX(0,TODAY()-G349)))</f>
        <v/>
      </c>
      <c r="L349" s="43" t="str">
        <f aca="false">IF(K349="","",IF(K349&gt;60,3,IF(K349&gt;30,2,IF(K349&gt;0,1,0))))</f>
        <v/>
      </c>
      <c r="M349" s="35" t="str">
        <f aca="false">IF(E349="","",IF(J349&lt;=0.004,"bezahlt",IF(N(K349)&gt;0,"überfällig – Mahnung "&amp;L349,"offen")))</f>
        <v/>
      </c>
    </row>
    <row r="350" customFormat="false" ht="15" hidden="false" customHeight="false" outlineLevel="0" collapsed="false">
      <c r="A350" s="32"/>
      <c r="B350" s="33"/>
      <c r="C350" s="32"/>
      <c r="D350" s="32"/>
      <c r="E350" s="30"/>
      <c r="F350" s="32"/>
      <c r="G350" s="44" t="str">
        <f aca="false">IF(B350="","",B350+IF(F350="",Einstellungen!$B$40,F350))</f>
        <v/>
      </c>
      <c r="H350" s="33"/>
      <c r="I350" s="30"/>
      <c r="J350" s="31" t="str">
        <f aca="false">IF(E350="","",E350-N(I350))</f>
        <v/>
      </c>
      <c r="K350" s="43" t="str">
        <f aca="true">IF(OR(E350="",G350=""),"",IF(J350&lt;=0.004,"",MAX(0,TODAY()-G350)))</f>
        <v/>
      </c>
      <c r="L350" s="43" t="str">
        <f aca="false">IF(K350="","",IF(K350&gt;60,3,IF(K350&gt;30,2,IF(K350&gt;0,1,0))))</f>
        <v/>
      </c>
      <c r="M350" s="35" t="str">
        <f aca="false">IF(E350="","",IF(J350&lt;=0.004,"bezahlt",IF(N(K350)&gt;0,"überfällig – Mahnung "&amp;L350,"offen")))</f>
        <v/>
      </c>
    </row>
    <row r="351" customFormat="false" ht="15" hidden="false" customHeight="false" outlineLevel="0" collapsed="false">
      <c r="A351" s="32"/>
      <c r="B351" s="33"/>
      <c r="C351" s="32"/>
      <c r="D351" s="32"/>
      <c r="E351" s="30"/>
      <c r="F351" s="32"/>
      <c r="G351" s="44" t="str">
        <f aca="false">IF(B351="","",B351+IF(F351="",Einstellungen!$B$40,F351))</f>
        <v/>
      </c>
      <c r="H351" s="33"/>
      <c r="I351" s="30"/>
      <c r="J351" s="31" t="str">
        <f aca="false">IF(E351="","",E351-N(I351))</f>
        <v/>
      </c>
      <c r="K351" s="43" t="str">
        <f aca="true">IF(OR(E351="",G351=""),"",IF(J351&lt;=0.004,"",MAX(0,TODAY()-G351)))</f>
        <v/>
      </c>
      <c r="L351" s="43" t="str">
        <f aca="false">IF(K351="","",IF(K351&gt;60,3,IF(K351&gt;30,2,IF(K351&gt;0,1,0))))</f>
        <v/>
      </c>
      <c r="M351" s="35" t="str">
        <f aca="false">IF(E351="","",IF(J351&lt;=0.004,"bezahlt",IF(N(K351)&gt;0,"überfällig – Mahnung "&amp;L351,"offen")))</f>
        <v/>
      </c>
    </row>
    <row r="352" customFormat="false" ht="15" hidden="false" customHeight="false" outlineLevel="0" collapsed="false">
      <c r="A352" s="32"/>
      <c r="B352" s="33"/>
      <c r="C352" s="32"/>
      <c r="D352" s="32"/>
      <c r="E352" s="30"/>
      <c r="F352" s="32"/>
      <c r="G352" s="44" t="str">
        <f aca="false">IF(B352="","",B352+IF(F352="",Einstellungen!$B$40,F352))</f>
        <v/>
      </c>
      <c r="H352" s="33"/>
      <c r="I352" s="30"/>
      <c r="J352" s="31" t="str">
        <f aca="false">IF(E352="","",E352-N(I352))</f>
        <v/>
      </c>
      <c r="K352" s="43" t="str">
        <f aca="true">IF(OR(E352="",G352=""),"",IF(J352&lt;=0.004,"",MAX(0,TODAY()-G352)))</f>
        <v/>
      </c>
      <c r="L352" s="43" t="str">
        <f aca="false">IF(K352="","",IF(K352&gt;60,3,IF(K352&gt;30,2,IF(K352&gt;0,1,0))))</f>
        <v/>
      </c>
      <c r="M352" s="35" t="str">
        <f aca="false">IF(E352="","",IF(J352&lt;=0.004,"bezahlt",IF(N(K352)&gt;0,"überfällig – Mahnung "&amp;L352,"offen")))</f>
        <v/>
      </c>
    </row>
    <row r="353" customFormat="false" ht="15" hidden="false" customHeight="false" outlineLevel="0" collapsed="false">
      <c r="A353" s="32"/>
      <c r="B353" s="33"/>
      <c r="C353" s="32"/>
      <c r="D353" s="32"/>
      <c r="E353" s="30"/>
      <c r="F353" s="32"/>
      <c r="G353" s="44" t="str">
        <f aca="false">IF(B353="","",B353+IF(F353="",Einstellungen!$B$40,F353))</f>
        <v/>
      </c>
      <c r="H353" s="33"/>
      <c r="I353" s="30"/>
      <c r="J353" s="31" t="str">
        <f aca="false">IF(E353="","",E353-N(I353))</f>
        <v/>
      </c>
      <c r="K353" s="43" t="str">
        <f aca="true">IF(OR(E353="",G353=""),"",IF(J353&lt;=0.004,"",MAX(0,TODAY()-G353)))</f>
        <v/>
      </c>
      <c r="L353" s="43" t="str">
        <f aca="false">IF(K353="","",IF(K353&gt;60,3,IF(K353&gt;30,2,IF(K353&gt;0,1,0))))</f>
        <v/>
      </c>
      <c r="M353" s="35" t="str">
        <f aca="false">IF(E353="","",IF(J353&lt;=0.004,"bezahlt",IF(N(K353)&gt;0,"überfällig – Mahnung "&amp;L353,"offen")))</f>
        <v/>
      </c>
    </row>
    <row r="354" customFormat="false" ht="15" hidden="false" customHeight="false" outlineLevel="0" collapsed="false">
      <c r="A354" s="32"/>
      <c r="B354" s="33"/>
      <c r="C354" s="32"/>
      <c r="D354" s="32"/>
      <c r="E354" s="30"/>
      <c r="F354" s="32"/>
      <c r="G354" s="44" t="str">
        <f aca="false">IF(B354="","",B354+IF(F354="",Einstellungen!$B$40,F354))</f>
        <v/>
      </c>
      <c r="H354" s="33"/>
      <c r="I354" s="30"/>
      <c r="J354" s="31" t="str">
        <f aca="false">IF(E354="","",E354-N(I354))</f>
        <v/>
      </c>
      <c r="K354" s="43" t="str">
        <f aca="true">IF(OR(E354="",G354=""),"",IF(J354&lt;=0.004,"",MAX(0,TODAY()-G354)))</f>
        <v/>
      </c>
      <c r="L354" s="43" t="str">
        <f aca="false">IF(K354="","",IF(K354&gt;60,3,IF(K354&gt;30,2,IF(K354&gt;0,1,0))))</f>
        <v/>
      </c>
      <c r="M354" s="35" t="str">
        <f aca="false">IF(E354="","",IF(J354&lt;=0.004,"bezahlt",IF(N(K354)&gt;0,"überfällig – Mahnung "&amp;L354,"offen")))</f>
        <v/>
      </c>
    </row>
    <row r="355" customFormat="false" ht="15" hidden="false" customHeight="false" outlineLevel="0" collapsed="false">
      <c r="A355" s="32"/>
      <c r="B355" s="33"/>
      <c r="C355" s="32"/>
      <c r="D355" s="32"/>
      <c r="E355" s="30"/>
      <c r="F355" s="32"/>
      <c r="G355" s="44" t="str">
        <f aca="false">IF(B355="","",B355+IF(F355="",Einstellungen!$B$40,F355))</f>
        <v/>
      </c>
      <c r="H355" s="33"/>
      <c r="I355" s="30"/>
      <c r="J355" s="31" t="str">
        <f aca="false">IF(E355="","",E355-N(I355))</f>
        <v/>
      </c>
      <c r="K355" s="43" t="str">
        <f aca="true">IF(OR(E355="",G355=""),"",IF(J355&lt;=0.004,"",MAX(0,TODAY()-G355)))</f>
        <v/>
      </c>
      <c r="L355" s="43" t="str">
        <f aca="false">IF(K355="","",IF(K355&gt;60,3,IF(K355&gt;30,2,IF(K355&gt;0,1,0))))</f>
        <v/>
      </c>
      <c r="M355" s="35" t="str">
        <f aca="false">IF(E355="","",IF(J355&lt;=0.004,"bezahlt",IF(N(K355)&gt;0,"überfällig – Mahnung "&amp;L355,"offen")))</f>
        <v/>
      </c>
    </row>
    <row r="356" customFormat="false" ht="15" hidden="false" customHeight="false" outlineLevel="0" collapsed="false">
      <c r="A356" s="32"/>
      <c r="B356" s="33"/>
      <c r="C356" s="32"/>
      <c r="D356" s="32"/>
      <c r="E356" s="30"/>
      <c r="F356" s="32"/>
      <c r="G356" s="44" t="str">
        <f aca="false">IF(B356="","",B356+IF(F356="",Einstellungen!$B$40,F356))</f>
        <v/>
      </c>
      <c r="H356" s="33"/>
      <c r="I356" s="30"/>
      <c r="J356" s="31" t="str">
        <f aca="false">IF(E356="","",E356-N(I356))</f>
        <v/>
      </c>
      <c r="K356" s="43" t="str">
        <f aca="true">IF(OR(E356="",G356=""),"",IF(J356&lt;=0.004,"",MAX(0,TODAY()-G356)))</f>
        <v/>
      </c>
      <c r="L356" s="43" t="str">
        <f aca="false">IF(K356="","",IF(K356&gt;60,3,IF(K356&gt;30,2,IF(K356&gt;0,1,0))))</f>
        <v/>
      </c>
      <c r="M356" s="35" t="str">
        <f aca="false">IF(E356="","",IF(J356&lt;=0.004,"bezahlt",IF(N(K356)&gt;0,"überfällig – Mahnung "&amp;L356,"offen")))</f>
        <v/>
      </c>
    </row>
    <row r="357" customFormat="false" ht="15" hidden="false" customHeight="false" outlineLevel="0" collapsed="false">
      <c r="A357" s="32"/>
      <c r="B357" s="33"/>
      <c r="C357" s="32"/>
      <c r="D357" s="32"/>
      <c r="E357" s="30"/>
      <c r="F357" s="32"/>
      <c r="G357" s="44" t="str">
        <f aca="false">IF(B357="","",B357+IF(F357="",Einstellungen!$B$40,F357))</f>
        <v/>
      </c>
      <c r="H357" s="33"/>
      <c r="I357" s="30"/>
      <c r="J357" s="31" t="str">
        <f aca="false">IF(E357="","",E357-N(I357))</f>
        <v/>
      </c>
      <c r="K357" s="43" t="str">
        <f aca="true">IF(OR(E357="",G357=""),"",IF(J357&lt;=0.004,"",MAX(0,TODAY()-G357)))</f>
        <v/>
      </c>
      <c r="L357" s="43" t="str">
        <f aca="false">IF(K357="","",IF(K357&gt;60,3,IF(K357&gt;30,2,IF(K357&gt;0,1,0))))</f>
        <v/>
      </c>
      <c r="M357" s="35" t="str">
        <f aca="false">IF(E357="","",IF(J357&lt;=0.004,"bezahlt",IF(N(K357)&gt;0,"überfällig – Mahnung "&amp;L357,"offen")))</f>
        <v/>
      </c>
    </row>
    <row r="358" customFormat="false" ht="15" hidden="false" customHeight="false" outlineLevel="0" collapsed="false">
      <c r="A358" s="32"/>
      <c r="B358" s="33"/>
      <c r="C358" s="32"/>
      <c r="D358" s="32"/>
      <c r="E358" s="30"/>
      <c r="F358" s="32"/>
      <c r="G358" s="44" t="str">
        <f aca="false">IF(B358="","",B358+IF(F358="",Einstellungen!$B$40,F358))</f>
        <v/>
      </c>
      <c r="H358" s="33"/>
      <c r="I358" s="30"/>
      <c r="J358" s="31" t="str">
        <f aca="false">IF(E358="","",E358-N(I358))</f>
        <v/>
      </c>
      <c r="K358" s="43" t="str">
        <f aca="true">IF(OR(E358="",G358=""),"",IF(J358&lt;=0.004,"",MAX(0,TODAY()-G358)))</f>
        <v/>
      </c>
      <c r="L358" s="43" t="str">
        <f aca="false">IF(K358="","",IF(K358&gt;60,3,IF(K358&gt;30,2,IF(K358&gt;0,1,0))))</f>
        <v/>
      </c>
      <c r="M358" s="35" t="str">
        <f aca="false">IF(E358="","",IF(J358&lt;=0.004,"bezahlt",IF(N(K358)&gt;0,"überfällig – Mahnung "&amp;L358,"offen")))</f>
        <v/>
      </c>
    </row>
    <row r="359" customFormat="false" ht="15" hidden="false" customHeight="false" outlineLevel="0" collapsed="false">
      <c r="A359" s="32"/>
      <c r="B359" s="33"/>
      <c r="C359" s="32"/>
      <c r="D359" s="32"/>
      <c r="E359" s="30"/>
      <c r="F359" s="32"/>
      <c r="G359" s="44" t="str">
        <f aca="false">IF(B359="","",B359+IF(F359="",Einstellungen!$B$40,F359))</f>
        <v/>
      </c>
      <c r="H359" s="33"/>
      <c r="I359" s="30"/>
      <c r="J359" s="31" t="str">
        <f aca="false">IF(E359="","",E359-N(I359))</f>
        <v/>
      </c>
      <c r="K359" s="43" t="str">
        <f aca="true">IF(OR(E359="",G359=""),"",IF(J359&lt;=0.004,"",MAX(0,TODAY()-G359)))</f>
        <v/>
      </c>
      <c r="L359" s="43" t="str">
        <f aca="false">IF(K359="","",IF(K359&gt;60,3,IF(K359&gt;30,2,IF(K359&gt;0,1,0))))</f>
        <v/>
      </c>
      <c r="M359" s="35" t="str">
        <f aca="false">IF(E359="","",IF(J359&lt;=0.004,"bezahlt",IF(N(K359)&gt;0,"überfällig – Mahnung "&amp;L359,"offen")))</f>
        <v/>
      </c>
    </row>
    <row r="360" customFormat="false" ht="15" hidden="false" customHeight="false" outlineLevel="0" collapsed="false">
      <c r="A360" s="32"/>
      <c r="B360" s="33"/>
      <c r="C360" s="32"/>
      <c r="D360" s="32"/>
      <c r="E360" s="30"/>
      <c r="F360" s="32"/>
      <c r="G360" s="44" t="str">
        <f aca="false">IF(B360="","",B360+IF(F360="",Einstellungen!$B$40,F360))</f>
        <v/>
      </c>
      <c r="H360" s="33"/>
      <c r="I360" s="30"/>
      <c r="J360" s="31" t="str">
        <f aca="false">IF(E360="","",E360-N(I360))</f>
        <v/>
      </c>
      <c r="K360" s="43" t="str">
        <f aca="true">IF(OR(E360="",G360=""),"",IF(J360&lt;=0.004,"",MAX(0,TODAY()-G360)))</f>
        <v/>
      </c>
      <c r="L360" s="43" t="str">
        <f aca="false">IF(K360="","",IF(K360&gt;60,3,IF(K360&gt;30,2,IF(K360&gt;0,1,0))))</f>
        <v/>
      </c>
      <c r="M360" s="35" t="str">
        <f aca="false">IF(E360="","",IF(J360&lt;=0.004,"bezahlt",IF(N(K360)&gt;0,"überfällig – Mahnung "&amp;L360,"offen")))</f>
        <v/>
      </c>
    </row>
    <row r="361" customFormat="false" ht="15" hidden="false" customHeight="false" outlineLevel="0" collapsed="false">
      <c r="A361" s="32"/>
      <c r="B361" s="33"/>
      <c r="C361" s="32"/>
      <c r="D361" s="32"/>
      <c r="E361" s="30"/>
      <c r="F361" s="32"/>
      <c r="G361" s="44" t="str">
        <f aca="false">IF(B361="","",B361+IF(F361="",Einstellungen!$B$40,F361))</f>
        <v/>
      </c>
      <c r="H361" s="33"/>
      <c r="I361" s="30"/>
      <c r="J361" s="31" t="str">
        <f aca="false">IF(E361="","",E361-N(I361))</f>
        <v/>
      </c>
      <c r="K361" s="43" t="str">
        <f aca="true">IF(OR(E361="",G361=""),"",IF(J361&lt;=0.004,"",MAX(0,TODAY()-G361)))</f>
        <v/>
      </c>
      <c r="L361" s="43" t="str">
        <f aca="false">IF(K361="","",IF(K361&gt;60,3,IF(K361&gt;30,2,IF(K361&gt;0,1,0))))</f>
        <v/>
      </c>
      <c r="M361" s="35" t="str">
        <f aca="false">IF(E361="","",IF(J361&lt;=0.004,"bezahlt",IF(N(K361)&gt;0,"überfällig – Mahnung "&amp;L361,"offen")))</f>
        <v/>
      </c>
    </row>
    <row r="362" customFormat="false" ht="15" hidden="false" customHeight="false" outlineLevel="0" collapsed="false">
      <c r="A362" s="32"/>
      <c r="B362" s="33"/>
      <c r="C362" s="32"/>
      <c r="D362" s="32"/>
      <c r="E362" s="30"/>
      <c r="F362" s="32"/>
      <c r="G362" s="44" t="str">
        <f aca="false">IF(B362="","",B362+IF(F362="",Einstellungen!$B$40,F362))</f>
        <v/>
      </c>
      <c r="H362" s="33"/>
      <c r="I362" s="30"/>
      <c r="J362" s="31" t="str">
        <f aca="false">IF(E362="","",E362-N(I362))</f>
        <v/>
      </c>
      <c r="K362" s="43" t="str">
        <f aca="true">IF(OR(E362="",G362=""),"",IF(J362&lt;=0.004,"",MAX(0,TODAY()-G362)))</f>
        <v/>
      </c>
      <c r="L362" s="43" t="str">
        <f aca="false">IF(K362="","",IF(K362&gt;60,3,IF(K362&gt;30,2,IF(K362&gt;0,1,0))))</f>
        <v/>
      </c>
      <c r="M362" s="35" t="str">
        <f aca="false">IF(E362="","",IF(J362&lt;=0.004,"bezahlt",IF(N(K362)&gt;0,"überfällig – Mahnung "&amp;L362,"offen")))</f>
        <v/>
      </c>
    </row>
    <row r="363" customFormat="false" ht="15" hidden="false" customHeight="false" outlineLevel="0" collapsed="false">
      <c r="A363" s="32"/>
      <c r="B363" s="33"/>
      <c r="C363" s="32"/>
      <c r="D363" s="32"/>
      <c r="E363" s="30"/>
      <c r="F363" s="32"/>
      <c r="G363" s="44" t="str">
        <f aca="false">IF(B363="","",B363+IF(F363="",Einstellungen!$B$40,F363))</f>
        <v/>
      </c>
      <c r="H363" s="33"/>
      <c r="I363" s="30"/>
      <c r="J363" s="31" t="str">
        <f aca="false">IF(E363="","",E363-N(I363))</f>
        <v/>
      </c>
      <c r="K363" s="43" t="str">
        <f aca="true">IF(OR(E363="",G363=""),"",IF(J363&lt;=0.004,"",MAX(0,TODAY()-G363)))</f>
        <v/>
      </c>
      <c r="L363" s="43" t="str">
        <f aca="false">IF(K363="","",IF(K363&gt;60,3,IF(K363&gt;30,2,IF(K363&gt;0,1,0))))</f>
        <v/>
      </c>
      <c r="M363" s="35" t="str">
        <f aca="false">IF(E363="","",IF(J363&lt;=0.004,"bezahlt",IF(N(K363)&gt;0,"überfällig – Mahnung "&amp;L363,"offen")))</f>
        <v/>
      </c>
    </row>
    <row r="364" customFormat="false" ht="15" hidden="false" customHeight="false" outlineLevel="0" collapsed="false">
      <c r="A364" s="32"/>
      <c r="B364" s="33"/>
      <c r="C364" s="32"/>
      <c r="D364" s="32"/>
      <c r="E364" s="30"/>
      <c r="F364" s="32"/>
      <c r="G364" s="44" t="str">
        <f aca="false">IF(B364="","",B364+IF(F364="",Einstellungen!$B$40,F364))</f>
        <v/>
      </c>
      <c r="H364" s="33"/>
      <c r="I364" s="30"/>
      <c r="J364" s="31" t="str">
        <f aca="false">IF(E364="","",E364-N(I364))</f>
        <v/>
      </c>
      <c r="K364" s="43" t="str">
        <f aca="true">IF(OR(E364="",G364=""),"",IF(J364&lt;=0.004,"",MAX(0,TODAY()-G364)))</f>
        <v/>
      </c>
      <c r="L364" s="43" t="str">
        <f aca="false">IF(K364="","",IF(K364&gt;60,3,IF(K364&gt;30,2,IF(K364&gt;0,1,0))))</f>
        <v/>
      </c>
      <c r="M364" s="35" t="str">
        <f aca="false">IF(E364="","",IF(J364&lt;=0.004,"bezahlt",IF(N(K364)&gt;0,"überfällig – Mahnung "&amp;L364,"offen")))</f>
        <v/>
      </c>
    </row>
    <row r="365" customFormat="false" ht="15" hidden="false" customHeight="false" outlineLevel="0" collapsed="false">
      <c r="A365" s="32"/>
      <c r="B365" s="33"/>
      <c r="C365" s="32"/>
      <c r="D365" s="32"/>
      <c r="E365" s="30"/>
      <c r="F365" s="32"/>
      <c r="G365" s="44" t="str">
        <f aca="false">IF(B365="","",B365+IF(F365="",Einstellungen!$B$40,F365))</f>
        <v/>
      </c>
      <c r="H365" s="33"/>
      <c r="I365" s="30"/>
      <c r="J365" s="31" t="str">
        <f aca="false">IF(E365="","",E365-N(I365))</f>
        <v/>
      </c>
      <c r="K365" s="43" t="str">
        <f aca="true">IF(OR(E365="",G365=""),"",IF(J365&lt;=0.004,"",MAX(0,TODAY()-G365)))</f>
        <v/>
      </c>
      <c r="L365" s="43" t="str">
        <f aca="false">IF(K365="","",IF(K365&gt;60,3,IF(K365&gt;30,2,IF(K365&gt;0,1,0))))</f>
        <v/>
      </c>
      <c r="M365" s="35" t="str">
        <f aca="false">IF(E365="","",IF(J365&lt;=0.004,"bezahlt",IF(N(K365)&gt;0,"überfällig – Mahnung "&amp;L365,"offen")))</f>
        <v/>
      </c>
    </row>
    <row r="366" customFormat="false" ht="15" hidden="false" customHeight="false" outlineLevel="0" collapsed="false">
      <c r="A366" s="32"/>
      <c r="B366" s="33"/>
      <c r="C366" s="32"/>
      <c r="D366" s="32"/>
      <c r="E366" s="30"/>
      <c r="F366" s="32"/>
      <c r="G366" s="44" t="str">
        <f aca="false">IF(B366="","",B366+IF(F366="",Einstellungen!$B$40,F366))</f>
        <v/>
      </c>
      <c r="H366" s="33"/>
      <c r="I366" s="30"/>
      <c r="J366" s="31" t="str">
        <f aca="false">IF(E366="","",E366-N(I366))</f>
        <v/>
      </c>
      <c r="K366" s="43" t="str">
        <f aca="true">IF(OR(E366="",G366=""),"",IF(J366&lt;=0.004,"",MAX(0,TODAY()-G366)))</f>
        <v/>
      </c>
      <c r="L366" s="43" t="str">
        <f aca="false">IF(K366="","",IF(K366&gt;60,3,IF(K366&gt;30,2,IF(K366&gt;0,1,0))))</f>
        <v/>
      </c>
      <c r="M366" s="35" t="str">
        <f aca="false">IF(E366="","",IF(J366&lt;=0.004,"bezahlt",IF(N(K366)&gt;0,"überfällig – Mahnung "&amp;L366,"offen")))</f>
        <v/>
      </c>
    </row>
    <row r="367" customFormat="false" ht="15" hidden="false" customHeight="false" outlineLevel="0" collapsed="false">
      <c r="A367" s="32"/>
      <c r="B367" s="33"/>
      <c r="C367" s="32"/>
      <c r="D367" s="32"/>
      <c r="E367" s="30"/>
      <c r="F367" s="32"/>
      <c r="G367" s="44" t="str">
        <f aca="false">IF(B367="","",B367+IF(F367="",Einstellungen!$B$40,F367))</f>
        <v/>
      </c>
      <c r="H367" s="33"/>
      <c r="I367" s="30"/>
      <c r="J367" s="31" t="str">
        <f aca="false">IF(E367="","",E367-N(I367))</f>
        <v/>
      </c>
      <c r="K367" s="43" t="str">
        <f aca="true">IF(OR(E367="",G367=""),"",IF(J367&lt;=0.004,"",MAX(0,TODAY()-G367)))</f>
        <v/>
      </c>
      <c r="L367" s="43" t="str">
        <f aca="false">IF(K367="","",IF(K367&gt;60,3,IF(K367&gt;30,2,IF(K367&gt;0,1,0))))</f>
        <v/>
      </c>
      <c r="M367" s="35" t="str">
        <f aca="false">IF(E367="","",IF(J367&lt;=0.004,"bezahlt",IF(N(K367)&gt;0,"überfällig – Mahnung "&amp;L367,"offen")))</f>
        <v/>
      </c>
    </row>
    <row r="368" customFormat="false" ht="15" hidden="false" customHeight="false" outlineLevel="0" collapsed="false">
      <c r="A368" s="32"/>
      <c r="B368" s="33"/>
      <c r="C368" s="32"/>
      <c r="D368" s="32"/>
      <c r="E368" s="30"/>
      <c r="F368" s="32"/>
      <c r="G368" s="44" t="str">
        <f aca="false">IF(B368="","",B368+IF(F368="",Einstellungen!$B$40,F368))</f>
        <v/>
      </c>
      <c r="H368" s="33"/>
      <c r="I368" s="30"/>
      <c r="J368" s="31" t="str">
        <f aca="false">IF(E368="","",E368-N(I368))</f>
        <v/>
      </c>
      <c r="K368" s="43" t="str">
        <f aca="true">IF(OR(E368="",G368=""),"",IF(J368&lt;=0.004,"",MAX(0,TODAY()-G368)))</f>
        <v/>
      </c>
      <c r="L368" s="43" t="str">
        <f aca="false">IF(K368="","",IF(K368&gt;60,3,IF(K368&gt;30,2,IF(K368&gt;0,1,0))))</f>
        <v/>
      </c>
      <c r="M368" s="35" t="str">
        <f aca="false">IF(E368="","",IF(J368&lt;=0.004,"bezahlt",IF(N(K368)&gt;0,"überfällig – Mahnung "&amp;L368,"offen")))</f>
        <v/>
      </c>
    </row>
    <row r="369" customFormat="false" ht="15" hidden="false" customHeight="false" outlineLevel="0" collapsed="false">
      <c r="A369" s="32"/>
      <c r="B369" s="33"/>
      <c r="C369" s="32"/>
      <c r="D369" s="32"/>
      <c r="E369" s="30"/>
      <c r="F369" s="32"/>
      <c r="G369" s="44" t="str">
        <f aca="false">IF(B369="","",B369+IF(F369="",Einstellungen!$B$40,F369))</f>
        <v/>
      </c>
      <c r="H369" s="33"/>
      <c r="I369" s="30"/>
      <c r="J369" s="31" t="str">
        <f aca="false">IF(E369="","",E369-N(I369))</f>
        <v/>
      </c>
      <c r="K369" s="43" t="str">
        <f aca="true">IF(OR(E369="",G369=""),"",IF(J369&lt;=0.004,"",MAX(0,TODAY()-G369)))</f>
        <v/>
      </c>
      <c r="L369" s="43" t="str">
        <f aca="false">IF(K369="","",IF(K369&gt;60,3,IF(K369&gt;30,2,IF(K369&gt;0,1,0))))</f>
        <v/>
      </c>
      <c r="M369" s="35" t="str">
        <f aca="false">IF(E369="","",IF(J369&lt;=0.004,"bezahlt",IF(N(K369)&gt;0,"überfällig – Mahnung "&amp;L369,"offen")))</f>
        <v/>
      </c>
    </row>
    <row r="370" customFormat="false" ht="15" hidden="false" customHeight="false" outlineLevel="0" collapsed="false">
      <c r="A370" s="32"/>
      <c r="B370" s="33"/>
      <c r="C370" s="32"/>
      <c r="D370" s="32"/>
      <c r="E370" s="30"/>
      <c r="F370" s="32"/>
      <c r="G370" s="44" t="str">
        <f aca="false">IF(B370="","",B370+IF(F370="",Einstellungen!$B$40,F370))</f>
        <v/>
      </c>
      <c r="H370" s="33"/>
      <c r="I370" s="30"/>
      <c r="J370" s="31" t="str">
        <f aca="false">IF(E370="","",E370-N(I370))</f>
        <v/>
      </c>
      <c r="K370" s="43" t="str">
        <f aca="true">IF(OR(E370="",G370=""),"",IF(J370&lt;=0.004,"",MAX(0,TODAY()-G370)))</f>
        <v/>
      </c>
      <c r="L370" s="43" t="str">
        <f aca="false">IF(K370="","",IF(K370&gt;60,3,IF(K370&gt;30,2,IF(K370&gt;0,1,0))))</f>
        <v/>
      </c>
      <c r="M370" s="35" t="str">
        <f aca="false">IF(E370="","",IF(J370&lt;=0.004,"bezahlt",IF(N(K370)&gt;0,"überfällig – Mahnung "&amp;L370,"offen")))</f>
        <v/>
      </c>
    </row>
    <row r="371" customFormat="false" ht="15" hidden="false" customHeight="false" outlineLevel="0" collapsed="false">
      <c r="A371" s="32"/>
      <c r="B371" s="33"/>
      <c r="C371" s="32"/>
      <c r="D371" s="32"/>
      <c r="E371" s="30"/>
      <c r="F371" s="32"/>
      <c r="G371" s="44" t="str">
        <f aca="false">IF(B371="","",B371+IF(F371="",Einstellungen!$B$40,F371))</f>
        <v/>
      </c>
      <c r="H371" s="33"/>
      <c r="I371" s="30"/>
      <c r="J371" s="31" t="str">
        <f aca="false">IF(E371="","",E371-N(I371))</f>
        <v/>
      </c>
      <c r="K371" s="43" t="str">
        <f aca="true">IF(OR(E371="",G371=""),"",IF(J371&lt;=0.004,"",MAX(0,TODAY()-G371)))</f>
        <v/>
      </c>
      <c r="L371" s="43" t="str">
        <f aca="false">IF(K371="","",IF(K371&gt;60,3,IF(K371&gt;30,2,IF(K371&gt;0,1,0))))</f>
        <v/>
      </c>
      <c r="M371" s="35" t="str">
        <f aca="false">IF(E371="","",IF(J371&lt;=0.004,"bezahlt",IF(N(K371)&gt;0,"überfällig – Mahnung "&amp;L371,"offen")))</f>
        <v/>
      </c>
    </row>
    <row r="372" customFormat="false" ht="15" hidden="false" customHeight="false" outlineLevel="0" collapsed="false">
      <c r="A372" s="32"/>
      <c r="B372" s="33"/>
      <c r="C372" s="32"/>
      <c r="D372" s="32"/>
      <c r="E372" s="30"/>
      <c r="F372" s="32"/>
      <c r="G372" s="44" t="str">
        <f aca="false">IF(B372="","",B372+IF(F372="",Einstellungen!$B$40,F372))</f>
        <v/>
      </c>
      <c r="H372" s="33"/>
      <c r="I372" s="30"/>
      <c r="J372" s="31" t="str">
        <f aca="false">IF(E372="","",E372-N(I372))</f>
        <v/>
      </c>
      <c r="K372" s="43" t="str">
        <f aca="true">IF(OR(E372="",G372=""),"",IF(J372&lt;=0.004,"",MAX(0,TODAY()-G372)))</f>
        <v/>
      </c>
      <c r="L372" s="43" t="str">
        <f aca="false">IF(K372="","",IF(K372&gt;60,3,IF(K372&gt;30,2,IF(K372&gt;0,1,0))))</f>
        <v/>
      </c>
      <c r="M372" s="35" t="str">
        <f aca="false">IF(E372="","",IF(J372&lt;=0.004,"bezahlt",IF(N(K372)&gt;0,"überfällig – Mahnung "&amp;L372,"offen")))</f>
        <v/>
      </c>
    </row>
    <row r="373" customFormat="false" ht="15" hidden="false" customHeight="false" outlineLevel="0" collapsed="false">
      <c r="A373" s="32"/>
      <c r="B373" s="33"/>
      <c r="C373" s="32"/>
      <c r="D373" s="32"/>
      <c r="E373" s="30"/>
      <c r="F373" s="32"/>
      <c r="G373" s="44" t="str">
        <f aca="false">IF(B373="","",B373+IF(F373="",Einstellungen!$B$40,F373))</f>
        <v/>
      </c>
      <c r="H373" s="33"/>
      <c r="I373" s="30"/>
      <c r="J373" s="31" t="str">
        <f aca="false">IF(E373="","",E373-N(I373))</f>
        <v/>
      </c>
      <c r="K373" s="43" t="str">
        <f aca="true">IF(OR(E373="",G373=""),"",IF(J373&lt;=0.004,"",MAX(0,TODAY()-G373)))</f>
        <v/>
      </c>
      <c r="L373" s="43" t="str">
        <f aca="false">IF(K373="","",IF(K373&gt;60,3,IF(K373&gt;30,2,IF(K373&gt;0,1,0))))</f>
        <v/>
      </c>
      <c r="M373" s="35" t="str">
        <f aca="false">IF(E373="","",IF(J373&lt;=0.004,"bezahlt",IF(N(K373)&gt;0,"überfällig – Mahnung "&amp;L373,"offen")))</f>
        <v/>
      </c>
    </row>
    <row r="374" customFormat="false" ht="15" hidden="false" customHeight="false" outlineLevel="0" collapsed="false">
      <c r="A374" s="32"/>
      <c r="B374" s="33"/>
      <c r="C374" s="32"/>
      <c r="D374" s="32"/>
      <c r="E374" s="30"/>
      <c r="F374" s="32"/>
      <c r="G374" s="44" t="str">
        <f aca="false">IF(B374="","",B374+IF(F374="",Einstellungen!$B$40,F374))</f>
        <v/>
      </c>
      <c r="H374" s="33"/>
      <c r="I374" s="30"/>
      <c r="J374" s="31" t="str">
        <f aca="false">IF(E374="","",E374-N(I374))</f>
        <v/>
      </c>
      <c r="K374" s="43" t="str">
        <f aca="true">IF(OR(E374="",G374=""),"",IF(J374&lt;=0.004,"",MAX(0,TODAY()-G374)))</f>
        <v/>
      </c>
      <c r="L374" s="43" t="str">
        <f aca="false">IF(K374="","",IF(K374&gt;60,3,IF(K374&gt;30,2,IF(K374&gt;0,1,0))))</f>
        <v/>
      </c>
      <c r="M374" s="35" t="str">
        <f aca="false">IF(E374="","",IF(J374&lt;=0.004,"bezahlt",IF(N(K374)&gt;0,"überfällig – Mahnung "&amp;L374,"offen")))</f>
        <v/>
      </c>
    </row>
    <row r="375" customFormat="false" ht="15" hidden="false" customHeight="false" outlineLevel="0" collapsed="false">
      <c r="A375" s="32"/>
      <c r="B375" s="33"/>
      <c r="C375" s="32"/>
      <c r="D375" s="32"/>
      <c r="E375" s="30"/>
      <c r="F375" s="32"/>
      <c r="G375" s="44" t="str">
        <f aca="false">IF(B375="","",B375+IF(F375="",Einstellungen!$B$40,F375))</f>
        <v/>
      </c>
      <c r="H375" s="33"/>
      <c r="I375" s="30"/>
      <c r="J375" s="31" t="str">
        <f aca="false">IF(E375="","",E375-N(I375))</f>
        <v/>
      </c>
      <c r="K375" s="43" t="str">
        <f aca="true">IF(OR(E375="",G375=""),"",IF(J375&lt;=0.004,"",MAX(0,TODAY()-G375)))</f>
        <v/>
      </c>
      <c r="L375" s="43" t="str">
        <f aca="false">IF(K375="","",IF(K375&gt;60,3,IF(K375&gt;30,2,IF(K375&gt;0,1,0))))</f>
        <v/>
      </c>
      <c r="M375" s="35" t="str">
        <f aca="false">IF(E375="","",IF(J375&lt;=0.004,"bezahlt",IF(N(K375)&gt;0,"überfällig – Mahnung "&amp;L375,"offen")))</f>
        <v/>
      </c>
    </row>
    <row r="376" customFormat="false" ht="15" hidden="false" customHeight="false" outlineLevel="0" collapsed="false">
      <c r="A376" s="32"/>
      <c r="B376" s="33"/>
      <c r="C376" s="32"/>
      <c r="D376" s="32"/>
      <c r="E376" s="30"/>
      <c r="F376" s="32"/>
      <c r="G376" s="44" t="str">
        <f aca="false">IF(B376="","",B376+IF(F376="",Einstellungen!$B$40,F376))</f>
        <v/>
      </c>
      <c r="H376" s="33"/>
      <c r="I376" s="30"/>
      <c r="J376" s="31" t="str">
        <f aca="false">IF(E376="","",E376-N(I376))</f>
        <v/>
      </c>
      <c r="K376" s="43" t="str">
        <f aca="true">IF(OR(E376="",G376=""),"",IF(J376&lt;=0.004,"",MAX(0,TODAY()-G376)))</f>
        <v/>
      </c>
      <c r="L376" s="43" t="str">
        <f aca="false">IF(K376="","",IF(K376&gt;60,3,IF(K376&gt;30,2,IF(K376&gt;0,1,0))))</f>
        <v/>
      </c>
      <c r="M376" s="35" t="str">
        <f aca="false">IF(E376="","",IF(J376&lt;=0.004,"bezahlt",IF(N(K376)&gt;0,"überfällig – Mahnung "&amp;L376,"offen")))</f>
        <v/>
      </c>
    </row>
    <row r="377" customFormat="false" ht="15" hidden="false" customHeight="false" outlineLevel="0" collapsed="false">
      <c r="A377" s="32"/>
      <c r="B377" s="33"/>
      <c r="C377" s="32"/>
      <c r="D377" s="32"/>
      <c r="E377" s="30"/>
      <c r="F377" s="32"/>
      <c r="G377" s="44" t="str">
        <f aca="false">IF(B377="","",B377+IF(F377="",Einstellungen!$B$40,F377))</f>
        <v/>
      </c>
      <c r="H377" s="33"/>
      <c r="I377" s="30"/>
      <c r="J377" s="31" t="str">
        <f aca="false">IF(E377="","",E377-N(I377))</f>
        <v/>
      </c>
      <c r="K377" s="43" t="str">
        <f aca="true">IF(OR(E377="",G377=""),"",IF(J377&lt;=0.004,"",MAX(0,TODAY()-G377)))</f>
        <v/>
      </c>
      <c r="L377" s="43" t="str">
        <f aca="false">IF(K377="","",IF(K377&gt;60,3,IF(K377&gt;30,2,IF(K377&gt;0,1,0))))</f>
        <v/>
      </c>
      <c r="M377" s="35" t="str">
        <f aca="false">IF(E377="","",IF(J377&lt;=0.004,"bezahlt",IF(N(K377)&gt;0,"überfällig – Mahnung "&amp;L377,"offen")))</f>
        <v/>
      </c>
    </row>
    <row r="378" customFormat="false" ht="15" hidden="false" customHeight="false" outlineLevel="0" collapsed="false">
      <c r="A378" s="32"/>
      <c r="B378" s="33"/>
      <c r="C378" s="32"/>
      <c r="D378" s="32"/>
      <c r="E378" s="30"/>
      <c r="F378" s="32"/>
      <c r="G378" s="44" t="str">
        <f aca="false">IF(B378="","",B378+IF(F378="",Einstellungen!$B$40,F378))</f>
        <v/>
      </c>
      <c r="H378" s="33"/>
      <c r="I378" s="30"/>
      <c r="J378" s="31" t="str">
        <f aca="false">IF(E378="","",E378-N(I378))</f>
        <v/>
      </c>
      <c r="K378" s="43" t="str">
        <f aca="true">IF(OR(E378="",G378=""),"",IF(J378&lt;=0.004,"",MAX(0,TODAY()-G378)))</f>
        <v/>
      </c>
      <c r="L378" s="43" t="str">
        <f aca="false">IF(K378="","",IF(K378&gt;60,3,IF(K378&gt;30,2,IF(K378&gt;0,1,0))))</f>
        <v/>
      </c>
      <c r="M378" s="35" t="str">
        <f aca="false">IF(E378="","",IF(J378&lt;=0.004,"bezahlt",IF(N(K378)&gt;0,"überfällig – Mahnung "&amp;L378,"offen")))</f>
        <v/>
      </c>
    </row>
    <row r="379" customFormat="false" ht="15" hidden="false" customHeight="false" outlineLevel="0" collapsed="false">
      <c r="A379" s="32"/>
      <c r="B379" s="33"/>
      <c r="C379" s="32"/>
      <c r="D379" s="32"/>
      <c r="E379" s="30"/>
      <c r="F379" s="32"/>
      <c r="G379" s="44" t="str">
        <f aca="false">IF(B379="","",B379+IF(F379="",Einstellungen!$B$40,F379))</f>
        <v/>
      </c>
      <c r="H379" s="33"/>
      <c r="I379" s="30"/>
      <c r="J379" s="31" t="str">
        <f aca="false">IF(E379="","",E379-N(I379))</f>
        <v/>
      </c>
      <c r="K379" s="43" t="str">
        <f aca="true">IF(OR(E379="",G379=""),"",IF(J379&lt;=0.004,"",MAX(0,TODAY()-G379)))</f>
        <v/>
      </c>
      <c r="L379" s="43" t="str">
        <f aca="false">IF(K379="","",IF(K379&gt;60,3,IF(K379&gt;30,2,IF(K379&gt;0,1,0))))</f>
        <v/>
      </c>
      <c r="M379" s="35" t="str">
        <f aca="false">IF(E379="","",IF(J379&lt;=0.004,"bezahlt",IF(N(K379)&gt;0,"überfällig – Mahnung "&amp;L379,"offen")))</f>
        <v/>
      </c>
    </row>
    <row r="380" customFormat="false" ht="15" hidden="false" customHeight="false" outlineLevel="0" collapsed="false">
      <c r="A380" s="32"/>
      <c r="B380" s="33"/>
      <c r="C380" s="32"/>
      <c r="D380" s="32"/>
      <c r="E380" s="30"/>
      <c r="F380" s="32"/>
      <c r="G380" s="44" t="str">
        <f aca="false">IF(B380="","",B380+IF(F380="",Einstellungen!$B$40,F380))</f>
        <v/>
      </c>
      <c r="H380" s="33"/>
      <c r="I380" s="30"/>
      <c r="J380" s="31" t="str">
        <f aca="false">IF(E380="","",E380-N(I380))</f>
        <v/>
      </c>
      <c r="K380" s="43" t="str">
        <f aca="true">IF(OR(E380="",G380=""),"",IF(J380&lt;=0.004,"",MAX(0,TODAY()-G380)))</f>
        <v/>
      </c>
      <c r="L380" s="43" t="str">
        <f aca="false">IF(K380="","",IF(K380&gt;60,3,IF(K380&gt;30,2,IF(K380&gt;0,1,0))))</f>
        <v/>
      </c>
      <c r="M380" s="35" t="str">
        <f aca="false">IF(E380="","",IF(J380&lt;=0.004,"bezahlt",IF(N(K380)&gt;0,"überfällig – Mahnung "&amp;L380,"offen")))</f>
        <v/>
      </c>
    </row>
    <row r="381" customFormat="false" ht="15" hidden="false" customHeight="false" outlineLevel="0" collapsed="false">
      <c r="A381" s="32"/>
      <c r="B381" s="33"/>
      <c r="C381" s="32"/>
      <c r="D381" s="32"/>
      <c r="E381" s="30"/>
      <c r="F381" s="32"/>
      <c r="G381" s="44" t="str">
        <f aca="false">IF(B381="","",B381+IF(F381="",Einstellungen!$B$40,F381))</f>
        <v/>
      </c>
      <c r="H381" s="33"/>
      <c r="I381" s="30"/>
      <c r="J381" s="31" t="str">
        <f aca="false">IF(E381="","",E381-N(I381))</f>
        <v/>
      </c>
      <c r="K381" s="43" t="str">
        <f aca="true">IF(OR(E381="",G381=""),"",IF(J381&lt;=0.004,"",MAX(0,TODAY()-G381)))</f>
        <v/>
      </c>
      <c r="L381" s="43" t="str">
        <f aca="false">IF(K381="","",IF(K381&gt;60,3,IF(K381&gt;30,2,IF(K381&gt;0,1,0))))</f>
        <v/>
      </c>
      <c r="M381" s="35" t="str">
        <f aca="false">IF(E381="","",IF(J381&lt;=0.004,"bezahlt",IF(N(K381)&gt;0,"überfällig – Mahnung "&amp;L381,"offen")))</f>
        <v/>
      </c>
    </row>
    <row r="382" customFormat="false" ht="15" hidden="false" customHeight="false" outlineLevel="0" collapsed="false">
      <c r="A382" s="32"/>
      <c r="B382" s="33"/>
      <c r="C382" s="32"/>
      <c r="D382" s="32"/>
      <c r="E382" s="30"/>
      <c r="F382" s="32"/>
      <c r="G382" s="44" t="str">
        <f aca="false">IF(B382="","",B382+IF(F382="",Einstellungen!$B$40,F382))</f>
        <v/>
      </c>
      <c r="H382" s="33"/>
      <c r="I382" s="30"/>
      <c r="J382" s="31" t="str">
        <f aca="false">IF(E382="","",E382-N(I382))</f>
        <v/>
      </c>
      <c r="K382" s="43" t="str">
        <f aca="true">IF(OR(E382="",G382=""),"",IF(J382&lt;=0.004,"",MAX(0,TODAY()-G382)))</f>
        <v/>
      </c>
      <c r="L382" s="43" t="str">
        <f aca="false">IF(K382="","",IF(K382&gt;60,3,IF(K382&gt;30,2,IF(K382&gt;0,1,0))))</f>
        <v/>
      </c>
      <c r="M382" s="35" t="str">
        <f aca="false">IF(E382="","",IF(J382&lt;=0.004,"bezahlt",IF(N(K382)&gt;0,"überfällig – Mahnung "&amp;L382,"offen")))</f>
        <v/>
      </c>
    </row>
    <row r="383" customFormat="false" ht="15" hidden="false" customHeight="false" outlineLevel="0" collapsed="false">
      <c r="A383" s="32"/>
      <c r="B383" s="33"/>
      <c r="C383" s="32"/>
      <c r="D383" s="32"/>
      <c r="E383" s="30"/>
      <c r="F383" s="32"/>
      <c r="G383" s="44" t="str">
        <f aca="false">IF(B383="","",B383+IF(F383="",Einstellungen!$B$40,F383))</f>
        <v/>
      </c>
      <c r="H383" s="33"/>
      <c r="I383" s="30"/>
      <c r="J383" s="31" t="str">
        <f aca="false">IF(E383="","",E383-N(I383))</f>
        <v/>
      </c>
      <c r="K383" s="43" t="str">
        <f aca="true">IF(OR(E383="",G383=""),"",IF(J383&lt;=0.004,"",MAX(0,TODAY()-G383)))</f>
        <v/>
      </c>
      <c r="L383" s="43" t="str">
        <f aca="false">IF(K383="","",IF(K383&gt;60,3,IF(K383&gt;30,2,IF(K383&gt;0,1,0))))</f>
        <v/>
      </c>
      <c r="M383" s="35" t="str">
        <f aca="false">IF(E383="","",IF(J383&lt;=0.004,"bezahlt",IF(N(K383)&gt;0,"überfällig – Mahnung "&amp;L383,"offen")))</f>
        <v/>
      </c>
    </row>
    <row r="384" customFormat="false" ht="15" hidden="false" customHeight="false" outlineLevel="0" collapsed="false">
      <c r="A384" s="32"/>
      <c r="B384" s="33"/>
      <c r="C384" s="32"/>
      <c r="D384" s="32"/>
      <c r="E384" s="30"/>
      <c r="F384" s="32"/>
      <c r="G384" s="44" t="str">
        <f aca="false">IF(B384="","",B384+IF(F384="",Einstellungen!$B$40,F384))</f>
        <v/>
      </c>
      <c r="H384" s="33"/>
      <c r="I384" s="30"/>
      <c r="J384" s="31" t="str">
        <f aca="false">IF(E384="","",E384-N(I384))</f>
        <v/>
      </c>
      <c r="K384" s="43" t="str">
        <f aca="true">IF(OR(E384="",G384=""),"",IF(J384&lt;=0.004,"",MAX(0,TODAY()-G384)))</f>
        <v/>
      </c>
      <c r="L384" s="43" t="str">
        <f aca="false">IF(K384="","",IF(K384&gt;60,3,IF(K384&gt;30,2,IF(K384&gt;0,1,0))))</f>
        <v/>
      </c>
      <c r="M384" s="35" t="str">
        <f aca="false">IF(E384="","",IF(J384&lt;=0.004,"bezahlt",IF(N(K384)&gt;0,"überfällig – Mahnung "&amp;L384,"offen")))</f>
        <v/>
      </c>
    </row>
    <row r="385" customFormat="false" ht="15" hidden="false" customHeight="false" outlineLevel="0" collapsed="false">
      <c r="A385" s="32"/>
      <c r="B385" s="33"/>
      <c r="C385" s="32"/>
      <c r="D385" s="32"/>
      <c r="E385" s="30"/>
      <c r="F385" s="32"/>
      <c r="G385" s="44" t="str">
        <f aca="false">IF(B385="","",B385+IF(F385="",Einstellungen!$B$40,F385))</f>
        <v/>
      </c>
      <c r="H385" s="33"/>
      <c r="I385" s="30"/>
      <c r="J385" s="31" t="str">
        <f aca="false">IF(E385="","",E385-N(I385))</f>
        <v/>
      </c>
      <c r="K385" s="43" t="str">
        <f aca="true">IF(OR(E385="",G385=""),"",IF(J385&lt;=0.004,"",MAX(0,TODAY()-G385)))</f>
        <v/>
      </c>
      <c r="L385" s="43" t="str">
        <f aca="false">IF(K385="","",IF(K385&gt;60,3,IF(K385&gt;30,2,IF(K385&gt;0,1,0))))</f>
        <v/>
      </c>
      <c r="M385" s="35" t="str">
        <f aca="false">IF(E385="","",IF(J385&lt;=0.004,"bezahlt",IF(N(K385)&gt;0,"überfällig – Mahnung "&amp;L385,"offen")))</f>
        <v/>
      </c>
    </row>
    <row r="386" customFormat="false" ht="15" hidden="false" customHeight="false" outlineLevel="0" collapsed="false">
      <c r="A386" s="32"/>
      <c r="B386" s="33"/>
      <c r="C386" s="32"/>
      <c r="D386" s="32"/>
      <c r="E386" s="30"/>
      <c r="F386" s="32"/>
      <c r="G386" s="44" t="str">
        <f aca="false">IF(B386="","",B386+IF(F386="",Einstellungen!$B$40,F386))</f>
        <v/>
      </c>
      <c r="H386" s="33"/>
      <c r="I386" s="30"/>
      <c r="J386" s="31" t="str">
        <f aca="false">IF(E386="","",E386-N(I386))</f>
        <v/>
      </c>
      <c r="K386" s="43" t="str">
        <f aca="true">IF(OR(E386="",G386=""),"",IF(J386&lt;=0.004,"",MAX(0,TODAY()-G386)))</f>
        <v/>
      </c>
      <c r="L386" s="43" t="str">
        <f aca="false">IF(K386="","",IF(K386&gt;60,3,IF(K386&gt;30,2,IF(K386&gt;0,1,0))))</f>
        <v/>
      </c>
      <c r="M386" s="35" t="str">
        <f aca="false">IF(E386="","",IF(J386&lt;=0.004,"bezahlt",IF(N(K386)&gt;0,"überfällig – Mahnung "&amp;L386,"offen")))</f>
        <v/>
      </c>
    </row>
    <row r="387" customFormat="false" ht="15" hidden="false" customHeight="false" outlineLevel="0" collapsed="false">
      <c r="A387" s="32"/>
      <c r="B387" s="33"/>
      <c r="C387" s="32"/>
      <c r="D387" s="32"/>
      <c r="E387" s="30"/>
      <c r="F387" s="32"/>
      <c r="G387" s="44" t="str">
        <f aca="false">IF(B387="","",B387+IF(F387="",Einstellungen!$B$40,F387))</f>
        <v/>
      </c>
      <c r="H387" s="33"/>
      <c r="I387" s="30"/>
      <c r="J387" s="31" t="str">
        <f aca="false">IF(E387="","",E387-N(I387))</f>
        <v/>
      </c>
      <c r="K387" s="43" t="str">
        <f aca="true">IF(OR(E387="",G387=""),"",IF(J387&lt;=0.004,"",MAX(0,TODAY()-G387)))</f>
        <v/>
      </c>
      <c r="L387" s="43" t="str">
        <f aca="false">IF(K387="","",IF(K387&gt;60,3,IF(K387&gt;30,2,IF(K387&gt;0,1,0))))</f>
        <v/>
      </c>
      <c r="M387" s="35" t="str">
        <f aca="false">IF(E387="","",IF(J387&lt;=0.004,"bezahlt",IF(N(K387)&gt;0,"überfällig – Mahnung "&amp;L387,"offen")))</f>
        <v/>
      </c>
    </row>
    <row r="388" customFormat="false" ht="15" hidden="false" customHeight="false" outlineLevel="0" collapsed="false">
      <c r="A388" s="32"/>
      <c r="B388" s="33"/>
      <c r="C388" s="32"/>
      <c r="D388" s="32"/>
      <c r="E388" s="30"/>
      <c r="F388" s="32"/>
      <c r="G388" s="44" t="str">
        <f aca="false">IF(B388="","",B388+IF(F388="",Einstellungen!$B$40,F388))</f>
        <v/>
      </c>
      <c r="H388" s="33"/>
      <c r="I388" s="30"/>
      <c r="J388" s="31" t="str">
        <f aca="false">IF(E388="","",E388-N(I388))</f>
        <v/>
      </c>
      <c r="K388" s="43" t="str">
        <f aca="true">IF(OR(E388="",G388=""),"",IF(J388&lt;=0.004,"",MAX(0,TODAY()-G388)))</f>
        <v/>
      </c>
      <c r="L388" s="43" t="str">
        <f aca="false">IF(K388="","",IF(K388&gt;60,3,IF(K388&gt;30,2,IF(K388&gt;0,1,0))))</f>
        <v/>
      </c>
      <c r="M388" s="35" t="str">
        <f aca="false">IF(E388="","",IF(J388&lt;=0.004,"bezahlt",IF(N(K388)&gt;0,"überfällig – Mahnung "&amp;L388,"offen")))</f>
        <v/>
      </c>
    </row>
    <row r="389" customFormat="false" ht="15" hidden="false" customHeight="false" outlineLevel="0" collapsed="false">
      <c r="A389" s="32"/>
      <c r="B389" s="33"/>
      <c r="C389" s="32"/>
      <c r="D389" s="32"/>
      <c r="E389" s="30"/>
      <c r="F389" s="32"/>
      <c r="G389" s="44" t="str">
        <f aca="false">IF(B389="","",B389+IF(F389="",Einstellungen!$B$40,F389))</f>
        <v/>
      </c>
      <c r="H389" s="33"/>
      <c r="I389" s="30"/>
      <c r="J389" s="31" t="str">
        <f aca="false">IF(E389="","",E389-N(I389))</f>
        <v/>
      </c>
      <c r="K389" s="43" t="str">
        <f aca="true">IF(OR(E389="",G389=""),"",IF(J389&lt;=0.004,"",MAX(0,TODAY()-G389)))</f>
        <v/>
      </c>
      <c r="L389" s="43" t="str">
        <f aca="false">IF(K389="","",IF(K389&gt;60,3,IF(K389&gt;30,2,IF(K389&gt;0,1,0))))</f>
        <v/>
      </c>
      <c r="M389" s="35" t="str">
        <f aca="false">IF(E389="","",IF(J389&lt;=0.004,"bezahlt",IF(N(K389)&gt;0,"überfällig – Mahnung "&amp;L389,"offen")))</f>
        <v/>
      </c>
    </row>
    <row r="390" customFormat="false" ht="15" hidden="false" customHeight="false" outlineLevel="0" collapsed="false">
      <c r="A390" s="32"/>
      <c r="B390" s="33"/>
      <c r="C390" s="32"/>
      <c r="D390" s="32"/>
      <c r="E390" s="30"/>
      <c r="F390" s="32"/>
      <c r="G390" s="44" t="str">
        <f aca="false">IF(B390="","",B390+IF(F390="",Einstellungen!$B$40,F390))</f>
        <v/>
      </c>
      <c r="H390" s="33"/>
      <c r="I390" s="30"/>
      <c r="J390" s="31" t="str">
        <f aca="false">IF(E390="","",E390-N(I390))</f>
        <v/>
      </c>
      <c r="K390" s="43" t="str">
        <f aca="true">IF(OR(E390="",G390=""),"",IF(J390&lt;=0.004,"",MAX(0,TODAY()-G390)))</f>
        <v/>
      </c>
      <c r="L390" s="43" t="str">
        <f aca="false">IF(K390="","",IF(K390&gt;60,3,IF(K390&gt;30,2,IF(K390&gt;0,1,0))))</f>
        <v/>
      </c>
      <c r="M390" s="35" t="str">
        <f aca="false">IF(E390="","",IF(J390&lt;=0.004,"bezahlt",IF(N(K390)&gt;0,"überfällig – Mahnung "&amp;L390,"offen")))</f>
        <v/>
      </c>
    </row>
    <row r="391" customFormat="false" ht="15" hidden="false" customHeight="false" outlineLevel="0" collapsed="false">
      <c r="A391" s="32"/>
      <c r="B391" s="33"/>
      <c r="C391" s="32"/>
      <c r="D391" s="32"/>
      <c r="E391" s="30"/>
      <c r="F391" s="32"/>
      <c r="G391" s="44" t="str">
        <f aca="false">IF(B391="","",B391+IF(F391="",Einstellungen!$B$40,F391))</f>
        <v/>
      </c>
      <c r="H391" s="33"/>
      <c r="I391" s="30"/>
      <c r="J391" s="31" t="str">
        <f aca="false">IF(E391="","",E391-N(I391))</f>
        <v/>
      </c>
      <c r="K391" s="43" t="str">
        <f aca="true">IF(OR(E391="",G391=""),"",IF(J391&lt;=0.004,"",MAX(0,TODAY()-G391)))</f>
        <v/>
      </c>
      <c r="L391" s="43" t="str">
        <f aca="false">IF(K391="","",IF(K391&gt;60,3,IF(K391&gt;30,2,IF(K391&gt;0,1,0))))</f>
        <v/>
      </c>
      <c r="M391" s="35" t="str">
        <f aca="false">IF(E391="","",IF(J391&lt;=0.004,"bezahlt",IF(N(K391)&gt;0,"überfällig – Mahnung "&amp;L391,"offen")))</f>
        <v/>
      </c>
    </row>
    <row r="392" customFormat="false" ht="15" hidden="false" customHeight="false" outlineLevel="0" collapsed="false">
      <c r="A392" s="32"/>
      <c r="B392" s="33"/>
      <c r="C392" s="32"/>
      <c r="D392" s="32"/>
      <c r="E392" s="30"/>
      <c r="F392" s="32"/>
      <c r="G392" s="44" t="str">
        <f aca="false">IF(B392="","",B392+IF(F392="",Einstellungen!$B$40,F392))</f>
        <v/>
      </c>
      <c r="H392" s="33"/>
      <c r="I392" s="30"/>
      <c r="J392" s="31" t="str">
        <f aca="false">IF(E392="","",E392-N(I392))</f>
        <v/>
      </c>
      <c r="K392" s="43" t="str">
        <f aca="true">IF(OR(E392="",G392=""),"",IF(J392&lt;=0.004,"",MAX(0,TODAY()-G392)))</f>
        <v/>
      </c>
      <c r="L392" s="43" t="str">
        <f aca="false">IF(K392="","",IF(K392&gt;60,3,IF(K392&gt;30,2,IF(K392&gt;0,1,0))))</f>
        <v/>
      </c>
      <c r="M392" s="35" t="str">
        <f aca="false">IF(E392="","",IF(J392&lt;=0.004,"bezahlt",IF(N(K392)&gt;0,"überfällig – Mahnung "&amp;L392,"offen")))</f>
        <v/>
      </c>
    </row>
    <row r="393" customFormat="false" ht="15" hidden="false" customHeight="false" outlineLevel="0" collapsed="false">
      <c r="A393" s="32"/>
      <c r="B393" s="33"/>
      <c r="C393" s="32"/>
      <c r="D393" s="32"/>
      <c r="E393" s="30"/>
      <c r="F393" s="32"/>
      <c r="G393" s="44" t="str">
        <f aca="false">IF(B393="","",B393+IF(F393="",Einstellungen!$B$40,F393))</f>
        <v/>
      </c>
      <c r="H393" s="33"/>
      <c r="I393" s="30"/>
      <c r="J393" s="31" t="str">
        <f aca="false">IF(E393="","",E393-N(I393))</f>
        <v/>
      </c>
      <c r="K393" s="43" t="str">
        <f aca="true">IF(OR(E393="",G393=""),"",IF(J393&lt;=0.004,"",MAX(0,TODAY()-G393)))</f>
        <v/>
      </c>
      <c r="L393" s="43" t="str">
        <f aca="false">IF(K393="","",IF(K393&gt;60,3,IF(K393&gt;30,2,IF(K393&gt;0,1,0))))</f>
        <v/>
      </c>
      <c r="M393" s="35" t="str">
        <f aca="false">IF(E393="","",IF(J393&lt;=0.004,"bezahlt",IF(N(K393)&gt;0,"überfällig – Mahnung "&amp;L393,"offen")))</f>
        <v/>
      </c>
    </row>
    <row r="394" customFormat="false" ht="15" hidden="false" customHeight="false" outlineLevel="0" collapsed="false">
      <c r="A394" s="32"/>
      <c r="B394" s="33"/>
      <c r="C394" s="32"/>
      <c r="D394" s="32"/>
      <c r="E394" s="30"/>
      <c r="F394" s="32"/>
      <c r="G394" s="44" t="str">
        <f aca="false">IF(B394="","",B394+IF(F394="",Einstellungen!$B$40,F394))</f>
        <v/>
      </c>
      <c r="H394" s="33"/>
      <c r="I394" s="30"/>
      <c r="J394" s="31" t="str">
        <f aca="false">IF(E394="","",E394-N(I394))</f>
        <v/>
      </c>
      <c r="K394" s="43" t="str">
        <f aca="true">IF(OR(E394="",G394=""),"",IF(J394&lt;=0.004,"",MAX(0,TODAY()-G394)))</f>
        <v/>
      </c>
      <c r="L394" s="43" t="str">
        <f aca="false">IF(K394="","",IF(K394&gt;60,3,IF(K394&gt;30,2,IF(K394&gt;0,1,0))))</f>
        <v/>
      </c>
      <c r="M394" s="35" t="str">
        <f aca="false">IF(E394="","",IF(J394&lt;=0.004,"bezahlt",IF(N(K394)&gt;0,"überfällig – Mahnung "&amp;L394,"offen")))</f>
        <v/>
      </c>
    </row>
    <row r="395" customFormat="false" ht="15" hidden="false" customHeight="false" outlineLevel="0" collapsed="false">
      <c r="A395" s="32"/>
      <c r="B395" s="33"/>
      <c r="C395" s="32"/>
      <c r="D395" s="32"/>
      <c r="E395" s="30"/>
      <c r="F395" s="32"/>
      <c r="G395" s="44" t="str">
        <f aca="false">IF(B395="","",B395+IF(F395="",Einstellungen!$B$40,F395))</f>
        <v/>
      </c>
      <c r="H395" s="33"/>
      <c r="I395" s="30"/>
      <c r="J395" s="31" t="str">
        <f aca="false">IF(E395="","",E395-N(I395))</f>
        <v/>
      </c>
      <c r="K395" s="43" t="str">
        <f aca="true">IF(OR(E395="",G395=""),"",IF(J395&lt;=0.004,"",MAX(0,TODAY()-G395)))</f>
        <v/>
      </c>
      <c r="L395" s="43" t="str">
        <f aca="false">IF(K395="","",IF(K395&gt;60,3,IF(K395&gt;30,2,IF(K395&gt;0,1,0))))</f>
        <v/>
      </c>
      <c r="M395" s="35" t="str">
        <f aca="false">IF(E395="","",IF(J395&lt;=0.004,"bezahlt",IF(N(K395)&gt;0,"überfällig – Mahnung "&amp;L395,"offen")))</f>
        <v/>
      </c>
    </row>
    <row r="396" customFormat="false" ht="15" hidden="false" customHeight="false" outlineLevel="0" collapsed="false">
      <c r="A396" s="32"/>
      <c r="B396" s="33"/>
      <c r="C396" s="32"/>
      <c r="D396" s="32"/>
      <c r="E396" s="30"/>
      <c r="F396" s="32"/>
      <c r="G396" s="44" t="str">
        <f aca="false">IF(B396="","",B396+IF(F396="",Einstellungen!$B$40,F396))</f>
        <v/>
      </c>
      <c r="H396" s="33"/>
      <c r="I396" s="30"/>
      <c r="J396" s="31" t="str">
        <f aca="false">IF(E396="","",E396-N(I396))</f>
        <v/>
      </c>
      <c r="K396" s="43" t="str">
        <f aca="true">IF(OR(E396="",G396=""),"",IF(J396&lt;=0.004,"",MAX(0,TODAY()-G396)))</f>
        <v/>
      </c>
      <c r="L396" s="43" t="str">
        <f aca="false">IF(K396="","",IF(K396&gt;60,3,IF(K396&gt;30,2,IF(K396&gt;0,1,0))))</f>
        <v/>
      </c>
      <c r="M396" s="35" t="str">
        <f aca="false">IF(E396="","",IF(J396&lt;=0.004,"bezahlt",IF(N(K396)&gt;0,"überfällig – Mahnung "&amp;L396,"offen")))</f>
        <v/>
      </c>
    </row>
    <row r="397" customFormat="false" ht="15" hidden="false" customHeight="false" outlineLevel="0" collapsed="false">
      <c r="A397" s="32"/>
      <c r="B397" s="33"/>
      <c r="C397" s="32"/>
      <c r="D397" s="32"/>
      <c r="E397" s="30"/>
      <c r="F397" s="32"/>
      <c r="G397" s="44" t="str">
        <f aca="false">IF(B397="","",B397+IF(F397="",Einstellungen!$B$40,F397))</f>
        <v/>
      </c>
      <c r="H397" s="33"/>
      <c r="I397" s="30"/>
      <c r="J397" s="31" t="str">
        <f aca="false">IF(E397="","",E397-N(I397))</f>
        <v/>
      </c>
      <c r="K397" s="43" t="str">
        <f aca="true">IF(OR(E397="",G397=""),"",IF(J397&lt;=0.004,"",MAX(0,TODAY()-G397)))</f>
        <v/>
      </c>
      <c r="L397" s="43" t="str">
        <f aca="false">IF(K397="","",IF(K397&gt;60,3,IF(K397&gt;30,2,IF(K397&gt;0,1,0))))</f>
        <v/>
      </c>
      <c r="M397" s="35" t="str">
        <f aca="false">IF(E397="","",IF(J397&lt;=0.004,"bezahlt",IF(N(K397)&gt;0,"überfällig – Mahnung "&amp;L397,"offen")))</f>
        <v/>
      </c>
    </row>
    <row r="398" customFormat="false" ht="15" hidden="false" customHeight="false" outlineLevel="0" collapsed="false">
      <c r="A398" s="32"/>
      <c r="B398" s="33"/>
      <c r="C398" s="32"/>
      <c r="D398" s="32"/>
      <c r="E398" s="30"/>
      <c r="F398" s="32"/>
      <c r="G398" s="44" t="str">
        <f aca="false">IF(B398="","",B398+IF(F398="",Einstellungen!$B$40,F398))</f>
        <v/>
      </c>
      <c r="H398" s="33"/>
      <c r="I398" s="30"/>
      <c r="J398" s="31" t="str">
        <f aca="false">IF(E398="","",E398-N(I398))</f>
        <v/>
      </c>
      <c r="K398" s="43" t="str">
        <f aca="true">IF(OR(E398="",G398=""),"",IF(J398&lt;=0.004,"",MAX(0,TODAY()-G398)))</f>
        <v/>
      </c>
      <c r="L398" s="43" t="str">
        <f aca="false">IF(K398="","",IF(K398&gt;60,3,IF(K398&gt;30,2,IF(K398&gt;0,1,0))))</f>
        <v/>
      </c>
      <c r="M398" s="35" t="str">
        <f aca="false">IF(E398="","",IF(J398&lt;=0.004,"bezahlt",IF(N(K398)&gt;0,"überfällig – Mahnung "&amp;L398,"offen")))</f>
        <v/>
      </c>
    </row>
    <row r="399" customFormat="false" ht="15" hidden="false" customHeight="false" outlineLevel="0" collapsed="false">
      <c r="A399" s="32"/>
      <c r="B399" s="33"/>
      <c r="C399" s="32"/>
      <c r="D399" s="32"/>
      <c r="E399" s="30"/>
      <c r="F399" s="32"/>
      <c r="G399" s="44" t="str">
        <f aca="false">IF(B399="","",B399+IF(F399="",Einstellungen!$B$40,F399))</f>
        <v/>
      </c>
      <c r="H399" s="33"/>
      <c r="I399" s="30"/>
      <c r="J399" s="31" t="str">
        <f aca="false">IF(E399="","",E399-N(I399))</f>
        <v/>
      </c>
      <c r="K399" s="43" t="str">
        <f aca="true">IF(OR(E399="",G399=""),"",IF(J399&lt;=0.004,"",MAX(0,TODAY()-G399)))</f>
        <v/>
      </c>
      <c r="L399" s="43" t="str">
        <f aca="false">IF(K399="","",IF(K399&gt;60,3,IF(K399&gt;30,2,IF(K399&gt;0,1,0))))</f>
        <v/>
      </c>
      <c r="M399" s="35" t="str">
        <f aca="false">IF(E399="","",IF(J399&lt;=0.004,"bezahlt",IF(N(K399)&gt;0,"überfällig – Mahnung "&amp;L399,"offen")))</f>
        <v/>
      </c>
    </row>
    <row r="400" customFormat="false" ht="15" hidden="false" customHeight="false" outlineLevel="0" collapsed="false">
      <c r="A400" s="32"/>
      <c r="B400" s="33"/>
      <c r="C400" s="32"/>
      <c r="D400" s="32"/>
      <c r="E400" s="30"/>
      <c r="F400" s="32"/>
      <c r="G400" s="44" t="str">
        <f aca="false">IF(B400="","",B400+IF(F400="",Einstellungen!$B$40,F400))</f>
        <v/>
      </c>
      <c r="H400" s="33"/>
      <c r="I400" s="30"/>
      <c r="J400" s="31" t="str">
        <f aca="false">IF(E400="","",E400-N(I400))</f>
        <v/>
      </c>
      <c r="K400" s="43" t="str">
        <f aca="true">IF(OR(E400="",G400=""),"",IF(J400&lt;=0.004,"",MAX(0,TODAY()-G400)))</f>
        <v/>
      </c>
      <c r="L400" s="43" t="str">
        <f aca="false">IF(K400="","",IF(K400&gt;60,3,IF(K400&gt;30,2,IF(K400&gt;0,1,0))))</f>
        <v/>
      </c>
      <c r="M400" s="35" t="str">
        <f aca="false">IF(E400="","",IF(J400&lt;=0.004,"bezahlt",IF(N(K400)&gt;0,"überfällig – Mahnung "&amp;L400,"offen")))</f>
        <v/>
      </c>
    </row>
    <row r="401" customFormat="false" ht="15" hidden="false" customHeight="false" outlineLevel="0" collapsed="false">
      <c r="A401" s="32"/>
      <c r="B401" s="33"/>
      <c r="C401" s="32"/>
      <c r="D401" s="32"/>
      <c r="E401" s="30"/>
      <c r="F401" s="32"/>
      <c r="G401" s="44" t="str">
        <f aca="false">IF(B401="","",B401+IF(F401="",Einstellungen!$B$40,F401))</f>
        <v/>
      </c>
      <c r="H401" s="33"/>
      <c r="I401" s="30"/>
      <c r="J401" s="31" t="str">
        <f aca="false">IF(E401="","",E401-N(I401))</f>
        <v/>
      </c>
      <c r="K401" s="43" t="str">
        <f aca="true">IF(OR(E401="",G401=""),"",IF(J401&lt;=0.004,"",MAX(0,TODAY()-G401)))</f>
        <v/>
      </c>
      <c r="L401" s="43" t="str">
        <f aca="false">IF(K401="","",IF(K401&gt;60,3,IF(K401&gt;30,2,IF(K401&gt;0,1,0))))</f>
        <v/>
      </c>
      <c r="M401" s="35" t="str">
        <f aca="false">IF(E401="","",IF(J401&lt;=0.004,"bezahlt",IF(N(K401)&gt;0,"überfällig – Mahnung "&amp;L401,"offen")))</f>
        <v/>
      </c>
    </row>
    <row r="402" customFormat="false" ht="15" hidden="false" customHeight="false" outlineLevel="0" collapsed="false">
      <c r="A402" s="32"/>
      <c r="B402" s="33"/>
      <c r="C402" s="32"/>
      <c r="D402" s="32"/>
      <c r="E402" s="30"/>
      <c r="F402" s="32"/>
      <c r="G402" s="44" t="str">
        <f aca="false">IF(B402="","",B402+IF(F402="",Einstellungen!$B$40,F402))</f>
        <v/>
      </c>
      <c r="H402" s="33"/>
      <c r="I402" s="30"/>
      <c r="J402" s="31" t="str">
        <f aca="false">IF(E402="","",E402-N(I402))</f>
        <v/>
      </c>
      <c r="K402" s="43" t="str">
        <f aca="true">IF(OR(E402="",G402=""),"",IF(J402&lt;=0.004,"",MAX(0,TODAY()-G402)))</f>
        <v/>
      </c>
      <c r="L402" s="43" t="str">
        <f aca="false">IF(K402="","",IF(K402&gt;60,3,IF(K402&gt;30,2,IF(K402&gt;0,1,0))))</f>
        <v/>
      </c>
      <c r="M402" s="35" t="str">
        <f aca="false">IF(E402="","",IF(J402&lt;=0.004,"bezahlt",IF(N(K402)&gt;0,"überfällig – Mahnung "&amp;L402,"offen")))</f>
        <v/>
      </c>
    </row>
    <row r="403" customFormat="false" ht="15" hidden="false" customHeight="false" outlineLevel="0" collapsed="false">
      <c r="A403" s="32"/>
      <c r="B403" s="33"/>
      <c r="C403" s="32"/>
      <c r="D403" s="32"/>
      <c r="E403" s="30"/>
      <c r="F403" s="32"/>
      <c r="G403" s="44" t="str">
        <f aca="false">IF(B403="","",B403+IF(F403="",Einstellungen!$B$40,F403))</f>
        <v/>
      </c>
      <c r="H403" s="33"/>
      <c r="I403" s="30"/>
      <c r="J403" s="31" t="str">
        <f aca="false">IF(E403="","",E403-N(I403))</f>
        <v/>
      </c>
      <c r="K403" s="43" t="str">
        <f aca="true">IF(OR(E403="",G403=""),"",IF(J403&lt;=0.004,"",MAX(0,TODAY()-G403)))</f>
        <v/>
      </c>
      <c r="L403" s="43" t="str">
        <f aca="false">IF(K403="","",IF(K403&gt;60,3,IF(K403&gt;30,2,IF(K403&gt;0,1,0))))</f>
        <v/>
      </c>
      <c r="M403" s="35" t="str">
        <f aca="false">IF(E403="","",IF(J403&lt;=0.004,"bezahlt",IF(N(K403)&gt;0,"überfällig – Mahnung "&amp;L403,"offen")))</f>
        <v/>
      </c>
    </row>
    <row r="404" customFormat="false" ht="15" hidden="false" customHeight="false" outlineLevel="0" collapsed="false">
      <c r="A404" s="32"/>
      <c r="B404" s="33"/>
      <c r="C404" s="32"/>
      <c r="D404" s="32"/>
      <c r="E404" s="30"/>
      <c r="F404" s="32"/>
      <c r="G404" s="44" t="str">
        <f aca="false">IF(B404="","",B404+IF(F404="",Einstellungen!$B$40,F404))</f>
        <v/>
      </c>
      <c r="H404" s="33"/>
      <c r="I404" s="30"/>
      <c r="J404" s="31" t="str">
        <f aca="false">IF(E404="","",E404-N(I404))</f>
        <v/>
      </c>
      <c r="K404" s="43" t="str">
        <f aca="true">IF(OR(E404="",G404=""),"",IF(J404&lt;=0.004,"",MAX(0,TODAY()-G404)))</f>
        <v/>
      </c>
      <c r="L404" s="43" t="str">
        <f aca="false">IF(K404="","",IF(K404&gt;60,3,IF(K404&gt;30,2,IF(K404&gt;0,1,0))))</f>
        <v/>
      </c>
      <c r="M404" s="35" t="str">
        <f aca="false">IF(E404="","",IF(J404&lt;=0.004,"bezahlt",IF(N(K404)&gt;0,"überfällig – Mahnung "&amp;L404,"offen")))</f>
        <v/>
      </c>
    </row>
    <row r="405" customFormat="false" ht="15" hidden="false" customHeight="false" outlineLevel="0" collapsed="false">
      <c r="A405" s="32"/>
      <c r="B405" s="33"/>
      <c r="C405" s="32"/>
      <c r="D405" s="32"/>
      <c r="E405" s="30"/>
      <c r="F405" s="32"/>
      <c r="G405" s="44" t="str">
        <f aca="false">IF(B405="","",B405+IF(F405="",Einstellungen!$B$40,F405))</f>
        <v/>
      </c>
      <c r="H405" s="33"/>
      <c r="I405" s="30"/>
      <c r="J405" s="31" t="str">
        <f aca="false">IF(E405="","",E405-N(I405))</f>
        <v/>
      </c>
      <c r="K405" s="43" t="str">
        <f aca="true">IF(OR(E405="",G405=""),"",IF(J405&lt;=0.004,"",MAX(0,TODAY()-G405)))</f>
        <v/>
      </c>
      <c r="L405" s="43" t="str">
        <f aca="false">IF(K405="","",IF(K405&gt;60,3,IF(K405&gt;30,2,IF(K405&gt;0,1,0))))</f>
        <v/>
      </c>
      <c r="M405" s="35" t="str">
        <f aca="false">IF(E405="","",IF(J405&lt;=0.004,"bezahlt",IF(N(K405)&gt;0,"überfällig – Mahnung "&amp;L405,"offen")))</f>
        <v/>
      </c>
    </row>
    <row r="406" customFormat="false" ht="15" hidden="false" customHeight="false" outlineLevel="0" collapsed="false">
      <c r="A406" s="32"/>
      <c r="B406" s="33"/>
      <c r="C406" s="32"/>
      <c r="D406" s="32"/>
      <c r="E406" s="30"/>
      <c r="F406" s="32"/>
      <c r="G406" s="44" t="str">
        <f aca="false">IF(B406="","",B406+IF(F406="",Einstellungen!$B$40,F406))</f>
        <v/>
      </c>
      <c r="H406" s="33"/>
      <c r="I406" s="30"/>
      <c r="J406" s="31" t="str">
        <f aca="false">IF(E406="","",E406-N(I406))</f>
        <v/>
      </c>
      <c r="K406" s="43" t="str">
        <f aca="true">IF(OR(E406="",G406=""),"",IF(J406&lt;=0.004,"",MAX(0,TODAY()-G406)))</f>
        <v/>
      </c>
      <c r="L406" s="43" t="str">
        <f aca="false">IF(K406="","",IF(K406&gt;60,3,IF(K406&gt;30,2,IF(K406&gt;0,1,0))))</f>
        <v/>
      </c>
      <c r="M406" s="35" t="str">
        <f aca="false">IF(E406="","",IF(J406&lt;=0.004,"bezahlt",IF(N(K406)&gt;0,"überfällig – Mahnung "&amp;L406,"offen")))</f>
        <v/>
      </c>
    </row>
    <row r="407" customFormat="false" ht="15" hidden="false" customHeight="false" outlineLevel="0" collapsed="false">
      <c r="A407" s="32"/>
      <c r="B407" s="33"/>
      <c r="C407" s="32"/>
      <c r="D407" s="32"/>
      <c r="E407" s="30"/>
      <c r="F407" s="32"/>
      <c r="G407" s="44" t="str">
        <f aca="false">IF(B407="","",B407+IF(F407="",Einstellungen!$B$40,F407))</f>
        <v/>
      </c>
      <c r="H407" s="33"/>
      <c r="I407" s="30"/>
      <c r="J407" s="31" t="str">
        <f aca="false">IF(E407="","",E407-N(I407))</f>
        <v/>
      </c>
      <c r="K407" s="43" t="str">
        <f aca="true">IF(OR(E407="",G407=""),"",IF(J407&lt;=0.004,"",MAX(0,TODAY()-G407)))</f>
        <v/>
      </c>
      <c r="L407" s="43" t="str">
        <f aca="false">IF(K407="","",IF(K407&gt;60,3,IF(K407&gt;30,2,IF(K407&gt;0,1,0))))</f>
        <v/>
      </c>
      <c r="M407" s="35" t="str">
        <f aca="false">IF(E407="","",IF(J407&lt;=0.004,"bezahlt",IF(N(K407)&gt;0,"überfällig – Mahnung "&amp;L407,"offen")))</f>
        <v/>
      </c>
    </row>
    <row r="408" customFormat="false" ht="15" hidden="false" customHeight="false" outlineLevel="0" collapsed="false">
      <c r="A408" s="32"/>
      <c r="B408" s="33"/>
      <c r="C408" s="32"/>
      <c r="D408" s="32"/>
      <c r="E408" s="30"/>
      <c r="F408" s="32"/>
      <c r="G408" s="44" t="str">
        <f aca="false">IF(B408="","",B408+IF(F408="",Einstellungen!$B$40,F408))</f>
        <v/>
      </c>
      <c r="H408" s="33"/>
      <c r="I408" s="30"/>
      <c r="J408" s="31" t="str">
        <f aca="false">IF(E408="","",E408-N(I408))</f>
        <v/>
      </c>
      <c r="K408" s="43" t="str">
        <f aca="true">IF(OR(E408="",G408=""),"",IF(J408&lt;=0.004,"",MAX(0,TODAY()-G408)))</f>
        <v/>
      </c>
      <c r="L408" s="43" t="str">
        <f aca="false">IF(K408="","",IF(K408&gt;60,3,IF(K408&gt;30,2,IF(K408&gt;0,1,0))))</f>
        <v/>
      </c>
      <c r="M408" s="35" t="str">
        <f aca="false">IF(E408="","",IF(J408&lt;=0.004,"bezahlt",IF(N(K408)&gt;0,"überfällig – Mahnung "&amp;L408,"offen")))</f>
        <v/>
      </c>
    </row>
    <row r="409" customFormat="false" ht="15" hidden="false" customHeight="false" outlineLevel="0" collapsed="false">
      <c r="A409" s="32"/>
      <c r="B409" s="33"/>
      <c r="C409" s="32"/>
      <c r="D409" s="32"/>
      <c r="E409" s="30"/>
      <c r="F409" s="32"/>
      <c r="G409" s="44" t="str">
        <f aca="false">IF(B409="","",B409+IF(F409="",Einstellungen!$B$40,F409))</f>
        <v/>
      </c>
      <c r="H409" s="33"/>
      <c r="I409" s="30"/>
      <c r="J409" s="31" t="str">
        <f aca="false">IF(E409="","",E409-N(I409))</f>
        <v/>
      </c>
      <c r="K409" s="43" t="str">
        <f aca="true">IF(OR(E409="",G409=""),"",IF(J409&lt;=0.004,"",MAX(0,TODAY()-G409)))</f>
        <v/>
      </c>
      <c r="L409" s="43" t="str">
        <f aca="false">IF(K409="","",IF(K409&gt;60,3,IF(K409&gt;30,2,IF(K409&gt;0,1,0))))</f>
        <v/>
      </c>
      <c r="M409" s="35" t="str">
        <f aca="false">IF(E409="","",IF(J409&lt;=0.004,"bezahlt",IF(N(K409)&gt;0,"überfällig – Mahnung "&amp;L409,"offen")))</f>
        <v/>
      </c>
    </row>
    <row r="410" customFormat="false" ht="15" hidden="false" customHeight="false" outlineLevel="0" collapsed="false">
      <c r="A410" s="32"/>
      <c r="B410" s="33"/>
      <c r="C410" s="32"/>
      <c r="D410" s="32"/>
      <c r="E410" s="30"/>
      <c r="F410" s="32"/>
      <c r="G410" s="44" t="str">
        <f aca="false">IF(B410="","",B410+IF(F410="",Einstellungen!$B$40,F410))</f>
        <v/>
      </c>
      <c r="H410" s="33"/>
      <c r="I410" s="30"/>
      <c r="J410" s="31" t="str">
        <f aca="false">IF(E410="","",E410-N(I410))</f>
        <v/>
      </c>
      <c r="K410" s="43" t="str">
        <f aca="true">IF(OR(E410="",G410=""),"",IF(J410&lt;=0.004,"",MAX(0,TODAY()-G410)))</f>
        <v/>
      </c>
      <c r="L410" s="43" t="str">
        <f aca="false">IF(K410="","",IF(K410&gt;60,3,IF(K410&gt;30,2,IF(K410&gt;0,1,0))))</f>
        <v/>
      </c>
      <c r="M410" s="35" t="str">
        <f aca="false">IF(E410="","",IF(J410&lt;=0.004,"bezahlt",IF(N(K410)&gt;0,"überfällig – Mahnung "&amp;L410,"offen")))</f>
        <v/>
      </c>
    </row>
    <row r="411" customFormat="false" ht="15" hidden="false" customHeight="false" outlineLevel="0" collapsed="false">
      <c r="A411" s="32"/>
      <c r="B411" s="33"/>
      <c r="C411" s="32"/>
      <c r="D411" s="32"/>
      <c r="E411" s="30"/>
      <c r="F411" s="32"/>
      <c r="G411" s="44" t="str">
        <f aca="false">IF(B411="","",B411+IF(F411="",Einstellungen!$B$40,F411))</f>
        <v/>
      </c>
      <c r="H411" s="33"/>
      <c r="I411" s="30"/>
      <c r="J411" s="31" t="str">
        <f aca="false">IF(E411="","",E411-N(I411))</f>
        <v/>
      </c>
      <c r="K411" s="43" t="str">
        <f aca="true">IF(OR(E411="",G411=""),"",IF(J411&lt;=0.004,"",MAX(0,TODAY()-G411)))</f>
        <v/>
      </c>
      <c r="L411" s="43" t="str">
        <f aca="false">IF(K411="","",IF(K411&gt;60,3,IF(K411&gt;30,2,IF(K411&gt;0,1,0))))</f>
        <v/>
      </c>
      <c r="M411" s="35" t="str">
        <f aca="false">IF(E411="","",IF(J411&lt;=0.004,"bezahlt",IF(N(K411)&gt;0,"überfällig – Mahnung "&amp;L411,"offen")))</f>
        <v/>
      </c>
    </row>
    <row r="412" customFormat="false" ht="15" hidden="false" customHeight="false" outlineLevel="0" collapsed="false">
      <c r="A412" s="32"/>
      <c r="B412" s="33"/>
      <c r="C412" s="32"/>
      <c r="D412" s="32"/>
      <c r="E412" s="30"/>
      <c r="F412" s="32"/>
      <c r="G412" s="44" t="str">
        <f aca="false">IF(B412="","",B412+IF(F412="",Einstellungen!$B$40,F412))</f>
        <v/>
      </c>
      <c r="H412" s="33"/>
      <c r="I412" s="30"/>
      <c r="J412" s="31" t="str">
        <f aca="false">IF(E412="","",E412-N(I412))</f>
        <v/>
      </c>
      <c r="K412" s="43" t="str">
        <f aca="true">IF(OR(E412="",G412=""),"",IF(J412&lt;=0.004,"",MAX(0,TODAY()-G412)))</f>
        <v/>
      </c>
      <c r="L412" s="43" t="str">
        <f aca="false">IF(K412="","",IF(K412&gt;60,3,IF(K412&gt;30,2,IF(K412&gt;0,1,0))))</f>
        <v/>
      </c>
      <c r="M412" s="35" t="str">
        <f aca="false">IF(E412="","",IF(J412&lt;=0.004,"bezahlt",IF(N(K412)&gt;0,"überfällig – Mahnung "&amp;L412,"offen")))</f>
        <v/>
      </c>
    </row>
    <row r="413" customFormat="false" ht="15" hidden="false" customHeight="false" outlineLevel="0" collapsed="false">
      <c r="A413" s="32"/>
      <c r="B413" s="33"/>
      <c r="C413" s="32"/>
      <c r="D413" s="32"/>
      <c r="E413" s="30"/>
      <c r="F413" s="32"/>
      <c r="G413" s="44" t="str">
        <f aca="false">IF(B413="","",B413+IF(F413="",Einstellungen!$B$40,F413))</f>
        <v/>
      </c>
      <c r="H413" s="33"/>
      <c r="I413" s="30"/>
      <c r="J413" s="31" t="str">
        <f aca="false">IF(E413="","",E413-N(I413))</f>
        <v/>
      </c>
      <c r="K413" s="43" t="str">
        <f aca="true">IF(OR(E413="",G413=""),"",IF(J413&lt;=0.004,"",MAX(0,TODAY()-G413)))</f>
        <v/>
      </c>
      <c r="L413" s="43" t="str">
        <f aca="false">IF(K413="","",IF(K413&gt;60,3,IF(K413&gt;30,2,IF(K413&gt;0,1,0))))</f>
        <v/>
      </c>
      <c r="M413" s="35" t="str">
        <f aca="false">IF(E413="","",IF(J413&lt;=0.004,"bezahlt",IF(N(K413)&gt;0,"überfällig – Mahnung "&amp;L413,"offen")))</f>
        <v/>
      </c>
    </row>
    <row r="414" customFormat="false" ht="15" hidden="false" customHeight="false" outlineLevel="0" collapsed="false">
      <c r="A414" s="32"/>
      <c r="B414" s="33"/>
      <c r="C414" s="32"/>
      <c r="D414" s="32"/>
      <c r="E414" s="30"/>
      <c r="F414" s="32"/>
      <c r="G414" s="44" t="str">
        <f aca="false">IF(B414="","",B414+IF(F414="",Einstellungen!$B$40,F414))</f>
        <v/>
      </c>
      <c r="H414" s="33"/>
      <c r="I414" s="30"/>
      <c r="J414" s="31" t="str">
        <f aca="false">IF(E414="","",E414-N(I414))</f>
        <v/>
      </c>
      <c r="K414" s="43" t="str">
        <f aca="true">IF(OR(E414="",G414=""),"",IF(J414&lt;=0.004,"",MAX(0,TODAY()-G414)))</f>
        <v/>
      </c>
      <c r="L414" s="43" t="str">
        <f aca="false">IF(K414="","",IF(K414&gt;60,3,IF(K414&gt;30,2,IF(K414&gt;0,1,0))))</f>
        <v/>
      </c>
      <c r="M414" s="35" t="str">
        <f aca="false">IF(E414="","",IF(J414&lt;=0.004,"bezahlt",IF(N(K414)&gt;0,"überfällig – Mahnung "&amp;L414,"offen")))</f>
        <v/>
      </c>
    </row>
    <row r="415" customFormat="false" ht="15" hidden="false" customHeight="false" outlineLevel="0" collapsed="false">
      <c r="A415" s="32"/>
      <c r="B415" s="33"/>
      <c r="C415" s="32"/>
      <c r="D415" s="32"/>
      <c r="E415" s="30"/>
      <c r="F415" s="32"/>
      <c r="G415" s="44" t="str">
        <f aca="false">IF(B415="","",B415+IF(F415="",Einstellungen!$B$40,F415))</f>
        <v/>
      </c>
      <c r="H415" s="33"/>
      <c r="I415" s="30"/>
      <c r="J415" s="31" t="str">
        <f aca="false">IF(E415="","",E415-N(I415))</f>
        <v/>
      </c>
      <c r="K415" s="43" t="str">
        <f aca="true">IF(OR(E415="",G415=""),"",IF(J415&lt;=0.004,"",MAX(0,TODAY()-G415)))</f>
        <v/>
      </c>
      <c r="L415" s="43" t="str">
        <f aca="false">IF(K415="","",IF(K415&gt;60,3,IF(K415&gt;30,2,IF(K415&gt;0,1,0))))</f>
        <v/>
      </c>
      <c r="M415" s="35" t="str">
        <f aca="false">IF(E415="","",IF(J415&lt;=0.004,"bezahlt",IF(N(K415)&gt;0,"überfällig – Mahnung "&amp;L415,"offen")))</f>
        <v/>
      </c>
    </row>
    <row r="416" customFormat="false" ht="15" hidden="false" customHeight="false" outlineLevel="0" collapsed="false">
      <c r="A416" s="32"/>
      <c r="B416" s="33"/>
      <c r="C416" s="32"/>
      <c r="D416" s="32"/>
      <c r="E416" s="30"/>
      <c r="F416" s="32"/>
      <c r="G416" s="44" t="str">
        <f aca="false">IF(B416="","",B416+IF(F416="",Einstellungen!$B$40,F416))</f>
        <v/>
      </c>
      <c r="H416" s="33"/>
      <c r="I416" s="30"/>
      <c r="J416" s="31" t="str">
        <f aca="false">IF(E416="","",E416-N(I416))</f>
        <v/>
      </c>
      <c r="K416" s="43" t="str">
        <f aca="true">IF(OR(E416="",G416=""),"",IF(J416&lt;=0.004,"",MAX(0,TODAY()-G416)))</f>
        <v/>
      </c>
      <c r="L416" s="43" t="str">
        <f aca="false">IF(K416="","",IF(K416&gt;60,3,IF(K416&gt;30,2,IF(K416&gt;0,1,0))))</f>
        <v/>
      </c>
      <c r="M416" s="35" t="str">
        <f aca="false">IF(E416="","",IF(J416&lt;=0.004,"bezahlt",IF(N(K416)&gt;0,"überfällig – Mahnung "&amp;L416,"offen")))</f>
        <v/>
      </c>
    </row>
    <row r="417" customFormat="false" ht="15" hidden="false" customHeight="false" outlineLevel="0" collapsed="false">
      <c r="A417" s="32"/>
      <c r="B417" s="33"/>
      <c r="C417" s="32"/>
      <c r="D417" s="32"/>
      <c r="E417" s="30"/>
      <c r="F417" s="32"/>
      <c r="G417" s="44" t="str">
        <f aca="false">IF(B417="","",B417+IF(F417="",Einstellungen!$B$40,F417))</f>
        <v/>
      </c>
      <c r="H417" s="33"/>
      <c r="I417" s="30"/>
      <c r="J417" s="31" t="str">
        <f aca="false">IF(E417="","",E417-N(I417))</f>
        <v/>
      </c>
      <c r="K417" s="43" t="str">
        <f aca="true">IF(OR(E417="",G417=""),"",IF(J417&lt;=0.004,"",MAX(0,TODAY()-G417)))</f>
        <v/>
      </c>
      <c r="L417" s="43" t="str">
        <f aca="false">IF(K417="","",IF(K417&gt;60,3,IF(K417&gt;30,2,IF(K417&gt;0,1,0))))</f>
        <v/>
      </c>
      <c r="M417" s="35" t="str">
        <f aca="false">IF(E417="","",IF(J417&lt;=0.004,"bezahlt",IF(N(K417)&gt;0,"überfällig – Mahnung "&amp;L417,"offen")))</f>
        <v/>
      </c>
    </row>
    <row r="418" customFormat="false" ht="15" hidden="false" customHeight="false" outlineLevel="0" collapsed="false">
      <c r="A418" s="32"/>
      <c r="B418" s="33"/>
      <c r="C418" s="32"/>
      <c r="D418" s="32"/>
      <c r="E418" s="30"/>
      <c r="F418" s="32"/>
      <c r="G418" s="44" t="str">
        <f aca="false">IF(B418="","",B418+IF(F418="",Einstellungen!$B$40,F418))</f>
        <v/>
      </c>
      <c r="H418" s="33"/>
      <c r="I418" s="30"/>
      <c r="J418" s="31" t="str">
        <f aca="false">IF(E418="","",E418-N(I418))</f>
        <v/>
      </c>
      <c r="K418" s="43" t="str">
        <f aca="true">IF(OR(E418="",G418=""),"",IF(J418&lt;=0.004,"",MAX(0,TODAY()-G418)))</f>
        <v/>
      </c>
      <c r="L418" s="43" t="str">
        <f aca="false">IF(K418="","",IF(K418&gt;60,3,IF(K418&gt;30,2,IF(K418&gt;0,1,0))))</f>
        <v/>
      </c>
      <c r="M418" s="35" t="str">
        <f aca="false">IF(E418="","",IF(J418&lt;=0.004,"bezahlt",IF(N(K418)&gt;0,"überfällig – Mahnung "&amp;L418,"offen")))</f>
        <v/>
      </c>
    </row>
    <row r="419" customFormat="false" ht="15" hidden="false" customHeight="false" outlineLevel="0" collapsed="false">
      <c r="A419" s="32"/>
      <c r="B419" s="33"/>
      <c r="C419" s="32"/>
      <c r="D419" s="32"/>
      <c r="E419" s="30"/>
      <c r="F419" s="32"/>
      <c r="G419" s="44" t="str">
        <f aca="false">IF(B419="","",B419+IF(F419="",Einstellungen!$B$40,F419))</f>
        <v/>
      </c>
      <c r="H419" s="33"/>
      <c r="I419" s="30"/>
      <c r="J419" s="31" t="str">
        <f aca="false">IF(E419="","",E419-N(I419))</f>
        <v/>
      </c>
      <c r="K419" s="43" t="str">
        <f aca="true">IF(OR(E419="",G419=""),"",IF(J419&lt;=0.004,"",MAX(0,TODAY()-G419)))</f>
        <v/>
      </c>
      <c r="L419" s="43" t="str">
        <f aca="false">IF(K419="","",IF(K419&gt;60,3,IF(K419&gt;30,2,IF(K419&gt;0,1,0))))</f>
        <v/>
      </c>
      <c r="M419" s="35" t="str">
        <f aca="false">IF(E419="","",IF(J419&lt;=0.004,"bezahlt",IF(N(K419)&gt;0,"überfällig – Mahnung "&amp;L419,"offen")))</f>
        <v/>
      </c>
    </row>
    <row r="420" customFormat="false" ht="15" hidden="false" customHeight="false" outlineLevel="0" collapsed="false">
      <c r="A420" s="32"/>
      <c r="B420" s="33"/>
      <c r="C420" s="32"/>
      <c r="D420" s="32"/>
      <c r="E420" s="30"/>
      <c r="F420" s="32"/>
      <c r="G420" s="44" t="str">
        <f aca="false">IF(B420="","",B420+IF(F420="",Einstellungen!$B$40,F420))</f>
        <v/>
      </c>
      <c r="H420" s="33"/>
      <c r="I420" s="30"/>
      <c r="J420" s="31" t="str">
        <f aca="false">IF(E420="","",E420-N(I420))</f>
        <v/>
      </c>
      <c r="K420" s="43" t="str">
        <f aca="true">IF(OR(E420="",G420=""),"",IF(J420&lt;=0.004,"",MAX(0,TODAY()-G420)))</f>
        <v/>
      </c>
      <c r="L420" s="43" t="str">
        <f aca="false">IF(K420="","",IF(K420&gt;60,3,IF(K420&gt;30,2,IF(K420&gt;0,1,0))))</f>
        <v/>
      </c>
      <c r="M420" s="35" t="str">
        <f aca="false">IF(E420="","",IF(J420&lt;=0.004,"bezahlt",IF(N(K420)&gt;0,"überfällig – Mahnung "&amp;L420,"offen")))</f>
        <v/>
      </c>
    </row>
    <row r="421" customFormat="false" ht="15" hidden="false" customHeight="false" outlineLevel="0" collapsed="false">
      <c r="A421" s="32"/>
      <c r="B421" s="33"/>
      <c r="C421" s="32"/>
      <c r="D421" s="32"/>
      <c r="E421" s="30"/>
      <c r="F421" s="32"/>
      <c r="G421" s="44" t="str">
        <f aca="false">IF(B421="","",B421+IF(F421="",Einstellungen!$B$40,F421))</f>
        <v/>
      </c>
      <c r="H421" s="33"/>
      <c r="I421" s="30"/>
      <c r="J421" s="31" t="str">
        <f aca="false">IF(E421="","",E421-N(I421))</f>
        <v/>
      </c>
      <c r="K421" s="43" t="str">
        <f aca="true">IF(OR(E421="",G421=""),"",IF(J421&lt;=0.004,"",MAX(0,TODAY()-G421)))</f>
        <v/>
      </c>
      <c r="L421" s="43" t="str">
        <f aca="false">IF(K421="","",IF(K421&gt;60,3,IF(K421&gt;30,2,IF(K421&gt;0,1,0))))</f>
        <v/>
      </c>
      <c r="M421" s="35" t="str">
        <f aca="false">IF(E421="","",IF(J421&lt;=0.004,"bezahlt",IF(N(K421)&gt;0,"überfällig – Mahnung "&amp;L421,"offen")))</f>
        <v/>
      </c>
    </row>
    <row r="422" customFormat="false" ht="15" hidden="false" customHeight="false" outlineLevel="0" collapsed="false">
      <c r="A422" s="32"/>
      <c r="B422" s="33"/>
      <c r="C422" s="32"/>
      <c r="D422" s="32"/>
      <c r="E422" s="30"/>
      <c r="F422" s="32"/>
      <c r="G422" s="44" t="str">
        <f aca="false">IF(B422="","",B422+IF(F422="",Einstellungen!$B$40,F422))</f>
        <v/>
      </c>
      <c r="H422" s="33"/>
      <c r="I422" s="30"/>
      <c r="J422" s="31" t="str">
        <f aca="false">IF(E422="","",E422-N(I422))</f>
        <v/>
      </c>
      <c r="K422" s="43" t="str">
        <f aca="true">IF(OR(E422="",G422=""),"",IF(J422&lt;=0.004,"",MAX(0,TODAY()-G422)))</f>
        <v/>
      </c>
      <c r="L422" s="43" t="str">
        <f aca="false">IF(K422="","",IF(K422&gt;60,3,IF(K422&gt;30,2,IF(K422&gt;0,1,0))))</f>
        <v/>
      </c>
      <c r="M422" s="35" t="str">
        <f aca="false">IF(E422="","",IF(J422&lt;=0.004,"bezahlt",IF(N(K422)&gt;0,"überfällig – Mahnung "&amp;L422,"offen")))</f>
        <v/>
      </c>
    </row>
    <row r="423" customFormat="false" ht="15" hidden="false" customHeight="false" outlineLevel="0" collapsed="false">
      <c r="A423" s="32"/>
      <c r="B423" s="33"/>
      <c r="C423" s="32"/>
      <c r="D423" s="32"/>
      <c r="E423" s="30"/>
      <c r="F423" s="32"/>
      <c r="G423" s="44" t="str">
        <f aca="false">IF(B423="","",B423+IF(F423="",Einstellungen!$B$40,F423))</f>
        <v/>
      </c>
      <c r="H423" s="33"/>
      <c r="I423" s="30"/>
      <c r="J423" s="31" t="str">
        <f aca="false">IF(E423="","",E423-N(I423))</f>
        <v/>
      </c>
      <c r="K423" s="43" t="str">
        <f aca="true">IF(OR(E423="",G423=""),"",IF(J423&lt;=0.004,"",MAX(0,TODAY()-G423)))</f>
        <v/>
      </c>
      <c r="L423" s="43" t="str">
        <f aca="false">IF(K423="","",IF(K423&gt;60,3,IF(K423&gt;30,2,IF(K423&gt;0,1,0))))</f>
        <v/>
      </c>
      <c r="M423" s="35" t="str">
        <f aca="false">IF(E423="","",IF(J423&lt;=0.004,"bezahlt",IF(N(K423)&gt;0,"überfällig – Mahnung "&amp;L423,"offen")))</f>
        <v/>
      </c>
    </row>
    <row r="424" customFormat="false" ht="15" hidden="false" customHeight="false" outlineLevel="0" collapsed="false">
      <c r="A424" s="32"/>
      <c r="B424" s="33"/>
      <c r="C424" s="32"/>
      <c r="D424" s="32"/>
      <c r="E424" s="30"/>
      <c r="F424" s="32"/>
      <c r="G424" s="44" t="str">
        <f aca="false">IF(B424="","",B424+IF(F424="",Einstellungen!$B$40,F424))</f>
        <v/>
      </c>
      <c r="H424" s="33"/>
      <c r="I424" s="30"/>
      <c r="J424" s="31" t="str">
        <f aca="false">IF(E424="","",E424-N(I424))</f>
        <v/>
      </c>
      <c r="K424" s="43" t="str">
        <f aca="true">IF(OR(E424="",G424=""),"",IF(J424&lt;=0.004,"",MAX(0,TODAY()-G424)))</f>
        <v/>
      </c>
      <c r="L424" s="43" t="str">
        <f aca="false">IF(K424="","",IF(K424&gt;60,3,IF(K424&gt;30,2,IF(K424&gt;0,1,0))))</f>
        <v/>
      </c>
      <c r="M424" s="35" t="str">
        <f aca="false">IF(E424="","",IF(J424&lt;=0.004,"bezahlt",IF(N(K424)&gt;0,"überfällig – Mahnung "&amp;L424,"offen")))</f>
        <v/>
      </c>
    </row>
    <row r="425" customFormat="false" ht="15" hidden="false" customHeight="false" outlineLevel="0" collapsed="false">
      <c r="A425" s="32"/>
      <c r="B425" s="33"/>
      <c r="C425" s="32"/>
      <c r="D425" s="32"/>
      <c r="E425" s="30"/>
      <c r="F425" s="32"/>
      <c r="G425" s="44" t="str">
        <f aca="false">IF(B425="","",B425+IF(F425="",Einstellungen!$B$40,F425))</f>
        <v/>
      </c>
      <c r="H425" s="33"/>
      <c r="I425" s="30"/>
      <c r="J425" s="31" t="str">
        <f aca="false">IF(E425="","",E425-N(I425))</f>
        <v/>
      </c>
      <c r="K425" s="43" t="str">
        <f aca="true">IF(OR(E425="",G425=""),"",IF(J425&lt;=0.004,"",MAX(0,TODAY()-G425)))</f>
        <v/>
      </c>
      <c r="L425" s="43" t="str">
        <f aca="false">IF(K425="","",IF(K425&gt;60,3,IF(K425&gt;30,2,IF(K425&gt;0,1,0))))</f>
        <v/>
      </c>
      <c r="M425" s="35" t="str">
        <f aca="false">IF(E425="","",IF(J425&lt;=0.004,"bezahlt",IF(N(K425)&gt;0,"überfällig – Mahnung "&amp;L425,"offen")))</f>
        <v/>
      </c>
    </row>
    <row r="426" customFormat="false" ht="15" hidden="false" customHeight="false" outlineLevel="0" collapsed="false">
      <c r="A426" s="32"/>
      <c r="B426" s="33"/>
      <c r="C426" s="32"/>
      <c r="D426" s="32"/>
      <c r="E426" s="30"/>
      <c r="F426" s="32"/>
      <c r="G426" s="44" t="str">
        <f aca="false">IF(B426="","",B426+IF(F426="",Einstellungen!$B$40,F426))</f>
        <v/>
      </c>
      <c r="H426" s="33"/>
      <c r="I426" s="30"/>
      <c r="J426" s="31" t="str">
        <f aca="false">IF(E426="","",E426-N(I426))</f>
        <v/>
      </c>
      <c r="K426" s="43" t="str">
        <f aca="true">IF(OR(E426="",G426=""),"",IF(J426&lt;=0.004,"",MAX(0,TODAY()-G426)))</f>
        <v/>
      </c>
      <c r="L426" s="43" t="str">
        <f aca="false">IF(K426="","",IF(K426&gt;60,3,IF(K426&gt;30,2,IF(K426&gt;0,1,0))))</f>
        <v/>
      </c>
      <c r="M426" s="35" t="str">
        <f aca="false">IF(E426="","",IF(J426&lt;=0.004,"bezahlt",IF(N(K426)&gt;0,"überfällig – Mahnung "&amp;L426,"offen")))</f>
        <v/>
      </c>
    </row>
    <row r="427" customFormat="false" ht="15" hidden="false" customHeight="false" outlineLevel="0" collapsed="false">
      <c r="A427" s="32"/>
      <c r="B427" s="33"/>
      <c r="C427" s="32"/>
      <c r="D427" s="32"/>
      <c r="E427" s="30"/>
      <c r="F427" s="32"/>
      <c r="G427" s="44" t="str">
        <f aca="false">IF(B427="","",B427+IF(F427="",Einstellungen!$B$40,F427))</f>
        <v/>
      </c>
      <c r="H427" s="33"/>
      <c r="I427" s="30"/>
      <c r="J427" s="31" t="str">
        <f aca="false">IF(E427="","",E427-N(I427))</f>
        <v/>
      </c>
      <c r="K427" s="43" t="str">
        <f aca="true">IF(OR(E427="",G427=""),"",IF(J427&lt;=0.004,"",MAX(0,TODAY()-G427)))</f>
        <v/>
      </c>
      <c r="L427" s="43" t="str">
        <f aca="false">IF(K427="","",IF(K427&gt;60,3,IF(K427&gt;30,2,IF(K427&gt;0,1,0))))</f>
        <v/>
      </c>
      <c r="M427" s="35" t="str">
        <f aca="false">IF(E427="","",IF(J427&lt;=0.004,"bezahlt",IF(N(K427)&gt;0,"überfällig – Mahnung "&amp;L427,"offen")))</f>
        <v/>
      </c>
    </row>
    <row r="428" customFormat="false" ht="15" hidden="false" customHeight="false" outlineLevel="0" collapsed="false">
      <c r="A428" s="32"/>
      <c r="B428" s="33"/>
      <c r="C428" s="32"/>
      <c r="D428" s="32"/>
      <c r="E428" s="30"/>
      <c r="F428" s="32"/>
      <c r="G428" s="44" t="str">
        <f aca="false">IF(B428="","",B428+IF(F428="",Einstellungen!$B$40,F428))</f>
        <v/>
      </c>
      <c r="H428" s="33"/>
      <c r="I428" s="30"/>
      <c r="J428" s="31" t="str">
        <f aca="false">IF(E428="","",E428-N(I428))</f>
        <v/>
      </c>
      <c r="K428" s="43" t="str">
        <f aca="true">IF(OR(E428="",G428=""),"",IF(J428&lt;=0.004,"",MAX(0,TODAY()-G428)))</f>
        <v/>
      </c>
      <c r="L428" s="43" t="str">
        <f aca="false">IF(K428="","",IF(K428&gt;60,3,IF(K428&gt;30,2,IF(K428&gt;0,1,0))))</f>
        <v/>
      </c>
      <c r="M428" s="35" t="str">
        <f aca="false">IF(E428="","",IF(J428&lt;=0.004,"bezahlt",IF(N(K428)&gt;0,"überfällig – Mahnung "&amp;L428,"offen")))</f>
        <v/>
      </c>
    </row>
    <row r="429" customFormat="false" ht="15" hidden="false" customHeight="false" outlineLevel="0" collapsed="false">
      <c r="A429" s="32"/>
      <c r="B429" s="33"/>
      <c r="C429" s="32"/>
      <c r="D429" s="32"/>
      <c r="E429" s="30"/>
      <c r="F429" s="32"/>
      <c r="G429" s="44" t="str">
        <f aca="false">IF(B429="","",B429+IF(F429="",Einstellungen!$B$40,F429))</f>
        <v/>
      </c>
      <c r="H429" s="33"/>
      <c r="I429" s="30"/>
      <c r="J429" s="31" t="str">
        <f aca="false">IF(E429="","",E429-N(I429))</f>
        <v/>
      </c>
      <c r="K429" s="43" t="str">
        <f aca="true">IF(OR(E429="",G429=""),"",IF(J429&lt;=0.004,"",MAX(0,TODAY()-G429)))</f>
        <v/>
      </c>
      <c r="L429" s="43" t="str">
        <f aca="false">IF(K429="","",IF(K429&gt;60,3,IF(K429&gt;30,2,IF(K429&gt;0,1,0))))</f>
        <v/>
      </c>
      <c r="M429" s="35" t="str">
        <f aca="false">IF(E429="","",IF(J429&lt;=0.004,"bezahlt",IF(N(K429)&gt;0,"überfällig – Mahnung "&amp;L429,"offen")))</f>
        <v/>
      </c>
    </row>
    <row r="430" customFormat="false" ht="15" hidden="false" customHeight="false" outlineLevel="0" collapsed="false">
      <c r="A430" s="32"/>
      <c r="B430" s="33"/>
      <c r="C430" s="32"/>
      <c r="D430" s="32"/>
      <c r="E430" s="30"/>
      <c r="F430" s="32"/>
      <c r="G430" s="44" t="str">
        <f aca="false">IF(B430="","",B430+IF(F430="",Einstellungen!$B$40,F430))</f>
        <v/>
      </c>
      <c r="H430" s="33"/>
      <c r="I430" s="30"/>
      <c r="J430" s="31" t="str">
        <f aca="false">IF(E430="","",E430-N(I430))</f>
        <v/>
      </c>
      <c r="K430" s="43" t="str">
        <f aca="true">IF(OR(E430="",G430=""),"",IF(J430&lt;=0.004,"",MAX(0,TODAY()-G430)))</f>
        <v/>
      </c>
      <c r="L430" s="43" t="str">
        <f aca="false">IF(K430="","",IF(K430&gt;60,3,IF(K430&gt;30,2,IF(K430&gt;0,1,0))))</f>
        <v/>
      </c>
      <c r="M430" s="35" t="str">
        <f aca="false">IF(E430="","",IF(J430&lt;=0.004,"bezahlt",IF(N(K430)&gt;0,"überfällig – Mahnung "&amp;L430,"offen")))</f>
        <v/>
      </c>
    </row>
    <row r="431" customFormat="false" ht="15" hidden="false" customHeight="false" outlineLevel="0" collapsed="false">
      <c r="A431" s="32"/>
      <c r="B431" s="33"/>
      <c r="C431" s="32"/>
      <c r="D431" s="32"/>
      <c r="E431" s="30"/>
      <c r="F431" s="32"/>
      <c r="G431" s="44" t="str">
        <f aca="false">IF(B431="","",B431+IF(F431="",Einstellungen!$B$40,F431))</f>
        <v/>
      </c>
      <c r="H431" s="33"/>
      <c r="I431" s="30"/>
      <c r="J431" s="31" t="str">
        <f aca="false">IF(E431="","",E431-N(I431))</f>
        <v/>
      </c>
      <c r="K431" s="43" t="str">
        <f aca="true">IF(OR(E431="",G431=""),"",IF(J431&lt;=0.004,"",MAX(0,TODAY()-G431)))</f>
        <v/>
      </c>
      <c r="L431" s="43" t="str">
        <f aca="false">IF(K431="","",IF(K431&gt;60,3,IF(K431&gt;30,2,IF(K431&gt;0,1,0))))</f>
        <v/>
      </c>
      <c r="M431" s="35" t="str">
        <f aca="false">IF(E431="","",IF(J431&lt;=0.004,"bezahlt",IF(N(K431)&gt;0,"überfällig – Mahnung "&amp;L431,"offen")))</f>
        <v/>
      </c>
    </row>
    <row r="432" customFormat="false" ht="15" hidden="false" customHeight="false" outlineLevel="0" collapsed="false">
      <c r="A432" s="32"/>
      <c r="B432" s="33"/>
      <c r="C432" s="32"/>
      <c r="D432" s="32"/>
      <c r="E432" s="30"/>
      <c r="F432" s="32"/>
      <c r="G432" s="44" t="str">
        <f aca="false">IF(B432="","",B432+IF(F432="",Einstellungen!$B$40,F432))</f>
        <v/>
      </c>
      <c r="H432" s="33"/>
      <c r="I432" s="30"/>
      <c r="J432" s="31" t="str">
        <f aca="false">IF(E432="","",E432-N(I432))</f>
        <v/>
      </c>
      <c r="K432" s="43" t="str">
        <f aca="true">IF(OR(E432="",G432=""),"",IF(J432&lt;=0.004,"",MAX(0,TODAY()-G432)))</f>
        <v/>
      </c>
      <c r="L432" s="43" t="str">
        <f aca="false">IF(K432="","",IF(K432&gt;60,3,IF(K432&gt;30,2,IF(K432&gt;0,1,0))))</f>
        <v/>
      </c>
      <c r="M432" s="35" t="str">
        <f aca="false">IF(E432="","",IF(J432&lt;=0.004,"bezahlt",IF(N(K432)&gt;0,"überfällig – Mahnung "&amp;L432,"offen")))</f>
        <v/>
      </c>
    </row>
    <row r="433" customFormat="false" ht="15" hidden="false" customHeight="false" outlineLevel="0" collapsed="false">
      <c r="A433" s="32"/>
      <c r="B433" s="33"/>
      <c r="C433" s="32"/>
      <c r="D433" s="32"/>
      <c r="E433" s="30"/>
      <c r="F433" s="32"/>
      <c r="G433" s="44" t="str">
        <f aca="false">IF(B433="","",B433+IF(F433="",Einstellungen!$B$40,F433))</f>
        <v/>
      </c>
      <c r="H433" s="33"/>
      <c r="I433" s="30"/>
      <c r="J433" s="31" t="str">
        <f aca="false">IF(E433="","",E433-N(I433))</f>
        <v/>
      </c>
      <c r="K433" s="43" t="str">
        <f aca="true">IF(OR(E433="",G433=""),"",IF(J433&lt;=0.004,"",MAX(0,TODAY()-G433)))</f>
        <v/>
      </c>
      <c r="L433" s="43" t="str">
        <f aca="false">IF(K433="","",IF(K433&gt;60,3,IF(K433&gt;30,2,IF(K433&gt;0,1,0))))</f>
        <v/>
      </c>
      <c r="M433" s="35" t="str">
        <f aca="false">IF(E433="","",IF(J433&lt;=0.004,"bezahlt",IF(N(K433)&gt;0,"überfällig – Mahnung "&amp;L433,"offen")))</f>
        <v/>
      </c>
    </row>
    <row r="434" customFormat="false" ht="15" hidden="false" customHeight="false" outlineLevel="0" collapsed="false">
      <c r="A434" s="32"/>
      <c r="B434" s="33"/>
      <c r="C434" s="32"/>
      <c r="D434" s="32"/>
      <c r="E434" s="30"/>
      <c r="F434" s="32"/>
      <c r="G434" s="44" t="str">
        <f aca="false">IF(B434="","",B434+IF(F434="",Einstellungen!$B$40,F434))</f>
        <v/>
      </c>
      <c r="H434" s="33"/>
      <c r="I434" s="30"/>
      <c r="J434" s="31" t="str">
        <f aca="false">IF(E434="","",E434-N(I434))</f>
        <v/>
      </c>
      <c r="K434" s="43" t="str">
        <f aca="true">IF(OR(E434="",G434=""),"",IF(J434&lt;=0.004,"",MAX(0,TODAY()-G434)))</f>
        <v/>
      </c>
      <c r="L434" s="43" t="str">
        <f aca="false">IF(K434="","",IF(K434&gt;60,3,IF(K434&gt;30,2,IF(K434&gt;0,1,0))))</f>
        <v/>
      </c>
      <c r="M434" s="35" t="str">
        <f aca="false">IF(E434="","",IF(J434&lt;=0.004,"bezahlt",IF(N(K434)&gt;0,"überfällig – Mahnung "&amp;L434,"offen")))</f>
        <v/>
      </c>
    </row>
    <row r="435" customFormat="false" ht="15" hidden="false" customHeight="false" outlineLevel="0" collapsed="false">
      <c r="A435" s="32"/>
      <c r="B435" s="33"/>
      <c r="C435" s="32"/>
      <c r="D435" s="32"/>
      <c r="E435" s="30"/>
      <c r="F435" s="32"/>
      <c r="G435" s="44" t="str">
        <f aca="false">IF(B435="","",B435+IF(F435="",Einstellungen!$B$40,F435))</f>
        <v/>
      </c>
      <c r="H435" s="33"/>
      <c r="I435" s="30"/>
      <c r="J435" s="31" t="str">
        <f aca="false">IF(E435="","",E435-N(I435))</f>
        <v/>
      </c>
      <c r="K435" s="43" t="str">
        <f aca="true">IF(OR(E435="",G435=""),"",IF(J435&lt;=0.004,"",MAX(0,TODAY()-G435)))</f>
        <v/>
      </c>
      <c r="L435" s="43" t="str">
        <f aca="false">IF(K435="","",IF(K435&gt;60,3,IF(K435&gt;30,2,IF(K435&gt;0,1,0))))</f>
        <v/>
      </c>
      <c r="M435" s="35" t="str">
        <f aca="false">IF(E435="","",IF(J435&lt;=0.004,"bezahlt",IF(N(K435)&gt;0,"überfällig – Mahnung "&amp;L435,"offen")))</f>
        <v/>
      </c>
    </row>
    <row r="436" customFormat="false" ht="15" hidden="false" customHeight="false" outlineLevel="0" collapsed="false">
      <c r="A436" s="32"/>
      <c r="B436" s="33"/>
      <c r="C436" s="32"/>
      <c r="D436" s="32"/>
      <c r="E436" s="30"/>
      <c r="F436" s="32"/>
      <c r="G436" s="44" t="str">
        <f aca="false">IF(B436="","",B436+IF(F436="",Einstellungen!$B$40,F436))</f>
        <v/>
      </c>
      <c r="H436" s="33"/>
      <c r="I436" s="30"/>
      <c r="J436" s="31" t="str">
        <f aca="false">IF(E436="","",E436-N(I436))</f>
        <v/>
      </c>
      <c r="K436" s="43" t="str">
        <f aca="true">IF(OR(E436="",G436=""),"",IF(J436&lt;=0.004,"",MAX(0,TODAY()-G436)))</f>
        <v/>
      </c>
      <c r="L436" s="43" t="str">
        <f aca="false">IF(K436="","",IF(K436&gt;60,3,IF(K436&gt;30,2,IF(K436&gt;0,1,0))))</f>
        <v/>
      </c>
      <c r="M436" s="35" t="str">
        <f aca="false">IF(E436="","",IF(J436&lt;=0.004,"bezahlt",IF(N(K436)&gt;0,"überfällig – Mahnung "&amp;L436,"offen")))</f>
        <v/>
      </c>
    </row>
    <row r="437" customFormat="false" ht="15" hidden="false" customHeight="false" outlineLevel="0" collapsed="false">
      <c r="A437" s="32"/>
      <c r="B437" s="33"/>
      <c r="C437" s="32"/>
      <c r="D437" s="32"/>
      <c r="E437" s="30"/>
      <c r="F437" s="32"/>
      <c r="G437" s="44" t="str">
        <f aca="false">IF(B437="","",B437+IF(F437="",Einstellungen!$B$40,F437))</f>
        <v/>
      </c>
      <c r="H437" s="33"/>
      <c r="I437" s="30"/>
      <c r="J437" s="31" t="str">
        <f aca="false">IF(E437="","",E437-N(I437))</f>
        <v/>
      </c>
      <c r="K437" s="43" t="str">
        <f aca="true">IF(OR(E437="",G437=""),"",IF(J437&lt;=0.004,"",MAX(0,TODAY()-G437)))</f>
        <v/>
      </c>
      <c r="L437" s="43" t="str">
        <f aca="false">IF(K437="","",IF(K437&gt;60,3,IF(K437&gt;30,2,IF(K437&gt;0,1,0))))</f>
        <v/>
      </c>
      <c r="M437" s="35" t="str">
        <f aca="false">IF(E437="","",IF(J437&lt;=0.004,"bezahlt",IF(N(K437)&gt;0,"überfällig – Mahnung "&amp;L437,"offen")))</f>
        <v/>
      </c>
    </row>
    <row r="438" customFormat="false" ht="15" hidden="false" customHeight="false" outlineLevel="0" collapsed="false">
      <c r="A438" s="32"/>
      <c r="B438" s="33"/>
      <c r="C438" s="32"/>
      <c r="D438" s="32"/>
      <c r="E438" s="30"/>
      <c r="F438" s="32"/>
      <c r="G438" s="44" t="str">
        <f aca="false">IF(B438="","",B438+IF(F438="",Einstellungen!$B$40,F438))</f>
        <v/>
      </c>
      <c r="H438" s="33"/>
      <c r="I438" s="30"/>
      <c r="J438" s="31" t="str">
        <f aca="false">IF(E438="","",E438-N(I438))</f>
        <v/>
      </c>
      <c r="K438" s="43" t="str">
        <f aca="true">IF(OR(E438="",G438=""),"",IF(J438&lt;=0.004,"",MAX(0,TODAY()-G438)))</f>
        <v/>
      </c>
      <c r="L438" s="43" t="str">
        <f aca="false">IF(K438="","",IF(K438&gt;60,3,IF(K438&gt;30,2,IF(K438&gt;0,1,0))))</f>
        <v/>
      </c>
      <c r="M438" s="35" t="str">
        <f aca="false">IF(E438="","",IF(J438&lt;=0.004,"bezahlt",IF(N(K438)&gt;0,"überfällig – Mahnung "&amp;L438,"offen")))</f>
        <v/>
      </c>
    </row>
    <row r="439" customFormat="false" ht="15" hidden="false" customHeight="false" outlineLevel="0" collapsed="false">
      <c r="A439" s="32"/>
      <c r="B439" s="33"/>
      <c r="C439" s="32"/>
      <c r="D439" s="32"/>
      <c r="E439" s="30"/>
      <c r="F439" s="32"/>
      <c r="G439" s="44" t="str">
        <f aca="false">IF(B439="","",B439+IF(F439="",Einstellungen!$B$40,F439))</f>
        <v/>
      </c>
      <c r="H439" s="33"/>
      <c r="I439" s="30"/>
      <c r="J439" s="31" t="str">
        <f aca="false">IF(E439="","",E439-N(I439))</f>
        <v/>
      </c>
      <c r="K439" s="43" t="str">
        <f aca="true">IF(OR(E439="",G439=""),"",IF(J439&lt;=0.004,"",MAX(0,TODAY()-G439)))</f>
        <v/>
      </c>
      <c r="L439" s="43" t="str">
        <f aca="false">IF(K439="","",IF(K439&gt;60,3,IF(K439&gt;30,2,IF(K439&gt;0,1,0))))</f>
        <v/>
      </c>
      <c r="M439" s="35" t="str">
        <f aca="false">IF(E439="","",IF(J439&lt;=0.004,"bezahlt",IF(N(K439)&gt;0,"überfällig – Mahnung "&amp;L439,"offen")))</f>
        <v/>
      </c>
    </row>
    <row r="440" customFormat="false" ht="15" hidden="false" customHeight="false" outlineLevel="0" collapsed="false">
      <c r="A440" s="32"/>
      <c r="B440" s="33"/>
      <c r="C440" s="32"/>
      <c r="D440" s="32"/>
      <c r="E440" s="30"/>
      <c r="F440" s="32"/>
      <c r="G440" s="44" t="str">
        <f aca="false">IF(B440="","",B440+IF(F440="",Einstellungen!$B$40,F440))</f>
        <v/>
      </c>
      <c r="H440" s="33"/>
      <c r="I440" s="30"/>
      <c r="J440" s="31" t="str">
        <f aca="false">IF(E440="","",E440-N(I440))</f>
        <v/>
      </c>
      <c r="K440" s="43" t="str">
        <f aca="true">IF(OR(E440="",G440=""),"",IF(J440&lt;=0.004,"",MAX(0,TODAY()-G440)))</f>
        <v/>
      </c>
      <c r="L440" s="43" t="str">
        <f aca="false">IF(K440="","",IF(K440&gt;60,3,IF(K440&gt;30,2,IF(K440&gt;0,1,0))))</f>
        <v/>
      </c>
      <c r="M440" s="35" t="str">
        <f aca="false">IF(E440="","",IF(J440&lt;=0.004,"bezahlt",IF(N(K440)&gt;0,"überfällig – Mahnung "&amp;L440,"offen")))</f>
        <v/>
      </c>
    </row>
    <row r="441" customFormat="false" ht="15" hidden="false" customHeight="false" outlineLevel="0" collapsed="false">
      <c r="A441" s="32"/>
      <c r="B441" s="33"/>
      <c r="C441" s="32"/>
      <c r="D441" s="32"/>
      <c r="E441" s="30"/>
      <c r="F441" s="32"/>
      <c r="G441" s="44" t="str">
        <f aca="false">IF(B441="","",B441+IF(F441="",Einstellungen!$B$40,F441))</f>
        <v/>
      </c>
      <c r="H441" s="33"/>
      <c r="I441" s="30"/>
      <c r="J441" s="31" t="str">
        <f aca="false">IF(E441="","",E441-N(I441))</f>
        <v/>
      </c>
      <c r="K441" s="43" t="str">
        <f aca="true">IF(OR(E441="",G441=""),"",IF(J441&lt;=0.004,"",MAX(0,TODAY()-G441)))</f>
        <v/>
      </c>
      <c r="L441" s="43" t="str">
        <f aca="false">IF(K441="","",IF(K441&gt;60,3,IF(K441&gt;30,2,IF(K441&gt;0,1,0))))</f>
        <v/>
      </c>
      <c r="M441" s="35" t="str">
        <f aca="false">IF(E441="","",IF(J441&lt;=0.004,"bezahlt",IF(N(K441)&gt;0,"überfällig – Mahnung "&amp;L441,"offen")))</f>
        <v/>
      </c>
    </row>
    <row r="442" customFormat="false" ht="15" hidden="false" customHeight="false" outlineLevel="0" collapsed="false">
      <c r="A442" s="32"/>
      <c r="B442" s="33"/>
      <c r="C442" s="32"/>
      <c r="D442" s="32"/>
      <c r="E442" s="30"/>
      <c r="F442" s="32"/>
      <c r="G442" s="44" t="str">
        <f aca="false">IF(B442="","",B442+IF(F442="",Einstellungen!$B$40,F442))</f>
        <v/>
      </c>
      <c r="H442" s="33"/>
      <c r="I442" s="30"/>
      <c r="J442" s="31" t="str">
        <f aca="false">IF(E442="","",E442-N(I442))</f>
        <v/>
      </c>
      <c r="K442" s="43" t="str">
        <f aca="true">IF(OR(E442="",G442=""),"",IF(J442&lt;=0.004,"",MAX(0,TODAY()-G442)))</f>
        <v/>
      </c>
      <c r="L442" s="43" t="str">
        <f aca="false">IF(K442="","",IF(K442&gt;60,3,IF(K442&gt;30,2,IF(K442&gt;0,1,0))))</f>
        <v/>
      </c>
      <c r="M442" s="35" t="str">
        <f aca="false">IF(E442="","",IF(J442&lt;=0.004,"bezahlt",IF(N(K442)&gt;0,"überfällig – Mahnung "&amp;L442,"offen")))</f>
        <v/>
      </c>
    </row>
    <row r="443" customFormat="false" ht="15" hidden="false" customHeight="false" outlineLevel="0" collapsed="false">
      <c r="A443" s="32"/>
      <c r="B443" s="33"/>
      <c r="C443" s="32"/>
      <c r="D443" s="32"/>
      <c r="E443" s="30"/>
      <c r="F443" s="32"/>
      <c r="G443" s="44" t="str">
        <f aca="false">IF(B443="","",B443+IF(F443="",Einstellungen!$B$40,F443))</f>
        <v/>
      </c>
      <c r="H443" s="33"/>
      <c r="I443" s="30"/>
      <c r="J443" s="31" t="str">
        <f aca="false">IF(E443="","",E443-N(I443))</f>
        <v/>
      </c>
      <c r="K443" s="43" t="str">
        <f aca="true">IF(OR(E443="",G443=""),"",IF(J443&lt;=0.004,"",MAX(0,TODAY()-G443)))</f>
        <v/>
      </c>
      <c r="L443" s="43" t="str">
        <f aca="false">IF(K443="","",IF(K443&gt;60,3,IF(K443&gt;30,2,IF(K443&gt;0,1,0))))</f>
        <v/>
      </c>
      <c r="M443" s="35" t="str">
        <f aca="false">IF(E443="","",IF(J443&lt;=0.004,"bezahlt",IF(N(K443)&gt;0,"überfällig – Mahnung "&amp;L443,"offen")))</f>
        <v/>
      </c>
    </row>
    <row r="444" customFormat="false" ht="15" hidden="false" customHeight="false" outlineLevel="0" collapsed="false">
      <c r="A444" s="32"/>
      <c r="B444" s="33"/>
      <c r="C444" s="32"/>
      <c r="D444" s="32"/>
      <c r="E444" s="30"/>
      <c r="F444" s="32"/>
      <c r="G444" s="44" t="str">
        <f aca="false">IF(B444="","",B444+IF(F444="",Einstellungen!$B$40,F444))</f>
        <v/>
      </c>
      <c r="H444" s="33"/>
      <c r="I444" s="30"/>
      <c r="J444" s="31" t="str">
        <f aca="false">IF(E444="","",E444-N(I444))</f>
        <v/>
      </c>
      <c r="K444" s="43" t="str">
        <f aca="true">IF(OR(E444="",G444=""),"",IF(J444&lt;=0.004,"",MAX(0,TODAY()-G444)))</f>
        <v/>
      </c>
      <c r="L444" s="43" t="str">
        <f aca="false">IF(K444="","",IF(K444&gt;60,3,IF(K444&gt;30,2,IF(K444&gt;0,1,0))))</f>
        <v/>
      </c>
      <c r="M444" s="35" t="str">
        <f aca="false">IF(E444="","",IF(J444&lt;=0.004,"bezahlt",IF(N(K444)&gt;0,"überfällig – Mahnung "&amp;L444,"offen")))</f>
        <v/>
      </c>
    </row>
    <row r="445" customFormat="false" ht="15" hidden="false" customHeight="false" outlineLevel="0" collapsed="false">
      <c r="A445" s="32"/>
      <c r="B445" s="33"/>
      <c r="C445" s="32"/>
      <c r="D445" s="32"/>
      <c r="E445" s="30"/>
      <c r="F445" s="32"/>
      <c r="G445" s="44" t="str">
        <f aca="false">IF(B445="","",B445+IF(F445="",Einstellungen!$B$40,F445))</f>
        <v/>
      </c>
      <c r="H445" s="33"/>
      <c r="I445" s="30"/>
      <c r="J445" s="31" t="str">
        <f aca="false">IF(E445="","",E445-N(I445))</f>
        <v/>
      </c>
      <c r="K445" s="43" t="str">
        <f aca="true">IF(OR(E445="",G445=""),"",IF(J445&lt;=0.004,"",MAX(0,TODAY()-G445)))</f>
        <v/>
      </c>
      <c r="L445" s="43" t="str">
        <f aca="false">IF(K445="","",IF(K445&gt;60,3,IF(K445&gt;30,2,IF(K445&gt;0,1,0))))</f>
        <v/>
      </c>
      <c r="M445" s="35" t="str">
        <f aca="false">IF(E445="","",IF(J445&lt;=0.004,"bezahlt",IF(N(K445)&gt;0,"überfällig – Mahnung "&amp;L445,"offen")))</f>
        <v/>
      </c>
    </row>
    <row r="446" customFormat="false" ht="15" hidden="false" customHeight="false" outlineLevel="0" collapsed="false">
      <c r="A446" s="32"/>
      <c r="B446" s="33"/>
      <c r="C446" s="32"/>
      <c r="D446" s="32"/>
      <c r="E446" s="30"/>
      <c r="F446" s="32"/>
      <c r="G446" s="44" t="str">
        <f aca="false">IF(B446="","",B446+IF(F446="",Einstellungen!$B$40,F446))</f>
        <v/>
      </c>
      <c r="H446" s="33"/>
      <c r="I446" s="30"/>
      <c r="J446" s="31" t="str">
        <f aca="false">IF(E446="","",E446-N(I446))</f>
        <v/>
      </c>
      <c r="K446" s="43" t="str">
        <f aca="true">IF(OR(E446="",G446=""),"",IF(J446&lt;=0.004,"",MAX(0,TODAY()-G446)))</f>
        <v/>
      </c>
      <c r="L446" s="43" t="str">
        <f aca="false">IF(K446="","",IF(K446&gt;60,3,IF(K446&gt;30,2,IF(K446&gt;0,1,0))))</f>
        <v/>
      </c>
      <c r="M446" s="35" t="str">
        <f aca="false">IF(E446="","",IF(J446&lt;=0.004,"bezahlt",IF(N(K446)&gt;0,"überfällig – Mahnung "&amp;L446,"offen")))</f>
        <v/>
      </c>
    </row>
    <row r="447" customFormat="false" ht="15" hidden="false" customHeight="false" outlineLevel="0" collapsed="false">
      <c r="A447" s="32"/>
      <c r="B447" s="33"/>
      <c r="C447" s="32"/>
      <c r="D447" s="32"/>
      <c r="E447" s="30"/>
      <c r="F447" s="32"/>
      <c r="G447" s="44" t="str">
        <f aca="false">IF(B447="","",B447+IF(F447="",Einstellungen!$B$40,F447))</f>
        <v/>
      </c>
      <c r="H447" s="33"/>
      <c r="I447" s="30"/>
      <c r="J447" s="31" t="str">
        <f aca="false">IF(E447="","",E447-N(I447))</f>
        <v/>
      </c>
      <c r="K447" s="43" t="str">
        <f aca="true">IF(OR(E447="",G447=""),"",IF(J447&lt;=0.004,"",MAX(0,TODAY()-G447)))</f>
        <v/>
      </c>
      <c r="L447" s="43" t="str">
        <f aca="false">IF(K447="","",IF(K447&gt;60,3,IF(K447&gt;30,2,IF(K447&gt;0,1,0))))</f>
        <v/>
      </c>
      <c r="M447" s="35" t="str">
        <f aca="false">IF(E447="","",IF(J447&lt;=0.004,"bezahlt",IF(N(K447)&gt;0,"überfällig – Mahnung "&amp;L447,"offen")))</f>
        <v/>
      </c>
    </row>
    <row r="448" customFormat="false" ht="15" hidden="false" customHeight="false" outlineLevel="0" collapsed="false">
      <c r="A448" s="32"/>
      <c r="B448" s="33"/>
      <c r="C448" s="32"/>
      <c r="D448" s="32"/>
      <c r="E448" s="30"/>
      <c r="F448" s="32"/>
      <c r="G448" s="44" t="str">
        <f aca="false">IF(B448="","",B448+IF(F448="",Einstellungen!$B$40,F448))</f>
        <v/>
      </c>
      <c r="H448" s="33"/>
      <c r="I448" s="30"/>
      <c r="J448" s="31" t="str">
        <f aca="false">IF(E448="","",E448-N(I448))</f>
        <v/>
      </c>
      <c r="K448" s="43" t="str">
        <f aca="true">IF(OR(E448="",G448=""),"",IF(J448&lt;=0.004,"",MAX(0,TODAY()-G448)))</f>
        <v/>
      </c>
      <c r="L448" s="43" t="str">
        <f aca="false">IF(K448="","",IF(K448&gt;60,3,IF(K448&gt;30,2,IF(K448&gt;0,1,0))))</f>
        <v/>
      </c>
      <c r="M448" s="35" t="str">
        <f aca="false">IF(E448="","",IF(J448&lt;=0.004,"bezahlt",IF(N(K448)&gt;0,"überfällig – Mahnung "&amp;L448,"offen")))</f>
        <v/>
      </c>
    </row>
    <row r="449" customFormat="false" ht="15" hidden="false" customHeight="false" outlineLevel="0" collapsed="false">
      <c r="A449" s="32"/>
      <c r="B449" s="33"/>
      <c r="C449" s="32"/>
      <c r="D449" s="32"/>
      <c r="E449" s="30"/>
      <c r="F449" s="32"/>
      <c r="G449" s="44" t="str">
        <f aca="false">IF(B449="","",B449+IF(F449="",Einstellungen!$B$40,F449))</f>
        <v/>
      </c>
      <c r="H449" s="33"/>
      <c r="I449" s="30"/>
      <c r="J449" s="31" t="str">
        <f aca="false">IF(E449="","",E449-N(I449))</f>
        <v/>
      </c>
      <c r="K449" s="43" t="str">
        <f aca="true">IF(OR(E449="",G449=""),"",IF(J449&lt;=0.004,"",MAX(0,TODAY()-G449)))</f>
        <v/>
      </c>
      <c r="L449" s="43" t="str">
        <f aca="false">IF(K449="","",IF(K449&gt;60,3,IF(K449&gt;30,2,IF(K449&gt;0,1,0))))</f>
        <v/>
      </c>
      <c r="M449" s="35" t="str">
        <f aca="false">IF(E449="","",IF(J449&lt;=0.004,"bezahlt",IF(N(K449)&gt;0,"überfällig – Mahnung "&amp;L449,"offen")))</f>
        <v/>
      </c>
    </row>
    <row r="450" customFormat="false" ht="15" hidden="false" customHeight="false" outlineLevel="0" collapsed="false">
      <c r="A450" s="32"/>
      <c r="B450" s="33"/>
      <c r="C450" s="32"/>
      <c r="D450" s="32"/>
      <c r="E450" s="30"/>
      <c r="F450" s="32"/>
      <c r="G450" s="44" t="str">
        <f aca="false">IF(B450="","",B450+IF(F450="",Einstellungen!$B$40,F450))</f>
        <v/>
      </c>
      <c r="H450" s="33"/>
      <c r="I450" s="30"/>
      <c r="J450" s="31" t="str">
        <f aca="false">IF(E450="","",E450-N(I450))</f>
        <v/>
      </c>
      <c r="K450" s="43" t="str">
        <f aca="true">IF(OR(E450="",G450=""),"",IF(J450&lt;=0.004,"",MAX(0,TODAY()-G450)))</f>
        <v/>
      </c>
      <c r="L450" s="43" t="str">
        <f aca="false">IF(K450="","",IF(K450&gt;60,3,IF(K450&gt;30,2,IF(K450&gt;0,1,0))))</f>
        <v/>
      </c>
      <c r="M450" s="35" t="str">
        <f aca="false">IF(E450="","",IF(J450&lt;=0.004,"bezahlt",IF(N(K450)&gt;0,"überfällig – Mahnung "&amp;L450,"offen")))</f>
        <v/>
      </c>
    </row>
    <row r="451" customFormat="false" ht="15" hidden="false" customHeight="false" outlineLevel="0" collapsed="false">
      <c r="A451" s="32"/>
      <c r="B451" s="33"/>
      <c r="C451" s="32"/>
      <c r="D451" s="32"/>
      <c r="E451" s="30"/>
      <c r="F451" s="32"/>
      <c r="G451" s="44" t="str">
        <f aca="false">IF(B451="","",B451+IF(F451="",Einstellungen!$B$40,F451))</f>
        <v/>
      </c>
      <c r="H451" s="33"/>
      <c r="I451" s="30"/>
      <c r="J451" s="31" t="str">
        <f aca="false">IF(E451="","",E451-N(I451))</f>
        <v/>
      </c>
      <c r="K451" s="43" t="str">
        <f aca="true">IF(OR(E451="",G451=""),"",IF(J451&lt;=0.004,"",MAX(0,TODAY()-G451)))</f>
        <v/>
      </c>
      <c r="L451" s="43" t="str">
        <f aca="false">IF(K451="","",IF(K451&gt;60,3,IF(K451&gt;30,2,IF(K451&gt;0,1,0))))</f>
        <v/>
      </c>
      <c r="M451" s="35" t="str">
        <f aca="false">IF(E451="","",IF(J451&lt;=0.004,"bezahlt",IF(N(K451)&gt;0,"überfällig – Mahnung "&amp;L451,"offen")))</f>
        <v/>
      </c>
    </row>
    <row r="452" customFormat="false" ht="15" hidden="false" customHeight="false" outlineLevel="0" collapsed="false">
      <c r="A452" s="32"/>
      <c r="B452" s="33"/>
      <c r="C452" s="32"/>
      <c r="D452" s="32"/>
      <c r="E452" s="30"/>
      <c r="F452" s="32"/>
      <c r="G452" s="44" t="str">
        <f aca="false">IF(B452="","",B452+IF(F452="",Einstellungen!$B$40,F452))</f>
        <v/>
      </c>
      <c r="H452" s="33"/>
      <c r="I452" s="30"/>
      <c r="J452" s="31" t="str">
        <f aca="false">IF(E452="","",E452-N(I452))</f>
        <v/>
      </c>
      <c r="K452" s="43" t="str">
        <f aca="true">IF(OR(E452="",G452=""),"",IF(J452&lt;=0.004,"",MAX(0,TODAY()-G452)))</f>
        <v/>
      </c>
      <c r="L452" s="43" t="str">
        <f aca="false">IF(K452="","",IF(K452&gt;60,3,IF(K452&gt;30,2,IF(K452&gt;0,1,0))))</f>
        <v/>
      </c>
      <c r="M452" s="35" t="str">
        <f aca="false">IF(E452="","",IF(J452&lt;=0.004,"bezahlt",IF(N(K452)&gt;0,"überfällig – Mahnung "&amp;L452,"offen")))</f>
        <v/>
      </c>
    </row>
    <row r="453" customFormat="false" ht="15" hidden="false" customHeight="false" outlineLevel="0" collapsed="false">
      <c r="A453" s="32"/>
      <c r="B453" s="33"/>
      <c r="C453" s="32"/>
      <c r="D453" s="32"/>
      <c r="E453" s="30"/>
      <c r="F453" s="32"/>
      <c r="G453" s="44" t="str">
        <f aca="false">IF(B453="","",B453+IF(F453="",Einstellungen!$B$40,F453))</f>
        <v/>
      </c>
      <c r="H453" s="33"/>
      <c r="I453" s="30"/>
      <c r="J453" s="31" t="str">
        <f aca="false">IF(E453="","",E453-N(I453))</f>
        <v/>
      </c>
      <c r="K453" s="43" t="str">
        <f aca="true">IF(OR(E453="",G453=""),"",IF(J453&lt;=0.004,"",MAX(0,TODAY()-G453)))</f>
        <v/>
      </c>
      <c r="L453" s="43" t="str">
        <f aca="false">IF(K453="","",IF(K453&gt;60,3,IF(K453&gt;30,2,IF(K453&gt;0,1,0))))</f>
        <v/>
      </c>
      <c r="M453" s="35" t="str">
        <f aca="false">IF(E453="","",IF(J453&lt;=0.004,"bezahlt",IF(N(K453)&gt;0,"überfällig – Mahnung "&amp;L453,"offen")))</f>
        <v/>
      </c>
    </row>
    <row r="454" customFormat="false" ht="15" hidden="false" customHeight="false" outlineLevel="0" collapsed="false">
      <c r="A454" s="32"/>
      <c r="B454" s="33"/>
      <c r="C454" s="32"/>
      <c r="D454" s="32"/>
      <c r="E454" s="30"/>
      <c r="F454" s="32"/>
      <c r="G454" s="44" t="str">
        <f aca="false">IF(B454="","",B454+IF(F454="",Einstellungen!$B$40,F454))</f>
        <v/>
      </c>
      <c r="H454" s="33"/>
      <c r="I454" s="30"/>
      <c r="J454" s="31" t="str">
        <f aca="false">IF(E454="","",E454-N(I454))</f>
        <v/>
      </c>
      <c r="K454" s="43" t="str">
        <f aca="true">IF(OR(E454="",G454=""),"",IF(J454&lt;=0.004,"",MAX(0,TODAY()-G454)))</f>
        <v/>
      </c>
      <c r="L454" s="43" t="str">
        <f aca="false">IF(K454="","",IF(K454&gt;60,3,IF(K454&gt;30,2,IF(K454&gt;0,1,0))))</f>
        <v/>
      </c>
      <c r="M454" s="35" t="str">
        <f aca="false">IF(E454="","",IF(J454&lt;=0.004,"bezahlt",IF(N(K454)&gt;0,"überfällig – Mahnung "&amp;L454,"offen")))</f>
        <v/>
      </c>
    </row>
    <row r="455" customFormat="false" ht="15" hidden="false" customHeight="false" outlineLevel="0" collapsed="false">
      <c r="A455" s="32"/>
      <c r="B455" s="33"/>
      <c r="C455" s="32"/>
      <c r="D455" s="32"/>
      <c r="E455" s="30"/>
      <c r="F455" s="32"/>
      <c r="G455" s="44" t="str">
        <f aca="false">IF(B455="","",B455+IF(F455="",Einstellungen!$B$40,F455))</f>
        <v/>
      </c>
      <c r="H455" s="33"/>
      <c r="I455" s="30"/>
      <c r="J455" s="31" t="str">
        <f aca="false">IF(E455="","",E455-N(I455))</f>
        <v/>
      </c>
      <c r="K455" s="43" t="str">
        <f aca="true">IF(OR(E455="",G455=""),"",IF(J455&lt;=0.004,"",MAX(0,TODAY()-G455)))</f>
        <v/>
      </c>
      <c r="L455" s="43" t="str">
        <f aca="false">IF(K455="","",IF(K455&gt;60,3,IF(K455&gt;30,2,IF(K455&gt;0,1,0))))</f>
        <v/>
      </c>
      <c r="M455" s="35" t="str">
        <f aca="false">IF(E455="","",IF(J455&lt;=0.004,"bezahlt",IF(N(K455)&gt;0,"überfällig – Mahnung "&amp;L455,"offen")))</f>
        <v/>
      </c>
    </row>
    <row r="456" customFormat="false" ht="15" hidden="false" customHeight="false" outlineLevel="0" collapsed="false">
      <c r="A456" s="32"/>
      <c r="B456" s="33"/>
      <c r="C456" s="32"/>
      <c r="D456" s="32"/>
      <c r="E456" s="30"/>
      <c r="F456" s="32"/>
      <c r="G456" s="44" t="str">
        <f aca="false">IF(B456="","",B456+IF(F456="",Einstellungen!$B$40,F456))</f>
        <v/>
      </c>
      <c r="H456" s="33"/>
      <c r="I456" s="30"/>
      <c r="J456" s="31" t="str">
        <f aca="false">IF(E456="","",E456-N(I456))</f>
        <v/>
      </c>
      <c r="K456" s="43" t="str">
        <f aca="true">IF(OR(E456="",G456=""),"",IF(J456&lt;=0.004,"",MAX(0,TODAY()-G456)))</f>
        <v/>
      </c>
      <c r="L456" s="43" t="str">
        <f aca="false">IF(K456="","",IF(K456&gt;60,3,IF(K456&gt;30,2,IF(K456&gt;0,1,0))))</f>
        <v/>
      </c>
      <c r="M456" s="35" t="str">
        <f aca="false">IF(E456="","",IF(J456&lt;=0.004,"bezahlt",IF(N(K456)&gt;0,"überfällig – Mahnung "&amp;L456,"offen")))</f>
        <v/>
      </c>
    </row>
    <row r="457" customFormat="false" ht="15" hidden="false" customHeight="false" outlineLevel="0" collapsed="false">
      <c r="A457" s="32"/>
      <c r="B457" s="33"/>
      <c r="C457" s="32"/>
      <c r="D457" s="32"/>
      <c r="E457" s="30"/>
      <c r="F457" s="32"/>
      <c r="G457" s="44" t="str">
        <f aca="false">IF(B457="","",B457+IF(F457="",Einstellungen!$B$40,F457))</f>
        <v/>
      </c>
      <c r="H457" s="33"/>
      <c r="I457" s="30"/>
      <c r="J457" s="31" t="str">
        <f aca="false">IF(E457="","",E457-N(I457))</f>
        <v/>
      </c>
      <c r="K457" s="43" t="str">
        <f aca="true">IF(OR(E457="",G457=""),"",IF(J457&lt;=0.004,"",MAX(0,TODAY()-G457)))</f>
        <v/>
      </c>
      <c r="L457" s="43" t="str">
        <f aca="false">IF(K457="","",IF(K457&gt;60,3,IF(K457&gt;30,2,IF(K457&gt;0,1,0))))</f>
        <v/>
      </c>
      <c r="M457" s="35" t="str">
        <f aca="false">IF(E457="","",IF(J457&lt;=0.004,"bezahlt",IF(N(K457)&gt;0,"überfällig – Mahnung "&amp;L457,"offen")))</f>
        <v/>
      </c>
    </row>
    <row r="458" customFormat="false" ht="15" hidden="false" customHeight="false" outlineLevel="0" collapsed="false">
      <c r="A458" s="32"/>
      <c r="B458" s="33"/>
      <c r="C458" s="32"/>
      <c r="D458" s="32"/>
      <c r="E458" s="30"/>
      <c r="F458" s="32"/>
      <c r="G458" s="44" t="str">
        <f aca="false">IF(B458="","",B458+IF(F458="",Einstellungen!$B$40,F458))</f>
        <v/>
      </c>
      <c r="H458" s="33"/>
      <c r="I458" s="30"/>
      <c r="J458" s="31" t="str">
        <f aca="false">IF(E458="","",E458-N(I458))</f>
        <v/>
      </c>
      <c r="K458" s="43" t="str">
        <f aca="true">IF(OR(E458="",G458=""),"",IF(J458&lt;=0.004,"",MAX(0,TODAY()-G458)))</f>
        <v/>
      </c>
      <c r="L458" s="43" t="str">
        <f aca="false">IF(K458="","",IF(K458&gt;60,3,IF(K458&gt;30,2,IF(K458&gt;0,1,0))))</f>
        <v/>
      </c>
      <c r="M458" s="35" t="str">
        <f aca="false">IF(E458="","",IF(J458&lt;=0.004,"bezahlt",IF(N(K458)&gt;0,"überfällig – Mahnung "&amp;L458,"offen")))</f>
        <v/>
      </c>
    </row>
    <row r="459" customFormat="false" ht="15" hidden="false" customHeight="false" outlineLevel="0" collapsed="false">
      <c r="A459" s="32"/>
      <c r="B459" s="33"/>
      <c r="C459" s="32"/>
      <c r="D459" s="32"/>
      <c r="E459" s="30"/>
      <c r="F459" s="32"/>
      <c r="G459" s="44" t="str">
        <f aca="false">IF(B459="","",B459+IF(F459="",Einstellungen!$B$40,F459))</f>
        <v/>
      </c>
      <c r="H459" s="33"/>
      <c r="I459" s="30"/>
      <c r="J459" s="31" t="str">
        <f aca="false">IF(E459="","",E459-N(I459))</f>
        <v/>
      </c>
      <c r="K459" s="43" t="str">
        <f aca="true">IF(OR(E459="",G459=""),"",IF(J459&lt;=0.004,"",MAX(0,TODAY()-G459)))</f>
        <v/>
      </c>
      <c r="L459" s="43" t="str">
        <f aca="false">IF(K459="","",IF(K459&gt;60,3,IF(K459&gt;30,2,IF(K459&gt;0,1,0))))</f>
        <v/>
      </c>
      <c r="M459" s="35" t="str">
        <f aca="false">IF(E459="","",IF(J459&lt;=0.004,"bezahlt",IF(N(K459)&gt;0,"überfällig – Mahnung "&amp;L459,"offen")))</f>
        <v/>
      </c>
    </row>
    <row r="460" customFormat="false" ht="15" hidden="false" customHeight="false" outlineLevel="0" collapsed="false">
      <c r="A460" s="32"/>
      <c r="B460" s="33"/>
      <c r="C460" s="32"/>
      <c r="D460" s="32"/>
      <c r="E460" s="30"/>
      <c r="F460" s="32"/>
      <c r="G460" s="44" t="str">
        <f aca="false">IF(B460="","",B460+IF(F460="",Einstellungen!$B$40,F460))</f>
        <v/>
      </c>
      <c r="H460" s="33"/>
      <c r="I460" s="30"/>
      <c r="J460" s="31" t="str">
        <f aca="false">IF(E460="","",E460-N(I460))</f>
        <v/>
      </c>
      <c r="K460" s="43" t="str">
        <f aca="true">IF(OR(E460="",G460=""),"",IF(J460&lt;=0.004,"",MAX(0,TODAY()-G460)))</f>
        <v/>
      </c>
      <c r="L460" s="43" t="str">
        <f aca="false">IF(K460="","",IF(K460&gt;60,3,IF(K460&gt;30,2,IF(K460&gt;0,1,0))))</f>
        <v/>
      </c>
      <c r="M460" s="35" t="str">
        <f aca="false">IF(E460="","",IF(J460&lt;=0.004,"bezahlt",IF(N(K460)&gt;0,"überfällig – Mahnung "&amp;L460,"offen")))</f>
        <v/>
      </c>
    </row>
    <row r="461" customFormat="false" ht="15" hidden="false" customHeight="false" outlineLevel="0" collapsed="false">
      <c r="A461" s="32"/>
      <c r="B461" s="33"/>
      <c r="C461" s="32"/>
      <c r="D461" s="32"/>
      <c r="E461" s="30"/>
      <c r="F461" s="32"/>
      <c r="G461" s="44" t="str">
        <f aca="false">IF(B461="","",B461+IF(F461="",Einstellungen!$B$40,F461))</f>
        <v/>
      </c>
      <c r="H461" s="33"/>
      <c r="I461" s="30"/>
      <c r="J461" s="31" t="str">
        <f aca="false">IF(E461="","",E461-N(I461))</f>
        <v/>
      </c>
      <c r="K461" s="43" t="str">
        <f aca="true">IF(OR(E461="",G461=""),"",IF(J461&lt;=0.004,"",MAX(0,TODAY()-G461)))</f>
        <v/>
      </c>
      <c r="L461" s="43" t="str">
        <f aca="false">IF(K461="","",IF(K461&gt;60,3,IF(K461&gt;30,2,IF(K461&gt;0,1,0))))</f>
        <v/>
      </c>
      <c r="M461" s="35" t="str">
        <f aca="false">IF(E461="","",IF(J461&lt;=0.004,"bezahlt",IF(N(K461)&gt;0,"überfällig – Mahnung "&amp;L461,"offen")))</f>
        <v/>
      </c>
    </row>
    <row r="462" customFormat="false" ht="15" hidden="false" customHeight="false" outlineLevel="0" collapsed="false">
      <c r="A462" s="32"/>
      <c r="B462" s="33"/>
      <c r="C462" s="32"/>
      <c r="D462" s="32"/>
      <c r="E462" s="30"/>
      <c r="F462" s="32"/>
      <c r="G462" s="44" t="str">
        <f aca="false">IF(B462="","",B462+IF(F462="",Einstellungen!$B$40,F462))</f>
        <v/>
      </c>
      <c r="H462" s="33"/>
      <c r="I462" s="30"/>
      <c r="J462" s="31" t="str">
        <f aca="false">IF(E462="","",E462-N(I462))</f>
        <v/>
      </c>
      <c r="K462" s="43" t="str">
        <f aca="true">IF(OR(E462="",G462=""),"",IF(J462&lt;=0.004,"",MAX(0,TODAY()-G462)))</f>
        <v/>
      </c>
      <c r="L462" s="43" t="str">
        <f aca="false">IF(K462="","",IF(K462&gt;60,3,IF(K462&gt;30,2,IF(K462&gt;0,1,0))))</f>
        <v/>
      </c>
      <c r="M462" s="35" t="str">
        <f aca="false">IF(E462="","",IF(J462&lt;=0.004,"bezahlt",IF(N(K462)&gt;0,"überfällig – Mahnung "&amp;L462,"offen")))</f>
        <v/>
      </c>
    </row>
    <row r="463" customFormat="false" ht="15" hidden="false" customHeight="false" outlineLevel="0" collapsed="false">
      <c r="A463" s="32"/>
      <c r="B463" s="33"/>
      <c r="C463" s="32"/>
      <c r="D463" s="32"/>
      <c r="E463" s="30"/>
      <c r="F463" s="32"/>
      <c r="G463" s="44" t="str">
        <f aca="false">IF(B463="","",B463+IF(F463="",Einstellungen!$B$40,F463))</f>
        <v/>
      </c>
      <c r="H463" s="33"/>
      <c r="I463" s="30"/>
      <c r="J463" s="31" t="str">
        <f aca="false">IF(E463="","",E463-N(I463))</f>
        <v/>
      </c>
      <c r="K463" s="43" t="str">
        <f aca="true">IF(OR(E463="",G463=""),"",IF(J463&lt;=0.004,"",MAX(0,TODAY()-G463)))</f>
        <v/>
      </c>
      <c r="L463" s="43" t="str">
        <f aca="false">IF(K463="","",IF(K463&gt;60,3,IF(K463&gt;30,2,IF(K463&gt;0,1,0))))</f>
        <v/>
      </c>
      <c r="M463" s="35" t="str">
        <f aca="false">IF(E463="","",IF(J463&lt;=0.004,"bezahlt",IF(N(K463)&gt;0,"überfällig – Mahnung "&amp;L463,"offen")))</f>
        <v/>
      </c>
    </row>
    <row r="464" customFormat="false" ht="15" hidden="false" customHeight="false" outlineLevel="0" collapsed="false">
      <c r="A464" s="32"/>
      <c r="B464" s="33"/>
      <c r="C464" s="32"/>
      <c r="D464" s="32"/>
      <c r="E464" s="30"/>
      <c r="F464" s="32"/>
      <c r="G464" s="44" t="str">
        <f aca="false">IF(B464="","",B464+IF(F464="",Einstellungen!$B$40,F464))</f>
        <v/>
      </c>
      <c r="H464" s="33"/>
      <c r="I464" s="30"/>
      <c r="J464" s="31" t="str">
        <f aca="false">IF(E464="","",E464-N(I464))</f>
        <v/>
      </c>
      <c r="K464" s="43" t="str">
        <f aca="true">IF(OR(E464="",G464=""),"",IF(J464&lt;=0.004,"",MAX(0,TODAY()-G464)))</f>
        <v/>
      </c>
      <c r="L464" s="43" t="str">
        <f aca="false">IF(K464="","",IF(K464&gt;60,3,IF(K464&gt;30,2,IF(K464&gt;0,1,0))))</f>
        <v/>
      </c>
      <c r="M464" s="35" t="str">
        <f aca="false">IF(E464="","",IF(J464&lt;=0.004,"bezahlt",IF(N(K464)&gt;0,"überfällig – Mahnung "&amp;L464,"offen")))</f>
        <v/>
      </c>
    </row>
    <row r="465" customFormat="false" ht="15" hidden="false" customHeight="false" outlineLevel="0" collapsed="false">
      <c r="A465" s="32"/>
      <c r="B465" s="33"/>
      <c r="C465" s="32"/>
      <c r="D465" s="32"/>
      <c r="E465" s="30"/>
      <c r="F465" s="32"/>
      <c r="G465" s="44" t="str">
        <f aca="false">IF(B465="","",B465+IF(F465="",Einstellungen!$B$40,F465))</f>
        <v/>
      </c>
      <c r="H465" s="33"/>
      <c r="I465" s="30"/>
      <c r="J465" s="31" t="str">
        <f aca="false">IF(E465="","",E465-N(I465))</f>
        <v/>
      </c>
      <c r="K465" s="43" t="str">
        <f aca="true">IF(OR(E465="",G465=""),"",IF(J465&lt;=0.004,"",MAX(0,TODAY()-G465)))</f>
        <v/>
      </c>
      <c r="L465" s="43" t="str">
        <f aca="false">IF(K465="","",IF(K465&gt;60,3,IF(K465&gt;30,2,IF(K465&gt;0,1,0))))</f>
        <v/>
      </c>
      <c r="M465" s="35" t="str">
        <f aca="false">IF(E465="","",IF(J465&lt;=0.004,"bezahlt",IF(N(K465)&gt;0,"überfällig – Mahnung "&amp;L465,"offen")))</f>
        <v/>
      </c>
    </row>
    <row r="466" customFormat="false" ht="15" hidden="false" customHeight="false" outlineLevel="0" collapsed="false">
      <c r="A466" s="32"/>
      <c r="B466" s="33"/>
      <c r="C466" s="32"/>
      <c r="D466" s="32"/>
      <c r="E466" s="30"/>
      <c r="F466" s="32"/>
      <c r="G466" s="44" t="str">
        <f aca="false">IF(B466="","",B466+IF(F466="",Einstellungen!$B$40,F466))</f>
        <v/>
      </c>
      <c r="H466" s="33"/>
      <c r="I466" s="30"/>
      <c r="J466" s="31" t="str">
        <f aca="false">IF(E466="","",E466-N(I466))</f>
        <v/>
      </c>
      <c r="K466" s="43" t="str">
        <f aca="true">IF(OR(E466="",G466=""),"",IF(J466&lt;=0.004,"",MAX(0,TODAY()-G466)))</f>
        <v/>
      </c>
      <c r="L466" s="43" t="str">
        <f aca="false">IF(K466="","",IF(K466&gt;60,3,IF(K466&gt;30,2,IF(K466&gt;0,1,0))))</f>
        <v/>
      </c>
      <c r="M466" s="35" t="str">
        <f aca="false">IF(E466="","",IF(J466&lt;=0.004,"bezahlt",IF(N(K466)&gt;0,"überfällig – Mahnung "&amp;L466,"offen")))</f>
        <v/>
      </c>
    </row>
    <row r="467" customFormat="false" ht="15" hidden="false" customHeight="false" outlineLevel="0" collapsed="false">
      <c r="A467" s="32"/>
      <c r="B467" s="33"/>
      <c r="C467" s="32"/>
      <c r="D467" s="32"/>
      <c r="E467" s="30"/>
      <c r="F467" s="32"/>
      <c r="G467" s="44" t="str">
        <f aca="false">IF(B467="","",B467+IF(F467="",Einstellungen!$B$40,F467))</f>
        <v/>
      </c>
      <c r="H467" s="33"/>
      <c r="I467" s="30"/>
      <c r="J467" s="31" t="str">
        <f aca="false">IF(E467="","",E467-N(I467))</f>
        <v/>
      </c>
      <c r="K467" s="43" t="str">
        <f aca="true">IF(OR(E467="",G467=""),"",IF(J467&lt;=0.004,"",MAX(0,TODAY()-G467)))</f>
        <v/>
      </c>
      <c r="L467" s="43" t="str">
        <f aca="false">IF(K467="","",IF(K467&gt;60,3,IF(K467&gt;30,2,IF(K467&gt;0,1,0))))</f>
        <v/>
      </c>
      <c r="M467" s="35" t="str">
        <f aca="false">IF(E467="","",IF(J467&lt;=0.004,"bezahlt",IF(N(K467)&gt;0,"überfällig – Mahnung "&amp;L467,"offen")))</f>
        <v/>
      </c>
    </row>
    <row r="468" customFormat="false" ht="15" hidden="false" customHeight="false" outlineLevel="0" collapsed="false">
      <c r="A468" s="32"/>
      <c r="B468" s="33"/>
      <c r="C468" s="32"/>
      <c r="D468" s="32"/>
      <c r="E468" s="30"/>
      <c r="F468" s="32"/>
      <c r="G468" s="44" t="str">
        <f aca="false">IF(B468="","",B468+IF(F468="",Einstellungen!$B$40,F468))</f>
        <v/>
      </c>
      <c r="H468" s="33"/>
      <c r="I468" s="30"/>
      <c r="J468" s="31" t="str">
        <f aca="false">IF(E468="","",E468-N(I468))</f>
        <v/>
      </c>
      <c r="K468" s="43" t="str">
        <f aca="true">IF(OR(E468="",G468=""),"",IF(J468&lt;=0.004,"",MAX(0,TODAY()-G468)))</f>
        <v/>
      </c>
      <c r="L468" s="43" t="str">
        <f aca="false">IF(K468="","",IF(K468&gt;60,3,IF(K468&gt;30,2,IF(K468&gt;0,1,0))))</f>
        <v/>
      </c>
      <c r="M468" s="35" t="str">
        <f aca="false">IF(E468="","",IF(J468&lt;=0.004,"bezahlt",IF(N(K468)&gt;0,"überfällig – Mahnung "&amp;L468,"offen")))</f>
        <v/>
      </c>
    </row>
    <row r="469" customFormat="false" ht="15" hidden="false" customHeight="false" outlineLevel="0" collapsed="false">
      <c r="A469" s="32"/>
      <c r="B469" s="33"/>
      <c r="C469" s="32"/>
      <c r="D469" s="32"/>
      <c r="E469" s="30"/>
      <c r="F469" s="32"/>
      <c r="G469" s="44" t="str">
        <f aca="false">IF(B469="","",B469+IF(F469="",Einstellungen!$B$40,F469))</f>
        <v/>
      </c>
      <c r="H469" s="33"/>
      <c r="I469" s="30"/>
      <c r="J469" s="31" t="str">
        <f aca="false">IF(E469="","",E469-N(I469))</f>
        <v/>
      </c>
      <c r="K469" s="43" t="str">
        <f aca="true">IF(OR(E469="",G469=""),"",IF(J469&lt;=0.004,"",MAX(0,TODAY()-G469)))</f>
        <v/>
      </c>
      <c r="L469" s="43" t="str">
        <f aca="false">IF(K469="","",IF(K469&gt;60,3,IF(K469&gt;30,2,IF(K469&gt;0,1,0))))</f>
        <v/>
      </c>
      <c r="M469" s="35" t="str">
        <f aca="false">IF(E469="","",IF(J469&lt;=0.004,"bezahlt",IF(N(K469)&gt;0,"überfällig – Mahnung "&amp;L469,"offen")))</f>
        <v/>
      </c>
    </row>
    <row r="470" customFormat="false" ht="15" hidden="false" customHeight="false" outlineLevel="0" collapsed="false">
      <c r="A470" s="32"/>
      <c r="B470" s="33"/>
      <c r="C470" s="32"/>
      <c r="D470" s="32"/>
      <c r="E470" s="30"/>
      <c r="F470" s="32"/>
      <c r="G470" s="44" t="str">
        <f aca="false">IF(B470="","",B470+IF(F470="",Einstellungen!$B$40,F470))</f>
        <v/>
      </c>
      <c r="H470" s="33"/>
      <c r="I470" s="30"/>
      <c r="J470" s="31" t="str">
        <f aca="false">IF(E470="","",E470-N(I470))</f>
        <v/>
      </c>
      <c r="K470" s="43" t="str">
        <f aca="true">IF(OR(E470="",G470=""),"",IF(J470&lt;=0.004,"",MAX(0,TODAY()-G470)))</f>
        <v/>
      </c>
      <c r="L470" s="43" t="str">
        <f aca="false">IF(K470="","",IF(K470&gt;60,3,IF(K470&gt;30,2,IF(K470&gt;0,1,0))))</f>
        <v/>
      </c>
      <c r="M470" s="35" t="str">
        <f aca="false">IF(E470="","",IF(J470&lt;=0.004,"bezahlt",IF(N(K470)&gt;0,"überfällig – Mahnung "&amp;L470,"offen")))</f>
        <v/>
      </c>
    </row>
    <row r="471" customFormat="false" ht="15" hidden="false" customHeight="false" outlineLevel="0" collapsed="false">
      <c r="A471" s="32"/>
      <c r="B471" s="33"/>
      <c r="C471" s="32"/>
      <c r="D471" s="32"/>
      <c r="E471" s="30"/>
      <c r="F471" s="32"/>
      <c r="G471" s="44" t="str">
        <f aca="false">IF(B471="","",B471+IF(F471="",Einstellungen!$B$40,F471))</f>
        <v/>
      </c>
      <c r="H471" s="33"/>
      <c r="I471" s="30"/>
      <c r="J471" s="31" t="str">
        <f aca="false">IF(E471="","",E471-N(I471))</f>
        <v/>
      </c>
      <c r="K471" s="43" t="str">
        <f aca="true">IF(OR(E471="",G471=""),"",IF(J471&lt;=0.004,"",MAX(0,TODAY()-G471)))</f>
        <v/>
      </c>
      <c r="L471" s="43" t="str">
        <f aca="false">IF(K471="","",IF(K471&gt;60,3,IF(K471&gt;30,2,IF(K471&gt;0,1,0))))</f>
        <v/>
      </c>
      <c r="M471" s="35" t="str">
        <f aca="false">IF(E471="","",IF(J471&lt;=0.004,"bezahlt",IF(N(K471)&gt;0,"überfällig – Mahnung "&amp;L471,"offen")))</f>
        <v/>
      </c>
    </row>
    <row r="472" customFormat="false" ht="15" hidden="false" customHeight="false" outlineLevel="0" collapsed="false">
      <c r="A472" s="32"/>
      <c r="B472" s="33"/>
      <c r="C472" s="32"/>
      <c r="D472" s="32"/>
      <c r="E472" s="30"/>
      <c r="F472" s="32"/>
      <c r="G472" s="44" t="str">
        <f aca="false">IF(B472="","",B472+IF(F472="",Einstellungen!$B$40,F472))</f>
        <v/>
      </c>
      <c r="H472" s="33"/>
      <c r="I472" s="30"/>
      <c r="J472" s="31" t="str">
        <f aca="false">IF(E472="","",E472-N(I472))</f>
        <v/>
      </c>
      <c r="K472" s="43" t="str">
        <f aca="true">IF(OR(E472="",G472=""),"",IF(J472&lt;=0.004,"",MAX(0,TODAY()-G472)))</f>
        <v/>
      </c>
      <c r="L472" s="43" t="str">
        <f aca="false">IF(K472="","",IF(K472&gt;60,3,IF(K472&gt;30,2,IF(K472&gt;0,1,0))))</f>
        <v/>
      </c>
      <c r="M472" s="35" t="str">
        <f aca="false">IF(E472="","",IF(J472&lt;=0.004,"bezahlt",IF(N(K472)&gt;0,"überfällig – Mahnung "&amp;L472,"offen")))</f>
        <v/>
      </c>
    </row>
    <row r="473" customFormat="false" ht="15" hidden="false" customHeight="false" outlineLevel="0" collapsed="false">
      <c r="A473" s="32"/>
      <c r="B473" s="33"/>
      <c r="C473" s="32"/>
      <c r="D473" s="32"/>
      <c r="E473" s="30"/>
      <c r="F473" s="32"/>
      <c r="G473" s="44" t="str">
        <f aca="false">IF(B473="","",B473+IF(F473="",Einstellungen!$B$40,F473))</f>
        <v/>
      </c>
      <c r="H473" s="33"/>
      <c r="I473" s="30"/>
      <c r="J473" s="31" t="str">
        <f aca="false">IF(E473="","",E473-N(I473))</f>
        <v/>
      </c>
      <c r="K473" s="43" t="str">
        <f aca="true">IF(OR(E473="",G473=""),"",IF(J473&lt;=0.004,"",MAX(0,TODAY()-G473)))</f>
        <v/>
      </c>
      <c r="L473" s="43" t="str">
        <f aca="false">IF(K473="","",IF(K473&gt;60,3,IF(K473&gt;30,2,IF(K473&gt;0,1,0))))</f>
        <v/>
      </c>
      <c r="M473" s="35" t="str">
        <f aca="false">IF(E473="","",IF(J473&lt;=0.004,"bezahlt",IF(N(K473)&gt;0,"überfällig – Mahnung "&amp;L473,"offen")))</f>
        <v/>
      </c>
    </row>
    <row r="474" customFormat="false" ht="15" hidden="false" customHeight="false" outlineLevel="0" collapsed="false">
      <c r="A474" s="32"/>
      <c r="B474" s="33"/>
      <c r="C474" s="32"/>
      <c r="D474" s="32"/>
      <c r="E474" s="30"/>
      <c r="F474" s="32"/>
      <c r="G474" s="44" t="str">
        <f aca="false">IF(B474="","",B474+IF(F474="",Einstellungen!$B$40,F474))</f>
        <v/>
      </c>
      <c r="H474" s="33"/>
      <c r="I474" s="30"/>
      <c r="J474" s="31" t="str">
        <f aca="false">IF(E474="","",E474-N(I474))</f>
        <v/>
      </c>
      <c r="K474" s="43" t="str">
        <f aca="true">IF(OR(E474="",G474=""),"",IF(J474&lt;=0.004,"",MAX(0,TODAY()-G474)))</f>
        <v/>
      </c>
      <c r="L474" s="43" t="str">
        <f aca="false">IF(K474="","",IF(K474&gt;60,3,IF(K474&gt;30,2,IF(K474&gt;0,1,0))))</f>
        <v/>
      </c>
      <c r="M474" s="35" t="str">
        <f aca="false">IF(E474="","",IF(J474&lt;=0.004,"bezahlt",IF(N(K474)&gt;0,"überfällig – Mahnung "&amp;L474,"offen")))</f>
        <v/>
      </c>
    </row>
    <row r="475" customFormat="false" ht="15" hidden="false" customHeight="false" outlineLevel="0" collapsed="false">
      <c r="A475" s="32"/>
      <c r="B475" s="33"/>
      <c r="C475" s="32"/>
      <c r="D475" s="32"/>
      <c r="E475" s="30"/>
      <c r="F475" s="32"/>
      <c r="G475" s="44" t="str">
        <f aca="false">IF(B475="","",B475+IF(F475="",Einstellungen!$B$40,F475))</f>
        <v/>
      </c>
      <c r="H475" s="33"/>
      <c r="I475" s="30"/>
      <c r="J475" s="31" t="str">
        <f aca="false">IF(E475="","",E475-N(I475))</f>
        <v/>
      </c>
      <c r="K475" s="43" t="str">
        <f aca="true">IF(OR(E475="",G475=""),"",IF(J475&lt;=0.004,"",MAX(0,TODAY()-G475)))</f>
        <v/>
      </c>
      <c r="L475" s="43" t="str">
        <f aca="false">IF(K475="","",IF(K475&gt;60,3,IF(K475&gt;30,2,IF(K475&gt;0,1,0))))</f>
        <v/>
      </c>
      <c r="M475" s="35" t="str">
        <f aca="false">IF(E475="","",IF(J475&lt;=0.004,"bezahlt",IF(N(K475)&gt;0,"überfällig – Mahnung "&amp;L475,"offen")))</f>
        <v/>
      </c>
    </row>
    <row r="476" customFormat="false" ht="15" hidden="false" customHeight="false" outlineLevel="0" collapsed="false">
      <c r="A476" s="32"/>
      <c r="B476" s="33"/>
      <c r="C476" s="32"/>
      <c r="D476" s="32"/>
      <c r="E476" s="30"/>
      <c r="F476" s="32"/>
      <c r="G476" s="44" t="str">
        <f aca="false">IF(B476="","",B476+IF(F476="",Einstellungen!$B$40,F476))</f>
        <v/>
      </c>
      <c r="H476" s="33"/>
      <c r="I476" s="30"/>
      <c r="J476" s="31" t="str">
        <f aca="false">IF(E476="","",E476-N(I476))</f>
        <v/>
      </c>
      <c r="K476" s="43" t="str">
        <f aca="true">IF(OR(E476="",G476=""),"",IF(J476&lt;=0.004,"",MAX(0,TODAY()-G476)))</f>
        <v/>
      </c>
      <c r="L476" s="43" t="str">
        <f aca="false">IF(K476="","",IF(K476&gt;60,3,IF(K476&gt;30,2,IF(K476&gt;0,1,0))))</f>
        <v/>
      </c>
      <c r="M476" s="35" t="str">
        <f aca="false">IF(E476="","",IF(J476&lt;=0.004,"bezahlt",IF(N(K476)&gt;0,"überfällig – Mahnung "&amp;L476,"offen")))</f>
        <v/>
      </c>
    </row>
    <row r="477" customFormat="false" ht="15" hidden="false" customHeight="false" outlineLevel="0" collapsed="false">
      <c r="A477" s="32"/>
      <c r="B477" s="33"/>
      <c r="C477" s="32"/>
      <c r="D477" s="32"/>
      <c r="E477" s="30"/>
      <c r="F477" s="32"/>
      <c r="G477" s="44" t="str">
        <f aca="false">IF(B477="","",B477+IF(F477="",Einstellungen!$B$40,F477))</f>
        <v/>
      </c>
      <c r="H477" s="33"/>
      <c r="I477" s="30"/>
      <c r="J477" s="31" t="str">
        <f aca="false">IF(E477="","",E477-N(I477))</f>
        <v/>
      </c>
      <c r="K477" s="43" t="str">
        <f aca="true">IF(OR(E477="",G477=""),"",IF(J477&lt;=0.004,"",MAX(0,TODAY()-G477)))</f>
        <v/>
      </c>
      <c r="L477" s="43" t="str">
        <f aca="false">IF(K477="","",IF(K477&gt;60,3,IF(K477&gt;30,2,IF(K477&gt;0,1,0))))</f>
        <v/>
      </c>
      <c r="M477" s="35" t="str">
        <f aca="false">IF(E477="","",IF(J477&lt;=0.004,"bezahlt",IF(N(K477)&gt;0,"überfällig – Mahnung "&amp;L477,"offen")))</f>
        <v/>
      </c>
    </row>
    <row r="478" customFormat="false" ht="15" hidden="false" customHeight="false" outlineLevel="0" collapsed="false">
      <c r="A478" s="32"/>
      <c r="B478" s="33"/>
      <c r="C478" s="32"/>
      <c r="D478" s="32"/>
      <c r="E478" s="30"/>
      <c r="F478" s="32"/>
      <c r="G478" s="44" t="str">
        <f aca="false">IF(B478="","",B478+IF(F478="",Einstellungen!$B$40,F478))</f>
        <v/>
      </c>
      <c r="H478" s="33"/>
      <c r="I478" s="30"/>
      <c r="J478" s="31" t="str">
        <f aca="false">IF(E478="","",E478-N(I478))</f>
        <v/>
      </c>
      <c r="K478" s="43" t="str">
        <f aca="true">IF(OR(E478="",G478=""),"",IF(J478&lt;=0.004,"",MAX(0,TODAY()-G478)))</f>
        <v/>
      </c>
      <c r="L478" s="43" t="str">
        <f aca="false">IF(K478="","",IF(K478&gt;60,3,IF(K478&gt;30,2,IF(K478&gt;0,1,0))))</f>
        <v/>
      </c>
      <c r="M478" s="35" t="str">
        <f aca="false">IF(E478="","",IF(J478&lt;=0.004,"bezahlt",IF(N(K478)&gt;0,"überfällig – Mahnung "&amp;L478,"offen")))</f>
        <v/>
      </c>
    </row>
    <row r="479" customFormat="false" ht="15" hidden="false" customHeight="false" outlineLevel="0" collapsed="false">
      <c r="A479" s="32"/>
      <c r="B479" s="33"/>
      <c r="C479" s="32"/>
      <c r="D479" s="32"/>
      <c r="E479" s="30"/>
      <c r="F479" s="32"/>
      <c r="G479" s="44" t="str">
        <f aca="false">IF(B479="","",B479+IF(F479="",Einstellungen!$B$40,F479))</f>
        <v/>
      </c>
      <c r="H479" s="33"/>
      <c r="I479" s="30"/>
      <c r="J479" s="31" t="str">
        <f aca="false">IF(E479="","",E479-N(I479))</f>
        <v/>
      </c>
      <c r="K479" s="43" t="str">
        <f aca="true">IF(OR(E479="",G479=""),"",IF(J479&lt;=0.004,"",MAX(0,TODAY()-G479)))</f>
        <v/>
      </c>
      <c r="L479" s="43" t="str">
        <f aca="false">IF(K479="","",IF(K479&gt;60,3,IF(K479&gt;30,2,IF(K479&gt;0,1,0))))</f>
        <v/>
      </c>
      <c r="M479" s="35" t="str">
        <f aca="false">IF(E479="","",IF(J479&lt;=0.004,"bezahlt",IF(N(K479)&gt;0,"überfällig – Mahnung "&amp;L479,"offen")))</f>
        <v/>
      </c>
    </row>
    <row r="480" customFormat="false" ht="15" hidden="false" customHeight="false" outlineLevel="0" collapsed="false">
      <c r="A480" s="32"/>
      <c r="B480" s="33"/>
      <c r="C480" s="32"/>
      <c r="D480" s="32"/>
      <c r="E480" s="30"/>
      <c r="F480" s="32"/>
      <c r="G480" s="44" t="str">
        <f aca="false">IF(B480="","",B480+IF(F480="",Einstellungen!$B$40,F480))</f>
        <v/>
      </c>
      <c r="H480" s="33"/>
      <c r="I480" s="30"/>
      <c r="J480" s="31" t="str">
        <f aca="false">IF(E480="","",E480-N(I480))</f>
        <v/>
      </c>
      <c r="K480" s="43" t="str">
        <f aca="true">IF(OR(E480="",G480=""),"",IF(J480&lt;=0.004,"",MAX(0,TODAY()-G480)))</f>
        <v/>
      </c>
      <c r="L480" s="43" t="str">
        <f aca="false">IF(K480="","",IF(K480&gt;60,3,IF(K480&gt;30,2,IF(K480&gt;0,1,0))))</f>
        <v/>
      </c>
      <c r="M480" s="35" t="str">
        <f aca="false">IF(E480="","",IF(J480&lt;=0.004,"bezahlt",IF(N(K480)&gt;0,"überfällig – Mahnung "&amp;L480,"offen")))</f>
        <v/>
      </c>
    </row>
    <row r="481" customFormat="false" ht="15" hidden="false" customHeight="false" outlineLevel="0" collapsed="false">
      <c r="A481" s="32"/>
      <c r="B481" s="33"/>
      <c r="C481" s="32"/>
      <c r="D481" s="32"/>
      <c r="E481" s="30"/>
      <c r="F481" s="32"/>
      <c r="G481" s="44" t="str">
        <f aca="false">IF(B481="","",B481+IF(F481="",Einstellungen!$B$40,F481))</f>
        <v/>
      </c>
      <c r="H481" s="33"/>
      <c r="I481" s="30"/>
      <c r="J481" s="31" t="str">
        <f aca="false">IF(E481="","",E481-N(I481))</f>
        <v/>
      </c>
      <c r="K481" s="43" t="str">
        <f aca="true">IF(OR(E481="",G481=""),"",IF(J481&lt;=0.004,"",MAX(0,TODAY()-G481)))</f>
        <v/>
      </c>
      <c r="L481" s="43" t="str">
        <f aca="false">IF(K481="","",IF(K481&gt;60,3,IF(K481&gt;30,2,IF(K481&gt;0,1,0))))</f>
        <v/>
      </c>
      <c r="M481" s="35" t="str">
        <f aca="false">IF(E481="","",IF(J481&lt;=0.004,"bezahlt",IF(N(K481)&gt;0,"überfällig – Mahnung "&amp;L481,"offen")))</f>
        <v/>
      </c>
    </row>
    <row r="482" customFormat="false" ht="15" hidden="false" customHeight="false" outlineLevel="0" collapsed="false">
      <c r="A482" s="32"/>
      <c r="B482" s="33"/>
      <c r="C482" s="32"/>
      <c r="D482" s="32"/>
      <c r="E482" s="30"/>
      <c r="F482" s="32"/>
      <c r="G482" s="44" t="str">
        <f aca="false">IF(B482="","",B482+IF(F482="",Einstellungen!$B$40,F482))</f>
        <v/>
      </c>
      <c r="H482" s="33"/>
      <c r="I482" s="30"/>
      <c r="J482" s="31" t="str">
        <f aca="false">IF(E482="","",E482-N(I482))</f>
        <v/>
      </c>
      <c r="K482" s="43" t="str">
        <f aca="true">IF(OR(E482="",G482=""),"",IF(J482&lt;=0.004,"",MAX(0,TODAY()-G482)))</f>
        <v/>
      </c>
      <c r="L482" s="43" t="str">
        <f aca="false">IF(K482="","",IF(K482&gt;60,3,IF(K482&gt;30,2,IF(K482&gt;0,1,0))))</f>
        <v/>
      </c>
      <c r="M482" s="35" t="str">
        <f aca="false">IF(E482="","",IF(J482&lt;=0.004,"bezahlt",IF(N(K482)&gt;0,"überfällig – Mahnung "&amp;L482,"offen")))</f>
        <v/>
      </c>
    </row>
    <row r="483" customFormat="false" ht="15" hidden="false" customHeight="false" outlineLevel="0" collapsed="false">
      <c r="A483" s="32"/>
      <c r="B483" s="33"/>
      <c r="C483" s="32"/>
      <c r="D483" s="32"/>
      <c r="E483" s="30"/>
      <c r="F483" s="32"/>
      <c r="G483" s="44" t="str">
        <f aca="false">IF(B483="","",B483+IF(F483="",Einstellungen!$B$40,F483))</f>
        <v/>
      </c>
      <c r="H483" s="33"/>
      <c r="I483" s="30"/>
      <c r="J483" s="31" t="str">
        <f aca="false">IF(E483="","",E483-N(I483))</f>
        <v/>
      </c>
      <c r="K483" s="43" t="str">
        <f aca="true">IF(OR(E483="",G483=""),"",IF(J483&lt;=0.004,"",MAX(0,TODAY()-G483)))</f>
        <v/>
      </c>
      <c r="L483" s="43" t="str">
        <f aca="false">IF(K483="","",IF(K483&gt;60,3,IF(K483&gt;30,2,IF(K483&gt;0,1,0))))</f>
        <v/>
      </c>
      <c r="M483" s="35" t="str">
        <f aca="false">IF(E483="","",IF(J483&lt;=0.004,"bezahlt",IF(N(K483)&gt;0,"überfällig – Mahnung "&amp;L483,"offen")))</f>
        <v/>
      </c>
    </row>
    <row r="484" customFormat="false" ht="15" hidden="false" customHeight="false" outlineLevel="0" collapsed="false">
      <c r="A484" s="32"/>
      <c r="B484" s="33"/>
      <c r="C484" s="32"/>
      <c r="D484" s="32"/>
      <c r="E484" s="30"/>
      <c r="F484" s="32"/>
      <c r="G484" s="44" t="str">
        <f aca="false">IF(B484="","",B484+IF(F484="",Einstellungen!$B$40,F484))</f>
        <v/>
      </c>
      <c r="H484" s="33"/>
      <c r="I484" s="30"/>
      <c r="J484" s="31" t="str">
        <f aca="false">IF(E484="","",E484-N(I484))</f>
        <v/>
      </c>
      <c r="K484" s="43" t="str">
        <f aca="true">IF(OR(E484="",G484=""),"",IF(J484&lt;=0.004,"",MAX(0,TODAY()-G484)))</f>
        <v/>
      </c>
      <c r="L484" s="43" t="str">
        <f aca="false">IF(K484="","",IF(K484&gt;60,3,IF(K484&gt;30,2,IF(K484&gt;0,1,0))))</f>
        <v/>
      </c>
      <c r="M484" s="35" t="str">
        <f aca="false">IF(E484="","",IF(J484&lt;=0.004,"bezahlt",IF(N(K484)&gt;0,"überfällig – Mahnung "&amp;L484,"offen")))</f>
        <v/>
      </c>
    </row>
    <row r="485" customFormat="false" ht="15" hidden="false" customHeight="false" outlineLevel="0" collapsed="false">
      <c r="A485" s="32"/>
      <c r="B485" s="33"/>
      <c r="C485" s="32"/>
      <c r="D485" s="32"/>
      <c r="E485" s="30"/>
      <c r="F485" s="32"/>
      <c r="G485" s="44" t="str">
        <f aca="false">IF(B485="","",B485+IF(F485="",Einstellungen!$B$40,F485))</f>
        <v/>
      </c>
      <c r="H485" s="33"/>
      <c r="I485" s="30"/>
      <c r="J485" s="31" t="str">
        <f aca="false">IF(E485="","",E485-N(I485))</f>
        <v/>
      </c>
      <c r="K485" s="43" t="str">
        <f aca="true">IF(OR(E485="",G485=""),"",IF(J485&lt;=0.004,"",MAX(0,TODAY()-G485)))</f>
        <v/>
      </c>
      <c r="L485" s="43" t="str">
        <f aca="false">IF(K485="","",IF(K485&gt;60,3,IF(K485&gt;30,2,IF(K485&gt;0,1,0))))</f>
        <v/>
      </c>
      <c r="M485" s="35" t="str">
        <f aca="false">IF(E485="","",IF(J485&lt;=0.004,"bezahlt",IF(N(K485)&gt;0,"überfällig – Mahnung "&amp;L485,"offen")))</f>
        <v/>
      </c>
    </row>
    <row r="486" customFormat="false" ht="15" hidden="false" customHeight="false" outlineLevel="0" collapsed="false">
      <c r="A486" s="32"/>
      <c r="B486" s="33"/>
      <c r="C486" s="32"/>
      <c r="D486" s="32"/>
      <c r="E486" s="30"/>
      <c r="F486" s="32"/>
      <c r="G486" s="44" t="str">
        <f aca="false">IF(B486="","",B486+IF(F486="",Einstellungen!$B$40,F486))</f>
        <v/>
      </c>
      <c r="H486" s="33"/>
      <c r="I486" s="30"/>
      <c r="J486" s="31" t="str">
        <f aca="false">IF(E486="","",E486-N(I486))</f>
        <v/>
      </c>
      <c r="K486" s="43" t="str">
        <f aca="true">IF(OR(E486="",G486=""),"",IF(J486&lt;=0.004,"",MAX(0,TODAY()-G486)))</f>
        <v/>
      </c>
      <c r="L486" s="43" t="str">
        <f aca="false">IF(K486="","",IF(K486&gt;60,3,IF(K486&gt;30,2,IF(K486&gt;0,1,0))))</f>
        <v/>
      </c>
      <c r="M486" s="35" t="str">
        <f aca="false">IF(E486="","",IF(J486&lt;=0.004,"bezahlt",IF(N(K486)&gt;0,"überfällig – Mahnung "&amp;L486,"offen")))</f>
        <v/>
      </c>
    </row>
    <row r="487" customFormat="false" ht="15" hidden="false" customHeight="false" outlineLevel="0" collapsed="false">
      <c r="A487" s="32"/>
      <c r="B487" s="33"/>
      <c r="C487" s="32"/>
      <c r="D487" s="32"/>
      <c r="E487" s="30"/>
      <c r="F487" s="32"/>
      <c r="G487" s="44" t="str">
        <f aca="false">IF(B487="","",B487+IF(F487="",Einstellungen!$B$40,F487))</f>
        <v/>
      </c>
      <c r="H487" s="33"/>
      <c r="I487" s="30"/>
      <c r="J487" s="31" t="str">
        <f aca="false">IF(E487="","",E487-N(I487))</f>
        <v/>
      </c>
      <c r="K487" s="43" t="str">
        <f aca="true">IF(OR(E487="",G487=""),"",IF(J487&lt;=0.004,"",MAX(0,TODAY()-G487)))</f>
        <v/>
      </c>
      <c r="L487" s="43" t="str">
        <f aca="false">IF(K487="","",IF(K487&gt;60,3,IF(K487&gt;30,2,IF(K487&gt;0,1,0))))</f>
        <v/>
      </c>
      <c r="M487" s="35" t="str">
        <f aca="false">IF(E487="","",IF(J487&lt;=0.004,"bezahlt",IF(N(K487)&gt;0,"überfällig – Mahnung "&amp;L487,"offen")))</f>
        <v/>
      </c>
    </row>
    <row r="488" customFormat="false" ht="15" hidden="false" customHeight="false" outlineLevel="0" collapsed="false">
      <c r="A488" s="32"/>
      <c r="B488" s="33"/>
      <c r="C488" s="32"/>
      <c r="D488" s="32"/>
      <c r="E488" s="30"/>
      <c r="F488" s="32"/>
      <c r="G488" s="44" t="str">
        <f aca="false">IF(B488="","",B488+IF(F488="",Einstellungen!$B$40,F488))</f>
        <v/>
      </c>
      <c r="H488" s="33"/>
      <c r="I488" s="30"/>
      <c r="J488" s="31" t="str">
        <f aca="false">IF(E488="","",E488-N(I488))</f>
        <v/>
      </c>
      <c r="K488" s="43" t="str">
        <f aca="true">IF(OR(E488="",G488=""),"",IF(J488&lt;=0.004,"",MAX(0,TODAY()-G488)))</f>
        <v/>
      </c>
      <c r="L488" s="43" t="str">
        <f aca="false">IF(K488="","",IF(K488&gt;60,3,IF(K488&gt;30,2,IF(K488&gt;0,1,0))))</f>
        <v/>
      </c>
      <c r="M488" s="35" t="str">
        <f aca="false">IF(E488="","",IF(J488&lt;=0.004,"bezahlt",IF(N(K488)&gt;0,"überfällig – Mahnung "&amp;L488,"offen")))</f>
        <v/>
      </c>
    </row>
    <row r="489" customFormat="false" ht="15" hidden="false" customHeight="false" outlineLevel="0" collapsed="false">
      <c r="A489" s="32"/>
      <c r="B489" s="33"/>
      <c r="C489" s="32"/>
      <c r="D489" s="32"/>
      <c r="E489" s="30"/>
      <c r="F489" s="32"/>
      <c r="G489" s="44" t="str">
        <f aca="false">IF(B489="","",B489+IF(F489="",Einstellungen!$B$40,F489))</f>
        <v/>
      </c>
      <c r="H489" s="33"/>
      <c r="I489" s="30"/>
      <c r="J489" s="31" t="str">
        <f aca="false">IF(E489="","",E489-N(I489))</f>
        <v/>
      </c>
      <c r="K489" s="43" t="str">
        <f aca="true">IF(OR(E489="",G489=""),"",IF(J489&lt;=0.004,"",MAX(0,TODAY()-G489)))</f>
        <v/>
      </c>
      <c r="L489" s="43" t="str">
        <f aca="false">IF(K489="","",IF(K489&gt;60,3,IF(K489&gt;30,2,IF(K489&gt;0,1,0))))</f>
        <v/>
      </c>
      <c r="M489" s="35" t="str">
        <f aca="false">IF(E489="","",IF(J489&lt;=0.004,"bezahlt",IF(N(K489)&gt;0,"überfällig – Mahnung "&amp;L489,"offen")))</f>
        <v/>
      </c>
    </row>
    <row r="490" customFormat="false" ht="15" hidden="false" customHeight="false" outlineLevel="0" collapsed="false">
      <c r="A490" s="32"/>
      <c r="B490" s="33"/>
      <c r="C490" s="32"/>
      <c r="D490" s="32"/>
      <c r="E490" s="30"/>
      <c r="F490" s="32"/>
      <c r="G490" s="44" t="str">
        <f aca="false">IF(B490="","",B490+IF(F490="",Einstellungen!$B$40,F490))</f>
        <v/>
      </c>
      <c r="H490" s="33"/>
      <c r="I490" s="30"/>
      <c r="J490" s="31" t="str">
        <f aca="false">IF(E490="","",E490-N(I490))</f>
        <v/>
      </c>
      <c r="K490" s="43" t="str">
        <f aca="true">IF(OR(E490="",G490=""),"",IF(J490&lt;=0.004,"",MAX(0,TODAY()-G490)))</f>
        <v/>
      </c>
      <c r="L490" s="43" t="str">
        <f aca="false">IF(K490="","",IF(K490&gt;60,3,IF(K490&gt;30,2,IF(K490&gt;0,1,0))))</f>
        <v/>
      </c>
      <c r="M490" s="35" t="str">
        <f aca="false">IF(E490="","",IF(J490&lt;=0.004,"bezahlt",IF(N(K490)&gt;0,"überfällig – Mahnung "&amp;L490,"offen")))</f>
        <v/>
      </c>
    </row>
    <row r="491" customFormat="false" ht="15" hidden="false" customHeight="false" outlineLevel="0" collapsed="false">
      <c r="A491" s="32"/>
      <c r="B491" s="33"/>
      <c r="C491" s="32"/>
      <c r="D491" s="32"/>
      <c r="E491" s="30"/>
      <c r="F491" s="32"/>
      <c r="G491" s="44" t="str">
        <f aca="false">IF(B491="","",B491+IF(F491="",Einstellungen!$B$40,F491))</f>
        <v/>
      </c>
      <c r="H491" s="33"/>
      <c r="I491" s="30"/>
      <c r="J491" s="31" t="str">
        <f aca="false">IF(E491="","",E491-N(I491))</f>
        <v/>
      </c>
      <c r="K491" s="43" t="str">
        <f aca="true">IF(OR(E491="",G491=""),"",IF(J491&lt;=0.004,"",MAX(0,TODAY()-G491)))</f>
        <v/>
      </c>
      <c r="L491" s="43" t="str">
        <f aca="false">IF(K491="","",IF(K491&gt;60,3,IF(K491&gt;30,2,IF(K491&gt;0,1,0))))</f>
        <v/>
      </c>
      <c r="M491" s="35" t="str">
        <f aca="false">IF(E491="","",IF(J491&lt;=0.004,"bezahlt",IF(N(K491)&gt;0,"überfällig – Mahnung "&amp;L491,"offen")))</f>
        <v/>
      </c>
    </row>
    <row r="492" customFormat="false" ht="15" hidden="false" customHeight="false" outlineLevel="0" collapsed="false">
      <c r="A492" s="32"/>
      <c r="B492" s="33"/>
      <c r="C492" s="32"/>
      <c r="D492" s="32"/>
      <c r="E492" s="30"/>
      <c r="F492" s="32"/>
      <c r="G492" s="44" t="str">
        <f aca="false">IF(B492="","",B492+IF(F492="",Einstellungen!$B$40,F492))</f>
        <v/>
      </c>
      <c r="H492" s="33"/>
      <c r="I492" s="30"/>
      <c r="J492" s="31" t="str">
        <f aca="false">IF(E492="","",E492-N(I492))</f>
        <v/>
      </c>
      <c r="K492" s="43" t="str">
        <f aca="true">IF(OR(E492="",G492=""),"",IF(J492&lt;=0.004,"",MAX(0,TODAY()-G492)))</f>
        <v/>
      </c>
      <c r="L492" s="43" t="str">
        <f aca="false">IF(K492="","",IF(K492&gt;60,3,IF(K492&gt;30,2,IF(K492&gt;0,1,0))))</f>
        <v/>
      </c>
      <c r="M492" s="35" t="str">
        <f aca="false">IF(E492="","",IF(J492&lt;=0.004,"bezahlt",IF(N(K492)&gt;0,"überfällig – Mahnung "&amp;L492,"offen")))</f>
        <v/>
      </c>
    </row>
    <row r="493" customFormat="false" ht="15" hidden="false" customHeight="false" outlineLevel="0" collapsed="false">
      <c r="A493" s="32"/>
      <c r="B493" s="33"/>
      <c r="C493" s="32"/>
      <c r="D493" s="32"/>
      <c r="E493" s="30"/>
      <c r="F493" s="32"/>
      <c r="G493" s="44" t="str">
        <f aca="false">IF(B493="","",B493+IF(F493="",Einstellungen!$B$40,F493))</f>
        <v/>
      </c>
      <c r="H493" s="33"/>
      <c r="I493" s="30"/>
      <c r="J493" s="31" t="str">
        <f aca="false">IF(E493="","",E493-N(I493))</f>
        <v/>
      </c>
      <c r="K493" s="43" t="str">
        <f aca="true">IF(OR(E493="",G493=""),"",IF(J493&lt;=0.004,"",MAX(0,TODAY()-G493)))</f>
        <v/>
      </c>
      <c r="L493" s="43" t="str">
        <f aca="false">IF(K493="","",IF(K493&gt;60,3,IF(K493&gt;30,2,IF(K493&gt;0,1,0))))</f>
        <v/>
      </c>
      <c r="M493" s="35" t="str">
        <f aca="false">IF(E493="","",IF(J493&lt;=0.004,"bezahlt",IF(N(K493)&gt;0,"überfällig – Mahnung "&amp;L493,"offen")))</f>
        <v/>
      </c>
    </row>
    <row r="494" customFormat="false" ht="15" hidden="false" customHeight="false" outlineLevel="0" collapsed="false">
      <c r="A494" s="32"/>
      <c r="B494" s="33"/>
      <c r="C494" s="32"/>
      <c r="D494" s="32"/>
      <c r="E494" s="30"/>
      <c r="F494" s="32"/>
      <c r="G494" s="44" t="str">
        <f aca="false">IF(B494="","",B494+IF(F494="",Einstellungen!$B$40,F494))</f>
        <v/>
      </c>
      <c r="H494" s="33"/>
      <c r="I494" s="30"/>
      <c r="J494" s="31" t="str">
        <f aca="false">IF(E494="","",E494-N(I494))</f>
        <v/>
      </c>
      <c r="K494" s="43" t="str">
        <f aca="true">IF(OR(E494="",G494=""),"",IF(J494&lt;=0.004,"",MAX(0,TODAY()-G494)))</f>
        <v/>
      </c>
      <c r="L494" s="43" t="str">
        <f aca="false">IF(K494="","",IF(K494&gt;60,3,IF(K494&gt;30,2,IF(K494&gt;0,1,0))))</f>
        <v/>
      </c>
      <c r="M494" s="35" t="str">
        <f aca="false">IF(E494="","",IF(J494&lt;=0.004,"bezahlt",IF(N(K494)&gt;0,"überfällig – Mahnung "&amp;L494,"offen")))</f>
        <v/>
      </c>
    </row>
    <row r="495" customFormat="false" ht="15" hidden="false" customHeight="false" outlineLevel="0" collapsed="false">
      <c r="A495" s="32"/>
      <c r="B495" s="33"/>
      <c r="C495" s="32"/>
      <c r="D495" s="32"/>
      <c r="E495" s="30"/>
      <c r="F495" s="32"/>
      <c r="G495" s="44" t="str">
        <f aca="false">IF(B495="","",B495+IF(F495="",Einstellungen!$B$40,F495))</f>
        <v/>
      </c>
      <c r="H495" s="33"/>
      <c r="I495" s="30"/>
      <c r="J495" s="31" t="str">
        <f aca="false">IF(E495="","",E495-N(I495))</f>
        <v/>
      </c>
      <c r="K495" s="43" t="str">
        <f aca="true">IF(OR(E495="",G495=""),"",IF(J495&lt;=0.004,"",MAX(0,TODAY()-G495)))</f>
        <v/>
      </c>
      <c r="L495" s="43" t="str">
        <f aca="false">IF(K495="","",IF(K495&gt;60,3,IF(K495&gt;30,2,IF(K495&gt;0,1,0))))</f>
        <v/>
      </c>
      <c r="M495" s="35" t="str">
        <f aca="false">IF(E495="","",IF(J495&lt;=0.004,"bezahlt",IF(N(K495)&gt;0,"überfällig – Mahnung "&amp;L495,"offen")))</f>
        <v/>
      </c>
    </row>
    <row r="496" customFormat="false" ht="15" hidden="false" customHeight="false" outlineLevel="0" collapsed="false">
      <c r="A496" s="32"/>
      <c r="B496" s="33"/>
      <c r="C496" s="32"/>
      <c r="D496" s="32"/>
      <c r="E496" s="30"/>
      <c r="F496" s="32"/>
      <c r="G496" s="44" t="str">
        <f aca="false">IF(B496="","",B496+IF(F496="",Einstellungen!$B$40,F496))</f>
        <v/>
      </c>
      <c r="H496" s="33"/>
      <c r="I496" s="30"/>
      <c r="J496" s="31" t="str">
        <f aca="false">IF(E496="","",E496-N(I496))</f>
        <v/>
      </c>
      <c r="K496" s="43" t="str">
        <f aca="true">IF(OR(E496="",G496=""),"",IF(J496&lt;=0.004,"",MAX(0,TODAY()-G496)))</f>
        <v/>
      </c>
      <c r="L496" s="43" t="str">
        <f aca="false">IF(K496="","",IF(K496&gt;60,3,IF(K496&gt;30,2,IF(K496&gt;0,1,0))))</f>
        <v/>
      </c>
      <c r="M496" s="35" t="str">
        <f aca="false">IF(E496="","",IF(J496&lt;=0.004,"bezahlt",IF(N(K496)&gt;0,"überfällig – Mahnung "&amp;L496,"offen")))</f>
        <v/>
      </c>
    </row>
    <row r="497" customFormat="false" ht="15" hidden="false" customHeight="false" outlineLevel="0" collapsed="false">
      <c r="A497" s="32"/>
      <c r="B497" s="33"/>
      <c r="C497" s="32"/>
      <c r="D497" s="32"/>
      <c r="E497" s="30"/>
      <c r="F497" s="32"/>
      <c r="G497" s="44" t="str">
        <f aca="false">IF(B497="","",B497+IF(F497="",Einstellungen!$B$40,F497))</f>
        <v/>
      </c>
      <c r="H497" s="33"/>
      <c r="I497" s="30"/>
      <c r="J497" s="31" t="str">
        <f aca="false">IF(E497="","",E497-N(I497))</f>
        <v/>
      </c>
      <c r="K497" s="43" t="str">
        <f aca="true">IF(OR(E497="",G497=""),"",IF(J497&lt;=0.004,"",MAX(0,TODAY()-G497)))</f>
        <v/>
      </c>
      <c r="L497" s="43" t="str">
        <f aca="false">IF(K497="","",IF(K497&gt;60,3,IF(K497&gt;30,2,IF(K497&gt;0,1,0))))</f>
        <v/>
      </c>
      <c r="M497" s="35" t="str">
        <f aca="false">IF(E497="","",IF(J497&lt;=0.004,"bezahlt",IF(N(K497)&gt;0,"überfällig – Mahnung "&amp;L497,"offen")))</f>
        <v/>
      </c>
    </row>
    <row r="498" customFormat="false" ht="15" hidden="false" customHeight="false" outlineLevel="0" collapsed="false">
      <c r="A498" s="32"/>
      <c r="B498" s="33"/>
      <c r="C498" s="32"/>
      <c r="D498" s="32"/>
      <c r="E498" s="30"/>
      <c r="F498" s="32"/>
      <c r="G498" s="44" t="str">
        <f aca="false">IF(B498="","",B498+IF(F498="",Einstellungen!$B$40,F498))</f>
        <v/>
      </c>
      <c r="H498" s="33"/>
      <c r="I498" s="30"/>
      <c r="J498" s="31" t="str">
        <f aca="false">IF(E498="","",E498-N(I498))</f>
        <v/>
      </c>
      <c r="K498" s="43" t="str">
        <f aca="true">IF(OR(E498="",G498=""),"",IF(J498&lt;=0.004,"",MAX(0,TODAY()-G498)))</f>
        <v/>
      </c>
      <c r="L498" s="43" t="str">
        <f aca="false">IF(K498="","",IF(K498&gt;60,3,IF(K498&gt;30,2,IF(K498&gt;0,1,0))))</f>
        <v/>
      </c>
      <c r="M498" s="35" t="str">
        <f aca="false">IF(E498="","",IF(J498&lt;=0.004,"bezahlt",IF(N(K498)&gt;0,"überfällig – Mahnung "&amp;L498,"offen")))</f>
        <v/>
      </c>
    </row>
    <row r="499" customFormat="false" ht="15" hidden="false" customHeight="false" outlineLevel="0" collapsed="false">
      <c r="A499" s="32"/>
      <c r="B499" s="33"/>
      <c r="C499" s="32"/>
      <c r="D499" s="32"/>
      <c r="E499" s="30"/>
      <c r="F499" s="32"/>
      <c r="G499" s="44" t="str">
        <f aca="false">IF(B499="","",B499+IF(F499="",Einstellungen!$B$40,F499))</f>
        <v/>
      </c>
      <c r="H499" s="33"/>
      <c r="I499" s="30"/>
      <c r="J499" s="31" t="str">
        <f aca="false">IF(E499="","",E499-N(I499))</f>
        <v/>
      </c>
      <c r="K499" s="43" t="str">
        <f aca="true">IF(OR(E499="",G499=""),"",IF(J499&lt;=0.004,"",MAX(0,TODAY()-G499)))</f>
        <v/>
      </c>
      <c r="L499" s="43" t="str">
        <f aca="false">IF(K499="","",IF(K499&gt;60,3,IF(K499&gt;30,2,IF(K499&gt;0,1,0))))</f>
        <v/>
      </c>
      <c r="M499" s="35" t="str">
        <f aca="false">IF(E499="","",IF(J499&lt;=0.004,"bezahlt",IF(N(K499)&gt;0,"überfällig – Mahnung "&amp;L499,"offen")))</f>
        <v/>
      </c>
    </row>
    <row r="500" customFormat="false" ht="15" hidden="false" customHeight="false" outlineLevel="0" collapsed="false">
      <c r="A500" s="32"/>
      <c r="B500" s="33"/>
      <c r="C500" s="32"/>
      <c r="D500" s="32"/>
      <c r="E500" s="30"/>
      <c r="F500" s="32"/>
      <c r="G500" s="44" t="str">
        <f aca="false">IF(B500="","",B500+IF(F500="",Einstellungen!$B$40,F500))</f>
        <v/>
      </c>
      <c r="H500" s="33"/>
      <c r="I500" s="30"/>
      <c r="J500" s="31" t="str">
        <f aca="false">IF(E500="","",E500-N(I500))</f>
        <v/>
      </c>
      <c r="K500" s="43" t="str">
        <f aca="true">IF(OR(E500="",G500=""),"",IF(J500&lt;=0.004,"",MAX(0,TODAY()-G500)))</f>
        <v/>
      </c>
      <c r="L500" s="43" t="str">
        <f aca="false">IF(K500="","",IF(K500&gt;60,3,IF(K500&gt;30,2,IF(K500&gt;0,1,0))))</f>
        <v/>
      </c>
      <c r="M500" s="35" t="str">
        <f aca="false">IF(E500="","",IF(J500&lt;=0.004,"bezahlt",IF(N(K500)&gt;0,"überfällig – Mahnung "&amp;L500,"offen")))</f>
        <v/>
      </c>
    </row>
    <row r="501" customFormat="false" ht="15" hidden="false" customHeight="false" outlineLevel="0" collapsed="false">
      <c r="A501" s="32"/>
      <c r="B501" s="33"/>
      <c r="C501" s="32"/>
      <c r="D501" s="32"/>
      <c r="E501" s="30"/>
      <c r="F501" s="32"/>
      <c r="G501" s="44" t="str">
        <f aca="false">IF(B501="","",B501+IF(F501="",Einstellungen!$B$40,F501))</f>
        <v/>
      </c>
      <c r="H501" s="33"/>
      <c r="I501" s="30"/>
      <c r="J501" s="31" t="str">
        <f aca="false">IF(E501="","",E501-N(I501))</f>
        <v/>
      </c>
      <c r="K501" s="43" t="str">
        <f aca="true">IF(OR(E501="",G501=""),"",IF(J501&lt;=0.004,"",MAX(0,TODAY()-G501)))</f>
        <v/>
      </c>
      <c r="L501" s="43" t="str">
        <f aca="false">IF(K501="","",IF(K501&gt;60,3,IF(K501&gt;30,2,IF(K501&gt;0,1,0))))</f>
        <v/>
      </c>
      <c r="M501" s="35" t="str">
        <f aca="false">IF(E501="","",IF(J501&lt;=0.004,"bezahlt",IF(N(K501)&gt;0,"überfällig – Mahnung "&amp;L501,"offen")))</f>
        <v/>
      </c>
    </row>
    <row r="502" customFormat="false" ht="15" hidden="false" customHeight="false" outlineLevel="0" collapsed="false">
      <c r="A502" s="32"/>
      <c r="B502" s="33"/>
      <c r="C502" s="32"/>
      <c r="D502" s="32"/>
      <c r="E502" s="30"/>
      <c r="F502" s="32"/>
      <c r="G502" s="44" t="str">
        <f aca="false">IF(B502="","",B502+IF(F502="",Einstellungen!$B$40,F502))</f>
        <v/>
      </c>
      <c r="H502" s="33"/>
      <c r="I502" s="30"/>
      <c r="J502" s="31" t="str">
        <f aca="false">IF(E502="","",E502-N(I502))</f>
        <v/>
      </c>
      <c r="K502" s="43" t="str">
        <f aca="true">IF(OR(E502="",G502=""),"",IF(J502&lt;=0.004,"",MAX(0,TODAY()-G502)))</f>
        <v/>
      </c>
      <c r="L502" s="43" t="str">
        <f aca="false">IF(K502="","",IF(K502&gt;60,3,IF(K502&gt;30,2,IF(K502&gt;0,1,0))))</f>
        <v/>
      </c>
      <c r="M502" s="35" t="str">
        <f aca="false">IF(E502="","",IF(J502&lt;=0.004,"bezahlt",IF(N(K502)&gt;0,"überfällig – Mahnung "&amp;L502,"offen")))</f>
        <v/>
      </c>
    </row>
    <row r="503" customFormat="false" ht="15" hidden="false" customHeight="false" outlineLevel="0" collapsed="false">
      <c r="A503" s="32"/>
      <c r="B503" s="33"/>
      <c r="C503" s="32"/>
      <c r="D503" s="32"/>
      <c r="E503" s="30"/>
      <c r="F503" s="32"/>
      <c r="G503" s="44" t="str">
        <f aca="false">IF(B503="","",B503+IF(F503="",Einstellungen!$B$40,F503))</f>
        <v/>
      </c>
      <c r="H503" s="33"/>
      <c r="I503" s="30"/>
      <c r="J503" s="31" t="str">
        <f aca="false">IF(E503="","",E503-N(I503))</f>
        <v/>
      </c>
      <c r="K503" s="43" t="str">
        <f aca="true">IF(OR(E503="",G503=""),"",IF(J503&lt;=0.004,"",MAX(0,TODAY()-G503)))</f>
        <v/>
      </c>
      <c r="L503" s="43" t="str">
        <f aca="false">IF(K503="","",IF(K503&gt;60,3,IF(K503&gt;30,2,IF(K503&gt;0,1,0))))</f>
        <v/>
      </c>
      <c r="M503" s="35" t="str">
        <f aca="false">IF(E503="","",IF(J503&lt;=0.004,"bezahlt",IF(N(K503)&gt;0,"überfällig – Mahnung "&amp;L503,"offen")))</f>
        <v/>
      </c>
    </row>
    <row r="504" customFormat="false" ht="15" hidden="false" customHeight="false" outlineLevel="0" collapsed="false">
      <c r="A504" s="32"/>
      <c r="B504" s="33"/>
      <c r="C504" s="32"/>
      <c r="D504" s="32"/>
      <c r="E504" s="30"/>
      <c r="F504" s="32"/>
      <c r="G504" s="44" t="str">
        <f aca="false">IF(B504="","",B504+IF(F504="",Einstellungen!$B$40,F504))</f>
        <v/>
      </c>
      <c r="H504" s="33"/>
      <c r="I504" s="30"/>
      <c r="J504" s="31" t="str">
        <f aca="false">IF(E504="","",E504-N(I504))</f>
        <v/>
      </c>
      <c r="K504" s="43" t="str">
        <f aca="true">IF(OR(E504="",G504=""),"",IF(J504&lt;=0.004,"",MAX(0,TODAY()-G504)))</f>
        <v/>
      </c>
      <c r="L504" s="43" t="str">
        <f aca="false">IF(K504="","",IF(K504&gt;60,3,IF(K504&gt;30,2,IF(K504&gt;0,1,0))))</f>
        <v/>
      </c>
      <c r="M504" s="35" t="str">
        <f aca="false">IF(E504="","",IF(J504&lt;=0.004,"bezahlt",IF(N(K504)&gt;0,"überfällig – Mahnung "&amp;L504,"offen")))</f>
        <v/>
      </c>
    </row>
    <row r="505" customFormat="false" ht="15" hidden="false" customHeight="false" outlineLevel="0" collapsed="false">
      <c r="A505" s="32"/>
      <c r="B505" s="33"/>
      <c r="C505" s="32"/>
      <c r="D505" s="32"/>
      <c r="E505" s="30"/>
      <c r="F505" s="32"/>
      <c r="G505" s="44" t="str">
        <f aca="false">IF(B505="","",B505+IF(F505="",Einstellungen!$B$40,F505))</f>
        <v/>
      </c>
      <c r="H505" s="33"/>
      <c r="I505" s="30"/>
      <c r="J505" s="31" t="str">
        <f aca="false">IF(E505="","",E505-N(I505))</f>
        <v/>
      </c>
      <c r="K505" s="43" t="str">
        <f aca="true">IF(OR(E505="",G505=""),"",IF(J505&lt;=0.004,"",MAX(0,TODAY()-G505)))</f>
        <v/>
      </c>
      <c r="L505" s="43" t="str">
        <f aca="false">IF(K505="","",IF(K505&gt;60,3,IF(K505&gt;30,2,IF(K505&gt;0,1,0))))</f>
        <v/>
      </c>
      <c r="M505" s="35" t="str">
        <f aca="false">IF(E505="","",IF(J505&lt;=0.004,"bezahlt",IF(N(K505)&gt;0,"überfällig – Mahnung "&amp;L505,"offen")))</f>
        <v/>
      </c>
    </row>
    <row r="506" customFormat="false" ht="15" hidden="false" customHeight="false" outlineLevel="0" collapsed="false">
      <c r="A506" s="32"/>
      <c r="B506" s="33"/>
      <c r="C506" s="32"/>
      <c r="D506" s="32"/>
      <c r="E506" s="30"/>
      <c r="F506" s="32"/>
      <c r="G506" s="44" t="str">
        <f aca="false">IF(B506="","",B506+IF(F506="",Einstellungen!$B$40,F506))</f>
        <v/>
      </c>
      <c r="H506" s="33"/>
      <c r="I506" s="30"/>
      <c r="J506" s="31" t="str">
        <f aca="false">IF(E506="","",E506-N(I506))</f>
        <v/>
      </c>
      <c r="K506" s="43" t="str">
        <f aca="true">IF(OR(E506="",G506=""),"",IF(J506&lt;=0.004,"",MAX(0,TODAY()-G506)))</f>
        <v/>
      </c>
      <c r="L506" s="43" t="str">
        <f aca="false">IF(K506="","",IF(K506&gt;60,3,IF(K506&gt;30,2,IF(K506&gt;0,1,0))))</f>
        <v/>
      </c>
      <c r="M506" s="35" t="str">
        <f aca="false">IF(E506="","",IF(J506&lt;=0.004,"bezahlt",IF(N(K506)&gt;0,"überfällig – Mahnung "&amp;L506,"offen")))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M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26"/>
  </cols>
  <sheetData>
    <row r="1" customFormat="false" ht="19.7" hidden="false" customHeight="false" outlineLevel="0" collapsed="false">
      <c r="A1" s="1" t="s">
        <v>516</v>
      </c>
    </row>
    <row r="3" customFormat="false" ht="15" hidden="false" customHeight="false" outlineLevel="0" collapsed="false">
      <c r="A3" s="0" t="s">
        <v>497</v>
      </c>
      <c r="C3" s="12" t="n">
        <f aca="false">SUM(L7:L506)</f>
        <v>1297.2</v>
      </c>
      <c r="E3" s="14" t="s">
        <v>517</v>
      </c>
      <c r="G3" s="12" t="n">
        <f aca="false">SUMIF(Kontenplan!$A$5:$A$90,2000,Kontenplan!$K$5:$K$90)</f>
        <v>1297.2</v>
      </c>
      <c r="I3" s="9" t="s">
        <v>518</v>
      </c>
    </row>
    <row r="4" customFormat="false" ht="15" hidden="false" customHeight="false" outlineLevel="0" collapsed="false">
      <c r="A4" s="0" t="s">
        <v>500</v>
      </c>
      <c r="C4" s="12" t="n">
        <f aca="false">SUMIF(M7:M506,"ÜBERFÄLLIG",L7:L506)</f>
        <v>1297.2</v>
      </c>
      <c r="E4" s="14" t="s">
        <v>501</v>
      </c>
      <c r="G4" s="0" t="str">
        <f aca="false">IF(ABS(C3-G3)&lt;1,"stimmt ✓","Differenz: Liste vs. Buchhaltung prüfen")</f>
        <v>stimmt ✓</v>
      </c>
      <c r="I4" s="9" t="s">
        <v>519</v>
      </c>
    </row>
    <row r="6" customFormat="false" ht="31.5" hidden="false" customHeight="true" outlineLevel="0" collapsed="false">
      <c r="A6" s="10" t="s">
        <v>520</v>
      </c>
      <c r="B6" s="10" t="s">
        <v>504</v>
      </c>
      <c r="C6" s="10" t="s">
        <v>344</v>
      </c>
      <c r="D6" s="10" t="s">
        <v>349</v>
      </c>
      <c r="E6" s="10" t="s">
        <v>507</v>
      </c>
      <c r="F6" s="10" t="s">
        <v>508</v>
      </c>
      <c r="G6" s="10" t="s">
        <v>521</v>
      </c>
      <c r="H6" s="10" t="s">
        <v>522</v>
      </c>
      <c r="I6" s="10" t="s">
        <v>523</v>
      </c>
      <c r="J6" s="10" t="s">
        <v>509</v>
      </c>
      <c r="K6" s="10" t="s">
        <v>510</v>
      </c>
      <c r="L6" s="10" t="s">
        <v>511</v>
      </c>
      <c r="M6" s="10" t="s">
        <v>270</v>
      </c>
    </row>
    <row r="7" customFormat="false" ht="15" hidden="false" customHeight="false" outlineLevel="0" collapsed="false">
      <c r="A7" s="32" t="s">
        <v>524</v>
      </c>
      <c r="B7" s="32" t="s">
        <v>525</v>
      </c>
      <c r="C7" s="33" t="n">
        <v>46034</v>
      </c>
      <c r="D7" s="30" t="n">
        <v>1297.2</v>
      </c>
      <c r="E7" s="32" t="n">
        <v>30</v>
      </c>
      <c r="F7" s="44" t="n">
        <f aca="false">IF(C7="","",C7+IF(E7="",30,E7))</f>
        <v>46064</v>
      </c>
      <c r="G7" s="45" t="n">
        <v>2</v>
      </c>
      <c r="H7" s="32" t="n">
        <v>10</v>
      </c>
      <c r="I7" s="44" t="n">
        <f aca="false">IF(OR(C7="",G7=""),"",C7+H7)</f>
        <v>46044</v>
      </c>
      <c r="J7" s="33"/>
      <c r="K7" s="30"/>
      <c r="L7" s="31" t="n">
        <f aca="false">IF(D7="","",D7-N(K7))</f>
        <v>1297.2</v>
      </c>
      <c r="M7" s="35" t="str">
        <f aca="true">IF(D7="","",IF(L7&lt;=0.004,"bezahlt",IF(TODAY()&gt;F7,"ÜBERFÄLLIG",IF(AND(I7&lt;&gt;"",TODAY()&lt;=I7),"Skonto nutzen bis "&amp;TEXT(I7,"DD.MM."),"fällig in "&amp;(F7-TODAY())&amp;" Tagen"))))</f>
        <v>ÜBERFÄLLIG</v>
      </c>
    </row>
    <row r="8" customFormat="false" ht="15" hidden="false" customHeight="false" outlineLevel="0" collapsed="false">
      <c r="A8" s="32"/>
      <c r="B8" s="32"/>
      <c r="C8" s="33"/>
      <c r="D8" s="30"/>
      <c r="E8" s="32"/>
      <c r="F8" s="44" t="str">
        <f aca="false">IF(C8="","",C8+IF(E8="",30,E8))</f>
        <v/>
      </c>
      <c r="G8" s="45"/>
      <c r="H8" s="32"/>
      <c r="I8" s="44" t="str">
        <f aca="false">IF(OR(C8="",G8=""),"",C8+H8)</f>
        <v/>
      </c>
      <c r="J8" s="33"/>
      <c r="K8" s="30"/>
      <c r="L8" s="31" t="str">
        <f aca="false">IF(D8="","",D8-N(K8))</f>
        <v/>
      </c>
      <c r="M8" s="35" t="str">
        <f aca="true">IF(D8="","",IF(L8&lt;=0.004,"bezahlt",IF(TODAY()&gt;F8,"ÜBERFÄLLIG",IF(AND(I8&lt;&gt;"",TODAY()&lt;=I8),"Skonto nutzen bis "&amp;TEXT(I8,"DD.MM."),"fällig in "&amp;(F8-TODAY())&amp;" Tagen"))))</f>
        <v/>
      </c>
    </row>
    <row r="9" customFormat="false" ht="15" hidden="false" customHeight="false" outlineLevel="0" collapsed="false">
      <c r="A9" s="32"/>
      <c r="B9" s="32"/>
      <c r="C9" s="33"/>
      <c r="D9" s="30"/>
      <c r="E9" s="32"/>
      <c r="F9" s="44" t="str">
        <f aca="false">IF(C9="","",C9+IF(E9="",30,E9))</f>
        <v/>
      </c>
      <c r="G9" s="45"/>
      <c r="H9" s="32"/>
      <c r="I9" s="44" t="str">
        <f aca="false">IF(OR(C9="",G9=""),"",C9+H9)</f>
        <v/>
      </c>
      <c r="J9" s="33"/>
      <c r="K9" s="30"/>
      <c r="L9" s="31" t="str">
        <f aca="false">IF(D9="","",D9-N(K9))</f>
        <v/>
      </c>
      <c r="M9" s="35" t="str">
        <f aca="true">IF(D9="","",IF(L9&lt;=0.004,"bezahlt",IF(TODAY()&gt;F9,"ÜBERFÄLLIG",IF(AND(I9&lt;&gt;"",TODAY()&lt;=I9),"Skonto nutzen bis "&amp;TEXT(I9,"DD.MM."),"fällig in "&amp;(F9-TODAY())&amp;" Tagen"))))</f>
        <v/>
      </c>
    </row>
    <row r="10" customFormat="false" ht="15" hidden="false" customHeight="false" outlineLevel="0" collapsed="false">
      <c r="A10" s="32"/>
      <c r="B10" s="32"/>
      <c r="C10" s="33"/>
      <c r="D10" s="30"/>
      <c r="E10" s="32"/>
      <c r="F10" s="44" t="str">
        <f aca="false">IF(C10="","",C10+IF(E10="",30,E10))</f>
        <v/>
      </c>
      <c r="G10" s="45"/>
      <c r="H10" s="32"/>
      <c r="I10" s="44" t="str">
        <f aca="false">IF(OR(C10="",G10=""),"",C10+H10)</f>
        <v/>
      </c>
      <c r="J10" s="33"/>
      <c r="K10" s="30"/>
      <c r="L10" s="31" t="str">
        <f aca="false">IF(D10="","",D10-N(K10))</f>
        <v/>
      </c>
      <c r="M10" s="35" t="str">
        <f aca="true">IF(D10="","",IF(L10&lt;=0.004,"bezahlt",IF(TODAY()&gt;F10,"ÜBERFÄLLIG",IF(AND(I10&lt;&gt;"",TODAY()&lt;=I10),"Skonto nutzen bis "&amp;TEXT(I10,"DD.MM."),"fällig in "&amp;(F10-TODAY())&amp;" Tagen"))))</f>
        <v/>
      </c>
    </row>
    <row r="11" customFormat="false" ht="15" hidden="false" customHeight="false" outlineLevel="0" collapsed="false">
      <c r="A11" s="32"/>
      <c r="B11" s="32"/>
      <c r="C11" s="33"/>
      <c r="D11" s="30"/>
      <c r="E11" s="32"/>
      <c r="F11" s="44" t="str">
        <f aca="false">IF(C11="","",C11+IF(E11="",30,E11))</f>
        <v/>
      </c>
      <c r="G11" s="45"/>
      <c r="H11" s="32"/>
      <c r="I11" s="44" t="str">
        <f aca="false">IF(OR(C11="",G11=""),"",C11+H11)</f>
        <v/>
      </c>
      <c r="J11" s="33"/>
      <c r="K11" s="30"/>
      <c r="L11" s="31" t="str">
        <f aca="false">IF(D11="","",D11-N(K11))</f>
        <v/>
      </c>
      <c r="M11" s="35" t="str">
        <f aca="true">IF(D11="","",IF(L11&lt;=0.004,"bezahlt",IF(TODAY()&gt;F11,"ÜBERFÄLLIG",IF(AND(I11&lt;&gt;"",TODAY()&lt;=I11),"Skonto nutzen bis "&amp;TEXT(I11,"DD.MM."),"fällig in "&amp;(F11-TODAY())&amp;" Tagen"))))</f>
        <v/>
      </c>
    </row>
    <row r="12" customFormat="false" ht="15" hidden="false" customHeight="false" outlineLevel="0" collapsed="false">
      <c r="A12" s="32"/>
      <c r="B12" s="32"/>
      <c r="C12" s="33"/>
      <c r="D12" s="30"/>
      <c r="E12" s="32"/>
      <c r="F12" s="44" t="str">
        <f aca="false">IF(C12="","",C12+IF(E12="",30,E12))</f>
        <v/>
      </c>
      <c r="G12" s="45"/>
      <c r="H12" s="32"/>
      <c r="I12" s="44" t="str">
        <f aca="false">IF(OR(C12="",G12=""),"",C12+H12)</f>
        <v/>
      </c>
      <c r="J12" s="33"/>
      <c r="K12" s="30"/>
      <c r="L12" s="31" t="str">
        <f aca="false">IF(D12="","",D12-N(K12))</f>
        <v/>
      </c>
      <c r="M12" s="35" t="str">
        <f aca="true">IF(D12="","",IF(L12&lt;=0.004,"bezahlt",IF(TODAY()&gt;F12,"ÜBERFÄLLIG",IF(AND(I12&lt;&gt;"",TODAY()&lt;=I12),"Skonto nutzen bis "&amp;TEXT(I12,"DD.MM."),"fällig in "&amp;(F12-TODAY())&amp;" Tagen"))))</f>
        <v/>
      </c>
    </row>
    <row r="13" customFormat="false" ht="15" hidden="false" customHeight="false" outlineLevel="0" collapsed="false">
      <c r="A13" s="32"/>
      <c r="B13" s="32"/>
      <c r="C13" s="33"/>
      <c r="D13" s="30"/>
      <c r="E13" s="32"/>
      <c r="F13" s="44" t="str">
        <f aca="false">IF(C13="","",C13+IF(E13="",30,E13))</f>
        <v/>
      </c>
      <c r="G13" s="45"/>
      <c r="H13" s="32"/>
      <c r="I13" s="44" t="str">
        <f aca="false">IF(OR(C13="",G13=""),"",C13+H13)</f>
        <v/>
      </c>
      <c r="J13" s="33"/>
      <c r="K13" s="30"/>
      <c r="L13" s="31" t="str">
        <f aca="false">IF(D13="","",D13-N(K13))</f>
        <v/>
      </c>
      <c r="M13" s="35" t="str">
        <f aca="true">IF(D13="","",IF(L13&lt;=0.004,"bezahlt",IF(TODAY()&gt;F13,"ÜBERFÄLLIG",IF(AND(I13&lt;&gt;"",TODAY()&lt;=I13),"Skonto nutzen bis "&amp;TEXT(I13,"DD.MM."),"fällig in "&amp;(F13-TODAY())&amp;" Tagen"))))</f>
        <v/>
      </c>
    </row>
    <row r="14" customFormat="false" ht="15" hidden="false" customHeight="false" outlineLevel="0" collapsed="false">
      <c r="A14" s="32"/>
      <c r="B14" s="32"/>
      <c r="C14" s="33"/>
      <c r="D14" s="30"/>
      <c r="E14" s="32"/>
      <c r="F14" s="44" t="str">
        <f aca="false">IF(C14="","",C14+IF(E14="",30,E14))</f>
        <v/>
      </c>
      <c r="G14" s="45"/>
      <c r="H14" s="32"/>
      <c r="I14" s="44" t="str">
        <f aca="false">IF(OR(C14="",G14=""),"",C14+H14)</f>
        <v/>
      </c>
      <c r="J14" s="33"/>
      <c r="K14" s="30"/>
      <c r="L14" s="31" t="str">
        <f aca="false">IF(D14="","",D14-N(K14))</f>
        <v/>
      </c>
      <c r="M14" s="35" t="str">
        <f aca="true">IF(D14="","",IF(L14&lt;=0.004,"bezahlt",IF(TODAY()&gt;F14,"ÜBERFÄLLIG",IF(AND(I14&lt;&gt;"",TODAY()&lt;=I14),"Skonto nutzen bis "&amp;TEXT(I14,"DD.MM."),"fällig in "&amp;(F14-TODAY())&amp;" Tagen"))))</f>
        <v/>
      </c>
    </row>
    <row r="15" customFormat="false" ht="15" hidden="false" customHeight="false" outlineLevel="0" collapsed="false">
      <c r="A15" s="32"/>
      <c r="B15" s="32"/>
      <c r="C15" s="33"/>
      <c r="D15" s="30"/>
      <c r="E15" s="32"/>
      <c r="F15" s="44" t="str">
        <f aca="false">IF(C15="","",C15+IF(E15="",30,E15))</f>
        <v/>
      </c>
      <c r="G15" s="45"/>
      <c r="H15" s="32"/>
      <c r="I15" s="44" t="str">
        <f aca="false">IF(OR(C15="",G15=""),"",C15+H15)</f>
        <v/>
      </c>
      <c r="J15" s="33"/>
      <c r="K15" s="30"/>
      <c r="L15" s="31" t="str">
        <f aca="false">IF(D15="","",D15-N(K15))</f>
        <v/>
      </c>
      <c r="M15" s="35" t="str">
        <f aca="true">IF(D15="","",IF(L15&lt;=0.004,"bezahlt",IF(TODAY()&gt;F15,"ÜBERFÄLLIG",IF(AND(I15&lt;&gt;"",TODAY()&lt;=I15),"Skonto nutzen bis "&amp;TEXT(I15,"DD.MM."),"fällig in "&amp;(F15-TODAY())&amp;" Tagen"))))</f>
        <v/>
      </c>
    </row>
    <row r="16" customFormat="false" ht="15" hidden="false" customHeight="false" outlineLevel="0" collapsed="false">
      <c r="A16" s="32"/>
      <c r="B16" s="32"/>
      <c r="C16" s="33"/>
      <c r="D16" s="30"/>
      <c r="E16" s="32"/>
      <c r="F16" s="44" t="str">
        <f aca="false">IF(C16="","",C16+IF(E16="",30,E16))</f>
        <v/>
      </c>
      <c r="G16" s="45"/>
      <c r="H16" s="32"/>
      <c r="I16" s="44" t="str">
        <f aca="false">IF(OR(C16="",G16=""),"",C16+H16)</f>
        <v/>
      </c>
      <c r="J16" s="33"/>
      <c r="K16" s="30"/>
      <c r="L16" s="31" t="str">
        <f aca="false">IF(D16="","",D16-N(K16))</f>
        <v/>
      </c>
      <c r="M16" s="35" t="str">
        <f aca="true">IF(D16="","",IF(L16&lt;=0.004,"bezahlt",IF(TODAY()&gt;F16,"ÜBERFÄLLIG",IF(AND(I16&lt;&gt;"",TODAY()&lt;=I16),"Skonto nutzen bis "&amp;TEXT(I16,"DD.MM."),"fällig in "&amp;(F16-TODAY())&amp;" Tagen"))))</f>
        <v/>
      </c>
    </row>
    <row r="17" customFormat="false" ht="15" hidden="false" customHeight="false" outlineLevel="0" collapsed="false">
      <c r="A17" s="32"/>
      <c r="B17" s="32"/>
      <c r="C17" s="33"/>
      <c r="D17" s="30"/>
      <c r="E17" s="32"/>
      <c r="F17" s="44" t="str">
        <f aca="false">IF(C17="","",C17+IF(E17="",30,E17))</f>
        <v/>
      </c>
      <c r="G17" s="45"/>
      <c r="H17" s="32"/>
      <c r="I17" s="44" t="str">
        <f aca="false">IF(OR(C17="",G17=""),"",C17+H17)</f>
        <v/>
      </c>
      <c r="J17" s="33"/>
      <c r="K17" s="30"/>
      <c r="L17" s="31" t="str">
        <f aca="false">IF(D17="","",D17-N(K17))</f>
        <v/>
      </c>
      <c r="M17" s="35" t="str">
        <f aca="true">IF(D17="","",IF(L17&lt;=0.004,"bezahlt",IF(TODAY()&gt;F17,"ÜBERFÄLLIG",IF(AND(I17&lt;&gt;"",TODAY()&lt;=I17),"Skonto nutzen bis "&amp;TEXT(I17,"DD.MM."),"fällig in "&amp;(F17-TODAY())&amp;" Tagen"))))</f>
        <v/>
      </c>
    </row>
    <row r="18" customFormat="false" ht="15" hidden="false" customHeight="false" outlineLevel="0" collapsed="false">
      <c r="A18" s="32"/>
      <c r="B18" s="32"/>
      <c r="C18" s="33"/>
      <c r="D18" s="30"/>
      <c r="E18" s="32"/>
      <c r="F18" s="44" t="str">
        <f aca="false">IF(C18="","",C18+IF(E18="",30,E18))</f>
        <v/>
      </c>
      <c r="G18" s="45"/>
      <c r="H18" s="32"/>
      <c r="I18" s="44" t="str">
        <f aca="false">IF(OR(C18="",G18=""),"",C18+H18)</f>
        <v/>
      </c>
      <c r="J18" s="33"/>
      <c r="K18" s="30"/>
      <c r="L18" s="31" t="str">
        <f aca="false">IF(D18="","",D18-N(K18))</f>
        <v/>
      </c>
      <c r="M18" s="35" t="str">
        <f aca="true">IF(D18="","",IF(L18&lt;=0.004,"bezahlt",IF(TODAY()&gt;F18,"ÜBERFÄLLIG",IF(AND(I18&lt;&gt;"",TODAY()&lt;=I18),"Skonto nutzen bis "&amp;TEXT(I18,"DD.MM."),"fällig in "&amp;(F18-TODAY())&amp;" Tagen"))))</f>
        <v/>
      </c>
    </row>
    <row r="19" customFormat="false" ht="15" hidden="false" customHeight="false" outlineLevel="0" collapsed="false">
      <c r="A19" s="32"/>
      <c r="B19" s="32"/>
      <c r="C19" s="33"/>
      <c r="D19" s="30"/>
      <c r="E19" s="32"/>
      <c r="F19" s="44" t="str">
        <f aca="false">IF(C19="","",C19+IF(E19="",30,E19))</f>
        <v/>
      </c>
      <c r="G19" s="45"/>
      <c r="H19" s="32"/>
      <c r="I19" s="44" t="str">
        <f aca="false">IF(OR(C19="",G19=""),"",C19+H19)</f>
        <v/>
      </c>
      <c r="J19" s="33"/>
      <c r="K19" s="30"/>
      <c r="L19" s="31" t="str">
        <f aca="false">IF(D19="","",D19-N(K19))</f>
        <v/>
      </c>
      <c r="M19" s="35" t="str">
        <f aca="true">IF(D19="","",IF(L19&lt;=0.004,"bezahlt",IF(TODAY()&gt;F19,"ÜBERFÄLLIG",IF(AND(I19&lt;&gt;"",TODAY()&lt;=I19),"Skonto nutzen bis "&amp;TEXT(I19,"DD.MM."),"fällig in "&amp;(F19-TODAY())&amp;" Tagen"))))</f>
        <v/>
      </c>
    </row>
    <row r="20" customFormat="false" ht="15" hidden="false" customHeight="false" outlineLevel="0" collapsed="false">
      <c r="A20" s="32"/>
      <c r="B20" s="32"/>
      <c r="C20" s="33"/>
      <c r="D20" s="30"/>
      <c r="E20" s="32"/>
      <c r="F20" s="44" t="str">
        <f aca="false">IF(C20="","",C20+IF(E20="",30,E20))</f>
        <v/>
      </c>
      <c r="G20" s="45"/>
      <c r="H20" s="32"/>
      <c r="I20" s="44" t="str">
        <f aca="false">IF(OR(C20="",G20=""),"",C20+H20)</f>
        <v/>
      </c>
      <c r="J20" s="33"/>
      <c r="K20" s="30"/>
      <c r="L20" s="31" t="str">
        <f aca="false">IF(D20="","",D20-N(K20))</f>
        <v/>
      </c>
      <c r="M20" s="35" t="str">
        <f aca="true">IF(D20="","",IF(L20&lt;=0.004,"bezahlt",IF(TODAY()&gt;F20,"ÜBERFÄLLIG",IF(AND(I20&lt;&gt;"",TODAY()&lt;=I20),"Skonto nutzen bis "&amp;TEXT(I20,"DD.MM."),"fällig in "&amp;(F20-TODAY())&amp;" Tagen"))))</f>
        <v/>
      </c>
    </row>
    <row r="21" customFormat="false" ht="15" hidden="false" customHeight="false" outlineLevel="0" collapsed="false">
      <c r="A21" s="32"/>
      <c r="B21" s="32"/>
      <c r="C21" s="33"/>
      <c r="D21" s="30"/>
      <c r="E21" s="32"/>
      <c r="F21" s="44" t="str">
        <f aca="false">IF(C21="","",C21+IF(E21="",30,E21))</f>
        <v/>
      </c>
      <c r="G21" s="45"/>
      <c r="H21" s="32"/>
      <c r="I21" s="44" t="str">
        <f aca="false">IF(OR(C21="",G21=""),"",C21+H21)</f>
        <v/>
      </c>
      <c r="J21" s="33"/>
      <c r="K21" s="30"/>
      <c r="L21" s="31" t="str">
        <f aca="false">IF(D21="","",D21-N(K21))</f>
        <v/>
      </c>
      <c r="M21" s="35" t="str">
        <f aca="true">IF(D21="","",IF(L21&lt;=0.004,"bezahlt",IF(TODAY()&gt;F21,"ÜBERFÄLLIG",IF(AND(I21&lt;&gt;"",TODAY()&lt;=I21),"Skonto nutzen bis "&amp;TEXT(I21,"DD.MM."),"fällig in "&amp;(F21-TODAY())&amp;" Tagen"))))</f>
        <v/>
      </c>
    </row>
    <row r="22" customFormat="false" ht="15" hidden="false" customHeight="false" outlineLevel="0" collapsed="false">
      <c r="A22" s="32"/>
      <c r="B22" s="32"/>
      <c r="C22" s="33"/>
      <c r="D22" s="30"/>
      <c r="E22" s="32"/>
      <c r="F22" s="44" t="str">
        <f aca="false">IF(C22="","",C22+IF(E22="",30,E22))</f>
        <v/>
      </c>
      <c r="G22" s="45"/>
      <c r="H22" s="32"/>
      <c r="I22" s="44" t="str">
        <f aca="false">IF(OR(C22="",G22=""),"",C22+H22)</f>
        <v/>
      </c>
      <c r="J22" s="33"/>
      <c r="K22" s="30"/>
      <c r="L22" s="31" t="str">
        <f aca="false">IF(D22="","",D22-N(K22))</f>
        <v/>
      </c>
      <c r="M22" s="35" t="str">
        <f aca="true">IF(D22="","",IF(L22&lt;=0.004,"bezahlt",IF(TODAY()&gt;F22,"ÜBERFÄLLIG",IF(AND(I22&lt;&gt;"",TODAY()&lt;=I22),"Skonto nutzen bis "&amp;TEXT(I22,"DD.MM."),"fällig in "&amp;(F22-TODAY())&amp;" Tagen"))))</f>
        <v/>
      </c>
    </row>
    <row r="23" customFormat="false" ht="15" hidden="false" customHeight="false" outlineLevel="0" collapsed="false">
      <c r="A23" s="32"/>
      <c r="B23" s="32"/>
      <c r="C23" s="33"/>
      <c r="D23" s="30"/>
      <c r="E23" s="32"/>
      <c r="F23" s="44" t="str">
        <f aca="false">IF(C23="","",C23+IF(E23="",30,E23))</f>
        <v/>
      </c>
      <c r="G23" s="45"/>
      <c r="H23" s="32"/>
      <c r="I23" s="44" t="str">
        <f aca="false">IF(OR(C23="",G23=""),"",C23+H23)</f>
        <v/>
      </c>
      <c r="J23" s="33"/>
      <c r="K23" s="30"/>
      <c r="L23" s="31" t="str">
        <f aca="false">IF(D23="","",D23-N(K23))</f>
        <v/>
      </c>
      <c r="M23" s="35" t="str">
        <f aca="true">IF(D23="","",IF(L23&lt;=0.004,"bezahlt",IF(TODAY()&gt;F23,"ÜBERFÄLLIG",IF(AND(I23&lt;&gt;"",TODAY()&lt;=I23),"Skonto nutzen bis "&amp;TEXT(I23,"DD.MM."),"fällig in "&amp;(F23-TODAY())&amp;" Tagen"))))</f>
        <v/>
      </c>
    </row>
    <row r="24" customFormat="false" ht="15" hidden="false" customHeight="false" outlineLevel="0" collapsed="false">
      <c r="A24" s="32"/>
      <c r="B24" s="32"/>
      <c r="C24" s="33"/>
      <c r="D24" s="30"/>
      <c r="E24" s="32"/>
      <c r="F24" s="44" t="str">
        <f aca="false">IF(C24="","",C24+IF(E24="",30,E24))</f>
        <v/>
      </c>
      <c r="G24" s="45"/>
      <c r="H24" s="32"/>
      <c r="I24" s="44" t="str">
        <f aca="false">IF(OR(C24="",G24=""),"",C24+H24)</f>
        <v/>
      </c>
      <c r="J24" s="33"/>
      <c r="K24" s="30"/>
      <c r="L24" s="31" t="str">
        <f aca="false">IF(D24="","",D24-N(K24))</f>
        <v/>
      </c>
      <c r="M24" s="35" t="str">
        <f aca="true">IF(D24="","",IF(L24&lt;=0.004,"bezahlt",IF(TODAY()&gt;F24,"ÜBERFÄLLIG",IF(AND(I24&lt;&gt;"",TODAY()&lt;=I24),"Skonto nutzen bis "&amp;TEXT(I24,"DD.MM."),"fällig in "&amp;(F24-TODAY())&amp;" Tagen"))))</f>
        <v/>
      </c>
    </row>
    <row r="25" customFormat="false" ht="15" hidden="false" customHeight="false" outlineLevel="0" collapsed="false">
      <c r="A25" s="32"/>
      <c r="B25" s="32"/>
      <c r="C25" s="33"/>
      <c r="D25" s="30"/>
      <c r="E25" s="32"/>
      <c r="F25" s="44" t="str">
        <f aca="false">IF(C25="","",C25+IF(E25="",30,E25))</f>
        <v/>
      </c>
      <c r="G25" s="45"/>
      <c r="H25" s="32"/>
      <c r="I25" s="44" t="str">
        <f aca="false">IF(OR(C25="",G25=""),"",C25+H25)</f>
        <v/>
      </c>
      <c r="J25" s="33"/>
      <c r="K25" s="30"/>
      <c r="L25" s="31" t="str">
        <f aca="false">IF(D25="","",D25-N(K25))</f>
        <v/>
      </c>
      <c r="M25" s="35" t="str">
        <f aca="true">IF(D25="","",IF(L25&lt;=0.004,"bezahlt",IF(TODAY()&gt;F25,"ÜBERFÄLLIG",IF(AND(I25&lt;&gt;"",TODAY()&lt;=I25),"Skonto nutzen bis "&amp;TEXT(I25,"DD.MM."),"fällig in "&amp;(F25-TODAY())&amp;" Tagen"))))</f>
        <v/>
      </c>
    </row>
    <row r="26" customFormat="false" ht="15" hidden="false" customHeight="false" outlineLevel="0" collapsed="false">
      <c r="A26" s="32"/>
      <c r="B26" s="32"/>
      <c r="C26" s="33"/>
      <c r="D26" s="30"/>
      <c r="E26" s="32"/>
      <c r="F26" s="44" t="str">
        <f aca="false">IF(C26="","",C26+IF(E26="",30,E26))</f>
        <v/>
      </c>
      <c r="G26" s="45"/>
      <c r="H26" s="32"/>
      <c r="I26" s="44" t="str">
        <f aca="false">IF(OR(C26="",G26=""),"",C26+H26)</f>
        <v/>
      </c>
      <c r="J26" s="33"/>
      <c r="K26" s="30"/>
      <c r="L26" s="31" t="str">
        <f aca="false">IF(D26="","",D26-N(K26))</f>
        <v/>
      </c>
      <c r="M26" s="35" t="str">
        <f aca="true">IF(D26="","",IF(L26&lt;=0.004,"bezahlt",IF(TODAY()&gt;F26,"ÜBERFÄLLIG",IF(AND(I26&lt;&gt;"",TODAY()&lt;=I26),"Skonto nutzen bis "&amp;TEXT(I26,"DD.MM."),"fällig in "&amp;(F26-TODAY())&amp;" Tagen"))))</f>
        <v/>
      </c>
    </row>
    <row r="27" customFormat="false" ht="15" hidden="false" customHeight="false" outlineLevel="0" collapsed="false">
      <c r="A27" s="32"/>
      <c r="B27" s="32"/>
      <c r="C27" s="33"/>
      <c r="D27" s="30"/>
      <c r="E27" s="32"/>
      <c r="F27" s="44" t="str">
        <f aca="false">IF(C27="","",C27+IF(E27="",30,E27))</f>
        <v/>
      </c>
      <c r="G27" s="45"/>
      <c r="H27" s="32"/>
      <c r="I27" s="44" t="str">
        <f aca="false">IF(OR(C27="",G27=""),"",C27+H27)</f>
        <v/>
      </c>
      <c r="J27" s="33"/>
      <c r="K27" s="30"/>
      <c r="L27" s="31" t="str">
        <f aca="false">IF(D27="","",D27-N(K27))</f>
        <v/>
      </c>
      <c r="M27" s="35" t="str">
        <f aca="true">IF(D27="","",IF(L27&lt;=0.004,"bezahlt",IF(TODAY()&gt;F27,"ÜBERFÄLLIG",IF(AND(I27&lt;&gt;"",TODAY()&lt;=I27),"Skonto nutzen bis "&amp;TEXT(I27,"DD.MM."),"fällig in "&amp;(F27-TODAY())&amp;" Tagen"))))</f>
        <v/>
      </c>
    </row>
    <row r="28" customFormat="false" ht="15" hidden="false" customHeight="false" outlineLevel="0" collapsed="false">
      <c r="A28" s="32"/>
      <c r="B28" s="32"/>
      <c r="C28" s="33"/>
      <c r="D28" s="30"/>
      <c r="E28" s="32"/>
      <c r="F28" s="44" t="str">
        <f aca="false">IF(C28="","",C28+IF(E28="",30,E28))</f>
        <v/>
      </c>
      <c r="G28" s="45"/>
      <c r="H28" s="32"/>
      <c r="I28" s="44" t="str">
        <f aca="false">IF(OR(C28="",G28=""),"",C28+H28)</f>
        <v/>
      </c>
      <c r="J28" s="33"/>
      <c r="K28" s="30"/>
      <c r="L28" s="31" t="str">
        <f aca="false">IF(D28="","",D28-N(K28))</f>
        <v/>
      </c>
      <c r="M28" s="35" t="str">
        <f aca="true">IF(D28="","",IF(L28&lt;=0.004,"bezahlt",IF(TODAY()&gt;F28,"ÜBERFÄLLIG",IF(AND(I28&lt;&gt;"",TODAY()&lt;=I28),"Skonto nutzen bis "&amp;TEXT(I28,"DD.MM."),"fällig in "&amp;(F28-TODAY())&amp;" Tagen"))))</f>
        <v/>
      </c>
    </row>
    <row r="29" customFormat="false" ht="15" hidden="false" customHeight="false" outlineLevel="0" collapsed="false">
      <c r="A29" s="32"/>
      <c r="B29" s="32"/>
      <c r="C29" s="33"/>
      <c r="D29" s="30"/>
      <c r="E29" s="32"/>
      <c r="F29" s="44" t="str">
        <f aca="false">IF(C29="","",C29+IF(E29="",30,E29))</f>
        <v/>
      </c>
      <c r="G29" s="45"/>
      <c r="H29" s="32"/>
      <c r="I29" s="44" t="str">
        <f aca="false">IF(OR(C29="",G29=""),"",C29+H29)</f>
        <v/>
      </c>
      <c r="J29" s="33"/>
      <c r="K29" s="30"/>
      <c r="L29" s="31" t="str">
        <f aca="false">IF(D29="","",D29-N(K29))</f>
        <v/>
      </c>
      <c r="M29" s="35" t="str">
        <f aca="true">IF(D29="","",IF(L29&lt;=0.004,"bezahlt",IF(TODAY()&gt;F29,"ÜBERFÄLLIG",IF(AND(I29&lt;&gt;"",TODAY()&lt;=I29),"Skonto nutzen bis "&amp;TEXT(I29,"DD.MM."),"fällig in "&amp;(F29-TODAY())&amp;" Tagen"))))</f>
        <v/>
      </c>
    </row>
    <row r="30" customFormat="false" ht="15" hidden="false" customHeight="false" outlineLevel="0" collapsed="false">
      <c r="A30" s="32"/>
      <c r="B30" s="32"/>
      <c r="C30" s="33"/>
      <c r="D30" s="30"/>
      <c r="E30" s="32"/>
      <c r="F30" s="44" t="str">
        <f aca="false">IF(C30="","",C30+IF(E30="",30,E30))</f>
        <v/>
      </c>
      <c r="G30" s="45"/>
      <c r="H30" s="32"/>
      <c r="I30" s="44" t="str">
        <f aca="false">IF(OR(C30="",G30=""),"",C30+H30)</f>
        <v/>
      </c>
      <c r="J30" s="33"/>
      <c r="K30" s="30"/>
      <c r="L30" s="31" t="str">
        <f aca="false">IF(D30="","",D30-N(K30))</f>
        <v/>
      </c>
      <c r="M30" s="35" t="str">
        <f aca="true">IF(D30="","",IF(L30&lt;=0.004,"bezahlt",IF(TODAY()&gt;F30,"ÜBERFÄLLIG",IF(AND(I30&lt;&gt;"",TODAY()&lt;=I30),"Skonto nutzen bis "&amp;TEXT(I30,"DD.MM."),"fällig in "&amp;(F30-TODAY())&amp;" Tagen"))))</f>
        <v/>
      </c>
    </row>
    <row r="31" customFormat="false" ht="15" hidden="false" customHeight="false" outlineLevel="0" collapsed="false">
      <c r="A31" s="32"/>
      <c r="B31" s="32"/>
      <c r="C31" s="33"/>
      <c r="D31" s="30"/>
      <c r="E31" s="32"/>
      <c r="F31" s="44" t="str">
        <f aca="false">IF(C31="","",C31+IF(E31="",30,E31))</f>
        <v/>
      </c>
      <c r="G31" s="45"/>
      <c r="H31" s="32"/>
      <c r="I31" s="44" t="str">
        <f aca="false">IF(OR(C31="",G31=""),"",C31+H31)</f>
        <v/>
      </c>
      <c r="J31" s="33"/>
      <c r="K31" s="30"/>
      <c r="L31" s="31" t="str">
        <f aca="false">IF(D31="","",D31-N(K31))</f>
        <v/>
      </c>
      <c r="M31" s="35" t="str">
        <f aca="true">IF(D31="","",IF(L31&lt;=0.004,"bezahlt",IF(TODAY()&gt;F31,"ÜBERFÄLLIG",IF(AND(I31&lt;&gt;"",TODAY()&lt;=I31),"Skonto nutzen bis "&amp;TEXT(I31,"DD.MM."),"fällig in "&amp;(F31-TODAY())&amp;" Tagen"))))</f>
        <v/>
      </c>
    </row>
    <row r="32" customFormat="false" ht="15" hidden="false" customHeight="false" outlineLevel="0" collapsed="false">
      <c r="A32" s="32"/>
      <c r="B32" s="32"/>
      <c r="C32" s="33"/>
      <c r="D32" s="30"/>
      <c r="E32" s="32"/>
      <c r="F32" s="44" t="str">
        <f aca="false">IF(C32="","",C32+IF(E32="",30,E32))</f>
        <v/>
      </c>
      <c r="G32" s="45"/>
      <c r="H32" s="32"/>
      <c r="I32" s="44" t="str">
        <f aca="false">IF(OR(C32="",G32=""),"",C32+H32)</f>
        <v/>
      </c>
      <c r="J32" s="33"/>
      <c r="K32" s="30"/>
      <c r="L32" s="31" t="str">
        <f aca="false">IF(D32="","",D32-N(K32))</f>
        <v/>
      </c>
      <c r="M32" s="35" t="str">
        <f aca="true">IF(D32="","",IF(L32&lt;=0.004,"bezahlt",IF(TODAY()&gt;F32,"ÜBERFÄLLIG",IF(AND(I32&lt;&gt;"",TODAY()&lt;=I32),"Skonto nutzen bis "&amp;TEXT(I32,"DD.MM."),"fällig in "&amp;(F32-TODAY())&amp;" Tagen"))))</f>
        <v/>
      </c>
    </row>
    <row r="33" customFormat="false" ht="15" hidden="false" customHeight="false" outlineLevel="0" collapsed="false">
      <c r="A33" s="32"/>
      <c r="B33" s="32"/>
      <c r="C33" s="33"/>
      <c r="D33" s="30"/>
      <c r="E33" s="32"/>
      <c r="F33" s="44" t="str">
        <f aca="false">IF(C33="","",C33+IF(E33="",30,E33))</f>
        <v/>
      </c>
      <c r="G33" s="45"/>
      <c r="H33" s="32"/>
      <c r="I33" s="44" t="str">
        <f aca="false">IF(OR(C33="",G33=""),"",C33+H33)</f>
        <v/>
      </c>
      <c r="J33" s="33"/>
      <c r="K33" s="30"/>
      <c r="L33" s="31" t="str">
        <f aca="false">IF(D33="","",D33-N(K33))</f>
        <v/>
      </c>
      <c r="M33" s="35" t="str">
        <f aca="true">IF(D33="","",IF(L33&lt;=0.004,"bezahlt",IF(TODAY()&gt;F33,"ÜBERFÄLLIG",IF(AND(I33&lt;&gt;"",TODAY()&lt;=I33),"Skonto nutzen bis "&amp;TEXT(I33,"DD.MM."),"fällig in "&amp;(F33-TODAY())&amp;" Tagen"))))</f>
        <v/>
      </c>
    </row>
    <row r="34" customFormat="false" ht="15" hidden="false" customHeight="false" outlineLevel="0" collapsed="false">
      <c r="A34" s="32"/>
      <c r="B34" s="32"/>
      <c r="C34" s="33"/>
      <c r="D34" s="30"/>
      <c r="E34" s="32"/>
      <c r="F34" s="44" t="str">
        <f aca="false">IF(C34="","",C34+IF(E34="",30,E34))</f>
        <v/>
      </c>
      <c r="G34" s="45"/>
      <c r="H34" s="32"/>
      <c r="I34" s="44" t="str">
        <f aca="false">IF(OR(C34="",G34=""),"",C34+H34)</f>
        <v/>
      </c>
      <c r="J34" s="33"/>
      <c r="K34" s="30"/>
      <c r="L34" s="31" t="str">
        <f aca="false">IF(D34="","",D34-N(K34))</f>
        <v/>
      </c>
      <c r="M34" s="35" t="str">
        <f aca="true">IF(D34="","",IF(L34&lt;=0.004,"bezahlt",IF(TODAY()&gt;F34,"ÜBERFÄLLIG",IF(AND(I34&lt;&gt;"",TODAY()&lt;=I34),"Skonto nutzen bis "&amp;TEXT(I34,"DD.MM."),"fällig in "&amp;(F34-TODAY())&amp;" Tagen"))))</f>
        <v/>
      </c>
    </row>
    <row r="35" customFormat="false" ht="15" hidden="false" customHeight="false" outlineLevel="0" collapsed="false">
      <c r="A35" s="32"/>
      <c r="B35" s="32"/>
      <c r="C35" s="33"/>
      <c r="D35" s="30"/>
      <c r="E35" s="32"/>
      <c r="F35" s="44" t="str">
        <f aca="false">IF(C35="","",C35+IF(E35="",30,E35))</f>
        <v/>
      </c>
      <c r="G35" s="45"/>
      <c r="H35" s="32"/>
      <c r="I35" s="44" t="str">
        <f aca="false">IF(OR(C35="",G35=""),"",C35+H35)</f>
        <v/>
      </c>
      <c r="J35" s="33"/>
      <c r="K35" s="30"/>
      <c r="L35" s="31" t="str">
        <f aca="false">IF(D35="","",D35-N(K35))</f>
        <v/>
      </c>
      <c r="M35" s="35" t="str">
        <f aca="true">IF(D35="","",IF(L35&lt;=0.004,"bezahlt",IF(TODAY()&gt;F35,"ÜBERFÄLLIG",IF(AND(I35&lt;&gt;"",TODAY()&lt;=I35),"Skonto nutzen bis "&amp;TEXT(I35,"DD.MM."),"fällig in "&amp;(F35-TODAY())&amp;" Tagen"))))</f>
        <v/>
      </c>
    </row>
    <row r="36" customFormat="false" ht="15" hidden="false" customHeight="false" outlineLevel="0" collapsed="false">
      <c r="A36" s="32"/>
      <c r="B36" s="32"/>
      <c r="C36" s="33"/>
      <c r="D36" s="30"/>
      <c r="E36" s="32"/>
      <c r="F36" s="44" t="str">
        <f aca="false">IF(C36="","",C36+IF(E36="",30,E36))</f>
        <v/>
      </c>
      <c r="G36" s="45"/>
      <c r="H36" s="32"/>
      <c r="I36" s="44" t="str">
        <f aca="false">IF(OR(C36="",G36=""),"",C36+H36)</f>
        <v/>
      </c>
      <c r="J36" s="33"/>
      <c r="K36" s="30"/>
      <c r="L36" s="31" t="str">
        <f aca="false">IF(D36="","",D36-N(K36))</f>
        <v/>
      </c>
      <c r="M36" s="35" t="str">
        <f aca="true">IF(D36="","",IF(L36&lt;=0.004,"bezahlt",IF(TODAY()&gt;F36,"ÜBERFÄLLIG",IF(AND(I36&lt;&gt;"",TODAY()&lt;=I36),"Skonto nutzen bis "&amp;TEXT(I36,"DD.MM."),"fällig in "&amp;(F36-TODAY())&amp;" Tagen"))))</f>
        <v/>
      </c>
    </row>
    <row r="37" customFormat="false" ht="15" hidden="false" customHeight="false" outlineLevel="0" collapsed="false">
      <c r="A37" s="32"/>
      <c r="B37" s="32"/>
      <c r="C37" s="33"/>
      <c r="D37" s="30"/>
      <c r="E37" s="32"/>
      <c r="F37" s="44" t="str">
        <f aca="false">IF(C37="","",C37+IF(E37="",30,E37))</f>
        <v/>
      </c>
      <c r="G37" s="45"/>
      <c r="H37" s="32"/>
      <c r="I37" s="44" t="str">
        <f aca="false">IF(OR(C37="",G37=""),"",C37+H37)</f>
        <v/>
      </c>
      <c r="J37" s="33"/>
      <c r="K37" s="30"/>
      <c r="L37" s="31" t="str">
        <f aca="false">IF(D37="","",D37-N(K37))</f>
        <v/>
      </c>
      <c r="M37" s="35" t="str">
        <f aca="true">IF(D37="","",IF(L37&lt;=0.004,"bezahlt",IF(TODAY()&gt;F37,"ÜBERFÄLLIG",IF(AND(I37&lt;&gt;"",TODAY()&lt;=I37),"Skonto nutzen bis "&amp;TEXT(I37,"DD.MM."),"fällig in "&amp;(F37-TODAY())&amp;" Tagen"))))</f>
        <v/>
      </c>
    </row>
    <row r="38" customFormat="false" ht="15" hidden="false" customHeight="false" outlineLevel="0" collapsed="false">
      <c r="A38" s="32"/>
      <c r="B38" s="32"/>
      <c r="C38" s="33"/>
      <c r="D38" s="30"/>
      <c r="E38" s="32"/>
      <c r="F38" s="44" t="str">
        <f aca="false">IF(C38="","",C38+IF(E38="",30,E38))</f>
        <v/>
      </c>
      <c r="G38" s="45"/>
      <c r="H38" s="32"/>
      <c r="I38" s="44" t="str">
        <f aca="false">IF(OR(C38="",G38=""),"",C38+H38)</f>
        <v/>
      </c>
      <c r="J38" s="33"/>
      <c r="K38" s="30"/>
      <c r="L38" s="31" t="str">
        <f aca="false">IF(D38="","",D38-N(K38))</f>
        <v/>
      </c>
      <c r="M38" s="35" t="str">
        <f aca="true">IF(D38="","",IF(L38&lt;=0.004,"bezahlt",IF(TODAY()&gt;F38,"ÜBERFÄLLIG",IF(AND(I38&lt;&gt;"",TODAY()&lt;=I38),"Skonto nutzen bis "&amp;TEXT(I38,"DD.MM."),"fällig in "&amp;(F38-TODAY())&amp;" Tagen"))))</f>
        <v/>
      </c>
    </row>
    <row r="39" customFormat="false" ht="15" hidden="false" customHeight="false" outlineLevel="0" collapsed="false">
      <c r="A39" s="32"/>
      <c r="B39" s="32"/>
      <c r="C39" s="33"/>
      <c r="D39" s="30"/>
      <c r="E39" s="32"/>
      <c r="F39" s="44" t="str">
        <f aca="false">IF(C39="","",C39+IF(E39="",30,E39))</f>
        <v/>
      </c>
      <c r="G39" s="45"/>
      <c r="H39" s="32"/>
      <c r="I39" s="44" t="str">
        <f aca="false">IF(OR(C39="",G39=""),"",C39+H39)</f>
        <v/>
      </c>
      <c r="J39" s="33"/>
      <c r="K39" s="30"/>
      <c r="L39" s="31" t="str">
        <f aca="false">IF(D39="","",D39-N(K39))</f>
        <v/>
      </c>
      <c r="M39" s="35" t="str">
        <f aca="true">IF(D39="","",IF(L39&lt;=0.004,"bezahlt",IF(TODAY()&gt;F39,"ÜBERFÄLLIG",IF(AND(I39&lt;&gt;"",TODAY()&lt;=I39),"Skonto nutzen bis "&amp;TEXT(I39,"DD.MM."),"fällig in "&amp;(F39-TODAY())&amp;" Tagen"))))</f>
        <v/>
      </c>
    </row>
    <row r="40" customFormat="false" ht="15" hidden="false" customHeight="false" outlineLevel="0" collapsed="false">
      <c r="A40" s="32"/>
      <c r="B40" s="32"/>
      <c r="C40" s="33"/>
      <c r="D40" s="30"/>
      <c r="E40" s="32"/>
      <c r="F40" s="44" t="str">
        <f aca="false">IF(C40="","",C40+IF(E40="",30,E40))</f>
        <v/>
      </c>
      <c r="G40" s="45"/>
      <c r="H40" s="32"/>
      <c r="I40" s="44" t="str">
        <f aca="false">IF(OR(C40="",G40=""),"",C40+H40)</f>
        <v/>
      </c>
      <c r="J40" s="33"/>
      <c r="K40" s="30"/>
      <c r="L40" s="31" t="str">
        <f aca="false">IF(D40="","",D40-N(K40))</f>
        <v/>
      </c>
      <c r="M40" s="35" t="str">
        <f aca="true">IF(D40="","",IF(L40&lt;=0.004,"bezahlt",IF(TODAY()&gt;F40,"ÜBERFÄLLIG",IF(AND(I40&lt;&gt;"",TODAY()&lt;=I40),"Skonto nutzen bis "&amp;TEXT(I40,"DD.MM."),"fällig in "&amp;(F40-TODAY())&amp;" Tagen"))))</f>
        <v/>
      </c>
    </row>
    <row r="41" customFormat="false" ht="15" hidden="false" customHeight="false" outlineLevel="0" collapsed="false">
      <c r="A41" s="32"/>
      <c r="B41" s="32"/>
      <c r="C41" s="33"/>
      <c r="D41" s="30"/>
      <c r="E41" s="32"/>
      <c r="F41" s="44" t="str">
        <f aca="false">IF(C41="","",C41+IF(E41="",30,E41))</f>
        <v/>
      </c>
      <c r="G41" s="45"/>
      <c r="H41" s="32"/>
      <c r="I41" s="44" t="str">
        <f aca="false">IF(OR(C41="",G41=""),"",C41+H41)</f>
        <v/>
      </c>
      <c r="J41" s="33"/>
      <c r="K41" s="30"/>
      <c r="L41" s="31" t="str">
        <f aca="false">IF(D41="","",D41-N(K41))</f>
        <v/>
      </c>
      <c r="M41" s="35" t="str">
        <f aca="true">IF(D41="","",IF(L41&lt;=0.004,"bezahlt",IF(TODAY()&gt;F41,"ÜBERFÄLLIG",IF(AND(I41&lt;&gt;"",TODAY()&lt;=I41),"Skonto nutzen bis "&amp;TEXT(I41,"DD.MM."),"fällig in "&amp;(F41-TODAY())&amp;" Tagen"))))</f>
        <v/>
      </c>
    </row>
    <row r="42" customFormat="false" ht="15" hidden="false" customHeight="false" outlineLevel="0" collapsed="false">
      <c r="A42" s="32"/>
      <c r="B42" s="32"/>
      <c r="C42" s="33"/>
      <c r="D42" s="30"/>
      <c r="E42" s="32"/>
      <c r="F42" s="44" t="str">
        <f aca="false">IF(C42="","",C42+IF(E42="",30,E42))</f>
        <v/>
      </c>
      <c r="G42" s="45"/>
      <c r="H42" s="32"/>
      <c r="I42" s="44" t="str">
        <f aca="false">IF(OR(C42="",G42=""),"",C42+H42)</f>
        <v/>
      </c>
      <c r="J42" s="33"/>
      <c r="K42" s="30"/>
      <c r="L42" s="31" t="str">
        <f aca="false">IF(D42="","",D42-N(K42))</f>
        <v/>
      </c>
      <c r="M42" s="35" t="str">
        <f aca="true">IF(D42="","",IF(L42&lt;=0.004,"bezahlt",IF(TODAY()&gt;F42,"ÜBERFÄLLIG",IF(AND(I42&lt;&gt;"",TODAY()&lt;=I42),"Skonto nutzen bis "&amp;TEXT(I42,"DD.MM."),"fällig in "&amp;(F42-TODAY())&amp;" Tagen"))))</f>
        <v/>
      </c>
    </row>
    <row r="43" customFormat="false" ht="15" hidden="false" customHeight="false" outlineLevel="0" collapsed="false">
      <c r="A43" s="32"/>
      <c r="B43" s="32"/>
      <c r="C43" s="33"/>
      <c r="D43" s="30"/>
      <c r="E43" s="32"/>
      <c r="F43" s="44" t="str">
        <f aca="false">IF(C43="","",C43+IF(E43="",30,E43))</f>
        <v/>
      </c>
      <c r="G43" s="45"/>
      <c r="H43" s="32"/>
      <c r="I43" s="44" t="str">
        <f aca="false">IF(OR(C43="",G43=""),"",C43+H43)</f>
        <v/>
      </c>
      <c r="J43" s="33"/>
      <c r="K43" s="30"/>
      <c r="L43" s="31" t="str">
        <f aca="false">IF(D43="","",D43-N(K43))</f>
        <v/>
      </c>
      <c r="M43" s="35" t="str">
        <f aca="true">IF(D43="","",IF(L43&lt;=0.004,"bezahlt",IF(TODAY()&gt;F43,"ÜBERFÄLLIG",IF(AND(I43&lt;&gt;"",TODAY()&lt;=I43),"Skonto nutzen bis "&amp;TEXT(I43,"DD.MM."),"fällig in "&amp;(F43-TODAY())&amp;" Tagen"))))</f>
        <v/>
      </c>
    </row>
    <row r="44" customFormat="false" ht="15" hidden="false" customHeight="false" outlineLevel="0" collapsed="false">
      <c r="A44" s="32"/>
      <c r="B44" s="32"/>
      <c r="C44" s="33"/>
      <c r="D44" s="30"/>
      <c r="E44" s="32"/>
      <c r="F44" s="44" t="str">
        <f aca="false">IF(C44="","",C44+IF(E44="",30,E44))</f>
        <v/>
      </c>
      <c r="G44" s="45"/>
      <c r="H44" s="32"/>
      <c r="I44" s="44" t="str">
        <f aca="false">IF(OR(C44="",G44=""),"",C44+H44)</f>
        <v/>
      </c>
      <c r="J44" s="33"/>
      <c r="K44" s="30"/>
      <c r="L44" s="31" t="str">
        <f aca="false">IF(D44="","",D44-N(K44))</f>
        <v/>
      </c>
      <c r="M44" s="35" t="str">
        <f aca="true">IF(D44="","",IF(L44&lt;=0.004,"bezahlt",IF(TODAY()&gt;F44,"ÜBERFÄLLIG",IF(AND(I44&lt;&gt;"",TODAY()&lt;=I44),"Skonto nutzen bis "&amp;TEXT(I44,"DD.MM."),"fällig in "&amp;(F44-TODAY())&amp;" Tagen"))))</f>
        <v/>
      </c>
    </row>
    <row r="45" customFormat="false" ht="15" hidden="false" customHeight="false" outlineLevel="0" collapsed="false">
      <c r="A45" s="32"/>
      <c r="B45" s="32"/>
      <c r="C45" s="33"/>
      <c r="D45" s="30"/>
      <c r="E45" s="32"/>
      <c r="F45" s="44" t="str">
        <f aca="false">IF(C45="","",C45+IF(E45="",30,E45))</f>
        <v/>
      </c>
      <c r="G45" s="45"/>
      <c r="H45" s="32"/>
      <c r="I45" s="44" t="str">
        <f aca="false">IF(OR(C45="",G45=""),"",C45+H45)</f>
        <v/>
      </c>
      <c r="J45" s="33"/>
      <c r="K45" s="30"/>
      <c r="L45" s="31" t="str">
        <f aca="false">IF(D45="","",D45-N(K45))</f>
        <v/>
      </c>
      <c r="M45" s="35" t="str">
        <f aca="true">IF(D45="","",IF(L45&lt;=0.004,"bezahlt",IF(TODAY()&gt;F45,"ÜBERFÄLLIG",IF(AND(I45&lt;&gt;"",TODAY()&lt;=I45),"Skonto nutzen bis "&amp;TEXT(I45,"DD.MM."),"fällig in "&amp;(F45-TODAY())&amp;" Tagen"))))</f>
        <v/>
      </c>
    </row>
    <row r="46" customFormat="false" ht="15" hidden="false" customHeight="false" outlineLevel="0" collapsed="false">
      <c r="A46" s="32"/>
      <c r="B46" s="32"/>
      <c r="C46" s="33"/>
      <c r="D46" s="30"/>
      <c r="E46" s="32"/>
      <c r="F46" s="44" t="str">
        <f aca="false">IF(C46="","",C46+IF(E46="",30,E46))</f>
        <v/>
      </c>
      <c r="G46" s="45"/>
      <c r="H46" s="32"/>
      <c r="I46" s="44" t="str">
        <f aca="false">IF(OR(C46="",G46=""),"",C46+H46)</f>
        <v/>
      </c>
      <c r="J46" s="33"/>
      <c r="K46" s="30"/>
      <c r="L46" s="31" t="str">
        <f aca="false">IF(D46="","",D46-N(K46))</f>
        <v/>
      </c>
      <c r="M46" s="35" t="str">
        <f aca="true">IF(D46="","",IF(L46&lt;=0.004,"bezahlt",IF(TODAY()&gt;F46,"ÜBERFÄLLIG",IF(AND(I46&lt;&gt;"",TODAY()&lt;=I46),"Skonto nutzen bis "&amp;TEXT(I46,"DD.MM."),"fällig in "&amp;(F46-TODAY())&amp;" Tagen"))))</f>
        <v/>
      </c>
    </row>
    <row r="47" customFormat="false" ht="15" hidden="false" customHeight="false" outlineLevel="0" collapsed="false">
      <c r="A47" s="32"/>
      <c r="B47" s="32"/>
      <c r="C47" s="33"/>
      <c r="D47" s="30"/>
      <c r="E47" s="32"/>
      <c r="F47" s="44" t="str">
        <f aca="false">IF(C47="","",C47+IF(E47="",30,E47))</f>
        <v/>
      </c>
      <c r="G47" s="45"/>
      <c r="H47" s="32"/>
      <c r="I47" s="44" t="str">
        <f aca="false">IF(OR(C47="",G47=""),"",C47+H47)</f>
        <v/>
      </c>
      <c r="J47" s="33"/>
      <c r="K47" s="30"/>
      <c r="L47" s="31" t="str">
        <f aca="false">IF(D47="","",D47-N(K47))</f>
        <v/>
      </c>
      <c r="M47" s="35" t="str">
        <f aca="true">IF(D47="","",IF(L47&lt;=0.004,"bezahlt",IF(TODAY()&gt;F47,"ÜBERFÄLLIG",IF(AND(I47&lt;&gt;"",TODAY()&lt;=I47),"Skonto nutzen bis "&amp;TEXT(I47,"DD.MM."),"fällig in "&amp;(F47-TODAY())&amp;" Tagen"))))</f>
        <v/>
      </c>
    </row>
    <row r="48" customFormat="false" ht="15" hidden="false" customHeight="false" outlineLevel="0" collapsed="false">
      <c r="A48" s="32"/>
      <c r="B48" s="32"/>
      <c r="C48" s="33"/>
      <c r="D48" s="30"/>
      <c r="E48" s="32"/>
      <c r="F48" s="44" t="str">
        <f aca="false">IF(C48="","",C48+IF(E48="",30,E48))</f>
        <v/>
      </c>
      <c r="G48" s="45"/>
      <c r="H48" s="32"/>
      <c r="I48" s="44" t="str">
        <f aca="false">IF(OR(C48="",G48=""),"",C48+H48)</f>
        <v/>
      </c>
      <c r="J48" s="33"/>
      <c r="K48" s="30"/>
      <c r="L48" s="31" t="str">
        <f aca="false">IF(D48="","",D48-N(K48))</f>
        <v/>
      </c>
      <c r="M48" s="35" t="str">
        <f aca="true">IF(D48="","",IF(L48&lt;=0.004,"bezahlt",IF(TODAY()&gt;F48,"ÜBERFÄLLIG",IF(AND(I48&lt;&gt;"",TODAY()&lt;=I48),"Skonto nutzen bis "&amp;TEXT(I48,"DD.MM."),"fällig in "&amp;(F48-TODAY())&amp;" Tagen"))))</f>
        <v/>
      </c>
    </row>
    <row r="49" customFormat="false" ht="15" hidden="false" customHeight="false" outlineLevel="0" collapsed="false">
      <c r="A49" s="32"/>
      <c r="B49" s="32"/>
      <c r="C49" s="33"/>
      <c r="D49" s="30"/>
      <c r="E49" s="32"/>
      <c r="F49" s="44" t="str">
        <f aca="false">IF(C49="","",C49+IF(E49="",30,E49))</f>
        <v/>
      </c>
      <c r="G49" s="45"/>
      <c r="H49" s="32"/>
      <c r="I49" s="44" t="str">
        <f aca="false">IF(OR(C49="",G49=""),"",C49+H49)</f>
        <v/>
      </c>
      <c r="J49" s="33"/>
      <c r="K49" s="30"/>
      <c r="L49" s="31" t="str">
        <f aca="false">IF(D49="","",D49-N(K49))</f>
        <v/>
      </c>
      <c r="M49" s="35" t="str">
        <f aca="true">IF(D49="","",IF(L49&lt;=0.004,"bezahlt",IF(TODAY()&gt;F49,"ÜBERFÄLLIG",IF(AND(I49&lt;&gt;"",TODAY()&lt;=I49),"Skonto nutzen bis "&amp;TEXT(I49,"DD.MM."),"fällig in "&amp;(F49-TODAY())&amp;" Tagen"))))</f>
        <v/>
      </c>
    </row>
    <row r="50" customFormat="false" ht="15" hidden="false" customHeight="false" outlineLevel="0" collapsed="false">
      <c r="A50" s="32"/>
      <c r="B50" s="32"/>
      <c r="C50" s="33"/>
      <c r="D50" s="30"/>
      <c r="E50" s="32"/>
      <c r="F50" s="44" t="str">
        <f aca="false">IF(C50="","",C50+IF(E50="",30,E50))</f>
        <v/>
      </c>
      <c r="G50" s="45"/>
      <c r="H50" s="32"/>
      <c r="I50" s="44" t="str">
        <f aca="false">IF(OR(C50="",G50=""),"",C50+H50)</f>
        <v/>
      </c>
      <c r="J50" s="33"/>
      <c r="K50" s="30"/>
      <c r="L50" s="31" t="str">
        <f aca="false">IF(D50="","",D50-N(K50))</f>
        <v/>
      </c>
      <c r="M50" s="35" t="str">
        <f aca="true">IF(D50="","",IF(L50&lt;=0.004,"bezahlt",IF(TODAY()&gt;F50,"ÜBERFÄLLIG",IF(AND(I50&lt;&gt;"",TODAY()&lt;=I50),"Skonto nutzen bis "&amp;TEXT(I50,"DD.MM."),"fällig in "&amp;(F50-TODAY())&amp;" Tagen"))))</f>
        <v/>
      </c>
    </row>
    <row r="51" customFormat="false" ht="15" hidden="false" customHeight="false" outlineLevel="0" collapsed="false">
      <c r="A51" s="32"/>
      <c r="B51" s="32"/>
      <c r="C51" s="33"/>
      <c r="D51" s="30"/>
      <c r="E51" s="32"/>
      <c r="F51" s="44" t="str">
        <f aca="false">IF(C51="","",C51+IF(E51="",30,E51))</f>
        <v/>
      </c>
      <c r="G51" s="45"/>
      <c r="H51" s="32"/>
      <c r="I51" s="44" t="str">
        <f aca="false">IF(OR(C51="",G51=""),"",C51+H51)</f>
        <v/>
      </c>
      <c r="J51" s="33"/>
      <c r="K51" s="30"/>
      <c r="L51" s="31" t="str">
        <f aca="false">IF(D51="","",D51-N(K51))</f>
        <v/>
      </c>
      <c r="M51" s="35" t="str">
        <f aca="true">IF(D51="","",IF(L51&lt;=0.004,"bezahlt",IF(TODAY()&gt;F51,"ÜBERFÄLLIG",IF(AND(I51&lt;&gt;"",TODAY()&lt;=I51),"Skonto nutzen bis "&amp;TEXT(I51,"DD.MM."),"fällig in "&amp;(F51-TODAY())&amp;" Tagen"))))</f>
        <v/>
      </c>
    </row>
    <row r="52" customFormat="false" ht="15" hidden="false" customHeight="false" outlineLevel="0" collapsed="false">
      <c r="A52" s="32"/>
      <c r="B52" s="32"/>
      <c r="C52" s="33"/>
      <c r="D52" s="30"/>
      <c r="E52" s="32"/>
      <c r="F52" s="44" t="str">
        <f aca="false">IF(C52="","",C52+IF(E52="",30,E52))</f>
        <v/>
      </c>
      <c r="G52" s="45"/>
      <c r="H52" s="32"/>
      <c r="I52" s="44" t="str">
        <f aca="false">IF(OR(C52="",G52=""),"",C52+H52)</f>
        <v/>
      </c>
      <c r="J52" s="33"/>
      <c r="K52" s="30"/>
      <c r="L52" s="31" t="str">
        <f aca="false">IF(D52="","",D52-N(K52))</f>
        <v/>
      </c>
      <c r="M52" s="35" t="str">
        <f aca="true">IF(D52="","",IF(L52&lt;=0.004,"bezahlt",IF(TODAY()&gt;F52,"ÜBERFÄLLIG",IF(AND(I52&lt;&gt;"",TODAY()&lt;=I52),"Skonto nutzen bis "&amp;TEXT(I52,"DD.MM."),"fällig in "&amp;(F52-TODAY())&amp;" Tagen"))))</f>
        <v/>
      </c>
    </row>
    <row r="53" customFormat="false" ht="15" hidden="false" customHeight="false" outlineLevel="0" collapsed="false">
      <c r="A53" s="32"/>
      <c r="B53" s="32"/>
      <c r="C53" s="33"/>
      <c r="D53" s="30"/>
      <c r="E53" s="32"/>
      <c r="F53" s="44" t="str">
        <f aca="false">IF(C53="","",C53+IF(E53="",30,E53))</f>
        <v/>
      </c>
      <c r="G53" s="45"/>
      <c r="H53" s="32"/>
      <c r="I53" s="44" t="str">
        <f aca="false">IF(OR(C53="",G53=""),"",C53+H53)</f>
        <v/>
      </c>
      <c r="J53" s="33"/>
      <c r="K53" s="30"/>
      <c r="L53" s="31" t="str">
        <f aca="false">IF(D53="","",D53-N(K53))</f>
        <v/>
      </c>
      <c r="M53" s="35" t="str">
        <f aca="true">IF(D53="","",IF(L53&lt;=0.004,"bezahlt",IF(TODAY()&gt;F53,"ÜBERFÄLLIG",IF(AND(I53&lt;&gt;"",TODAY()&lt;=I53),"Skonto nutzen bis "&amp;TEXT(I53,"DD.MM."),"fällig in "&amp;(F53-TODAY())&amp;" Tagen"))))</f>
        <v/>
      </c>
    </row>
    <row r="54" customFormat="false" ht="15" hidden="false" customHeight="false" outlineLevel="0" collapsed="false">
      <c r="A54" s="32"/>
      <c r="B54" s="32"/>
      <c r="C54" s="33"/>
      <c r="D54" s="30"/>
      <c r="E54" s="32"/>
      <c r="F54" s="44" t="str">
        <f aca="false">IF(C54="","",C54+IF(E54="",30,E54))</f>
        <v/>
      </c>
      <c r="G54" s="45"/>
      <c r="H54" s="32"/>
      <c r="I54" s="44" t="str">
        <f aca="false">IF(OR(C54="",G54=""),"",C54+H54)</f>
        <v/>
      </c>
      <c r="J54" s="33"/>
      <c r="K54" s="30"/>
      <c r="L54" s="31" t="str">
        <f aca="false">IF(D54="","",D54-N(K54))</f>
        <v/>
      </c>
      <c r="M54" s="35" t="str">
        <f aca="true">IF(D54="","",IF(L54&lt;=0.004,"bezahlt",IF(TODAY()&gt;F54,"ÜBERFÄLLIG",IF(AND(I54&lt;&gt;"",TODAY()&lt;=I54),"Skonto nutzen bis "&amp;TEXT(I54,"DD.MM."),"fällig in "&amp;(F54-TODAY())&amp;" Tagen"))))</f>
        <v/>
      </c>
    </row>
    <row r="55" customFormat="false" ht="15" hidden="false" customHeight="false" outlineLevel="0" collapsed="false">
      <c r="A55" s="32"/>
      <c r="B55" s="32"/>
      <c r="C55" s="33"/>
      <c r="D55" s="30"/>
      <c r="E55" s="32"/>
      <c r="F55" s="44" t="str">
        <f aca="false">IF(C55="","",C55+IF(E55="",30,E55))</f>
        <v/>
      </c>
      <c r="G55" s="45"/>
      <c r="H55" s="32"/>
      <c r="I55" s="44" t="str">
        <f aca="false">IF(OR(C55="",G55=""),"",C55+H55)</f>
        <v/>
      </c>
      <c r="J55" s="33"/>
      <c r="K55" s="30"/>
      <c r="L55" s="31" t="str">
        <f aca="false">IF(D55="","",D55-N(K55))</f>
        <v/>
      </c>
      <c r="M55" s="35" t="str">
        <f aca="true">IF(D55="","",IF(L55&lt;=0.004,"bezahlt",IF(TODAY()&gt;F55,"ÜBERFÄLLIG",IF(AND(I55&lt;&gt;"",TODAY()&lt;=I55),"Skonto nutzen bis "&amp;TEXT(I55,"DD.MM."),"fällig in "&amp;(F55-TODAY())&amp;" Tagen"))))</f>
        <v/>
      </c>
    </row>
    <row r="56" customFormat="false" ht="15" hidden="false" customHeight="false" outlineLevel="0" collapsed="false">
      <c r="A56" s="32"/>
      <c r="B56" s="32"/>
      <c r="C56" s="33"/>
      <c r="D56" s="30"/>
      <c r="E56" s="32"/>
      <c r="F56" s="44" t="str">
        <f aca="false">IF(C56="","",C56+IF(E56="",30,E56))</f>
        <v/>
      </c>
      <c r="G56" s="45"/>
      <c r="H56" s="32"/>
      <c r="I56" s="44" t="str">
        <f aca="false">IF(OR(C56="",G56=""),"",C56+H56)</f>
        <v/>
      </c>
      <c r="J56" s="33"/>
      <c r="K56" s="30"/>
      <c r="L56" s="31" t="str">
        <f aca="false">IF(D56="","",D56-N(K56))</f>
        <v/>
      </c>
      <c r="M56" s="35" t="str">
        <f aca="true">IF(D56="","",IF(L56&lt;=0.004,"bezahlt",IF(TODAY()&gt;F56,"ÜBERFÄLLIG",IF(AND(I56&lt;&gt;"",TODAY()&lt;=I56),"Skonto nutzen bis "&amp;TEXT(I56,"DD.MM."),"fällig in "&amp;(F56-TODAY())&amp;" Tagen"))))</f>
        <v/>
      </c>
    </row>
    <row r="57" customFormat="false" ht="15" hidden="false" customHeight="false" outlineLevel="0" collapsed="false">
      <c r="A57" s="32"/>
      <c r="B57" s="32"/>
      <c r="C57" s="33"/>
      <c r="D57" s="30"/>
      <c r="E57" s="32"/>
      <c r="F57" s="44" t="str">
        <f aca="false">IF(C57="","",C57+IF(E57="",30,E57))</f>
        <v/>
      </c>
      <c r="G57" s="45"/>
      <c r="H57" s="32"/>
      <c r="I57" s="44" t="str">
        <f aca="false">IF(OR(C57="",G57=""),"",C57+H57)</f>
        <v/>
      </c>
      <c r="J57" s="33"/>
      <c r="K57" s="30"/>
      <c r="L57" s="31" t="str">
        <f aca="false">IF(D57="","",D57-N(K57))</f>
        <v/>
      </c>
      <c r="M57" s="35" t="str">
        <f aca="true">IF(D57="","",IF(L57&lt;=0.004,"bezahlt",IF(TODAY()&gt;F57,"ÜBERFÄLLIG",IF(AND(I57&lt;&gt;"",TODAY()&lt;=I57),"Skonto nutzen bis "&amp;TEXT(I57,"DD.MM."),"fällig in "&amp;(F57-TODAY())&amp;" Tagen"))))</f>
        <v/>
      </c>
    </row>
    <row r="58" customFormat="false" ht="15" hidden="false" customHeight="false" outlineLevel="0" collapsed="false">
      <c r="A58" s="32"/>
      <c r="B58" s="32"/>
      <c r="C58" s="33"/>
      <c r="D58" s="30"/>
      <c r="E58" s="32"/>
      <c r="F58" s="44" t="str">
        <f aca="false">IF(C58="","",C58+IF(E58="",30,E58))</f>
        <v/>
      </c>
      <c r="G58" s="45"/>
      <c r="H58" s="32"/>
      <c r="I58" s="44" t="str">
        <f aca="false">IF(OR(C58="",G58=""),"",C58+H58)</f>
        <v/>
      </c>
      <c r="J58" s="33"/>
      <c r="K58" s="30"/>
      <c r="L58" s="31" t="str">
        <f aca="false">IF(D58="","",D58-N(K58))</f>
        <v/>
      </c>
      <c r="M58" s="35" t="str">
        <f aca="true">IF(D58="","",IF(L58&lt;=0.004,"bezahlt",IF(TODAY()&gt;F58,"ÜBERFÄLLIG",IF(AND(I58&lt;&gt;"",TODAY()&lt;=I58),"Skonto nutzen bis "&amp;TEXT(I58,"DD.MM."),"fällig in "&amp;(F58-TODAY())&amp;" Tagen"))))</f>
        <v/>
      </c>
    </row>
    <row r="59" customFormat="false" ht="15" hidden="false" customHeight="false" outlineLevel="0" collapsed="false">
      <c r="A59" s="32"/>
      <c r="B59" s="32"/>
      <c r="C59" s="33"/>
      <c r="D59" s="30"/>
      <c r="E59" s="32"/>
      <c r="F59" s="44" t="str">
        <f aca="false">IF(C59="","",C59+IF(E59="",30,E59))</f>
        <v/>
      </c>
      <c r="G59" s="45"/>
      <c r="H59" s="32"/>
      <c r="I59" s="44" t="str">
        <f aca="false">IF(OR(C59="",G59=""),"",C59+H59)</f>
        <v/>
      </c>
      <c r="J59" s="33"/>
      <c r="K59" s="30"/>
      <c r="L59" s="31" t="str">
        <f aca="false">IF(D59="","",D59-N(K59))</f>
        <v/>
      </c>
      <c r="M59" s="35" t="str">
        <f aca="true">IF(D59="","",IF(L59&lt;=0.004,"bezahlt",IF(TODAY()&gt;F59,"ÜBERFÄLLIG",IF(AND(I59&lt;&gt;"",TODAY()&lt;=I59),"Skonto nutzen bis "&amp;TEXT(I59,"DD.MM."),"fällig in "&amp;(F59-TODAY())&amp;" Tagen"))))</f>
        <v/>
      </c>
    </row>
    <row r="60" customFormat="false" ht="15" hidden="false" customHeight="false" outlineLevel="0" collapsed="false">
      <c r="A60" s="32"/>
      <c r="B60" s="32"/>
      <c r="C60" s="33"/>
      <c r="D60" s="30"/>
      <c r="E60" s="32"/>
      <c r="F60" s="44" t="str">
        <f aca="false">IF(C60="","",C60+IF(E60="",30,E60))</f>
        <v/>
      </c>
      <c r="G60" s="45"/>
      <c r="H60" s="32"/>
      <c r="I60" s="44" t="str">
        <f aca="false">IF(OR(C60="",G60=""),"",C60+H60)</f>
        <v/>
      </c>
      <c r="J60" s="33"/>
      <c r="K60" s="30"/>
      <c r="L60" s="31" t="str">
        <f aca="false">IF(D60="","",D60-N(K60))</f>
        <v/>
      </c>
      <c r="M60" s="35" t="str">
        <f aca="true">IF(D60="","",IF(L60&lt;=0.004,"bezahlt",IF(TODAY()&gt;F60,"ÜBERFÄLLIG",IF(AND(I60&lt;&gt;"",TODAY()&lt;=I60),"Skonto nutzen bis "&amp;TEXT(I60,"DD.MM."),"fällig in "&amp;(F60-TODAY())&amp;" Tagen"))))</f>
        <v/>
      </c>
    </row>
    <row r="61" customFormat="false" ht="15" hidden="false" customHeight="false" outlineLevel="0" collapsed="false">
      <c r="A61" s="32"/>
      <c r="B61" s="32"/>
      <c r="C61" s="33"/>
      <c r="D61" s="30"/>
      <c r="E61" s="32"/>
      <c r="F61" s="44" t="str">
        <f aca="false">IF(C61="","",C61+IF(E61="",30,E61))</f>
        <v/>
      </c>
      <c r="G61" s="45"/>
      <c r="H61" s="32"/>
      <c r="I61" s="44" t="str">
        <f aca="false">IF(OR(C61="",G61=""),"",C61+H61)</f>
        <v/>
      </c>
      <c r="J61" s="33"/>
      <c r="K61" s="30"/>
      <c r="L61" s="31" t="str">
        <f aca="false">IF(D61="","",D61-N(K61))</f>
        <v/>
      </c>
      <c r="M61" s="35" t="str">
        <f aca="true">IF(D61="","",IF(L61&lt;=0.004,"bezahlt",IF(TODAY()&gt;F61,"ÜBERFÄLLIG",IF(AND(I61&lt;&gt;"",TODAY()&lt;=I61),"Skonto nutzen bis "&amp;TEXT(I61,"DD.MM."),"fällig in "&amp;(F61-TODAY())&amp;" Tagen"))))</f>
        <v/>
      </c>
    </row>
    <row r="62" customFormat="false" ht="15" hidden="false" customHeight="false" outlineLevel="0" collapsed="false">
      <c r="A62" s="32"/>
      <c r="B62" s="32"/>
      <c r="C62" s="33"/>
      <c r="D62" s="30"/>
      <c r="E62" s="32"/>
      <c r="F62" s="44" t="str">
        <f aca="false">IF(C62="","",C62+IF(E62="",30,E62))</f>
        <v/>
      </c>
      <c r="G62" s="45"/>
      <c r="H62" s="32"/>
      <c r="I62" s="44" t="str">
        <f aca="false">IF(OR(C62="",G62=""),"",C62+H62)</f>
        <v/>
      </c>
      <c r="J62" s="33"/>
      <c r="K62" s="30"/>
      <c r="L62" s="31" t="str">
        <f aca="false">IF(D62="","",D62-N(K62))</f>
        <v/>
      </c>
      <c r="M62" s="35" t="str">
        <f aca="true">IF(D62="","",IF(L62&lt;=0.004,"bezahlt",IF(TODAY()&gt;F62,"ÜBERFÄLLIG",IF(AND(I62&lt;&gt;"",TODAY()&lt;=I62),"Skonto nutzen bis "&amp;TEXT(I62,"DD.MM."),"fällig in "&amp;(F62-TODAY())&amp;" Tagen"))))</f>
        <v/>
      </c>
    </row>
    <row r="63" customFormat="false" ht="15" hidden="false" customHeight="false" outlineLevel="0" collapsed="false">
      <c r="A63" s="32"/>
      <c r="B63" s="32"/>
      <c r="C63" s="33"/>
      <c r="D63" s="30"/>
      <c r="E63" s="32"/>
      <c r="F63" s="44" t="str">
        <f aca="false">IF(C63="","",C63+IF(E63="",30,E63))</f>
        <v/>
      </c>
      <c r="G63" s="45"/>
      <c r="H63" s="32"/>
      <c r="I63" s="44" t="str">
        <f aca="false">IF(OR(C63="",G63=""),"",C63+H63)</f>
        <v/>
      </c>
      <c r="J63" s="33"/>
      <c r="K63" s="30"/>
      <c r="L63" s="31" t="str">
        <f aca="false">IF(D63="","",D63-N(K63))</f>
        <v/>
      </c>
      <c r="M63" s="35" t="str">
        <f aca="true">IF(D63="","",IF(L63&lt;=0.004,"bezahlt",IF(TODAY()&gt;F63,"ÜBERFÄLLIG",IF(AND(I63&lt;&gt;"",TODAY()&lt;=I63),"Skonto nutzen bis "&amp;TEXT(I63,"DD.MM."),"fällig in "&amp;(F63-TODAY())&amp;" Tagen"))))</f>
        <v/>
      </c>
    </row>
    <row r="64" customFormat="false" ht="15" hidden="false" customHeight="false" outlineLevel="0" collapsed="false">
      <c r="A64" s="32"/>
      <c r="B64" s="32"/>
      <c r="C64" s="33"/>
      <c r="D64" s="30"/>
      <c r="E64" s="32"/>
      <c r="F64" s="44" t="str">
        <f aca="false">IF(C64="","",C64+IF(E64="",30,E64))</f>
        <v/>
      </c>
      <c r="G64" s="45"/>
      <c r="H64" s="32"/>
      <c r="I64" s="44" t="str">
        <f aca="false">IF(OR(C64="",G64=""),"",C64+H64)</f>
        <v/>
      </c>
      <c r="J64" s="33"/>
      <c r="K64" s="30"/>
      <c r="L64" s="31" t="str">
        <f aca="false">IF(D64="","",D64-N(K64))</f>
        <v/>
      </c>
      <c r="M64" s="35" t="str">
        <f aca="true">IF(D64="","",IF(L64&lt;=0.004,"bezahlt",IF(TODAY()&gt;F64,"ÜBERFÄLLIG",IF(AND(I64&lt;&gt;"",TODAY()&lt;=I64),"Skonto nutzen bis "&amp;TEXT(I64,"DD.MM."),"fällig in "&amp;(F64-TODAY())&amp;" Tagen"))))</f>
        <v/>
      </c>
    </row>
    <row r="65" customFormat="false" ht="15" hidden="false" customHeight="false" outlineLevel="0" collapsed="false">
      <c r="A65" s="32"/>
      <c r="B65" s="32"/>
      <c r="C65" s="33"/>
      <c r="D65" s="30"/>
      <c r="E65" s="32"/>
      <c r="F65" s="44" t="str">
        <f aca="false">IF(C65="","",C65+IF(E65="",30,E65))</f>
        <v/>
      </c>
      <c r="G65" s="45"/>
      <c r="H65" s="32"/>
      <c r="I65" s="44" t="str">
        <f aca="false">IF(OR(C65="",G65=""),"",C65+H65)</f>
        <v/>
      </c>
      <c r="J65" s="33"/>
      <c r="K65" s="30"/>
      <c r="L65" s="31" t="str">
        <f aca="false">IF(D65="","",D65-N(K65))</f>
        <v/>
      </c>
      <c r="M65" s="35" t="str">
        <f aca="true">IF(D65="","",IF(L65&lt;=0.004,"bezahlt",IF(TODAY()&gt;F65,"ÜBERFÄLLIG",IF(AND(I65&lt;&gt;"",TODAY()&lt;=I65),"Skonto nutzen bis "&amp;TEXT(I65,"DD.MM."),"fällig in "&amp;(F65-TODAY())&amp;" Tagen"))))</f>
        <v/>
      </c>
    </row>
    <row r="66" customFormat="false" ht="15" hidden="false" customHeight="false" outlineLevel="0" collapsed="false">
      <c r="A66" s="32"/>
      <c r="B66" s="32"/>
      <c r="C66" s="33"/>
      <c r="D66" s="30"/>
      <c r="E66" s="32"/>
      <c r="F66" s="44" t="str">
        <f aca="false">IF(C66="","",C66+IF(E66="",30,E66))</f>
        <v/>
      </c>
      <c r="G66" s="45"/>
      <c r="H66" s="32"/>
      <c r="I66" s="44" t="str">
        <f aca="false">IF(OR(C66="",G66=""),"",C66+H66)</f>
        <v/>
      </c>
      <c r="J66" s="33"/>
      <c r="K66" s="30"/>
      <c r="L66" s="31" t="str">
        <f aca="false">IF(D66="","",D66-N(K66))</f>
        <v/>
      </c>
      <c r="M66" s="35" t="str">
        <f aca="true">IF(D66="","",IF(L66&lt;=0.004,"bezahlt",IF(TODAY()&gt;F66,"ÜBERFÄLLIG",IF(AND(I66&lt;&gt;"",TODAY()&lt;=I66),"Skonto nutzen bis "&amp;TEXT(I66,"DD.MM."),"fällig in "&amp;(F66-TODAY())&amp;" Tagen"))))</f>
        <v/>
      </c>
    </row>
    <row r="67" customFormat="false" ht="15" hidden="false" customHeight="false" outlineLevel="0" collapsed="false">
      <c r="A67" s="32"/>
      <c r="B67" s="32"/>
      <c r="C67" s="33"/>
      <c r="D67" s="30"/>
      <c r="E67" s="32"/>
      <c r="F67" s="44" t="str">
        <f aca="false">IF(C67="","",C67+IF(E67="",30,E67))</f>
        <v/>
      </c>
      <c r="G67" s="45"/>
      <c r="H67" s="32"/>
      <c r="I67" s="44" t="str">
        <f aca="false">IF(OR(C67="",G67=""),"",C67+H67)</f>
        <v/>
      </c>
      <c r="J67" s="33"/>
      <c r="K67" s="30"/>
      <c r="L67" s="31" t="str">
        <f aca="false">IF(D67="","",D67-N(K67))</f>
        <v/>
      </c>
      <c r="M67" s="35" t="str">
        <f aca="true">IF(D67="","",IF(L67&lt;=0.004,"bezahlt",IF(TODAY()&gt;F67,"ÜBERFÄLLIG",IF(AND(I67&lt;&gt;"",TODAY()&lt;=I67),"Skonto nutzen bis "&amp;TEXT(I67,"DD.MM."),"fällig in "&amp;(F67-TODAY())&amp;" Tagen"))))</f>
        <v/>
      </c>
    </row>
    <row r="68" customFormat="false" ht="15" hidden="false" customHeight="false" outlineLevel="0" collapsed="false">
      <c r="A68" s="32"/>
      <c r="B68" s="32"/>
      <c r="C68" s="33"/>
      <c r="D68" s="30"/>
      <c r="E68" s="32"/>
      <c r="F68" s="44" t="str">
        <f aca="false">IF(C68="","",C68+IF(E68="",30,E68))</f>
        <v/>
      </c>
      <c r="G68" s="45"/>
      <c r="H68" s="32"/>
      <c r="I68" s="44" t="str">
        <f aca="false">IF(OR(C68="",G68=""),"",C68+H68)</f>
        <v/>
      </c>
      <c r="J68" s="33"/>
      <c r="K68" s="30"/>
      <c r="L68" s="31" t="str">
        <f aca="false">IF(D68="","",D68-N(K68))</f>
        <v/>
      </c>
      <c r="M68" s="35" t="str">
        <f aca="true">IF(D68="","",IF(L68&lt;=0.004,"bezahlt",IF(TODAY()&gt;F68,"ÜBERFÄLLIG",IF(AND(I68&lt;&gt;"",TODAY()&lt;=I68),"Skonto nutzen bis "&amp;TEXT(I68,"DD.MM."),"fällig in "&amp;(F68-TODAY())&amp;" Tagen"))))</f>
        <v/>
      </c>
    </row>
    <row r="69" customFormat="false" ht="15" hidden="false" customHeight="false" outlineLevel="0" collapsed="false">
      <c r="A69" s="32"/>
      <c r="B69" s="32"/>
      <c r="C69" s="33"/>
      <c r="D69" s="30"/>
      <c r="E69" s="32"/>
      <c r="F69" s="44" t="str">
        <f aca="false">IF(C69="","",C69+IF(E69="",30,E69))</f>
        <v/>
      </c>
      <c r="G69" s="45"/>
      <c r="H69" s="32"/>
      <c r="I69" s="44" t="str">
        <f aca="false">IF(OR(C69="",G69=""),"",C69+H69)</f>
        <v/>
      </c>
      <c r="J69" s="33"/>
      <c r="K69" s="30"/>
      <c r="L69" s="31" t="str">
        <f aca="false">IF(D69="","",D69-N(K69))</f>
        <v/>
      </c>
      <c r="M69" s="35" t="str">
        <f aca="true">IF(D69="","",IF(L69&lt;=0.004,"bezahlt",IF(TODAY()&gt;F69,"ÜBERFÄLLIG",IF(AND(I69&lt;&gt;"",TODAY()&lt;=I69),"Skonto nutzen bis "&amp;TEXT(I69,"DD.MM."),"fällig in "&amp;(F69-TODAY())&amp;" Tagen"))))</f>
        <v/>
      </c>
    </row>
    <row r="70" customFormat="false" ht="15" hidden="false" customHeight="false" outlineLevel="0" collapsed="false">
      <c r="A70" s="32"/>
      <c r="B70" s="32"/>
      <c r="C70" s="33"/>
      <c r="D70" s="30"/>
      <c r="E70" s="32"/>
      <c r="F70" s="44" t="str">
        <f aca="false">IF(C70="","",C70+IF(E70="",30,E70))</f>
        <v/>
      </c>
      <c r="G70" s="45"/>
      <c r="H70" s="32"/>
      <c r="I70" s="44" t="str">
        <f aca="false">IF(OR(C70="",G70=""),"",C70+H70)</f>
        <v/>
      </c>
      <c r="J70" s="33"/>
      <c r="K70" s="30"/>
      <c r="L70" s="31" t="str">
        <f aca="false">IF(D70="","",D70-N(K70))</f>
        <v/>
      </c>
      <c r="M70" s="35" t="str">
        <f aca="true">IF(D70="","",IF(L70&lt;=0.004,"bezahlt",IF(TODAY()&gt;F70,"ÜBERFÄLLIG",IF(AND(I70&lt;&gt;"",TODAY()&lt;=I70),"Skonto nutzen bis "&amp;TEXT(I70,"DD.MM."),"fällig in "&amp;(F70-TODAY())&amp;" Tagen"))))</f>
        <v/>
      </c>
    </row>
    <row r="71" customFormat="false" ht="15" hidden="false" customHeight="false" outlineLevel="0" collapsed="false">
      <c r="A71" s="32"/>
      <c r="B71" s="32"/>
      <c r="C71" s="33"/>
      <c r="D71" s="30"/>
      <c r="E71" s="32"/>
      <c r="F71" s="44" t="str">
        <f aca="false">IF(C71="","",C71+IF(E71="",30,E71))</f>
        <v/>
      </c>
      <c r="G71" s="45"/>
      <c r="H71" s="32"/>
      <c r="I71" s="44" t="str">
        <f aca="false">IF(OR(C71="",G71=""),"",C71+H71)</f>
        <v/>
      </c>
      <c r="J71" s="33"/>
      <c r="K71" s="30"/>
      <c r="L71" s="31" t="str">
        <f aca="false">IF(D71="","",D71-N(K71))</f>
        <v/>
      </c>
      <c r="M71" s="35" t="str">
        <f aca="true">IF(D71="","",IF(L71&lt;=0.004,"bezahlt",IF(TODAY()&gt;F71,"ÜBERFÄLLIG",IF(AND(I71&lt;&gt;"",TODAY()&lt;=I71),"Skonto nutzen bis "&amp;TEXT(I71,"DD.MM."),"fällig in "&amp;(F71-TODAY())&amp;" Tagen"))))</f>
        <v/>
      </c>
    </row>
    <row r="72" customFormat="false" ht="15" hidden="false" customHeight="false" outlineLevel="0" collapsed="false">
      <c r="A72" s="32"/>
      <c r="B72" s="32"/>
      <c r="C72" s="33"/>
      <c r="D72" s="30"/>
      <c r="E72" s="32"/>
      <c r="F72" s="44" t="str">
        <f aca="false">IF(C72="","",C72+IF(E72="",30,E72))</f>
        <v/>
      </c>
      <c r="G72" s="45"/>
      <c r="H72" s="32"/>
      <c r="I72" s="44" t="str">
        <f aca="false">IF(OR(C72="",G72=""),"",C72+H72)</f>
        <v/>
      </c>
      <c r="J72" s="33"/>
      <c r="K72" s="30"/>
      <c r="L72" s="31" t="str">
        <f aca="false">IF(D72="","",D72-N(K72))</f>
        <v/>
      </c>
      <c r="M72" s="35" t="str">
        <f aca="true">IF(D72="","",IF(L72&lt;=0.004,"bezahlt",IF(TODAY()&gt;F72,"ÜBERFÄLLIG",IF(AND(I72&lt;&gt;"",TODAY()&lt;=I72),"Skonto nutzen bis "&amp;TEXT(I72,"DD.MM."),"fällig in "&amp;(F72-TODAY())&amp;" Tagen"))))</f>
        <v/>
      </c>
    </row>
    <row r="73" customFormat="false" ht="15" hidden="false" customHeight="false" outlineLevel="0" collapsed="false">
      <c r="A73" s="32"/>
      <c r="B73" s="32"/>
      <c r="C73" s="33"/>
      <c r="D73" s="30"/>
      <c r="E73" s="32"/>
      <c r="F73" s="44" t="str">
        <f aca="false">IF(C73="","",C73+IF(E73="",30,E73))</f>
        <v/>
      </c>
      <c r="G73" s="45"/>
      <c r="H73" s="32"/>
      <c r="I73" s="44" t="str">
        <f aca="false">IF(OR(C73="",G73=""),"",C73+H73)</f>
        <v/>
      </c>
      <c r="J73" s="33"/>
      <c r="K73" s="30"/>
      <c r="L73" s="31" t="str">
        <f aca="false">IF(D73="","",D73-N(K73))</f>
        <v/>
      </c>
      <c r="M73" s="35" t="str">
        <f aca="true">IF(D73="","",IF(L73&lt;=0.004,"bezahlt",IF(TODAY()&gt;F73,"ÜBERFÄLLIG",IF(AND(I73&lt;&gt;"",TODAY()&lt;=I73),"Skonto nutzen bis "&amp;TEXT(I73,"DD.MM."),"fällig in "&amp;(F73-TODAY())&amp;" Tagen"))))</f>
        <v/>
      </c>
    </row>
    <row r="74" customFormat="false" ht="15" hidden="false" customHeight="false" outlineLevel="0" collapsed="false">
      <c r="A74" s="32"/>
      <c r="B74" s="32"/>
      <c r="C74" s="33"/>
      <c r="D74" s="30"/>
      <c r="E74" s="32"/>
      <c r="F74" s="44" t="str">
        <f aca="false">IF(C74="","",C74+IF(E74="",30,E74))</f>
        <v/>
      </c>
      <c r="G74" s="45"/>
      <c r="H74" s="32"/>
      <c r="I74" s="44" t="str">
        <f aca="false">IF(OR(C74="",G74=""),"",C74+H74)</f>
        <v/>
      </c>
      <c r="J74" s="33"/>
      <c r="K74" s="30"/>
      <c r="L74" s="31" t="str">
        <f aca="false">IF(D74="","",D74-N(K74))</f>
        <v/>
      </c>
      <c r="M74" s="35" t="str">
        <f aca="true">IF(D74="","",IF(L74&lt;=0.004,"bezahlt",IF(TODAY()&gt;F74,"ÜBERFÄLLIG",IF(AND(I74&lt;&gt;"",TODAY()&lt;=I74),"Skonto nutzen bis "&amp;TEXT(I74,"DD.MM."),"fällig in "&amp;(F74-TODAY())&amp;" Tagen"))))</f>
        <v/>
      </c>
    </row>
    <row r="75" customFormat="false" ht="15" hidden="false" customHeight="false" outlineLevel="0" collapsed="false">
      <c r="A75" s="32"/>
      <c r="B75" s="32"/>
      <c r="C75" s="33"/>
      <c r="D75" s="30"/>
      <c r="E75" s="32"/>
      <c r="F75" s="44" t="str">
        <f aca="false">IF(C75="","",C75+IF(E75="",30,E75))</f>
        <v/>
      </c>
      <c r="G75" s="45"/>
      <c r="H75" s="32"/>
      <c r="I75" s="44" t="str">
        <f aca="false">IF(OR(C75="",G75=""),"",C75+H75)</f>
        <v/>
      </c>
      <c r="J75" s="33"/>
      <c r="K75" s="30"/>
      <c r="L75" s="31" t="str">
        <f aca="false">IF(D75="","",D75-N(K75))</f>
        <v/>
      </c>
      <c r="M75" s="35" t="str">
        <f aca="true">IF(D75="","",IF(L75&lt;=0.004,"bezahlt",IF(TODAY()&gt;F75,"ÜBERFÄLLIG",IF(AND(I75&lt;&gt;"",TODAY()&lt;=I75),"Skonto nutzen bis "&amp;TEXT(I75,"DD.MM."),"fällig in "&amp;(F75-TODAY())&amp;" Tagen"))))</f>
        <v/>
      </c>
    </row>
    <row r="76" customFormat="false" ht="15" hidden="false" customHeight="false" outlineLevel="0" collapsed="false">
      <c r="A76" s="32"/>
      <c r="B76" s="32"/>
      <c r="C76" s="33"/>
      <c r="D76" s="30"/>
      <c r="E76" s="32"/>
      <c r="F76" s="44" t="str">
        <f aca="false">IF(C76="","",C76+IF(E76="",30,E76))</f>
        <v/>
      </c>
      <c r="G76" s="45"/>
      <c r="H76" s="32"/>
      <c r="I76" s="44" t="str">
        <f aca="false">IF(OR(C76="",G76=""),"",C76+H76)</f>
        <v/>
      </c>
      <c r="J76" s="33"/>
      <c r="K76" s="30"/>
      <c r="L76" s="31" t="str">
        <f aca="false">IF(D76="","",D76-N(K76))</f>
        <v/>
      </c>
      <c r="M76" s="35" t="str">
        <f aca="true">IF(D76="","",IF(L76&lt;=0.004,"bezahlt",IF(TODAY()&gt;F76,"ÜBERFÄLLIG",IF(AND(I76&lt;&gt;"",TODAY()&lt;=I76),"Skonto nutzen bis "&amp;TEXT(I76,"DD.MM."),"fällig in "&amp;(F76-TODAY())&amp;" Tagen"))))</f>
        <v/>
      </c>
    </row>
    <row r="77" customFormat="false" ht="15" hidden="false" customHeight="false" outlineLevel="0" collapsed="false">
      <c r="A77" s="32"/>
      <c r="B77" s="32"/>
      <c r="C77" s="33"/>
      <c r="D77" s="30"/>
      <c r="E77" s="32"/>
      <c r="F77" s="44" t="str">
        <f aca="false">IF(C77="","",C77+IF(E77="",30,E77))</f>
        <v/>
      </c>
      <c r="G77" s="45"/>
      <c r="H77" s="32"/>
      <c r="I77" s="44" t="str">
        <f aca="false">IF(OR(C77="",G77=""),"",C77+H77)</f>
        <v/>
      </c>
      <c r="J77" s="33"/>
      <c r="K77" s="30"/>
      <c r="L77" s="31" t="str">
        <f aca="false">IF(D77="","",D77-N(K77))</f>
        <v/>
      </c>
      <c r="M77" s="35" t="str">
        <f aca="true">IF(D77="","",IF(L77&lt;=0.004,"bezahlt",IF(TODAY()&gt;F77,"ÜBERFÄLLIG",IF(AND(I77&lt;&gt;"",TODAY()&lt;=I77),"Skonto nutzen bis "&amp;TEXT(I77,"DD.MM."),"fällig in "&amp;(F77-TODAY())&amp;" Tagen"))))</f>
        <v/>
      </c>
    </row>
    <row r="78" customFormat="false" ht="15" hidden="false" customHeight="false" outlineLevel="0" collapsed="false">
      <c r="A78" s="32"/>
      <c r="B78" s="32"/>
      <c r="C78" s="33"/>
      <c r="D78" s="30"/>
      <c r="E78" s="32"/>
      <c r="F78" s="44" t="str">
        <f aca="false">IF(C78="","",C78+IF(E78="",30,E78))</f>
        <v/>
      </c>
      <c r="G78" s="45"/>
      <c r="H78" s="32"/>
      <c r="I78" s="44" t="str">
        <f aca="false">IF(OR(C78="",G78=""),"",C78+H78)</f>
        <v/>
      </c>
      <c r="J78" s="33"/>
      <c r="K78" s="30"/>
      <c r="L78" s="31" t="str">
        <f aca="false">IF(D78="","",D78-N(K78))</f>
        <v/>
      </c>
      <c r="M78" s="35" t="str">
        <f aca="true">IF(D78="","",IF(L78&lt;=0.004,"bezahlt",IF(TODAY()&gt;F78,"ÜBERFÄLLIG",IF(AND(I78&lt;&gt;"",TODAY()&lt;=I78),"Skonto nutzen bis "&amp;TEXT(I78,"DD.MM."),"fällig in "&amp;(F78-TODAY())&amp;" Tagen"))))</f>
        <v/>
      </c>
    </row>
    <row r="79" customFormat="false" ht="15" hidden="false" customHeight="false" outlineLevel="0" collapsed="false">
      <c r="A79" s="32"/>
      <c r="B79" s="32"/>
      <c r="C79" s="33"/>
      <c r="D79" s="30"/>
      <c r="E79" s="32"/>
      <c r="F79" s="44" t="str">
        <f aca="false">IF(C79="","",C79+IF(E79="",30,E79))</f>
        <v/>
      </c>
      <c r="G79" s="45"/>
      <c r="H79" s="32"/>
      <c r="I79" s="44" t="str">
        <f aca="false">IF(OR(C79="",G79=""),"",C79+H79)</f>
        <v/>
      </c>
      <c r="J79" s="33"/>
      <c r="K79" s="30"/>
      <c r="L79" s="31" t="str">
        <f aca="false">IF(D79="","",D79-N(K79))</f>
        <v/>
      </c>
      <c r="M79" s="35" t="str">
        <f aca="true">IF(D79="","",IF(L79&lt;=0.004,"bezahlt",IF(TODAY()&gt;F79,"ÜBERFÄLLIG",IF(AND(I79&lt;&gt;"",TODAY()&lt;=I79),"Skonto nutzen bis "&amp;TEXT(I79,"DD.MM."),"fällig in "&amp;(F79-TODAY())&amp;" Tagen"))))</f>
        <v/>
      </c>
    </row>
    <row r="80" customFormat="false" ht="15" hidden="false" customHeight="false" outlineLevel="0" collapsed="false">
      <c r="A80" s="32"/>
      <c r="B80" s="32"/>
      <c r="C80" s="33"/>
      <c r="D80" s="30"/>
      <c r="E80" s="32"/>
      <c r="F80" s="44" t="str">
        <f aca="false">IF(C80="","",C80+IF(E80="",30,E80))</f>
        <v/>
      </c>
      <c r="G80" s="45"/>
      <c r="H80" s="32"/>
      <c r="I80" s="44" t="str">
        <f aca="false">IF(OR(C80="",G80=""),"",C80+H80)</f>
        <v/>
      </c>
      <c r="J80" s="33"/>
      <c r="K80" s="30"/>
      <c r="L80" s="31" t="str">
        <f aca="false">IF(D80="","",D80-N(K80))</f>
        <v/>
      </c>
      <c r="M80" s="35" t="str">
        <f aca="true">IF(D80="","",IF(L80&lt;=0.004,"bezahlt",IF(TODAY()&gt;F80,"ÜBERFÄLLIG",IF(AND(I80&lt;&gt;"",TODAY()&lt;=I80),"Skonto nutzen bis "&amp;TEXT(I80,"DD.MM."),"fällig in "&amp;(F80-TODAY())&amp;" Tagen"))))</f>
        <v/>
      </c>
    </row>
    <row r="81" customFormat="false" ht="15" hidden="false" customHeight="false" outlineLevel="0" collapsed="false">
      <c r="A81" s="32"/>
      <c r="B81" s="32"/>
      <c r="C81" s="33"/>
      <c r="D81" s="30"/>
      <c r="E81" s="32"/>
      <c r="F81" s="44" t="str">
        <f aca="false">IF(C81="","",C81+IF(E81="",30,E81))</f>
        <v/>
      </c>
      <c r="G81" s="45"/>
      <c r="H81" s="32"/>
      <c r="I81" s="44" t="str">
        <f aca="false">IF(OR(C81="",G81=""),"",C81+H81)</f>
        <v/>
      </c>
      <c r="J81" s="33"/>
      <c r="K81" s="30"/>
      <c r="L81" s="31" t="str">
        <f aca="false">IF(D81="","",D81-N(K81))</f>
        <v/>
      </c>
      <c r="M81" s="35" t="str">
        <f aca="true">IF(D81="","",IF(L81&lt;=0.004,"bezahlt",IF(TODAY()&gt;F81,"ÜBERFÄLLIG",IF(AND(I81&lt;&gt;"",TODAY()&lt;=I81),"Skonto nutzen bis "&amp;TEXT(I81,"DD.MM."),"fällig in "&amp;(F81-TODAY())&amp;" Tagen"))))</f>
        <v/>
      </c>
    </row>
    <row r="82" customFormat="false" ht="15" hidden="false" customHeight="false" outlineLevel="0" collapsed="false">
      <c r="A82" s="32"/>
      <c r="B82" s="32"/>
      <c r="C82" s="33"/>
      <c r="D82" s="30"/>
      <c r="E82" s="32"/>
      <c r="F82" s="44" t="str">
        <f aca="false">IF(C82="","",C82+IF(E82="",30,E82))</f>
        <v/>
      </c>
      <c r="G82" s="45"/>
      <c r="H82" s="32"/>
      <c r="I82" s="44" t="str">
        <f aca="false">IF(OR(C82="",G82=""),"",C82+H82)</f>
        <v/>
      </c>
      <c r="J82" s="33"/>
      <c r="K82" s="30"/>
      <c r="L82" s="31" t="str">
        <f aca="false">IF(D82="","",D82-N(K82))</f>
        <v/>
      </c>
      <c r="M82" s="35" t="str">
        <f aca="true">IF(D82="","",IF(L82&lt;=0.004,"bezahlt",IF(TODAY()&gt;F82,"ÜBERFÄLLIG",IF(AND(I82&lt;&gt;"",TODAY()&lt;=I82),"Skonto nutzen bis "&amp;TEXT(I82,"DD.MM."),"fällig in "&amp;(F82-TODAY())&amp;" Tagen"))))</f>
        <v/>
      </c>
    </row>
    <row r="83" customFormat="false" ht="15" hidden="false" customHeight="false" outlineLevel="0" collapsed="false">
      <c r="A83" s="32"/>
      <c r="B83" s="32"/>
      <c r="C83" s="33"/>
      <c r="D83" s="30"/>
      <c r="E83" s="32"/>
      <c r="F83" s="44" t="str">
        <f aca="false">IF(C83="","",C83+IF(E83="",30,E83))</f>
        <v/>
      </c>
      <c r="G83" s="45"/>
      <c r="H83" s="32"/>
      <c r="I83" s="44" t="str">
        <f aca="false">IF(OR(C83="",G83=""),"",C83+H83)</f>
        <v/>
      </c>
      <c r="J83" s="33"/>
      <c r="K83" s="30"/>
      <c r="L83" s="31" t="str">
        <f aca="false">IF(D83="","",D83-N(K83))</f>
        <v/>
      </c>
      <c r="M83" s="35" t="str">
        <f aca="true">IF(D83="","",IF(L83&lt;=0.004,"bezahlt",IF(TODAY()&gt;F83,"ÜBERFÄLLIG",IF(AND(I83&lt;&gt;"",TODAY()&lt;=I83),"Skonto nutzen bis "&amp;TEXT(I83,"DD.MM."),"fällig in "&amp;(F83-TODAY())&amp;" Tagen"))))</f>
        <v/>
      </c>
    </row>
    <row r="84" customFormat="false" ht="15" hidden="false" customHeight="false" outlineLevel="0" collapsed="false">
      <c r="A84" s="32"/>
      <c r="B84" s="32"/>
      <c r="C84" s="33"/>
      <c r="D84" s="30"/>
      <c r="E84" s="32"/>
      <c r="F84" s="44" t="str">
        <f aca="false">IF(C84="","",C84+IF(E84="",30,E84))</f>
        <v/>
      </c>
      <c r="G84" s="45"/>
      <c r="H84" s="32"/>
      <c r="I84" s="44" t="str">
        <f aca="false">IF(OR(C84="",G84=""),"",C84+H84)</f>
        <v/>
      </c>
      <c r="J84" s="33"/>
      <c r="K84" s="30"/>
      <c r="L84" s="31" t="str">
        <f aca="false">IF(D84="","",D84-N(K84))</f>
        <v/>
      </c>
      <c r="M84" s="35" t="str">
        <f aca="true">IF(D84="","",IF(L84&lt;=0.004,"bezahlt",IF(TODAY()&gt;F84,"ÜBERFÄLLIG",IF(AND(I84&lt;&gt;"",TODAY()&lt;=I84),"Skonto nutzen bis "&amp;TEXT(I84,"DD.MM."),"fällig in "&amp;(F84-TODAY())&amp;" Tagen"))))</f>
        <v/>
      </c>
    </row>
    <row r="85" customFormat="false" ht="15" hidden="false" customHeight="false" outlineLevel="0" collapsed="false">
      <c r="A85" s="32"/>
      <c r="B85" s="32"/>
      <c r="C85" s="33"/>
      <c r="D85" s="30"/>
      <c r="E85" s="32"/>
      <c r="F85" s="44" t="str">
        <f aca="false">IF(C85="","",C85+IF(E85="",30,E85))</f>
        <v/>
      </c>
      <c r="G85" s="45"/>
      <c r="H85" s="32"/>
      <c r="I85" s="44" t="str">
        <f aca="false">IF(OR(C85="",G85=""),"",C85+H85)</f>
        <v/>
      </c>
      <c r="J85" s="33"/>
      <c r="K85" s="30"/>
      <c r="L85" s="31" t="str">
        <f aca="false">IF(D85="","",D85-N(K85))</f>
        <v/>
      </c>
      <c r="M85" s="35" t="str">
        <f aca="true">IF(D85="","",IF(L85&lt;=0.004,"bezahlt",IF(TODAY()&gt;F85,"ÜBERFÄLLIG",IF(AND(I85&lt;&gt;"",TODAY()&lt;=I85),"Skonto nutzen bis "&amp;TEXT(I85,"DD.MM."),"fällig in "&amp;(F85-TODAY())&amp;" Tagen"))))</f>
        <v/>
      </c>
    </row>
    <row r="86" customFormat="false" ht="15" hidden="false" customHeight="false" outlineLevel="0" collapsed="false">
      <c r="A86" s="32"/>
      <c r="B86" s="32"/>
      <c r="C86" s="33"/>
      <c r="D86" s="30"/>
      <c r="E86" s="32"/>
      <c r="F86" s="44" t="str">
        <f aca="false">IF(C86="","",C86+IF(E86="",30,E86))</f>
        <v/>
      </c>
      <c r="G86" s="45"/>
      <c r="H86" s="32"/>
      <c r="I86" s="44" t="str">
        <f aca="false">IF(OR(C86="",G86=""),"",C86+H86)</f>
        <v/>
      </c>
      <c r="J86" s="33"/>
      <c r="K86" s="30"/>
      <c r="L86" s="31" t="str">
        <f aca="false">IF(D86="","",D86-N(K86))</f>
        <v/>
      </c>
      <c r="M86" s="35" t="str">
        <f aca="true">IF(D86="","",IF(L86&lt;=0.004,"bezahlt",IF(TODAY()&gt;F86,"ÜBERFÄLLIG",IF(AND(I86&lt;&gt;"",TODAY()&lt;=I86),"Skonto nutzen bis "&amp;TEXT(I86,"DD.MM."),"fällig in "&amp;(F86-TODAY())&amp;" Tagen"))))</f>
        <v/>
      </c>
    </row>
    <row r="87" customFormat="false" ht="15" hidden="false" customHeight="false" outlineLevel="0" collapsed="false">
      <c r="A87" s="32"/>
      <c r="B87" s="32"/>
      <c r="C87" s="33"/>
      <c r="D87" s="30"/>
      <c r="E87" s="32"/>
      <c r="F87" s="44" t="str">
        <f aca="false">IF(C87="","",C87+IF(E87="",30,E87))</f>
        <v/>
      </c>
      <c r="G87" s="45"/>
      <c r="H87" s="32"/>
      <c r="I87" s="44" t="str">
        <f aca="false">IF(OR(C87="",G87=""),"",C87+H87)</f>
        <v/>
      </c>
      <c r="J87" s="33"/>
      <c r="K87" s="30"/>
      <c r="L87" s="31" t="str">
        <f aca="false">IF(D87="","",D87-N(K87))</f>
        <v/>
      </c>
      <c r="M87" s="35" t="str">
        <f aca="true">IF(D87="","",IF(L87&lt;=0.004,"bezahlt",IF(TODAY()&gt;F87,"ÜBERFÄLLIG",IF(AND(I87&lt;&gt;"",TODAY()&lt;=I87),"Skonto nutzen bis "&amp;TEXT(I87,"DD.MM."),"fällig in "&amp;(F87-TODAY())&amp;" Tagen"))))</f>
        <v/>
      </c>
    </row>
    <row r="88" customFormat="false" ht="15" hidden="false" customHeight="false" outlineLevel="0" collapsed="false">
      <c r="A88" s="32"/>
      <c r="B88" s="32"/>
      <c r="C88" s="33"/>
      <c r="D88" s="30"/>
      <c r="E88" s="32"/>
      <c r="F88" s="44" t="str">
        <f aca="false">IF(C88="","",C88+IF(E88="",30,E88))</f>
        <v/>
      </c>
      <c r="G88" s="45"/>
      <c r="H88" s="32"/>
      <c r="I88" s="44" t="str">
        <f aca="false">IF(OR(C88="",G88=""),"",C88+H88)</f>
        <v/>
      </c>
      <c r="J88" s="33"/>
      <c r="K88" s="30"/>
      <c r="L88" s="31" t="str">
        <f aca="false">IF(D88="","",D88-N(K88))</f>
        <v/>
      </c>
      <c r="M88" s="35" t="str">
        <f aca="true">IF(D88="","",IF(L88&lt;=0.004,"bezahlt",IF(TODAY()&gt;F88,"ÜBERFÄLLIG",IF(AND(I88&lt;&gt;"",TODAY()&lt;=I88),"Skonto nutzen bis "&amp;TEXT(I88,"DD.MM."),"fällig in "&amp;(F88-TODAY())&amp;" Tagen"))))</f>
        <v/>
      </c>
    </row>
    <row r="89" customFormat="false" ht="15" hidden="false" customHeight="false" outlineLevel="0" collapsed="false">
      <c r="A89" s="32"/>
      <c r="B89" s="32"/>
      <c r="C89" s="33"/>
      <c r="D89" s="30"/>
      <c r="E89" s="32"/>
      <c r="F89" s="44" t="str">
        <f aca="false">IF(C89="","",C89+IF(E89="",30,E89))</f>
        <v/>
      </c>
      <c r="G89" s="45"/>
      <c r="H89" s="32"/>
      <c r="I89" s="44" t="str">
        <f aca="false">IF(OR(C89="",G89=""),"",C89+H89)</f>
        <v/>
      </c>
      <c r="J89" s="33"/>
      <c r="K89" s="30"/>
      <c r="L89" s="31" t="str">
        <f aca="false">IF(D89="","",D89-N(K89))</f>
        <v/>
      </c>
      <c r="M89" s="35" t="str">
        <f aca="true">IF(D89="","",IF(L89&lt;=0.004,"bezahlt",IF(TODAY()&gt;F89,"ÜBERFÄLLIG",IF(AND(I89&lt;&gt;"",TODAY()&lt;=I89),"Skonto nutzen bis "&amp;TEXT(I89,"DD.MM."),"fällig in "&amp;(F89-TODAY())&amp;" Tagen"))))</f>
        <v/>
      </c>
    </row>
    <row r="90" customFormat="false" ht="15" hidden="false" customHeight="false" outlineLevel="0" collapsed="false">
      <c r="A90" s="32"/>
      <c r="B90" s="32"/>
      <c r="C90" s="33"/>
      <c r="D90" s="30"/>
      <c r="E90" s="32"/>
      <c r="F90" s="44" t="str">
        <f aca="false">IF(C90="","",C90+IF(E90="",30,E90))</f>
        <v/>
      </c>
      <c r="G90" s="45"/>
      <c r="H90" s="32"/>
      <c r="I90" s="44" t="str">
        <f aca="false">IF(OR(C90="",G90=""),"",C90+H90)</f>
        <v/>
      </c>
      <c r="J90" s="33"/>
      <c r="K90" s="30"/>
      <c r="L90" s="31" t="str">
        <f aca="false">IF(D90="","",D90-N(K90))</f>
        <v/>
      </c>
      <c r="M90" s="35" t="str">
        <f aca="true">IF(D90="","",IF(L90&lt;=0.004,"bezahlt",IF(TODAY()&gt;F90,"ÜBERFÄLLIG",IF(AND(I90&lt;&gt;"",TODAY()&lt;=I90),"Skonto nutzen bis "&amp;TEXT(I90,"DD.MM."),"fällig in "&amp;(F90-TODAY())&amp;" Tagen"))))</f>
        <v/>
      </c>
    </row>
    <row r="91" customFormat="false" ht="15" hidden="false" customHeight="false" outlineLevel="0" collapsed="false">
      <c r="A91" s="32"/>
      <c r="B91" s="32"/>
      <c r="C91" s="33"/>
      <c r="D91" s="30"/>
      <c r="E91" s="32"/>
      <c r="F91" s="44" t="str">
        <f aca="false">IF(C91="","",C91+IF(E91="",30,E91))</f>
        <v/>
      </c>
      <c r="G91" s="45"/>
      <c r="H91" s="32"/>
      <c r="I91" s="44" t="str">
        <f aca="false">IF(OR(C91="",G91=""),"",C91+H91)</f>
        <v/>
      </c>
      <c r="J91" s="33"/>
      <c r="K91" s="30"/>
      <c r="L91" s="31" t="str">
        <f aca="false">IF(D91="","",D91-N(K91))</f>
        <v/>
      </c>
      <c r="M91" s="35" t="str">
        <f aca="true">IF(D91="","",IF(L91&lt;=0.004,"bezahlt",IF(TODAY()&gt;F91,"ÜBERFÄLLIG",IF(AND(I91&lt;&gt;"",TODAY()&lt;=I91),"Skonto nutzen bis "&amp;TEXT(I91,"DD.MM."),"fällig in "&amp;(F91-TODAY())&amp;" Tagen"))))</f>
        <v/>
      </c>
    </row>
    <row r="92" customFormat="false" ht="15" hidden="false" customHeight="false" outlineLevel="0" collapsed="false">
      <c r="A92" s="32"/>
      <c r="B92" s="32"/>
      <c r="C92" s="33"/>
      <c r="D92" s="30"/>
      <c r="E92" s="32"/>
      <c r="F92" s="44" t="str">
        <f aca="false">IF(C92="","",C92+IF(E92="",30,E92))</f>
        <v/>
      </c>
      <c r="G92" s="45"/>
      <c r="H92" s="32"/>
      <c r="I92" s="44" t="str">
        <f aca="false">IF(OR(C92="",G92=""),"",C92+H92)</f>
        <v/>
      </c>
      <c r="J92" s="33"/>
      <c r="K92" s="30"/>
      <c r="L92" s="31" t="str">
        <f aca="false">IF(D92="","",D92-N(K92))</f>
        <v/>
      </c>
      <c r="M92" s="35" t="str">
        <f aca="true">IF(D92="","",IF(L92&lt;=0.004,"bezahlt",IF(TODAY()&gt;F92,"ÜBERFÄLLIG",IF(AND(I92&lt;&gt;"",TODAY()&lt;=I92),"Skonto nutzen bis "&amp;TEXT(I92,"DD.MM."),"fällig in "&amp;(F92-TODAY())&amp;" Tagen"))))</f>
        <v/>
      </c>
    </row>
    <row r="93" customFormat="false" ht="15" hidden="false" customHeight="false" outlineLevel="0" collapsed="false">
      <c r="A93" s="32"/>
      <c r="B93" s="32"/>
      <c r="C93" s="33"/>
      <c r="D93" s="30"/>
      <c r="E93" s="32"/>
      <c r="F93" s="44" t="str">
        <f aca="false">IF(C93="","",C93+IF(E93="",30,E93))</f>
        <v/>
      </c>
      <c r="G93" s="45"/>
      <c r="H93" s="32"/>
      <c r="I93" s="44" t="str">
        <f aca="false">IF(OR(C93="",G93=""),"",C93+H93)</f>
        <v/>
      </c>
      <c r="J93" s="33"/>
      <c r="K93" s="30"/>
      <c r="L93" s="31" t="str">
        <f aca="false">IF(D93="","",D93-N(K93))</f>
        <v/>
      </c>
      <c r="M93" s="35" t="str">
        <f aca="true">IF(D93="","",IF(L93&lt;=0.004,"bezahlt",IF(TODAY()&gt;F93,"ÜBERFÄLLIG",IF(AND(I93&lt;&gt;"",TODAY()&lt;=I93),"Skonto nutzen bis "&amp;TEXT(I93,"DD.MM."),"fällig in "&amp;(F93-TODAY())&amp;" Tagen"))))</f>
        <v/>
      </c>
    </row>
    <row r="94" customFormat="false" ht="15" hidden="false" customHeight="false" outlineLevel="0" collapsed="false">
      <c r="A94" s="32"/>
      <c r="B94" s="32"/>
      <c r="C94" s="33"/>
      <c r="D94" s="30"/>
      <c r="E94" s="32"/>
      <c r="F94" s="44" t="str">
        <f aca="false">IF(C94="","",C94+IF(E94="",30,E94))</f>
        <v/>
      </c>
      <c r="G94" s="45"/>
      <c r="H94" s="32"/>
      <c r="I94" s="44" t="str">
        <f aca="false">IF(OR(C94="",G94=""),"",C94+H94)</f>
        <v/>
      </c>
      <c r="J94" s="33"/>
      <c r="K94" s="30"/>
      <c r="L94" s="31" t="str">
        <f aca="false">IF(D94="","",D94-N(K94))</f>
        <v/>
      </c>
      <c r="M94" s="35" t="str">
        <f aca="true">IF(D94="","",IF(L94&lt;=0.004,"bezahlt",IF(TODAY()&gt;F94,"ÜBERFÄLLIG",IF(AND(I94&lt;&gt;"",TODAY()&lt;=I94),"Skonto nutzen bis "&amp;TEXT(I94,"DD.MM."),"fällig in "&amp;(F94-TODAY())&amp;" Tagen"))))</f>
        <v/>
      </c>
    </row>
    <row r="95" customFormat="false" ht="15" hidden="false" customHeight="false" outlineLevel="0" collapsed="false">
      <c r="A95" s="32"/>
      <c r="B95" s="32"/>
      <c r="C95" s="33"/>
      <c r="D95" s="30"/>
      <c r="E95" s="32"/>
      <c r="F95" s="44" t="str">
        <f aca="false">IF(C95="","",C95+IF(E95="",30,E95))</f>
        <v/>
      </c>
      <c r="G95" s="45"/>
      <c r="H95" s="32"/>
      <c r="I95" s="44" t="str">
        <f aca="false">IF(OR(C95="",G95=""),"",C95+H95)</f>
        <v/>
      </c>
      <c r="J95" s="33"/>
      <c r="K95" s="30"/>
      <c r="L95" s="31" t="str">
        <f aca="false">IF(D95="","",D95-N(K95))</f>
        <v/>
      </c>
      <c r="M95" s="35" t="str">
        <f aca="true">IF(D95="","",IF(L95&lt;=0.004,"bezahlt",IF(TODAY()&gt;F95,"ÜBERFÄLLIG",IF(AND(I95&lt;&gt;"",TODAY()&lt;=I95),"Skonto nutzen bis "&amp;TEXT(I95,"DD.MM."),"fällig in "&amp;(F95-TODAY())&amp;" Tagen"))))</f>
        <v/>
      </c>
    </row>
    <row r="96" customFormat="false" ht="15" hidden="false" customHeight="false" outlineLevel="0" collapsed="false">
      <c r="A96" s="32"/>
      <c r="B96" s="32"/>
      <c r="C96" s="33"/>
      <c r="D96" s="30"/>
      <c r="E96" s="32"/>
      <c r="F96" s="44" t="str">
        <f aca="false">IF(C96="","",C96+IF(E96="",30,E96))</f>
        <v/>
      </c>
      <c r="G96" s="45"/>
      <c r="H96" s="32"/>
      <c r="I96" s="44" t="str">
        <f aca="false">IF(OR(C96="",G96=""),"",C96+H96)</f>
        <v/>
      </c>
      <c r="J96" s="33"/>
      <c r="K96" s="30"/>
      <c r="L96" s="31" t="str">
        <f aca="false">IF(D96="","",D96-N(K96))</f>
        <v/>
      </c>
      <c r="M96" s="35" t="str">
        <f aca="true">IF(D96="","",IF(L96&lt;=0.004,"bezahlt",IF(TODAY()&gt;F96,"ÜBERFÄLLIG",IF(AND(I96&lt;&gt;"",TODAY()&lt;=I96),"Skonto nutzen bis "&amp;TEXT(I96,"DD.MM."),"fällig in "&amp;(F96-TODAY())&amp;" Tagen"))))</f>
        <v/>
      </c>
    </row>
    <row r="97" customFormat="false" ht="15" hidden="false" customHeight="false" outlineLevel="0" collapsed="false">
      <c r="A97" s="32"/>
      <c r="B97" s="32"/>
      <c r="C97" s="33"/>
      <c r="D97" s="30"/>
      <c r="E97" s="32"/>
      <c r="F97" s="44" t="str">
        <f aca="false">IF(C97="","",C97+IF(E97="",30,E97))</f>
        <v/>
      </c>
      <c r="G97" s="45"/>
      <c r="H97" s="32"/>
      <c r="I97" s="44" t="str">
        <f aca="false">IF(OR(C97="",G97=""),"",C97+H97)</f>
        <v/>
      </c>
      <c r="J97" s="33"/>
      <c r="K97" s="30"/>
      <c r="L97" s="31" t="str">
        <f aca="false">IF(D97="","",D97-N(K97))</f>
        <v/>
      </c>
      <c r="M97" s="35" t="str">
        <f aca="true">IF(D97="","",IF(L97&lt;=0.004,"bezahlt",IF(TODAY()&gt;F97,"ÜBERFÄLLIG",IF(AND(I97&lt;&gt;"",TODAY()&lt;=I97),"Skonto nutzen bis "&amp;TEXT(I97,"DD.MM."),"fällig in "&amp;(F97-TODAY())&amp;" Tagen"))))</f>
        <v/>
      </c>
    </row>
    <row r="98" customFormat="false" ht="15" hidden="false" customHeight="false" outlineLevel="0" collapsed="false">
      <c r="A98" s="32"/>
      <c r="B98" s="32"/>
      <c r="C98" s="33"/>
      <c r="D98" s="30"/>
      <c r="E98" s="32"/>
      <c r="F98" s="44" t="str">
        <f aca="false">IF(C98="","",C98+IF(E98="",30,E98))</f>
        <v/>
      </c>
      <c r="G98" s="45"/>
      <c r="H98" s="32"/>
      <c r="I98" s="44" t="str">
        <f aca="false">IF(OR(C98="",G98=""),"",C98+H98)</f>
        <v/>
      </c>
      <c r="J98" s="33"/>
      <c r="K98" s="30"/>
      <c r="L98" s="31" t="str">
        <f aca="false">IF(D98="","",D98-N(K98))</f>
        <v/>
      </c>
      <c r="M98" s="35" t="str">
        <f aca="true">IF(D98="","",IF(L98&lt;=0.004,"bezahlt",IF(TODAY()&gt;F98,"ÜBERFÄLLIG",IF(AND(I98&lt;&gt;"",TODAY()&lt;=I98),"Skonto nutzen bis "&amp;TEXT(I98,"DD.MM."),"fällig in "&amp;(F98-TODAY())&amp;" Tagen"))))</f>
        <v/>
      </c>
    </row>
    <row r="99" customFormat="false" ht="15" hidden="false" customHeight="false" outlineLevel="0" collapsed="false">
      <c r="A99" s="32"/>
      <c r="B99" s="32"/>
      <c r="C99" s="33"/>
      <c r="D99" s="30"/>
      <c r="E99" s="32"/>
      <c r="F99" s="44" t="str">
        <f aca="false">IF(C99="","",C99+IF(E99="",30,E99))</f>
        <v/>
      </c>
      <c r="G99" s="45"/>
      <c r="H99" s="32"/>
      <c r="I99" s="44" t="str">
        <f aca="false">IF(OR(C99="",G99=""),"",C99+H99)</f>
        <v/>
      </c>
      <c r="J99" s="33"/>
      <c r="K99" s="30"/>
      <c r="L99" s="31" t="str">
        <f aca="false">IF(D99="","",D99-N(K99))</f>
        <v/>
      </c>
      <c r="M99" s="35" t="str">
        <f aca="true">IF(D99="","",IF(L99&lt;=0.004,"bezahlt",IF(TODAY()&gt;F99,"ÜBERFÄLLIG",IF(AND(I99&lt;&gt;"",TODAY()&lt;=I99),"Skonto nutzen bis "&amp;TEXT(I99,"DD.MM."),"fällig in "&amp;(F99-TODAY())&amp;" Tagen"))))</f>
        <v/>
      </c>
    </row>
    <row r="100" customFormat="false" ht="15" hidden="false" customHeight="false" outlineLevel="0" collapsed="false">
      <c r="A100" s="32"/>
      <c r="B100" s="32"/>
      <c r="C100" s="33"/>
      <c r="D100" s="30"/>
      <c r="E100" s="32"/>
      <c r="F100" s="44" t="str">
        <f aca="false">IF(C100="","",C100+IF(E100="",30,E100))</f>
        <v/>
      </c>
      <c r="G100" s="45"/>
      <c r="H100" s="32"/>
      <c r="I100" s="44" t="str">
        <f aca="false">IF(OR(C100="",G100=""),"",C100+H100)</f>
        <v/>
      </c>
      <c r="J100" s="33"/>
      <c r="K100" s="30"/>
      <c r="L100" s="31" t="str">
        <f aca="false">IF(D100="","",D100-N(K100))</f>
        <v/>
      </c>
      <c r="M100" s="35" t="str">
        <f aca="true">IF(D100="","",IF(L100&lt;=0.004,"bezahlt",IF(TODAY()&gt;F100,"ÜBERFÄLLIG",IF(AND(I100&lt;&gt;"",TODAY()&lt;=I100),"Skonto nutzen bis "&amp;TEXT(I100,"DD.MM."),"fällig in "&amp;(F100-TODAY())&amp;" Tagen"))))</f>
        <v/>
      </c>
    </row>
    <row r="101" customFormat="false" ht="15" hidden="false" customHeight="false" outlineLevel="0" collapsed="false">
      <c r="A101" s="32"/>
      <c r="B101" s="32"/>
      <c r="C101" s="33"/>
      <c r="D101" s="30"/>
      <c r="E101" s="32"/>
      <c r="F101" s="44" t="str">
        <f aca="false">IF(C101="","",C101+IF(E101="",30,E101))</f>
        <v/>
      </c>
      <c r="G101" s="45"/>
      <c r="H101" s="32"/>
      <c r="I101" s="44" t="str">
        <f aca="false">IF(OR(C101="",G101=""),"",C101+H101)</f>
        <v/>
      </c>
      <c r="J101" s="33"/>
      <c r="K101" s="30"/>
      <c r="L101" s="31" t="str">
        <f aca="false">IF(D101="","",D101-N(K101))</f>
        <v/>
      </c>
      <c r="M101" s="35" t="str">
        <f aca="true">IF(D101="","",IF(L101&lt;=0.004,"bezahlt",IF(TODAY()&gt;F101,"ÜBERFÄLLIG",IF(AND(I101&lt;&gt;"",TODAY()&lt;=I101),"Skonto nutzen bis "&amp;TEXT(I101,"DD.MM."),"fällig in "&amp;(F101-TODAY())&amp;" Tagen"))))</f>
        <v/>
      </c>
    </row>
    <row r="102" customFormat="false" ht="15" hidden="false" customHeight="false" outlineLevel="0" collapsed="false">
      <c r="A102" s="32"/>
      <c r="B102" s="32"/>
      <c r="C102" s="33"/>
      <c r="D102" s="30"/>
      <c r="E102" s="32"/>
      <c r="F102" s="44" t="str">
        <f aca="false">IF(C102="","",C102+IF(E102="",30,E102))</f>
        <v/>
      </c>
      <c r="G102" s="45"/>
      <c r="H102" s="32"/>
      <c r="I102" s="44" t="str">
        <f aca="false">IF(OR(C102="",G102=""),"",C102+H102)</f>
        <v/>
      </c>
      <c r="J102" s="33"/>
      <c r="K102" s="30"/>
      <c r="L102" s="31" t="str">
        <f aca="false">IF(D102="","",D102-N(K102))</f>
        <v/>
      </c>
      <c r="M102" s="35" t="str">
        <f aca="true">IF(D102="","",IF(L102&lt;=0.004,"bezahlt",IF(TODAY()&gt;F102,"ÜBERFÄLLIG",IF(AND(I102&lt;&gt;"",TODAY()&lt;=I102),"Skonto nutzen bis "&amp;TEXT(I102,"DD.MM."),"fällig in "&amp;(F102-TODAY())&amp;" Tagen"))))</f>
        <v/>
      </c>
    </row>
    <row r="103" customFormat="false" ht="15" hidden="false" customHeight="false" outlineLevel="0" collapsed="false">
      <c r="A103" s="32"/>
      <c r="B103" s="32"/>
      <c r="C103" s="33"/>
      <c r="D103" s="30"/>
      <c r="E103" s="32"/>
      <c r="F103" s="44" t="str">
        <f aca="false">IF(C103="","",C103+IF(E103="",30,E103))</f>
        <v/>
      </c>
      <c r="G103" s="45"/>
      <c r="H103" s="32"/>
      <c r="I103" s="44" t="str">
        <f aca="false">IF(OR(C103="",G103=""),"",C103+H103)</f>
        <v/>
      </c>
      <c r="J103" s="33"/>
      <c r="K103" s="30"/>
      <c r="L103" s="31" t="str">
        <f aca="false">IF(D103="","",D103-N(K103))</f>
        <v/>
      </c>
      <c r="M103" s="35" t="str">
        <f aca="true">IF(D103="","",IF(L103&lt;=0.004,"bezahlt",IF(TODAY()&gt;F103,"ÜBERFÄLLIG",IF(AND(I103&lt;&gt;"",TODAY()&lt;=I103),"Skonto nutzen bis "&amp;TEXT(I103,"DD.MM."),"fällig in "&amp;(F103-TODAY())&amp;" Tagen"))))</f>
        <v/>
      </c>
    </row>
    <row r="104" customFormat="false" ht="15" hidden="false" customHeight="false" outlineLevel="0" collapsed="false">
      <c r="A104" s="32"/>
      <c r="B104" s="32"/>
      <c r="C104" s="33"/>
      <c r="D104" s="30"/>
      <c r="E104" s="32"/>
      <c r="F104" s="44" t="str">
        <f aca="false">IF(C104="","",C104+IF(E104="",30,E104))</f>
        <v/>
      </c>
      <c r="G104" s="45"/>
      <c r="H104" s="32"/>
      <c r="I104" s="44" t="str">
        <f aca="false">IF(OR(C104="",G104=""),"",C104+H104)</f>
        <v/>
      </c>
      <c r="J104" s="33"/>
      <c r="K104" s="30"/>
      <c r="L104" s="31" t="str">
        <f aca="false">IF(D104="","",D104-N(K104))</f>
        <v/>
      </c>
      <c r="M104" s="35" t="str">
        <f aca="true">IF(D104="","",IF(L104&lt;=0.004,"bezahlt",IF(TODAY()&gt;F104,"ÜBERFÄLLIG",IF(AND(I104&lt;&gt;"",TODAY()&lt;=I104),"Skonto nutzen bis "&amp;TEXT(I104,"DD.MM."),"fällig in "&amp;(F104-TODAY())&amp;" Tagen"))))</f>
        <v/>
      </c>
    </row>
    <row r="105" customFormat="false" ht="15" hidden="false" customHeight="false" outlineLevel="0" collapsed="false">
      <c r="A105" s="32"/>
      <c r="B105" s="32"/>
      <c r="C105" s="33"/>
      <c r="D105" s="30"/>
      <c r="E105" s="32"/>
      <c r="F105" s="44" t="str">
        <f aca="false">IF(C105="","",C105+IF(E105="",30,E105))</f>
        <v/>
      </c>
      <c r="G105" s="45"/>
      <c r="H105" s="32"/>
      <c r="I105" s="44" t="str">
        <f aca="false">IF(OR(C105="",G105=""),"",C105+H105)</f>
        <v/>
      </c>
      <c r="J105" s="33"/>
      <c r="K105" s="30"/>
      <c r="L105" s="31" t="str">
        <f aca="false">IF(D105="","",D105-N(K105))</f>
        <v/>
      </c>
      <c r="M105" s="35" t="str">
        <f aca="true">IF(D105="","",IF(L105&lt;=0.004,"bezahlt",IF(TODAY()&gt;F105,"ÜBERFÄLLIG",IF(AND(I105&lt;&gt;"",TODAY()&lt;=I105),"Skonto nutzen bis "&amp;TEXT(I105,"DD.MM."),"fällig in "&amp;(F105-TODAY())&amp;" Tagen"))))</f>
        <v/>
      </c>
    </row>
    <row r="106" customFormat="false" ht="15" hidden="false" customHeight="false" outlineLevel="0" collapsed="false">
      <c r="A106" s="32"/>
      <c r="B106" s="32"/>
      <c r="C106" s="33"/>
      <c r="D106" s="30"/>
      <c r="E106" s="32"/>
      <c r="F106" s="44" t="str">
        <f aca="false">IF(C106="","",C106+IF(E106="",30,E106))</f>
        <v/>
      </c>
      <c r="G106" s="45"/>
      <c r="H106" s="32"/>
      <c r="I106" s="44" t="str">
        <f aca="false">IF(OR(C106="",G106=""),"",C106+H106)</f>
        <v/>
      </c>
      <c r="J106" s="33"/>
      <c r="K106" s="30"/>
      <c r="L106" s="31" t="str">
        <f aca="false">IF(D106="","",D106-N(K106))</f>
        <v/>
      </c>
      <c r="M106" s="35" t="str">
        <f aca="true">IF(D106="","",IF(L106&lt;=0.004,"bezahlt",IF(TODAY()&gt;F106,"ÜBERFÄLLIG",IF(AND(I106&lt;&gt;"",TODAY()&lt;=I106),"Skonto nutzen bis "&amp;TEXT(I106,"DD.MM."),"fällig in "&amp;(F106-TODAY())&amp;" Tagen"))))</f>
        <v/>
      </c>
    </row>
    <row r="107" customFormat="false" ht="15" hidden="false" customHeight="false" outlineLevel="0" collapsed="false">
      <c r="A107" s="32"/>
      <c r="B107" s="32"/>
      <c r="C107" s="33"/>
      <c r="D107" s="30"/>
      <c r="E107" s="32"/>
      <c r="F107" s="44" t="str">
        <f aca="false">IF(C107="","",C107+IF(E107="",30,E107))</f>
        <v/>
      </c>
      <c r="G107" s="45"/>
      <c r="H107" s="32"/>
      <c r="I107" s="44" t="str">
        <f aca="false">IF(OR(C107="",G107=""),"",C107+H107)</f>
        <v/>
      </c>
      <c r="J107" s="33"/>
      <c r="K107" s="30"/>
      <c r="L107" s="31" t="str">
        <f aca="false">IF(D107="","",D107-N(K107))</f>
        <v/>
      </c>
      <c r="M107" s="35" t="str">
        <f aca="true">IF(D107="","",IF(L107&lt;=0.004,"bezahlt",IF(TODAY()&gt;F107,"ÜBERFÄLLIG",IF(AND(I107&lt;&gt;"",TODAY()&lt;=I107),"Skonto nutzen bis "&amp;TEXT(I107,"DD.MM."),"fällig in "&amp;(F107-TODAY())&amp;" Tagen"))))</f>
        <v/>
      </c>
    </row>
    <row r="108" customFormat="false" ht="15" hidden="false" customHeight="false" outlineLevel="0" collapsed="false">
      <c r="A108" s="32"/>
      <c r="B108" s="32"/>
      <c r="C108" s="33"/>
      <c r="D108" s="30"/>
      <c r="E108" s="32"/>
      <c r="F108" s="44" t="str">
        <f aca="false">IF(C108="","",C108+IF(E108="",30,E108))</f>
        <v/>
      </c>
      <c r="G108" s="45"/>
      <c r="H108" s="32"/>
      <c r="I108" s="44" t="str">
        <f aca="false">IF(OR(C108="",G108=""),"",C108+H108)</f>
        <v/>
      </c>
      <c r="J108" s="33"/>
      <c r="K108" s="30"/>
      <c r="L108" s="31" t="str">
        <f aca="false">IF(D108="","",D108-N(K108))</f>
        <v/>
      </c>
      <c r="M108" s="35" t="str">
        <f aca="true">IF(D108="","",IF(L108&lt;=0.004,"bezahlt",IF(TODAY()&gt;F108,"ÜBERFÄLLIG",IF(AND(I108&lt;&gt;"",TODAY()&lt;=I108),"Skonto nutzen bis "&amp;TEXT(I108,"DD.MM."),"fällig in "&amp;(F108-TODAY())&amp;" Tagen"))))</f>
        <v/>
      </c>
    </row>
    <row r="109" customFormat="false" ht="15" hidden="false" customHeight="false" outlineLevel="0" collapsed="false">
      <c r="A109" s="32"/>
      <c r="B109" s="32"/>
      <c r="C109" s="33"/>
      <c r="D109" s="30"/>
      <c r="E109" s="32"/>
      <c r="F109" s="44" t="str">
        <f aca="false">IF(C109="","",C109+IF(E109="",30,E109))</f>
        <v/>
      </c>
      <c r="G109" s="45"/>
      <c r="H109" s="32"/>
      <c r="I109" s="44" t="str">
        <f aca="false">IF(OR(C109="",G109=""),"",C109+H109)</f>
        <v/>
      </c>
      <c r="J109" s="33"/>
      <c r="K109" s="30"/>
      <c r="L109" s="31" t="str">
        <f aca="false">IF(D109="","",D109-N(K109))</f>
        <v/>
      </c>
      <c r="M109" s="35" t="str">
        <f aca="true">IF(D109="","",IF(L109&lt;=0.004,"bezahlt",IF(TODAY()&gt;F109,"ÜBERFÄLLIG",IF(AND(I109&lt;&gt;"",TODAY()&lt;=I109),"Skonto nutzen bis "&amp;TEXT(I109,"DD.MM."),"fällig in "&amp;(F109-TODAY())&amp;" Tagen"))))</f>
        <v/>
      </c>
    </row>
    <row r="110" customFormat="false" ht="15" hidden="false" customHeight="false" outlineLevel="0" collapsed="false">
      <c r="A110" s="32"/>
      <c r="B110" s="32"/>
      <c r="C110" s="33"/>
      <c r="D110" s="30"/>
      <c r="E110" s="32"/>
      <c r="F110" s="44" t="str">
        <f aca="false">IF(C110="","",C110+IF(E110="",30,E110))</f>
        <v/>
      </c>
      <c r="G110" s="45"/>
      <c r="H110" s="32"/>
      <c r="I110" s="44" t="str">
        <f aca="false">IF(OR(C110="",G110=""),"",C110+H110)</f>
        <v/>
      </c>
      <c r="J110" s="33"/>
      <c r="K110" s="30"/>
      <c r="L110" s="31" t="str">
        <f aca="false">IF(D110="","",D110-N(K110))</f>
        <v/>
      </c>
      <c r="M110" s="35" t="str">
        <f aca="true">IF(D110="","",IF(L110&lt;=0.004,"bezahlt",IF(TODAY()&gt;F110,"ÜBERFÄLLIG",IF(AND(I110&lt;&gt;"",TODAY()&lt;=I110),"Skonto nutzen bis "&amp;TEXT(I110,"DD.MM."),"fällig in "&amp;(F110-TODAY())&amp;" Tagen"))))</f>
        <v/>
      </c>
    </row>
    <row r="111" customFormat="false" ht="15" hidden="false" customHeight="false" outlineLevel="0" collapsed="false">
      <c r="A111" s="32"/>
      <c r="B111" s="32"/>
      <c r="C111" s="33"/>
      <c r="D111" s="30"/>
      <c r="E111" s="32"/>
      <c r="F111" s="44" t="str">
        <f aca="false">IF(C111="","",C111+IF(E111="",30,E111))</f>
        <v/>
      </c>
      <c r="G111" s="45"/>
      <c r="H111" s="32"/>
      <c r="I111" s="44" t="str">
        <f aca="false">IF(OR(C111="",G111=""),"",C111+H111)</f>
        <v/>
      </c>
      <c r="J111" s="33"/>
      <c r="K111" s="30"/>
      <c r="L111" s="31" t="str">
        <f aca="false">IF(D111="","",D111-N(K111))</f>
        <v/>
      </c>
      <c r="M111" s="35" t="str">
        <f aca="true">IF(D111="","",IF(L111&lt;=0.004,"bezahlt",IF(TODAY()&gt;F111,"ÜBERFÄLLIG",IF(AND(I111&lt;&gt;"",TODAY()&lt;=I111),"Skonto nutzen bis "&amp;TEXT(I111,"DD.MM."),"fällig in "&amp;(F111-TODAY())&amp;" Tagen"))))</f>
        <v/>
      </c>
    </row>
    <row r="112" customFormat="false" ht="15" hidden="false" customHeight="false" outlineLevel="0" collapsed="false">
      <c r="A112" s="32"/>
      <c r="B112" s="32"/>
      <c r="C112" s="33"/>
      <c r="D112" s="30"/>
      <c r="E112" s="32"/>
      <c r="F112" s="44" t="str">
        <f aca="false">IF(C112="","",C112+IF(E112="",30,E112))</f>
        <v/>
      </c>
      <c r="G112" s="45"/>
      <c r="H112" s="32"/>
      <c r="I112" s="44" t="str">
        <f aca="false">IF(OR(C112="",G112=""),"",C112+H112)</f>
        <v/>
      </c>
      <c r="J112" s="33"/>
      <c r="K112" s="30"/>
      <c r="L112" s="31" t="str">
        <f aca="false">IF(D112="","",D112-N(K112))</f>
        <v/>
      </c>
      <c r="M112" s="35" t="str">
        <f aca="true">IF(D112="","",IF(L112&lt;=0.004,"bezahlt",IF(TODAY()&gt;F112,"ÜBERFÄLLIG",IF(AND(I112&lt;&gt;"",TODAY()&lt;=I112),"Skonto nutzen bis "&amp;TEXT(I112,"DD.MM."),"fällig in "&amp;(F112-TODAY())&amp;" Tagen"))))</f>
        <v/>
      </c>
    </row>
    <row r="113" customFormat="false" ht="15" hidden="false" customHeight="false" outlineLevel="0" collapsed="false">
      <c r="A113" s="32"/>
      <c r="B113" s="32"/>
      <c r="C113" s="33"/>
      <c r="D113" s="30"/>
      <c r="E113" s="32"/>
      <c r="F113" s="44" t="str">
        <f aca="false">IF(C113="","",C113+IF(E113="",30,E113))</f>
        <v/>
      </c>
      <c r="G113" s="45"/>
      <c r="H113" s="32"/>
      <c r="I113" s="44" t="str">
        <f aca="false">IF(OR(C113="",G113=""),"",C113+H113)</f>
        <v/>
      </c>
      <c r="J113" s="33"/>
      <c r="K113" s="30"/>
      <c r="L113" s="31" t="str">
        <f aca="false">IF(D113="","",D113-N(K113))</f>
        <v/>
      </c>
      <c r="M113" s="35" t="str">
        <f aca="true">IF(D113="","",IF(L113&lt;=0.004,"bezahlt",IF(TODAY()&gt;F113,"ÜBERFÄLLIG",IF(AND(I113&lt;&gt;"",TODAY()&lt;=I113),"Skonto nutzen bis "&amp;TEXT(I113,"DD.MM."),"fällig in "&amp;(F113-TODAY())&amp;" Tagen"))))</f>
        <v/>
      </c>
    </row>
    <row r="114" customFormat="false" ht="15" hidden="false" customHeight="false" outlineLevel="0" collapsed="false">
      <c r="A114" s="32"/>
      <c r="B114" s="32"/>
      <c r="C114" s="33"/>
      <c r="D114" s="30"/>
      <c r="E114" s="32"/>
      <c r="F114" s="44" t="str">
        <f aca="false">IF(C114="","",C114+IF(E114="",30,E114))</f>
        <v/>
      </c>
      <c r="G114" s="45"/>
      <c r="H114" s="32"/>
      <c r="I114" s="44" t="str">
        <f aca="false">IF(OR(C114="",G114=""),"",C114+H114)</f>
        <v/>
      </c>
      <c r="J114" s="33"/>
      <c r="K114" s="30"/>
      <c r="L114" s="31" t="str">
        <f aca="false">IF(D114="","",D114-N(K114))</f>
        <v/>
      </c>
      <c r="M114" s="35" t="str">
        <f aca="true">IF(D114="","",IF(L114&lt;=0.004,"bezahlt",IF(TODAY()&gt;F114,"ÜBERFÄLLIG",IF(AND(I114&lt;&gt;"",TODAY()&lt;=I114),"Skonto nutzen bis "&amp;TEXT(I114,"DD.MM."),"fällig in "&amp;(F114-TODAY())&amp;" Tagen"))))</f>
        <v/>
      </c>
    </row>
    <row r="115" customFormat="false" ht="15" hidden="false" customHeight="false" outlineLevel="0" collapsed="false">
      <c r="A115" s="32"/>
      <c r="B115" s="32"/>
      <c r="C115" s="33"/>
      <c r="D115" s="30"/>
      <c r="E115" s="32"/>
      <c r="F115" s="44" t="str">
        <f aca="false">IF(C115="","",C115+IF(E115="",30,E115))</f>
        <v/>
      </c>
      <c r="G115" s="45"/>
      <c r="H115" s="32"/>
      <c r="I115" s="44" t="str">
        <f aca="false">IF(OR(C115="",G115=""),"",C115+H115)</f>
        <v/>
      </c>
      <c r="J115" s="33"/>
      <c r="K115" s="30"/>
      <c r="L115" s="31" t="str">
        <f aca="false">IF(D115="","",D115-N(K115))</f>
        <v/>
      </c>
      <c r="M115" s="35" t="str">
        <f aca="true">IF(D115="","",IF(L115&lt;=0.004,"bezahlt",IF(TODAY()&gt;F115,"ÜBERFÄLLIG",IF(AND(I115&lt;&gt;"",TODAY()&lt;=I115),"Skonto nutzen bis "&amp;TEXT(I115,"DD.MM."),"fällig in "&amp;(F115-TODAY())&amp;" Tagen"))))</f>
        <v/>
      </c>
    </row>
    <row r="116" customFormat="false" ht="15" hidden="false" customHeight="false" outlineLevel="0" collapsed="false">
      <c r="A116" s="32"/>
      <c r="B116" s="32"/>
      <c r="C116" s="33"/>
      <c r="D116" s="30"/>
      <c r="E116" s="32"/>
      <c r="F116" s="44" t="str">
        <f aca="false">IF(C116="","",C116+IF(E116="",30,E116))</f>
        <v/>
      </c>
      <c r="G116" s="45"/>
      <c r="H116" s="32"/>
      <c r="I116" s="44" t="str">
        <f aca="false">IF(OR(C116="",G116=""),"",C116+H116)</f>
        <v/>
      </c>
      <c r="J116" s="33"/>
      <c r="K116" s="30"/>
      <c r="L116" s="31" t="str">
        <f aca="false">IF(D116="","",D116-N(K116))</f>
        <v/>
      </c>
      <c r="M116" s="35" t="str">
        <f aca="true">IF(D116="","",IF(L116&lt;=0.004,"bezahlt",IF(TODAY()&gt;F116,"ÜBERFÄLLIG",IF(AND(I116&lt;&gt;"",TODAY()&lt;=I116),"Skonto nutzen bis "&amp;TEXT(I116,"DD.MM."),"fällig in "&amp;(F116-TODAY())&amp;" Tagen"))))</f>
        <v/>
      </c>
    </row>
    <row r="117" customFormat="false" ht="15" hidden="false" customHeight="false" outlineLevel="0" collapsed="false">
      <c r="A117" s="32"/>
      <c r="B117" s="32"/>
      <c r="C117" s="33"/>
      <c r="D117" s="30"/>
      <c r="E117" s="32"/>
      <c r="F117" s="44" t="str">
        <f aca="false">IF(C117="","",C117+IF(E117="",30,E117))</f>
        <v/>
      </c>
      <c r="G117" s="45"/>
      <c r="H117" s="32"/>
      <c r="I117" s="44" t="str">
        <f aca="false">IF(OR(C117="",G117=""),"",C117+H117)</f>
        <v/>
      </c>
      <c r="J117" s="33"/>
      <c r="K117" s="30"/>
      <c r="L117" s="31" t="str">
        <f aca="false">IF(D117="","",D117-N(K117))</f>
        <v/>
      </c>
      <c r="M117" s="35" t="str">
        <f aca="true">IF(D117="","",IF(L117&lt;=0.004,"bezahlt",IF(TODAY()&gt;F117,"ÜBERFÄLLIG",IF(AND(I117&lt;&gt;"",TODAY()&lt;=I117),"Skonto nutzen bis "&amp;TEXT(I117,"DD.MM."),"fällig in "&amp;(F117-TODAY())&amp;" Tagen"))))</f>
        <v/>
      </c>
    </row>
    <row r="118" customFormat="false" ht="15" hidden="false" customHeight="false" outlineLevel="0" collapsed="false">
      <c r="A118" s="32"/>
      <c r="B118" s="32"/>
      <c r="C118" s="33"/>
      <c r="D118" s="30"/>
      <c r="E118" s="32"/>
      <c r="F118" s="44" t="str">
        <f aca="false">IF(C118="","",C118+IF(E118="",30,E118))</f>
        <v/>
      </c>
      <c r="G118" s="45"/>
      <c r="H118" s="32"/>
      <c r="I118" s="44" t="str">
        <f aca="false">IF(OR(C118="",G118=""),"",C118+H118)</f>
        <v/>
      </c>
      <c r="J118" s="33"/>
      <c r="K118" s="30"/>
      <c r="L118" s="31" t="str">
        <f aca="false">IF(D118="","",D118-N(K118))</f>
        <v/>
      </c>
      <c r="M118" s="35" t="str">
        <f aca="true">IF(D118="","",IF(L118&lt;=0.004,"bezahlt",IF(TODAY()&gt;F118,"ÜBERFÄLLIG",IF(AND(I118&lt;&gt;"",TODAY()&lt;=I118),"Skonto nutzen bis "&amp;TEXT(I118,"DD.MM."),"fällig in "&amp;(F118-TODAY())&amp;" Tagen"))))</f>
        <v/>
      </c>
    </row>
    <row r="119" customFormat="false" ht="15" hidden="false" customHeight="false" outlineLevel="0" collapsed="false">
      <c r="A119" s="32"/>
      <c r="B119" s="32"/>
      <c r="C119" s="33"/>
      <c r="D119" s="30"/>
      <c r="E119" s="32"/>
      <c r="F119" s="44" t="str">
        <f aca="false">IF(C119="","",C119+IF(E119="",30,E119))</f>
        <v/>
      </c>
      <c r="G119" s="45"/>
      <c r="H119" s="32"/>
      <c r="I119" s="44" t="str">
        <f aca="false">IF(OR(C119="",G119=""),"",C119+H119)</f>
        <v/>
      </c>
      <c r="J119" s="33"/>
      <c r="K119" s="30"/>
      <c r="L119" s="31" t="str">
        <f aca="false">IF(D119="","",D119-N(K119))</f>
        <v/>
      </c>
      <c r="M119" s="35" t="str">
        <f aca="true">IF(D119="","",IF(L119&lt;=0.004,"bezahlt",IF(TODAY()&gt;F119,"ÜBERFÄLLIG",IF(AND(I119&lt;&gt;"",TODAY()&lt;=I119),"Skonto nutzen bis "&amp;TEXT(I119,"DD.MM."),"fällig in "&amp;(F119-TODAY())&amp;" Tagen"))))</f>
        <v/>
      </c>
    </row>
    <row r="120" customFormat="false" ht="15" hidden="false" customHeight="false" outlineLevel="0" collapsed="false">
      <c r="A120" s="32"/>
      <c r="B120" s="32"/>
      <c r="C120" s="33"/>
      <c r="D120" s="30"/>
      <c r="E120" s="32"/>
      <c r="F120" s="44" t="str">
        <f aca="false">IF(C120="","",C120+IF(E120="",30,E120))</f>
        <v/>
      </c>
      <c r="G120" s="45"/>
      <c r="H120" s="32"/>
      <c r="I120" s="44" t="str">
        <f aca="false">IF(OR(C120="",G120=""),"",C120+H120)</f>
        <v/>
      </c>
      <c r="J120" s="33"/>
      <c r="K120" s="30"/>
      <c r="L120" s="31" t="str">
        <f aca="false">IF(D120="","",D120-N(K120))</f>
        <v/>
      </c>
      <c r="M120" s="35" t="str">
        <f aca="true">IF(D120="","",IF(L120&lt;=0.004,"bezahlt",IF(TODAY()&gt;F120,"ÜBERFÄLLIG",IF(AND(I120&lt;&gt;"",TODAY()&lt;=I120),"Skonto nutzen bis "&amp;TEXT(I120,"DD.MM."),"fällig in "&amp;(F120-TODAY())&amp;" Tagen"))))</f>
        <v/>
      </c>
    </row>
    <row r="121" customFormat="false" ht="15" hidden="false" customHeight="false" outlineLevel="0" collapsed="false">
      <c r="A121" s="32"/>
      <c r="B121" s="32"/>
      <c r="C121" s="33"/>
      <c r="D121" s="30"/>
      <c r="E121" s="32"/>
      <c r="F121" s="44" t="str">
        <f aca="false">IF(C121="","",C121+IF(E121="",30,E121))</f>
        <v/>
      </c>
      <c r="G121" s="45"/>
      <c r="H121" s="32"/>
      <c r="I121" s="44" t="str">
        <f aca="false">IF(OR(C121="",G121=""),"",C121+H121)</f>
        <v/>
      </c>
      <c r="J121" s="33"/>
      <c r="K121" s="30"/>
      <c r="L121" s="31" t="str">
        <f aca="false">IF(D121="","",D121-N(K121))</f>
        <v/>
      </c>
      <c r="M121" s="35" t="str">
        <f aca="true">IF(D121="","",IF(L121&lt;=0.004,"bezahlt",IF(TODAY()&gt;F121,"ÜBERFÄLLIG",IF(AND(I121&lt;&gt;"",TODAY()&lt;=I121),"Skonto nutzen bis "&amp;TEXT(I121,"DD.MM."),"fällig in "&amp;(F121-TODAY())&amp;" Tagen"))))</f>
        <v/>
      </c>
    </row>
    <row r="122" customFormat="false" ht="15" hidden="false" customHeight="false" outlineLevel="0" collapsed="false">
      <c r="A122" s="32"/>
      <c r="B122" s="32"/>
      <c r="C122" s="33"/>
      <c r="D122" s="30"/>
      <c r="E122" s="32"/>
      <c r="F122" s="44" t="str">
        <f aca="false">IF(C122="","",C122+IF(E122="",30,E122))</f>
        <v/>
      </c>
      <c r="G122" s="45"/>
      <c r="H122" s="32"/>
      <c r="I122" s="44" t="str">
        <f aca="false">IF(OR(C122="",G122=""),"",C122+H122)</f>
        <v/>
      </c>
      <c r="J122" s="33"/>
      <c r="K122" s="30"/>
      <c r="L122" s="31" t="str">
        <f aca="false">IF(D122="","",D122-N(K122))</f>
        <v/>
      </c>
      <c r="M122" s="35" t="str">
        <f aca="true">IF(D122="","",IF(L122&lt;=0.004,"bezahlt",IF(TODAY()&gt;F122,"ÜBERFÄLLIG",IF(AND(I122&lt;&gt;"",TODAY()&lt;=I122),"Skonto nutzen bis "&amp;TEXT(I122,"DD.MM."),"fällig in "&amp;(F122-TODAY())&amp;" Tagen"))))</f>
        <v/>
      </c>
    </row>
    <row r="123" customFormat="false" ht="15" hidden="false" customHeight="false" outlineLevel="0" collapsed="false">
      <c r="A123" s="32"/>
      <c r="B123" s="32"/>
      <c r="C123" s="33"/>
      <c r="D123" s="30"/>
      <c r="E123" s="32"/>
      <c r="F123" s="44" t="str">
        <f aca="false">IF(C123="","",C123+IF(E123="",30,E123))</f>
        <v/>
      </c>
      <c r="G123" s="45"/>
      <c r="H123" s="32"/>
      <c r="I123" s="44" t="str">
        <f aca="false">IF(OR(C123="",G123=""),"",C123+H123)</f>
        <v/>
      </c>
      <c r="J123" s="33"/>
      <c r="K123" s="30"/>
      <c r="L123" s="31" t="str">
        <f aca="false">IF(D123="","",D123-N(K123))</f>
        <v/>
      </c>
      <c r="M123" s="35" t="str">
        <f aca="true">IF(D123="","",IF(L123&lt;=0.004,"bezahlt",IF(TODAY()&gt;F123,"ÜBERFÄLLIG",IF(AND(I123&lt;&gt;"",TODAY()&lt;=I123),"Skonto nutzen bis "&amp;TEXT(I123,"DD.MM."),"fällig in "&amp;(F123-TODAY())&amp;" Tagen"))))</f>
        <v/>
      </c>
    </row>
    <row r="124" customFormat="false" ht="15" hidden="false" customHeight="false" outlineLevel="0" collapsed="false">
      <c r="A124" s="32"/>
      <c r="B124" s="32"/>
      <c r="C124" s="33"/>
      <c r="D124" s="30"/>
      <c r="E124" s="32"/>
      <c r="F124" s="44" t="str">
        <f aca="false">IF(C124="","",C124+IF(E124="",30,E124))</f>
        <v/>
      </c>
      <c r="G124" s="45"/>
      <c r="H124" s="32"/>
      <c r="I124" s="44" t="str">
        <f aca="false">IF(OR(C124="",G124=""),"",C124+H124)</f>
        <v/>
      </c>
      <c r="J124" s="33"/>
      <c r="K124" s="30"/>
      <c r="L124" s="31" t="str">
        <f aca="false">IF(D124="","",D124-N(K124))</f>
        <v/>
      </c>
      <c r="M124" s="35" t="str">
        <f aca="true">IF(D124="","",IF(L124&lt;=0.004,"bezahlt",IF(TODAY()&gt;F124,"ÜBERFÄLLIG",IF(AND(I124&lt;&gt;"",TODAY()&lt;=I124),"Skonto nutzen bis "&amp;TEXT(I124,"DD.MM."),"fällig in "&amp;(F124-TODAY())&amp;" Tagen"))))</f>
        <v/>
      </c>
    </row>
    <row r="125" customFormat="false" ht="15" hidden="false" customHeight="false" outlineLevel="0" collapsed="false">
      <c r="A125" s="32"/>
      <c r="B125" s="32"/>
      <c r="C125" s="33"/>
      <c r="D125" s="30"/>
      <c r="E125" s="32"/>
      <c r="F125" s="44" t="str">
        <f aca="false">IF(C125="","",C125+IF(E125="",30,E125))</f>
        <v/>
      </c>
      <c r="G125" s="45"/>
      <c r="H125" s="32"/>
      <c r="I125" s="44" t="str">
        <f aca="false">IF(OR(C125="",G125=""),"",C125+H125)</f>
        <v/>
      </c>
      <c r="J125" s="33"/>
      <c r="K125" s="30"/>
      <c r="L125" s="31" t="str">
        <f aca="false">IF(D125="","",D125-N(K125))</f>
        <v/>
      </c>
      <c r="M125" s="35" t="str">
        <f aca="true">IF(D125="","",IF(L125&lt;=0.004,"bezahlt",IF(TODAY()&gt;F125,"ÜBERFÄLLIG",IF(AND(I125&lt;&gt;"",TODAY()&lt;=I125),"Skonto nutzen bis "&amp;TEXT(I125,"DD.MM."),"fällig in "&amp;(F125-TODAY())&amp;" Tagen"))))</f>
        <v/>
      </c>
    </row>
    <row r="126" customFormat="false" ht="15" hidden="false" customHeight="false" outlineLevel="0" collapsed="false">
      <c r="A126" s="32"/>
      <c r="B126" s="32"/>
      <c r="C126" s="33"/>
      <c r="D126" s="30"/>
      <c r="E126" s="32"/>
      <c r="F126" s="44" t="str">
        <f aca="false">IF(C126="","",C126+IF(E126="",30,E126))</f>
        <v/>
      </c>
      <c r="G126" s="45"/>
      <c r="H126" s="32"/>
      <c r="I126" s="44" t="str">
        <f aca="false">IF(OR(C126="",G126=""),"",C126+H126)</f>
        <v/>
      </c>
      <c r="J126" s="33"/>
      <c r="K126" s="30"/>
      <c r="L126" s="31" t="str">
        <f aca="false">IF(D126="","",D126-N(K126))</f>
        <v/>
      </c>
      <c r="M126" s="35" t="str">
        <f aca="true">IF(D126="","",IF(L126&lt;=0.004,"bezahlt",IF(TODAY()&gt;F126,"ÜBERFÄLLIG",IF(AND(I126&lt;&gt;"",TODAY()&lt;=I126),"Skonto nutzen bis "&amp;TEXT(I126,"DD.MM."),"fällig in "&amp;(F126-TODAY())&amp;" Tagen"))))</f>
        <v/>
      </c>
    </row>
    <row r="127" customFormat="false" ht="15" hidden="false" customHeight="false" outlineLevel="0" collapsed="false">
      <c r="A127" s="32"/>
      <c r="B127" s="32"/>
      <c r="C127" s="33"/>
      <c r="D127" s="30"/>
      <c r="E127" s="32"/>
      <c r="F127" s="44" t="str">
        <f aca="false">IF(C127="","",C127+IF(E127="",30,E127))</f>
        <v/>
      </c>
      <c r="G127" s="45"/>
      <c r="H127" s="32"/>
      <c r="I127" s="44" t="str">
        <f aca="false">IF(OR(C127="",G127=""),"",C127+H127)</f>
        <v/>
      </c>
      <c r="J127" s="33"/>
      <c r="K127" s="30"/>
      <c r="L127" s="31" t="str">
        <f aca="false">IF(D127="","",D127-N(K127))</f>
        <v/>
      </c>
      <c r="M127" s="35" t="str">
        <f aca="true">IF(D127="","",IF(L127&lt;=0.004,"bezahlt",IF(TODAY()&gt;F127,"ÜBERFÄLLIG",IF(AND(I127&lt;&gt;"",TODAY()&lt;=I127),"Skonto nutzen bis "&amp;TEXT(I127,"DD.MM."),"fällig in "&amp;(F127-TODAY())&amp;" Tagen"))))</f>
        <v/>
      </c>
    </row>
    <row r="128" customFormat="false" ht="15" hidden="false" customHeight="false" outlineLevel="0" collapsed="false">
      <c r="A128" s="32"/>
      <c r="B128" s="32"/>
      <c r="C128" s="33"/>
      <c r="D128" s="30"/>
      <c r="E128" s="32"/>
      <c r="F128" s="44" t="str">
        <f aca="false">IF(C128="","",C128+IF(E128="",30,E128))</f>
        <v/>
      </c>
      <c r="G128" s="45"/>
      <c r="H128" s="32"/>
      <c r="I128" s="44" t="str">
        <f aca="false">IF(OR(C128="",G128=""),"",C128+H128)</f>
        <v/>
      </c>
      <c r="J128" s="33"/>
      <c r="K128" s="30"/>
      <c r="L128" s="31" t="str">
        <f aca="false">IF(D128="","",D128-N(K128))</f>
        <v/>
      </c>
      <c r="M128" s="35" t="str">
        <f aca="true">IF(D128="","",IF(L128&lt;=0.004,"bezahlt",IF(TODAY()&gt;F128,"ÜBERFÄLLIG",IF(AND(I128&lt;&gt;"",TODAY()&lt;=I128),"Skonto nutzen bis "&amp;TEXT(I128,"DD.MM."),"fällig in "&amp;(F128-TODAY())&amp;" Tagen"))))</f>
        <v/>
      </c>
    </row>
    <row r="129" customFormat="false" ht="15" hidden="false" customHeight="false" outlineLevel="0" collapsed="false">
      <c r="A129" s="32"/>
      <c r="B129" s="32"/>
      <c r="C129" s="33"/>
      <c r="D129" s="30"/>
      <c r="E129" s="32"/>
      <c r="F129" s="44" t="str">
        <f aca="false">IF(C129="","",C129+IF(E129="",30,E129))</f>
        <v/>
      </c>
      <c r="G129" s="45"/>
      <c r="H129" s="32"/>
      <c r="I129" s="44" t="str">
        <f aca="false">IF(OR(C129="",G129=""),"",C129+H129)</f>
        <v/>
      </c>
      <c r="J129" s="33"/>
      <c r="K129" s="30"/>
      <c r="L129" s="31" t="str">
        <f aca="false">IF(D129="","",D129-N(K129))</f>
        <v/>
      </c>
      <c r="M129" s="35" t="str">
        <f aca="true">IF(D129="","",IF(L129&lt;=0.004,"bezahlt",IF(TODAY()&gt;F129,"ÜBERFÄLLIG",IF(AND(I129&lt;&gt;"",TODAY()&lt;=I129),"Skonto nutzen bis "&amp;TEXT(I129,"DD.MM."),"fällig in "&amp;(F129-TODAY())&amp;" Tagen"))))</f>
        <v/>
      </c>
    </row>
    <row r="130" customFormat="false" ht="15" hidden="false" customHeight="false" outlineLevel="0" collapsed="false">
      <c r="A130" s="32"/>
      <c r="B130" s="32"/>
      <c r="C130" s="33"/>
      <c r="D130" s="30"/>
      <c r="E130" s="32"/>
      <c r="F130" s="44" t="str">
        <f aca="false">IF(C130="","",C130+IF(E130="",30,E130))</f>
        <v/>
      </c>
      <c r="G130" s="45"/>
      <c r="H130" s="32"/>
      <c r="I130" s="44" t="str">
        <f aca="false">IF(OR(C130="",G130=""),"",C130+H130)</f>
        <v/>
      </c>
      <c r="J130" s="33"/>
      <c r="K130" s="30"/>
      <c r="L130" s="31" t="str">
        <f aca="false">IF(D130="","",D130-N(K130))</f>
        <v/>
      </c>
      <c r="M130" s="35" t="str">
        <f aca="true">IF(D130="","",IF(L130&lt;=0.004,"bezahlt",IF(TODAY()&gt;F130,"ÜBERFÄLLIG",IF(AND(I130&lt;&gt;"",TODAY()&lt;=I130),"Skonto nutzen bis "&amp;TEXT(I130,"DD.MM."),"fällig in "&amp;(F130-TODAY())&amp;" Tagen"))))</f>
        <v/>
      </c>
    </row>
    <row r="131" customFormat="false" ht="15" hidden="false" customHeight="false" outlineLevel="0" collapsed="false">
      <c r="A131" s="32"/>
      <c r="B131" s="32"/>
      <c r="C131" s="33"/>
      <c r="D131" s="30"/>
      <c r="E131" s="32"/>
      <c r="F131" s="44" t="str">
        <f aca="false">IF(C131="","",C131+IF(E131="",30,E131))</f>
        <v/>
      </c>
      <c r="G131" s="45"/>
      <c r="H131" s="32"/>
      <c r="I131" s="44" t="str">
        <f aca="false">IF(OR(C131="",G131=""),"",C131+H131)</f>
        <v/>
      </c>
      <c r="J131" s="33"/>
      <c r="K131" s="30"/>
      <c r="L131" s="31" t="str">
        <f aca="false">IF(D131="","",D131-N(K131))</f>
        <v/>
      </c>
      <c r="M131" s="35" t="str">
        <f aca="true">IF(D131="","",IF(L131&lt;=0.004,"bezahlt",IF(TODAY()&gt;F131,"ÜBERFÄLLIG",IF(AND(I131&lt;&gt;"",TODAY()&lt;=I131),"Skonto nutzen bis "&amp;TEXT(I131,"DD.MM."),"fällig in "&amp;(F131-TODAY())&amp;" Tagen"))))</f>
        <v/>
      </c>
    </row>
    <row r="132" customFormat="false" ht="15" hidden="false" customHeight="false" outlineLevel="0" collapsed="false">
      <c r="A132" s="32"/>
      <c r="B132" s="32"/>
      <c r="C132" s="33"/>
      <c r="D132" s="30"/>
      <c r="E132" s="32"/>
      <c r="F132" s="44" t="str">
        <f aca="false">IF(C132="","",C132+IF(E132="",30,E132))</f>
        <v/>
      </c>
      <c r="G132" s="45"/>
      <c r="H132" s="32"/>
      <c r="I132" s="44" t="str">
        <f aca="false">IF(OR(C132="",G132=""),"",C132+H132)</f>
        <v/>
      </c>
      <c r="J132" s="33"/>
      <c r="K132" s="30"/>
      <c r="L132" s="31" t="str">
        <f aca="false">IF(D132="","",D132-N(K132))</f>
        <v/>
      </c>
      <c r="M132" s="35" t="str">
        <f aca="true">IF(D132="","",IF(L132&lt;=0.004,"bezahlt",IF(TODAY()&gt;F132,"ÜBERFÄLLIG",IF(AND(I132&lt;&gt;"",TODAY()&lt;=I132),"Skonto nutzen bis "&amp;TEXT(I132,"DD.MM."),"fällig in "&amp;(F132-TODAY())&amp;" Tagen"))))</f>
        <v/>
      </c>
    </row>
    <row r="133" customFormat="false" ht="15" hidden="false" customHeight="false" outlineLevel="0" collapsed="false">
      <c r="A133" s="32"/>
      <c r="B133" s="32"/>
      <c r="C133" s="33"/>
      <c r="D133" s="30"/>
      <c r="E133" s="32"/>
      <c r="F133" s="44" t="str">
        <f aca="false">IF(C133="","",C133+IF(E133="",30,E133))</f>
        <v/>
      </c>
      <c r="G133" s="45"/>
      <c r="H133" s="32"/>
      <c r="I133" s="44" t="str">
        <f aca="false">IF(OR(C133="",G133=""),"",C133+H133)</f>
        <v/>
      </c>
      <c r="J133" s="33"/>
      <c r="K133" s="30"/>
      <c r="L133" s="31" t="str">
        <f aca="false">IF(D133="","",D133-N(K133))</f>
        <v/>
      </c>
      <c r="M133" s="35" t="str">
        <f aca="true">IF(D133="","",IF(L133&lt;=0.004,"bezahlt",IF(TODAY()&gt;F133,"ÜBERFÄLLIG",IF(AND(I133&lt;&gt;"",TODAY()&lt;=I133),"Skonto nutzen bis "&amp;TEXT(I133,"DD.MM."),"fällig in "&amp;(F133-TODAY())&amp;" Tagen"))))</f>
        <v/>
      </c>
    </row>
    <row r="134" customFormat="false" ht="15" hidden="false" customHeight="false" outlineLevel="0" collapsed="false">
      <c r="A134" s="32"/>
      <c r="B134" s="32"/>
      <c r="C134" s="33"/>
      <c r="D134" s="30"/>
      <c r="E134" s="32"/>
      <c r="F134" s="44" t="str">
        <f aca="false">IF(C134="","",C134+IF(E134="",30,E134))</f>
        <v/>
      </c>
      <c r="G134" s="45"/>
      <c r="H134" s="32"/>
      <c r="I134" s="44" t="str">
        <f aca="false">IF(OR(C134="",G134=""),"",C134+H134)</f>
        <v/>
      </c>
      <c r="J134" s="33"/>
      <c r="K134" s="30"/>
      <c r="L134" s="31" t="str">
        <f aca="false">IF(D134="","",D134-N(K134))</f>
        <v/>
      </c>
      <c r="M134" s="35" t="str">
        <f aca="true">IF(D134="","",IF(L134&lt;=0.004,"bezahlt",IF(TODAY()&gt;F134,"ÜBERFÄLLIG",IF(AND(I134&lt;&gt;"",TODAY()&lt;=I134),"Skonto nutzen bis "&amp;TEXT(I134,"DD.MM."),"fällig in "&amp;(F134-TODAY())&amp;" Tagen"))))</f>
        <v/>
      </c>
    </row>
    <row r="135" customFormat="false" ht="15" hidden="false" customHeight="false" outlineLevel="0" collapsed="false">
      <c r="A135" s="32"/>
      <c r="B135" s="32"/>
      <c r="C135" s="33"/>
      <c r="D135" s="30"/>
      <c r="E135" s="32"/>
      <c r="F135" s="44" t="str">
        <f aca="false">IF(C135="","",C135+IF(E135="",30,E135))</f>
        <v/>
      </c>
      <c r="G135" s="45"/>
      <c r="H135" s="32"/>
      <c r="I135" s="44" t="str">
        <f aca="false">IF(OR(C135="",G135=""),"",C135+H135)</f>
        <v/>
      </c>
      <c r="J135" s="33"/>
      <c r="K135" s="30"/>
      <c r="L135" s="31" t="str">
        <f aca="false">IF(D135="","",D135-N(K135))</f>
        <v/>
      </c>
      <c r="M135" s="35" t="str">
        <f aca="true">IF(D135="","",IF(L135&lt;=0.004,"bezahlt",IF(TODAY()&gt;F135,"ÜBERFÄLLIG",IF(AND(I135&lt;&gt;"",TODAY()&lt;=I135),"Skonto nutzen bis "&amp;TEXT(I135,"DD.MM."),"fällig in "&amp;(F135-TODAY())&amp;" Tagen"))))</f>
        <v/>
      </c>
    </row>
    <row r="136" customFormat="false" ht="15" hidden="false" customHeight="false" outlineLevel="0" collapsed="false">
      <c r="A136" s="32"/>
      <c r="B136" s="32"/>
      <c r="C136" s="33"/>
      <c r="D136" s="30"/>
      <c r="E136" s="32"/>
      <c r="F136" s="44" t="str">
        <f aca="false">IF(C136="","",C136+IF(E136="",30,E136))</f>
        <v/>
      </c>
      <c r="G136" s="45"/>
      <c r="H136" s="32"/>
      <c r="I136" s="44" t="str">
        <f aca="false">IF(OR(C136="",G136=""),"",C136+H136)</f>
        <v/>
      </c>
      <c r="J136" s="33"/>
      <c r="K136" s="30"/>
      <c r="L136" s="31" t="str">
        <f aca="false">IF(D136="","",D136-N(K136))</f>
        <v/>
      </c>
      <c r="M136" s="35" t="str">
        <f aca="true">IF(D136="","",IF(L136&lt;=0.004,"bezahlt",IF(TODAY()&gt;F136,"ÜBERFÄLLIG",IF(AND(I136&lt;&gt;"",TODAY()&lt;=I136),"Skonto nutzen bis "&amp;TEXT(I136,"DD.MM."),"fällig in "&amp;(F136-TODAY())&amp;" Tagen"))))</f>
        <v/>
      </c>
    </row>
    <row r="137" customFormat="false" ht="15" hidden="false" customHeight="false" outlineLevel="0" collapsed="false">
      <c r="A137" s="32"/>
      <c r="B137" s="32"/>
      <c r="C137" s="33"/>
      <c r="D137" s="30"/>
      <c r="E137" s="32"/>
      <c r="F137" s="44" t="str">
        <f aca="false">IF(C137="","",C137+IF(E137="",30,E137))</f>
        <v/>
      </c>
      <c r="G137" s="45"/>
      <c r="H137" s="32"/>
      <c r="I137" s="44" t="str">
        <f aca="false">IF(OR(C137="",G137=""),"",C137+H137)</f>
        <v/>
      </c>
      <c r="J137" s="33"/>
      <c r="K137" s="30"/>
      <c r="L137" s="31" t="str">
        <f aca="false">IF(D137="","",D137-N(K137))</f>
        <v/>
      </c>
      <c r="M137" s="35" t="str">
        <f aca="true">IF(D137="","",IF(L137&lt;=0.004,"bezahlt",IF(TODAY()&gt;F137,"ÜBERFÄLLIG",IF(AND(I137&lt;&gt;"",TODAY()&lt;=I137),"Skonto nutzen bis "&amp;TEXT(I137,"DD.MM."),"fällig in "&amp;(F137-TODAY())&amp;" Tagen"))))</f>
        <v/>
      </c>
    </row>
    <row r="138" customFormat="false" ht="15" hidden="false" customHeight="false" outlineLevel="0" collapsed="false">
      <c r="A138" s="32"/>
      <c r="B138" s="32"/>
      <c r="C138" s="33"/>
      <c r="D138" s="30"/>
      <c r="E138" s="32"/>
      <c r="F138" s="44" t="str">
        <f aca="false">IF(C138="","",C138+IF(E138="",30,E138))</f>
        <v/>
      </c>
      <c r="G138" s="45"/>
      <c r="H138" s="32"/>
      <c r="I138" s="44" t="str">
        <f aca="false">IF(OR(C138="",G138=""),"",C138+H138)</f>
        <v/>
      </c>
      <c r="J138" s="33"/>
      <c r="K138" s="30"/>
      <c r="L138" s="31" t="str">
        <f aca="false">IF(D138="","",D138-N(K138))</f>
        <v/>
      </c>
      <c r="M138" s="35" t="str">
        <f aca="true">IF(D138="","",IF(L138&lt;=0.004,"bezahlt",IF(TODAY()&gt;F138,"ÜBERFÄLLIG",IF(AND(I138&lt;&gt;"",TODAY()&lt;=I138),"Skonto nutzen bis "&amp;TEXT(I138,"DD.MM."),"fällig in "&amp;(F138-TODAY())&amp;" Tagen"))))</f>
        <v/>
      </c>
    </row>
    <row r="139" customFormat="false" ht="15" hidden="false" customHeight="false" outlineLevel="0" collapsed="false">
      <c r="A139" s="32"/>
      <c r="B139" s="32"/>
      <c r="C139" s="33"/>
      <c r="D139" s="30"/>
      <c r="E139" s="32"/>
      <c r="F139" s="44" t="str">
        <f aca="false">IF(C139="","",C139+IF(E139="",30,E139))</f>
        <v/>
      </c>
      <c r="G139" s="45"/>
      <c r="H139" s="32"/>
      <c r="I139" s="44" t="str">
        <f aca="false">IF(OR(C139="",G139=""),"",C139+H139)</f>
        <v/>
      </c>
      <c r="J139" s="33"/>
      <c r="K139" s="30"/>
      <c r="L139" s="31" t="str">
        <f aca="false">IF(D139="","",D139-N(K139))</f>
        <v/>
      </c>
      <c r="M139" s="35" t="str">
        <f aca="true">IF(D139="","",IF(L139&lt;=0.004,"bezahlt",IF(TODAY()&gt;F139,"ÜBERFÄLLIG",IF(AND(I139&lt;&gt;"",TODAY()&lt;=I139),"Skonto nutzen bis "&amp;TEXT(I139,"DD.MM."),"fällig in "&amp;(F139-TODAY())&amp;" Tagen"))))</f>
        <v/>
      </c>
    </row>
    <row r="140" customFormat="false" ht="15" hidden="false" customHeight="false" outlineLevel="0" collapsed="false">
      <c r="A140" s="32"/>
      <c r="B140" s="32"/>
      <c r="C140" s="33"/>
      <c r="D140" s="30"/>
      <c r="E140" s="32"/>
      <c r="F140" s="44" t="str">
        <f aca="false">IF(C140="","",C140+IF(E140="",30,E140))</f>
        <v/>
      </c>
      <c r="G140" s="45"/>
      <c r="H140" s="32"/>
      <c r="I140" s="44" t="str">
        <f aca="false">IF(OR(C140="",G140=""),"",C140+H140)</f>
        <v/>
      </c>
      <c r="J140" s="33"/>
      <c r="K140" s="30"/>
      <c r="L140" s="31" t="str">
        <f aca="false">IF(D140="","",D140-N(K140))</f>
        <v/>
      </c>
      <c r="M140" s="35" t="str">
        <f aca="true">IF(D140="","",IF(L140&lt;=0.004,"bezahlt",IF(TODAY()&gt;F140,"ÜBERFÄLLIG",IF(AND(I140&lt;&gt;"",TODAY()&lt;=I140),"Skonto nutzen bis "&amp;TEXT(I140,"DD.MM."),"fällig in "&amp;(F140-TODAY())&amp;" Tagen"))))</f>
        <v/>
      </c>
    </row>
    <row r="141" customFormat="false" ht="15" hidden="false" customHeight="false" outlineLevel="0" collapsed="false">
      <c r="A141" s="32"/>
      <c r="B141" s="32"/>
      <c r="C141" s="33"/>
      <c r="D141" s="30"/>
      <c r="E141" s="32"/>
      <c r="F141" s="44" t="str">
        <f aca="false">IF(C141="","",C141+IF(E141="",30,E141))</f>
        <v/>
      </c>
      <c r="G141" s="45"/>
      <c r="H141" s="32"/>
      <c r="I141" s="44" t="str">
        <f aca="false">IF(OR(C141="",G141=""),"",C141+H141)</f>
        <v/>
      </c>
      <c r="J141" s="33"/>
      <c r="K141" s="30"/>
      <c r="L141" s="31" t="str">
        <f aca="false">IF(D141="","",D141-N(K141))</f>
        <v/>
      </c>
      <c r="M141" s="35" t="str">
        <f aca="true">IF(D141="","",IF(L141&lt;=0.004,"bezahlt",IF(TODAY()&gt;F141,"ÜBERFÄLLIG",IF(AND(I141&lt;&gt;"",TODAY()&lt;=I141),"Skonto nutzen bis "&amp;TEXT(I141,"DD.MM."),"fällig in "&amp;(F141-TODAY())&amp;" Tagen"))))</f>
        <v/>
      </c>
    </row>
    <row r="142" customFormat="false" ht="15" hidden="false" customHeight="false" outlineLevel="0" collapsed="false">
      <c r="A142" s="32"/>
      <c r="B142" s="32"/>
      <c r="C142" s="33"/>
      <c r="D142" s="30"/>
      <c r="E142" s="32"/>
      <c r="F142" s="44" t="str">
        <f aca="false">IF(C142="","",C142+IF(E142="",30,E142))</f>
        <v/>
      </c>
      <c r="G142" s="45"/>
      <c r="H142" s="32"/>
      <c r="I142" s="44" t="str">
        <f aca="false">IF(OR(C142="",G142=""),"",C142+H142)</f>
        <v/>
      </c>
      <c r="J142" s="33"/>
      <c r="K142" s="30"/>
      <c r="L142" s="31" t="str">
        <f aca="false">IF(D142="","",D142-N(K142))</f>
        <v/>
      </c>
      <c r="M142" s="35" t="str">
        <f aca="true">IF(D142="","",IF(L142&lt;=0.004,"bezahlt",IF(TODAY()&gt;F142,"ÜBERFÄLLIG",IF(AND(I142&lt;&gt;"",TODAY()&lt;=I142),"Skonto nutzen bis "&amp;TEXT(I142,"DD.MM."),"fällig in "&amp;(F142-TODAY())&amp;" Tagen"))))</f>
        <v/>
      </c>
    </row>
    <row r="143" customFormat="false" ht="15" hidden="false" customHeight="false" outlineLevel="0" collapsed="false">
      <c r="A143" s="32"/>
      <c r="B143" s="32"/>
      <c r="C143" s="33"/>
      <c r="D143" s="30"/>
      <c r="E143" s="32"/>
      <c r="F143" s="44" t="str">
        <f aca="false">IF(C143="","",C143+IF(E143="",30,E143))</f>
        <v/>
      </c>
      <c r="G143" s="45"/>
      <c r="H143" s="32"/>
      <c r="I143" s="44" t="str">
        <f aca="false">IF(OR(C143="",G143=""),"",C143+H143)</f>
        <v/>
      </c>
      <c r="J143" s="33"/>
      <c r="K143" s="30"/>
      <c r="L143" s="31" t="str">
        <f aca="false">IF(D143="","",D143-N(K143))</f>
        <v/>
      </c>
      <c r="M143" s="35" t="str">
        <f aca="true">IF(D143="","",IF(L143&lt;=0.004,"bezahlt",IF(TODAY()&gt;F143,"ÜBERFÄLLIG",IF(AND(I143&lt;&gt;"",TODAY()&lt;=I143),"Skonto nutzen bis "&amp;TEXT(I143,"DD.MM."),"fällig in "&amp;(F143-TODAY())&amp;" Tagen"))))</f>
        <v/>
      </c>
    </row>
    <row r="144" customFormat="false" ht="15" hidden="false" customHeight="false" outlineLevel="0" collapsed="false">
      <c r="A144" s="32"/>
      <c r="B144" s="32"/>
      <c r="C144" s="33"/>
      <c r="D144" s="30"/>
      <c r="E144" s="32"/>
      <c r="F144" s="44" t="str">
        <f aca="false">IF(C144="","",C144+IF(E144="",30,E144))</f>
        <v/>
      </c>
      <c r="G144" s="45"/>
      <c r="H144" s="32"/>
      <c r="I144" s="44" t="str">
        <f aca="false">IF(OR(C144="",G144=""),"",C144+H144)</f>
        <v/>
      </c>
      <c r="J144" s="33"/>
      <c r="K144" s="30"/>
      <c r="L144" s="31" t="str">
        <f aca="false">IF(D144="","",D144-N(K144))</f>
        <v/>
      </c>
      <c r="M144" s="35" t="str">
        <f aca="true">IF(D144="","",IF(L144&lt;=0.004,"bezahlt",IF(TODAY()&gt;F144,"ÜBERFÄLLIG",IF(AND(I144&lt;&gt;"",TODAY()&lt;=I144),"Skonto nutzen bis "&amp;TEXT(I144,"DD.MM."),"fällig in "&amp;(F144-TODAY())&amp;" Tagen"))))</f>
        <v/>
      </c>
    </row>
    <row r="145" customFormat="false" ht="15" hidden="false" customHeight="false" outlineLevel="0" collapsed="false">
      <c r="A145" s="32"/>
      <c r="B145" s="32"/>
      <c r="C145" s="33"/>
      <c r="D145" s="30"/>
      <c r="E145" s="32"/>
      <c r="F145" s="44" t="str">
        <f aca="false">IF(C145="","",C145+IF(E145="",30,E145))</f>
        <v/>
      </c>
      <c r="G145" s="45"/>
      <c r="H145" s="32"/>
      <c r="I145" s="44" t="str">
        <f aca="false">IF(OR(C145="",G145=""),"",C145+H145)</f>
        <v/>
      </c>
      <c r="J145" s="33"/>
      <c r="K145" s="30"/>
      <c r="L145" s="31" t="str">
        <f aca="false">IF(D145="","",D145-N(K145))</f>
        <v/>
      </c>
      <c r="M145" s="35" t="str">
        <f aca="true">IF(D145="","",IF(L145&lt;=0.004,"bezahlt",IF(TODAY()&gt;F145,"ÜBERFÄLLIG",IF(AND(I145&lt;&gt;"",TODAY()&lt;=I145),"Skonto nutzen bis "&amp;TEXT(I145,"DD.MM."),"fällig in "&amp;(F145-TODAY())&amp;" Tagen"))))</f>
        <v/>
      </c>
    </row>
    <row r="146" customFormat="false" ht="15" hidden="false" customHeight="false" outlineLevel="0" collapsed="false">
      <c r="A146" s="32"/>
      <c r="B146" s="32"/>
      <c r="C146" s="33"/>
      <c r="D146" s="30"/>
      <c r="E146" s="32"/>
      <c r="F146" s="44" t="str">
        <f aca="false">IF(C146="","",C146+IF(E146="",30,E146))</f>
        <v/>
      </c>
      <c r="G146" s="45"/>
      <c r="H146" s="32"/>
      <c r="I146" s="44" t="str">
        <f aca="false">IF(OR(C146="",G146=""),"",C146+H146)</f>
        <v/>
      </c>
      <c r="J146" s="33"/>
      <c r="K146" s="30"/>
      <c r="L146" s="31" t="str">
        <f aca="false">IF(D146="","",D146-N(K146))</f>
        <v/>
      </c>
      <c r="M146" s="35" t="str">
        <f aca="true">IF(D146="","",IF(L146&lt;=0.004,"bezahlt",IF(TODAY()&gt;F146,"ÜBERFÄLLIG",IF(AND(I146&lt;&gt;"",TODAY()&lt;=I146),"Skonto nutzen bis "&amp;TEXT(I146,"DD.MM."),"fällig in "&amp;(F146-TODAY())&amp;" Tagen"))))</f>
        <v/>
      </c>
    </row>
    <row r="147" customFormat="false" ht="15" hidden="false" customHeight="false" outlineLevel="0" collapsed="false">
      <c r="A147" s="32"/>
      <c r="B147" s="32"/>
      <c r="C147" s="33"/>
      <c r="D147" s="30"/>
      <c r="E147" s="32"/>
      <c r="F147" s="44" t="str">
        <f aca="false">IF(C147="","",C147+IF(E147="",30,E147))</f>
        <v/>
      </c>
      <c r="G147" s="45"/>
      <c r="H147" s="32"/>
      <c r="I147" s="44" t="str">
        <f aca="false">IF(OR(C147="",G147=""),"",C147+H147)</f>
        <v/>
      </c>
      <c r="J147" s="33"/>
      <c r="K147" s="30"/>
      <c r="L147" s="31" t="str">
        <f aca="false">IF(D147="","",D147-N(K147))</f>
        <v/>
      </c>
      <c r="M147" s="35" t="str">
        <f aca="true">IF(D147="","",IF(L147&lt;=0.004,"bezahlt",IF(TODAY()&gt;F147,"ÜBERFÄLLIG",IF(AND(I147&lt;&gt;"",TODAY()&lt;=I147),"Skonto nutzen bis "&amp;TEXT(I147,"DD.MM."),"fällig in "&amp;(F147-TODAY())&amp;" Tagen"))))</f>
        <v/>
      </c>
    </row>
    <row r="148" customFormat="false" ht="15" hidden="false" customHeight="false" outlineLevel="0" collapsed="false">
      <c r="A148" s="32"/>
      <c r="B148" s="32"/>
      <c r="C148" s="33"/>
      <c r="D148" s="30"/>
      <c r="E148" s="32"/>
      <c r="F148" s="44" t="str">
        <f aca="false">IF(C148="","",C148+IF(E148="",30,E148))</f>
        <v/>
      </c>
      <c r="G148" s="45"/>
      <c r="H148" s="32"/>
      <c r="I148" s="44" t="str">
        <f aca="false">IF(OR(C148="",G148=""),"",C148+H148)</f>
        <v/>
      </c>
      <c r="J148" s="33"/>
      <c r="K148" s="30"/>
      <c r="L148" s="31" t="str">
        <f aca="false">IF(D148="","",D148-N(K148))</f>
        <v/>
      </c>
      <c r="M148" s="35" t="str">
        <f aca="true">IF(D148="","",IF(L148&lt;=0.004,"bezahlt",IF(TODAY()&gt;F148,"ÜBERFÄLLIG",IF(AND(I148&lt;&gt;"",TODAY()&lt;=I148),"Skonto nutzen bis "&amp;TEXT(I148,"DD.MM."),"fällig in "&amp;(F148-TODAY())&amp;" Tagen"))))</f>
        <v/>
      </c>
    </row>
    <row r="149" customFormat="false" ht="15" hidden="false" customHeight="false" outlineLevel="0" collapsed="false">
      <c r="A149" s="32"/>
      <c r="B149" s="32"/>
      <c r="C149" s="33"/>
      <c r="D149" s="30"/>
      <c r="E149" s="32"/>
      <c r="F149" s="44" t="str">
        <f aca="false">IF(C149="","",C149+IF(E149="",30,E149))</f>
        <v/>
      </c>
      <c r="G149" s="45"/>
      <c r="H149" s="32"/>
      <c r="I149" s="44" t="str">
        <f aca="false">IF(OR(C149="",G149=""),"",C149+H149)</f>
        <v/>
      </c>
      <c r="J149" s="33"/>
      <c r="K149" s="30"/>
      <c r="L149" s="31" t="str">
        <f aca="false">IF(D149="","",D149-N(K149))</f>
        <v/>
      </c>
      <c r="M149" s="35" t="str">
        <f aca="true">IF(D149="","",IF(L149&lt;=0.004,"bezahlt",IF(TODAY()&gt;F149,"ÜBERFÄLLIG",IF(AND(I149&lt;&gt;"",TODAY()&lt;=I149),"Skonto nutzen bis "&amp;TEXT(I149,"DD.MM."),"fällig in "&amp;(F149-TODAY())&amp;" Tagen"))))</f>
        <v/>
      </c>
    </row>
    <row r="150" customFormat="false" ht="15" hidden="false" customHeight="false" outlineLevel="0" collapsed="false">
      <c r="A150" s="32"/>
      <c r="B150" s="32"/>
      <c r="C150" s="33"/>
      <c r="D150" s="30"/>
      <c r="E150" s="32"/>
      <c r="F150" s="44" t="str">
        <f aca="false">IF(C150="","",C150+IF(E150="",30,E150))</f>
        <v/>
      </c>
      <c r="G150" s="45"/>
      <c r="H150" s="32"/>
      <c r="I150" s="44" t="str">
        <f aca="false">IF(OR(C150="",G150=""),"",C150+H150)</f>
        <v/>
      </c>
      <c r="J150" s="33"/>
      <c r="K150" s="30"/>
      <c r="L150" s="31" t="str">
        <f aca="false">IF(D150="","",D150-N(K150))</f>
        <v/>
      </c>
      <c r="M150" s="35" t="str">
        <f aca="true">IF(D150="","",IF(L150&lt;=0.004,"bezahlt",IF(TODAY()&gt;F150,"ÜBERFÄLLIG",IF(AND(I150&lt;&gt;"",TODAY()&lt;=I150),"Skonto nutzen bis "&amp;TEXT(I150,"DD.MM."),"fällig in "&amp;(F150-TODAY())&amp;" Tagen"))))</f>
        <v/>
      </c>
    </row>
    <row r="151" customFormat="false" ht="15" hidden="false" customHeight="false" outlineLevel="0" collapsed="false">
      <c r="A151" s="32"/>
      <c r="B151" s="32"/>
      <c r="C151" s="33"/>
      <c r="D151" s="30"/>
      <c r="E151" s="32"/>
      <c r="F151" s="44" t="str">
        <f aca="false">IF(C151="","",C151+IF(E151="",30,E151))</f>
        <v/>
      </c>
      <c r="G151" s="45"/>
      <c r="H151" s="32"/>
      <c r="I151" s="44" t="str">
        <f aca="false">IF(OR(C151="",G151=""),"",C151+H151)</f>
        <v/>
      </c>
      <c r="J151" s="33"/>
      <c r="K151" s="30"/>
      <c r="L151" s="31" t="str">
        <f aca="false">IF(D151="","",D151-N(K151))</f>
        <v/>
      </c>
      <c r="M151" s="35" t="str">
        <f aca="true">IF(D151="","",IF(L151&lt;=0.004,"bezahlt",IF(TODAY()&gt;F151,"ÜBERFÄLLIG",IF(AND(I151&lt;&gt;"",TODAY()&lt;=I151),"Skonto nutzen bis "&amp;TEXT(I151,"DD.MM."),"fällig in "&amp;(F151-TODAY())&amp;" Tagen"))))</f>
        <v/>
      </c>
    </row>
    <row r="152" customFormat="false" ht="15" hidden="false" customHeight="false" outlineLevel="0" collapsed="false">
      <c r="A152" s="32"/>
      <c r="B152" s="32"/>
      <c r="C152" s="33"/>
      <c r="D152" s="30"/>
      <c r="E152" s="32"/>
      <c r="F152" s="44" t="str">
        <f aca="false">IF(C152="","",C152+IF(E152="",30,E152))</f>
        <v/>
      </c>
      <c r="G152" s="45"/>
      <c r="H152" s="32"/>
      <c r="I152" s="44" t="str">
        <f aca="false">IF(OR(C152="",G152=""),"",C152+H152)</f>
        <v/>
      </c>
      <c r="J152" s="33"/>
      <c r="K152" s="30"/>
      <c r="L152" s="31" t="str">
        <f aca="false">IF(D152="","",D152-N(K152))</f>
        <v/>
      </c>
      <c r="M152" s="35" t="str">
        <f aca="true">IF(D152="","",IF(L152&lt;=0.004,"bezahlt",IF(TODAY()&gt;F152,"ÜBERFÄLLIG",IF(AND(I152&lt;&gt;"",TODAY()&lt;=I152),"Skonto nutzen bis "&amp;TEXT(I152,"DD.MM."),"fällig in "&amp;(F152-TODAY())&amp;" Tagen"))))</f>
        <v/>
      </c>
    </row>
    <row r="153" customFormat="false" ht="15" hidden="false" customHeight="false" outlineLevel="0" collapsed="false">
      <c r="A153" s="32"/>
      <c r="B153" s="32"/>
      <c r="C153" s="33"/>
      <c r="D153" s="30"/>
      <c r="E153" s="32"/>
      <c r="F153" s="44" t="str">
        <f aca="false">IF(C153="","",C153+IF(E153="",30,E153))</f>
        <v/>
      </c>
      <c r="G153" s="45"/>
      <c r="H153" s="32"/>
      <c r="I153" s="44" t="str">
        <f aca="false">IF(OR(C153="",G153=""),"",C153+H153)</f>
        <v/>
      </c>
      <c r="J153" s="33"/>
      <c r="K153" s="30"/>
      <c r="L153" s="31" t="str">
        <f aca="false">IF(D153="","",D153-N(K153))</f>
        <v/>
      </c>
      <c r="M153" s="35" t="str">
        <f aca="true">IF(D153="","",IF(L153&lt;=0.004,"bezahlt",IF(TODAY()&gt;F153,"ÜBERFÄLLIG",IF(AND(I153&lt;&gt;"",TODAY()&lt;=I153),"Skonto nutzen bis "&amp;TEXT(I153,"DD.MM."),"fällig in "&amp;(F153-TODAY())&amp;" Tagen"))))</f>
        <v/>
      </c>
    </row>
    <row r="154" customFormat="false" ht="15" hidden="false" customHeight="false" outlineLevel="0" collapsed="false">
      <c r="A154" s="32"/>
      <c r="B154" s="32"/>
      <c r="C154" s="33"/>
      <c r="D154" s="30"/>
      <c r="E154" s="32"/>
      <c r="F154" s="44" t="str">
        <f aca="false">IF(C154="","",C154+IF(E154="",30,E154))</f>
        <v/>
      </c>
      <c r="G154" s="45"/>
      <c r="H154" s="32"/>
      <c r="I154" s="44" t="str">
        <f aca="false">IF(OR(C154="",G154=""),"",C154+H154)</f>
        <v/>
      </c>
      <c r="J154" s="33"/>
      <c r="K154" s="30"/>
      <c r="L154" s="31" t="str">
        <f aca="false">IF(D154="","",D154-N(K154))</f>
        <v/>
      </c>
      <c r="M154" s="35" t="str">
        <f aca="true">IF(D154="","",IF(L154&lt;=0.004,"bezahlt",IF(TODAY()&gt;F154,"ÜBERFÄLLIG",IF(AND(I154&lt;&gt;"",TODAY()&lt;=I154),"Skonto nutzen bis "&amp;TEXT(I154,"DD.MM."),"fällig in "&amp;(F154-TODAY())&amp;" Tagen"))))</f>
        <v/>
      </c>
    </row>
    <row r="155" customFormat="false" ht="15" hidden="false" customHeight="false" outlineLevel="0" collapsed="false">
      <c r="A155" s="32"/>
      <c r="B155" s="32"/>
      <c r="C155" s="33"/>
      <c r="D155" s="30"/>
      <c r="E155" s="32"/>
      <c r="F155" s="44" t="str">
        <f aca="false">IF(C155="","",C155+IF(E155="",30,E155))</f>
        <v/>
      </c>
      <c r="G155" s="45"/>
      <c r="H155" s="32"/>
      <c r="I155" s="44" t="str">
        <f aca="false">IF(OR(C155="",G155=""),"",C155+H155)</f>
        <v/>
      </c>
      <c r="J155" s="33"/>
      <c r="K155" s="30"/>
      <c r="L155" s="31" t="str">
        <f aca="false">IF(D155="","",D155-N(K155))</f>
        <v/>
      </c>
      <c r="M155" s="35" t="str">
        <f aca="true">IF(D155="","",IF(L155&lt;=0.004,"bezahlt",IF(TODAY()&gt;F155,"ÜBERFÄLLIG",IF(AND(I155&lt;&gt;"",TODAY()&lt;=I155),"Skonto nutzen bis "&amp;TEXT(I155,"DD.MM."),"fällig in "&amp;(F155-TODAY())&amp;" Tagen"))))</f>
        <v/>
      </c>
    </row>
    <row r="156" customFormat="false" ht="15" hidden="false" customHeight="false" outlineLevel="0" collapsed="false">
      <c r="A156" s="32"/>
      <c r="B156" s="32"/>
      <c r="C156" s="33"/>
      <c r="D156" s="30"/>
      <c r="E156" s="32"/>
      <c r="F156" s="44" t="str">
        <f aca="false">IF(C156="","",C156+IF(E156="",30,E156))</f>
        <v/>
      </c>
      <c r="G156" s="45"/>
      <c r="H156" s="32"/>
      <c r="I156" s="44" t="str">
        <f aca="false">IF(OR(C156="",G156=""),"",C156+H156)</f>
        <v/>
      </c>
      <c r="J156" s="33"/>
      <c r="K156" s="30"/>
      <c r="L156" s="31" t="str">
        <f aca="false">IF(D156="","",D156-N(K156))</f>
        <v/>
      </c>
      <c r="M156" s="35" t="str">
        <f aca="true">IF(D156="","",IF(L156&lt;=0.004,"bezahlt",IF(TODAY()&gt;F156,"ÜBERFÄLLIG",IF(AND(I156&lt;&gt;"",TODAY()&lt;=I156),"Skonto nutzen bis "&amp;TEXT(I156,"DD.MM."),"fällig in "&amp;(F156-TODAY())&amp;" Tagen"))))</f>
        <v/>
      </c>
    </row>
    <row r="157" customFormat="false" ht="15" hidden="false" customHeight="false" outlineLevel="0" collapsed="false">
      <c r="A157" s="32"/>
      <c r="B157" s="32"/>
      <c r="C157" s="33"/>
      <c r="D157" s="30"/>
      <c r="E157" s="32"/>
      <c r="F157" s="44" t="str">
        <f aca="false">IF(C157="","",C157+IF(E157="",30,E157))</f>
        <v/>
      </c>
      <c r="G157" s="45"/>
      <c r="H157" s="32"/>
      <c r="I157" s="44" t="str">
        <f aca="false">IF(OR(C157="",G157=""),"",C157+H157)</f>
        <v/>
      </c>
      <c r="J157" s="33"/>
      <c r="K157" s="30"/>
      <c r="L157" s="31" t="str">
        <f aca="false">IF(D157="","",D157-N(K157))</f>
        <v/>
      </c>
      <c r="M157" s="35" t="str">
        <f aca="true">IF(D157="","",IF(L157&lt;=0.004,"bezahlt",IF(TODAY()&gt;F157,"ÜBERFÄLLIG",IF(AND(I157&lt;&gt;"",TODAY()&lt;=I157),"Skonto nutzen bis "&amp;TEXT(I157,"DD.MM."),"fällig in "&amp;(F157-TODAY())&amp;" Tagen"))))</f>
        <v/>
      </c>
    </row>
    <row r="158" customFormat="false" ht="15" hidden="false" customHeight="false" outlineLevel="0" collapsed="false">
      <c r="A158" s="32"/>
      <c r="B158" s="32"/>
      <c r="C158" s="33"/>
      <c r="D158" s="30"/>
      <c r="E158" s="32"/>
      <c r="F158" s="44" t="str">
        <f aca="false">IF(C158="","",C158+IF(E158="",30,E158))</f>
        <v/>
      </c>
      <c r="G158" s="45"/>
      <c r="H158" s="32"/>
      <c r="I158" s="44" t="str">
        <f aca="false">IF(OR(C158="",G158=""),"",C158+H158)</f>
        <v/>
      </c>
      <c r="J158" s="33"/>
      <c r="K158" s="30"/>
      <c r="L158" s="31" t="str">
        <f aca="false">IF(D158="","",D158-N(K158))</f>
        <v/>
      </c>
      <c r="M158" s="35" t="str">
        <f aca="true">IF(D158="","",IF(L158&lt;=0.004,"bezahlt",IF(TODAY()&gt;F158,"ÜBERFÄLLIG",IF(AND(I158&lt;&gt;"",TODAY()&lt;=I158),"Skonto nutzen bis "&amp;TEXT(I158,"DD.MM."),"fällig in "&amp;(F158-TODAY())&amp;" Tagen"))))</f>
        <v/>
      </c>
    </row>
    <row r="159" customFormat="false" ht="15" hidden="false" customHeight="false" outlineLevel="0" collapsed="false">
      <c r="A159" s="32"/>
      <c r="B159" s="32"/>
      <c r="C159" s="33"/>
      <c r="D159" s="30"/>
      <c r="E159" s="32"/>
      <c r="F159" s="44" t="str">
        <f aca="false">IF(C159="","",C159+IF(E159="",30,E159))</f>
        <v/>
      </c>
      <c r="G159" s="45"/>
      <c r="H159" s="32"/>
      <c r="I159" s="44" t="str">
        <f aca="false">IF(OR(C159="",G159=""),"",C159+H159)</f>
        <v/>
      </c>
      <c r="J159" s="33"/>
      <c r="K159" s="30"/>
      <c r="L159" s="31" t="str">
        <f aca="false">IF(D159="","",D159-N(K159))</f>
        <v/>
      </c>
      <c r="M159" s="35" t="str">
        <f aca="true">IF(D159="","",IF(L159&lt;=0.004,"bezahlt",IF(TODAY()&gt;F159,"ÜBERFÄLLIG",IF(AND(I159&lt;&gt;"",TODAY()&lt;=I159),"Skonto nutzen bis "&amp;TEXT(I159,"DD.MM."),"fällig in "&amp;(F159-TODAY())&amp;" Tagen"))))</f>
        <v/>
      </c>
    </row>
    <row r="160" customFormat="false" ht="15" hidden="false" customHeight="false" outlineLevel="0" collapsed="false">
      <c r="A160" s="32"/>
      <c r="B160" s="32"/>
      <c r="C160" s="33"/>
      <c r="D160" s="30"/>
      <c r="E160" s="32"/>
      <c r="F160" s="44" t="str">
        <f aca="false">IF(C160="","",C160+IF(E160="",30,E160))</f>
        <v/>
      </c>
      <c r="G160" s="45"/>
      <c r="H160" s="32"/>
      <c r="I160" s="44" t="str">
        <f aca="false">IF(OR(C160="",G160=""),"",C160+H160)</f>
        <v/>
      </c>
      <c r="J160" s="33"/>
      <c r="K160" s="30"/>
      <c r="L160" s="31" t="str">
        <f aca="false">IF(D160="","",D160-N(K160))</f>
        <v/>
      </c>
      <c r="M160" s="35" t="str">
        <f aca="true">IF(D160="","",IF(L160&lt;=0.004,"bezahlt",IF(TODAY()&gt;F160,"ÜBERFÄLLIG",IF(AND(I160&lt;&gt;"",TODAY()&lt;=I160),"Skonto nutzen bis "&amp;TEXT(I160,"DD.MM."),"fällig in "&amp;(F160-TODAY())&amp;" Tagen"))))</f>
        <v/>
      </c>
    </row>
    <row r="161" customFormat="false" ht="15" hidden="false" customHeight="false" outlineLevel="0" collapsed="false">
      <c r="A161" s="32"/>
      <c r="B161" s="32"/>
      <c r="C161" s="33"/>
      <c r="D161" s="30"/>
      <c r="E161" s="32"/>
      <c r="F161" s="44" t="str">
        <f aca="false">IF(C161="","",C161+IF(E161="",30,E161))</f>
        <v/>
      </c>
      <c r="G161" s="45"/>
      <c r="H161" s="32"/>
      <c r="I161" s="44" t="str">
        <f aca="false">IF(OR(C161="",G161=""),"",C161+H161)</f>
        <v/>
      </c>
      <c r="J161" s="33"/>
      <c r="K161" s="30"/>
      <c r="L161" s="31" t="str">
        <f aca="false">IF(D161="","",D161-N(K161))</f>
        <v/>
      </c>
      <c r="M161" s="35" t="str">
        <f aca="true">IF(D161="","",IF(L161&lt;=0.004,"bezahlt",IF(TODAY()&gt;F161,"ÜBERFÄLLIG",IF(AND(I161&lt;&gt;"",TODAY()&lt;=I161),"Skonto nutzen bis "&amp;TEXT(I161,"DD.MM."),"fällig in "&amp;(F161-TODAY())&amp;" Tagen"))))</f>
        <v/>
      </c>
    </row>
    <row r="162" customFormat="false" ht="15" hidden="false" customHeight="false" outlineLevel="0" collapsed="false">
      <c r="A162" s="32"/>
      <c r="B162" s="32"/>
      <c r="C162" s="33"/>
      <c r="D162" s="30"/>
      <c r="E162" s="32"/>
      <c r="F162" s="44" t="str">
        <f aca="false">IF(C162="","",C162+IF(E162="",30,E162))</f>
        <v/>
      </c>
      <c r="G162" s="45"/>
      <c r="H162" s="32"/>
      <c r="I162" s="44" t="str">
        <f aca="false">IF(OR(C162="",G162=""),"",C162+H162)</f>
        <v/>
      </c>
      <c r="J162" s="33"/>
      <c r="K162" s="30"/>
      <c r="L162" s="31" t="str">
        <f aca="false">IF(D162="","",D162-N(K162))</f>
        <v/>
      </c>
      <c r="M162" s="35" t="str">
        <f aca="true">IF(D162="","",IF(L162&lt;=0.004,"bezahlt",IF(TODAY()&gt;F162,"ÜBERFÄLLIG",IF(AND(I162&lt;&gt;"",TODAY()&lt;=I162),"Skonto nutzen bis "&amp;TEXT(I162,"DD.MM."),"fällig in "&amp;(F162-TODAY())&amp;" Tagen"))))</f>
        <v/>
      </c>
    </row>
    <row r="163" customFormat="false" ht="15" hidden="false" customHeight="false" outlineLevel="0" collapsed="false">
      <c r="A163" s="32"/>
      <c r="B163" s="32"/>
      <c r="C163" s="33"/>
      <c r="D163" s="30"/>
      <c r="E163" s="32"/>
      <c r="F163" s="44" t="str">
        <f aca="false">IF(C163="","",C163+IF(E163="",30,E163))</f>
        <v/>
      </c>
      <c r="G163" s="45"/>
      <c r="H163" s="32"/>
      <c r="I163" s="44" t="str">
        <f aca="false">IF(OR(C163="",G163=""),"",C163+H163)</f>
        <v/>
      </c>
      <c r="J163" s="33"/>
      <c r="K163" s="30"/>
      <c r="L163" s="31" t="str">
        <f aca="false">IF(D163="","",D163-N(K163))</f>
        <v/>
      </c>
      <c r="M163" s="35" t="str">
        <f aca="true">IF(D163="","",IF(L163&lt;=0.004,"bezahlt",IF(TODAY()&gt;F163,"ÜBERFÄLLIG",IF(AND(I163&lt;&gt;"",TODAY()&lt;=I163),"Skonto nutzen bis "&amp;TEXT(I163,"DD.MM."),"fällig in "&amp;(F163-TODAY())&amp;" Tagen"))))</f>
        <v/>
      </c>
    </row>
    <row r="164" customFormat="false" ht="15" hidden="false" customHeight="false" outlineLevel="0" collapsed="false">
      <c r="A164" s="32"/>
      <c r="B164" s="32"/>
      <c r="C164" s="33"/>
      <c r="D164" s="30"/>
      <c r="E164" s="32"/>
      <c r="F164" s="44" t="str">
        <f aca="false">IF(C164="","",C164+IF(E164="",30,E164))</f>
        <v/>
      </c>
      <c r="G164" s="45"/>
      <c r="H164" s="32"/>
      <c r="I164" s="44" t="str">
        <f aca="false">IF(OR(C164="",G164=""),"",C164+H164)</f>
        <v/>
      </c>
      <c r="J164" s="33"/>
      <c r="K164" s="30"/>
      <c r="L164" s="31" t="str">
        <f aca="false">IF(D164="","",D164-N(K164))</f>
        <v/>
      </c>
      <c r="M164" s="35" t="str">
        <f aca="true">IF(D164="","",IF(L164&lt;=0.004,"bezahlt",IF(TODAY()&gt;F164,"ÜBERFÄLLIG",IF(AND(I164&lt;&gt;"",TODAY()&lt;=I164),"Skonto nutzen bis "&amp;TEXT(I164,"DD.MM."),"fällig in "&amp;(F164-TODAY())&amp;" Tagen"))))</f>
        <v/>
      </c>
    </row>
    <row r="165" customFormat="false" ht="15" hidden="false" customHeight="false" outlineLevel="0" collapsed="false">
      <c r="A165" s="32"/>
      <c r="B165" s="32"/>
      <c r="C165" s="33"/>
      <c r="D165" s="30"/>
      <c r="E165" s="32"/>
      <c r="F165" s="44" t="str">
        <f aca="false">IF(C165="","",C165+IF(E165="",30,E165))</f>
        <v/>
      </c>
      <c r="G165" s="45"/>
      <c r="H165" s="32"/>
      <c r="I165" s="44" t="str">
        <f aca="false">IF(OR(C165="",G165=""),"",C165+H165)</f>
        <v/>
      </c>
      <c r="J165" s="33"/>
      <c r="K165" s="30"/>
      <c r="L165" s="31" t="str">
        <f aca="false">IF(D165="","",D165-N(K165))</f>
        <v/>
      </c>
      <c r="M165" s="35" t="str">
        <f aca="true">IF(D165="","",IF(L165&lt;=0.004,"bezahlt",IF(TODAY()&gt;F165,"ÜBERFÄLLIG",IF(AND(I165&lt;&gt;"",TODAY()&lt;=I165),"Skonto nutzen bis "&amp;TEXT(I165,"DD.MM."),"fällig in "&amp;(F165-TODAY())&amp;" Tagen"))))</f>
        <v/>
      </c>
    </row>
    <row r="166" customFormat="false" ht="15" hidden="false" customHeight="false" outlineLevel="0" collapsed="false">
      <c r="A166" s="32"/>
      <c r="B166" s="32"/>
      <c r="C166" s="33"/>
      <c r="D166" s="30"/>
      <c r="E166" s="32"/>
      <c r="F166" s="44" t="str">
        <f aca="false">IF(C166="","",C166+IF(E166="",30,E166))</f>
        <v/>
      </c>
      <c r="G166" s="45"/>
      <c r="H166" s="32"/>
      <c r="I166" s="44" t="str">
        <f aca="false">IF(OR(C166="",G166=""),"",C166+H166)</f>
        <v/>
      </c>
      <c r="J166" s="33"/>
      <c r="K166" s="30"/>
      <c r="L166" s="31" t="str">
        <f aca="false">IF(D166="","",D166-N(K166))</f>
        <v/>
      </c>
      <c r="M166" s="35" t="str">
        <f aca="true">IF(D166="","",IF(L166&lt;=0.004,"bezahlt",IF(TODAY()&gt;F166,"ÜBERFÄLLIG",IF(AND(I166&lt;&gt;"",TODAY()&lt;=I166),"Skonto nutzen bis "&amp;TEXT(I166,"DD.MM."),"fällig in "&amp;(F166-TODAY())&amp;" Tagen"))))</f>
        <v/>
      </c>
    </row>
    <row r="167" customFormat="false" ht="15" hidden="false" customHeight="false" outlineLevel="0" collapsed="false">
      <c r="A167" s="32"/>
      <c r="B167" s="32"/>
      <c r="C167" s="33"/>
      <c r="D167" s="30"/>
      <c r="E167" s="32"/>
      <c r="F167" s="44" t="str">
        <f aca="false">IF(C167="","",C167+IF(E167="",30,E167))</f>
        <v/>
      </c>
      <c r="G167" s="45"/>
      <c r="H167" s="32"/>
      <c r="I167" s="44" t="str">
        <f aca="false">IF(OR(C167="",G167=""),"",C167+H167)</f>
        <v/>
      </c>
      <c r="J167" s="33"/>
      <c r="K167" s="30"/>
      <c r="L167" s="31" t="str">
        <f aca="false">IF(D167="","",D167-N(K167))</f>
        <v/>
      </c>
      <c r="M167" s="35" t="str">
        <f aca="true">IF(D167="","",IF(L167&lt;=0.004,"bezahlt",IF(TODAY()&gt;F167,"ÜBERFÄLLIG",IF(AND(I167&lt;&gt;"",TODAY()&lt;=I167),"Skonto nutzen bis "&amp;TEXT(I167,"DD.MM."),"fällig in "&amp;(F167-TODAY())&amp;" Tagen"))))</f>
        <v/>
      </c>
    </row>
    <row r="168" customFormat="false" ht="15" hidden="false" customHeight="false" outlineLevel="0" collapsed="false">
      <c r="A168" s="32"/>
      <c r="B168" s="32"/>
      <c r="C168" s="33"/>
      <c r="D168" s="30"/>
      <c r="E168" s="32"/>
      <c r="F168" s="44" t="str">
        <f aca="false">IF(C168="","",C168+IF(E168="",30,E168))</f>
        <v/>
      </c>
      <c r="G168" s="45"/>
      <c r="H168" s="32"/>
      <c r="I168" s="44" t="str">
        <f aca="false">IF(OR(C168="",G168=""),"",C168+H168)</f>
        <v/>
      </c>
      <c r="J168" s="33"/>
      <c r="K168" s="30"/>
      <c r="L168" s="31" t="str">
        <f aca="false">IF(D168="","",D168-N(K168))</f>
        <v/>
      </c>
      <c r="M168" s="35" t="str">
        <f aca="true">IF(D168="","",IF(L168&lt;=0.004,"bezahlt",IF(TODAY()&gt;F168,"ÜBERFÄLLIG",IF(AND(I168&lt;&gt;"",TODAY()&lt;=I168),"Skonto nutzen bis "&amp;TEXT(I168,"DD.MM."),"fällig in "&amp;(F168-TODAY())&amp;" Tagen"))))</f>
        <v/>
      </c>
    </row>
    <row r="169" customFormat="false" ht="15" hidden="false" customHeight="false" outlineLevel="0" collapsed="false">
      <c r="A169" s="32"/>
      <c r="B169" s="32"/>
      <c r="C169" s="33"/>
      <c r="D169" s="30"/>
      <c r="E169" s="32"/>
      <c r="F169" s="44" t="str">
        <f aca="false">IF(C169="","",C169+IF(E169="",30,E169))</f>
        <v/>
      </c>
      <c r="G169" s="45"/>
      <c r="H169" s="32"/>
      <c r="I169" s="44" t="str">
        <f aca="false">IF(OR(C169="",G169=""),"",C169+H169)</f>
        <v/>
      </c>
      <c r="J169" s="33"/>
      <c r="K169" s="30"/>
      <c r="L169" s="31" t="str">
        <f aca="false">IF(D169="","",D169-N(K169))</f>
        <v/>
      </c>
      <c r="M169" s="35" t="str">
        <f aca="true">IF(D169="","",IF(L169&lt;=0.004,"bezahlt",IF(TODAY()&gt;F169,"ÜBERFÄLLIG",IF(AND(I169&lt;&gt;"",TODAY()&lt;=I169),"Skonto nutzen bis "&amp;TEXT(I169,"DD.MM."),"fällig in "&amp;(F169-TODAY())&amp;" Tagen"))))</f>
        <v/>
      </c>
    </row>
    <row r="170" customFormat="false" ht="15" hidden="false" customHeight="false" outlineLevel="0" collapsed="false">
      <c r="A170" s="32"/>
      <c r="B170" s="32"/>
      <c r="C170" s="33"/>
      <c r="D170" s="30"/>
      <c r="E170" s="32"/>
      <c r="F170" s="44" t="str">
        <f aca="false">IF(C170="","",C170+IF(E170="",30,E170))</f>
        <v/>
      </c>
      <c r="G170" s="45"/>
      <c r="H170" s="32"/>
      <c r="I170" s="44" t="str">
        <f aca="false">IF(OR(C170="",G170=""),"",C170+H170)</f>
        <v/>
      </c>
      <c r="J170" s="33"/>
      <c r="K170" s="30"/>
      <c r="L170" s="31" t="str">
        <f aca="false">IF(D170="","",D170-N(K170))</f>
        <v/>
      </c>
      <c r="M170" s="35" t="str">
        <f aca="true">IF(D170="","",IF(L170&lt;=0.004,"bezahlt",IF(TODAY()&gt;F170,"ÜBERFÄLLIG",IF(AND(I170&lt;&gt;"",TODAY()&lt;=I170),"Skonto nutzen bis "&amp;TEXT(I170,"DD.MM."),"fällig in "&amp;(F170-TODAY())&amp;" Tagen"))))</f>
        <v/>
      </c>
    </row>
    <row r="171" customFormat="false" ht="15" hidden="false" customHeight="false" outlineLevel="0" collapsed="false">
      <c r="A171" s="32"/>
      <c r="B171" s="32"/>
      <c r="C171" s="33"/>
      <c r="D171" s="30"/>
      <c r="E171" s="32"/>
      <c r="F171" s="44" t="str">
        <f aca="false">IF(C171="","",C171+IF(E171="",30,E171))</f>
        <v/>
      </c>
      <c r="G171" s="45"/>
      <c r="H171" s="32"/>
      <c r="I171" s="44" t="str">
        <f aca="false">IF(OR(C171="",G171=""),"",C171+H171)</f>
        <v/>
      </c>
      <c r="J171" s="33"/>
      <c r="K171" s="30"/>
      <c r="L171" s="31" t="str">
        <f aca="false">IF(D171="","",D171-N(K171))</f>
        <v/>
      </c>
      <c r="M171" s="35" t="str">
        <f aca="true">IF(D171="","",IF(L171&lt;=0.004,"bezahlt",IF(TODAY()&gt;F171,"ÜBERFÄLLIG",IF(AND(I171&lt;&gt;"",TODAY()&lt;=I171),"Skonto nutzen bis "&amp;TEXT(I171,"DD.MM."),"fällig in "&amp;(F171-TODAY())&amp;" Tagen"))))</f>
        <v/>
      </c>
    </row>
    <row r="172" customFormat="false" ht="15" hidden="false" customHeight="false" outlineLevel="0" collapsed="false">
      <c r="A172" s="32"/>
      <c r="B172" s="32"/>
      <c r="C172" s="33"/>
      <c r="D172" s="30"/>
      <c r="E172" s="32"/>
      <c r="F172" s="44" t="str">
        <f aca="false">IF(C172="","",C172+IF(E172="",30,E172))</f>
        <v/>
      </c>
      <c r="G172" s="45"/>
      <c r="H172" s="32"/>
      <c r="I172" s="44" t="str">
        <f aca="false">IF(OR(C172="",G172=""),"",C172+H172)</f>
        <v/>
      </c>
      <c r="J172" s="33"/>
      <c r="K172" s="30"/>
      <c r="L172" s="31" t="str">
        <f aca="false">IF(D172="","",D172-N(K172))</f>
        <v/>
      </c>
      <c r="M172" s="35" t="str">
        <f aca="true">IF(D172="","",IF(L172&lt;=0.004,"bezahlt",IF(TODAY()&gt;F172,"ÜBERFÄLLIG",IF(AND(I172&lt;&gt;"",TODAY()&lt;=I172),"Skonto nutzen bis "&amp;TEXT(I172,"DD.MM."),"fällig in "&amp;(F172-TODAY())&amp;" Tagen"))))</f>
        <v/>
      </c>
    </row>
    <row r="173" customFormat="false" ht="15" hidden="false" customHeight="false" outlineLevel="0" collapsed="false">
      <c r="A173" s="32"/>
      <c r="B173" s="32"/>
      <c r="C173" s="33"/>
      <c r="D173" s="30"/>
      <c r="E173" s="32"/>
      <c r="F173" s="44" t="str">
        <f aca="false">IF(C173="","",C173+IF(E173="",30,E173))</f>
        <v/>
      </c>
      <c r="G173" s="45"/>
      <c r="H173" s="32"/>
      <c r="I173" s="44" t="str">
        <f aca="false">IF(OR(C173="",G173=""),"",C173+H173)</f>
        <v/>
      </c>
      <c r="J173" s="33"/>
      <c r="K173" s="30"/>
      <c r="L173" s="31" t="str">
        <f aca="false">IF(D173="","",D173-N(K173))</f>
        <v/>
      </c>
      <c r="M173" s="35" t="str">
        <f aca="true">IF(D173="","",IF(L173&lt;=0.004,"bezahlt",IF(TODAY()&gt;F173,"ÜBERFÄLLIG",IF(AND(I173&lt;&gt;"",TODAY()&lt;=I173),"Skonto nutzen bis "&amp;TEXT(I173,"DD.MM."),"fällig in "&amp;(F173-TODAY())&amp;" Tagen"))))</f>
        <v/>
      </c>
    </row>
    <row r="174" customFormat="false" ht="15" hidden="false" customHeight="false" outlineLevel="0" collapsed="false">
      <c r="A174" s="32"/>
      <c r="B174" s="32"/>
      <c r="C174" s="33"/>
      <c r="D174" s="30"/>
      <c r="E174" s="32"/>
      <c r="F174" s="44" t="str">
        <f aca="false">IF(C174="","",C174+IF(E174="",30,E174))</f>
        <v/>
      </c>
      <c r="G174" s="45"/>
      <c r="H174" s="32"/>
      <c r="I174" s="44" t="str">
        <f aca="false">IF(OR(C174="",G174=""),"",C174+H174)</f>
        <v/>
      </c>
      <c r="J174" s="33"/>
      <c r="K174" s="30"/>
      <c r="L174" s="31" t="str">
        <f aca="false">IF(D174="","",D174-N(K174))</f>
        <v/>
      </c>
      <c r="M174" s="35" t="str">
        <f aca="true">IF(D174="","",IF(L174&lt;=0.004,"bezahlt",IF(TODAY()&gt;F174,"ÜBERFÄLLIG",IF(AND(I174&lt;&gt;"",TODAY()&lt;=I174),"Skonto nutzen bis "&amp;TEXT(I174,"DD.MM."),"fällig in "&amp;(F174-TODAY())&amp;" Tagen"))))</f>
        <v/>
      </c>
    </row>
    <row r="175" customFormat="false" ht="15" hidden="false" customHeight="false" outlineLevel="0" collapsed="false">
      <c r="A175" s="32"/>
      <c r="B175" s="32"/>
      <c r="C175" s="33"/>
      <c r="D175" s="30"/>
      <c r="E175" s="32"/>
      <c r="F175" s="44" t="str">
        <f aca="false">IF(C175="","",C175+IF(E175="",30,E175))</f>
        <v/>
      </c>
      <c r="G175" s="45"/>
      <c r="H175" s="32"/>
      <c r="I175" s="44" t="str">
        <f aca="false">IF(OR(C175="",G175=""),"",C175+H175)</f>
        <v/>
      </c>
      <c r="J175" s="33"/>
      <c r="K175" s="30"/>
      <c r="L175" s="31" t="str">
        <f aca="false">IF(D175="","",D175-N(K175))</f>
        <v/>
      </c>
      <c r="M175" s="35" t="str">
        <f aca="true">IF(D175="","",IF(L175&lt;=0.004,"bezahlt",IF(TODAY()&gt;F175,"ÜBERFÄLLIG",IF(AND(I175&lt;&gt;"",TODAY()&lt;=I175),"Skonto nutzen bis "&amp;TEXT(I175,"DD.MM."),"fällig in "&amp;(F175-TODAY())&amp;" Tagen"))))</f>
        <v/>
      </c>
    </row>
    <row r="176" customFormat="false" ht="15" hidden="false" customHeight="false" outlineLevel="0" collapsed="false">
      <c r="A176" s="32"/>
      <c r="B176" s="32"/>
      <c r="C176" s="33"/>
      <c r="D176" s="30"/>
      <c r="E176" s="32"/>
      <c r="F176" s="44" t="str">
        <f aca="false">IF(C176="","",C176+IF(E176="",30,E176))</f>
        <v/>
      </c>
      <c r="G176" s="45"/>
      <c r="H176" s="32"/>
      <c r="I176" s="44" t="str">
        <f aca="false">IF(OR(C176="",G176=""),"",C176+H176)</f>
        <v/>
      </c>
      <c r="J176" s="33"/>
      <c r="K176" s="30"/>
      <c r="L176" s="31" t="str">
        <f aca="false">IF(D176="","",D176-N(K176))</f>
        <v/>
      </c>
      <c r="M176" s="35" t="str">
        <f aca="true">IF(D176="","",IF(L176&lt;=0.004,"bezahlt",IF(TODAY()&gt;F176,"ÜBERFÄLLIG",IF(AND(I176&lt;&gt;"",TODAY()&lt;=I176),"Skonto nutzen bis "&amp;TEXT(I176,"DD.MM."),"fällig in "&amp;(F176-TODAY())&amp;" Tagen"))))</f>
        <v/>
      </c>
    </row>
    <row r="177" customFormat="false" ht="15" hidden="false" customHeight="false" outlineLevel="0" collapsed="false">
      <c r="A177" s="32"/>
      <c r="B177" s="32"/>
      <c r="C177" s="33"/>
      <c r="D177" s="30"/>
      <c r="E177" s="32"/>
      <c r="F177" s="44" t="str">
        <f aca="false">IF(C177="","",C177+IF(E177="",30,E177))</f>
        <v/>
      </c>
      <c r="G177" s="45"/>
      <c r="H177" s="32"/>
      <c r="I177" s="44" t="str">
        <f aca="false">IF(OR(C177="",G177=""),"",C177+H177)</f>
        <v/>
      </c>
      <c r="J177" s="33"/>
      <c r="K177" s="30"/>
      <c r="L177" s="31" t="str">
        <f aca="false">IF(D177="","",D177-N(K177))</f>
        <v/>
      </c>
      <c r="M177" s="35" t="str">
        <f aca="true">IF(D177="","",IF(L177&lt;=0.004,"bezahlt",IF(TODAY()&gt;F177,"ÜBERFÄLLIG",IF(AND(I177&lt;&gt;"",TODAY()&lt;=I177),"Skonto nutzen bis "&amp;TEXT(I177,"DD.MM."),"fällig in "&amp;(F177-TODAY())&amp;" Tagen"))))</f>
        <v/>
      </c>
    </row>
    <row r="178" customFormat="false" ht="15" hidden="false" customHeight="false" outlineLevel="0" collapsed="false">
      <c r="A178" s="32"/>
      <c r="B178" s="32"/>
      <c r="C178" s="33"/>
      <c r="D178" s="30"/>
      <c r="E178" s="32"/>
      <c r="F178" s="44" t="str">
        <f aca="false">IF(C178="","",C178+IF(E178="",30,E178))</f>
        <v/>
      </c>
      <c r="G178" s="45"/>
      <c r="H178" s="32"/>
      <c r="I178" s="44" t="str">
        <f aca="false">IF(OR(C178="",G178=""),"",C178+H178)</f>
        <v/>
      </c>
      <c r="J178" s="33"/>
      <c r="K178" s="30"/>
      <c r="L178" s="31" t="str">
        <f aca="false">IF(D178="","",D178-N(K178))</f>
        <v/>
      </c>
      <c r="M178" s="35" t="str">
        <f aca="true">IF(D178="","",IF(L178&lt;=0.004,"bezahlt",IF(TODAY()&gt;F178,"ÜBERFÄLLIG",IF(AND(I178&lt;&gt;"",TODAY()&lt;=I178),"Skonto nutzen bis "&amp;TEXT(I178,"DD.MM."),"fällig in "&amp;(F178-TODAY())&amp;" Tagen"))))</f>
        <v/>
      </c>
    </row>
    <row r="179" customFormat="false" ht="15" hidden="false" customHeight="false" outlineLevel="0" collapsed="false">
      <c r="A179" s="32"/>
      <c r="B179" s="32"/>
      <c r="C179" s="33"/>
      <c r="D179" s="30"/>
      <c r="E179" s="32"/>
      <c r="F179" s="44" t="str">
        <f aca="false">IF(C179="","",C179+IF(E179="",30,E179))</f>
        <v/>
      </c>
      <c r="G179" s="45"/>
      <c r="H179" s="32"/>
      <c r="I179" s="44" t="str">
        <f aca="false">IF(OR(C179="",G179=""),"",C179+H179)</f>
        <v/>
      </c>
      <c r="J179" s="33"/>
      <c r="K179" s="30"/>
      <c r="L179" s="31" t="str">
        <f aca="false">IF(D179="","",D179-N(K179))</f>
        <v/>
      </c>
      <c r="M179" s="35" t="str">
        <f aca="true">IF(D179="","",IF(L179&lt;=0.004,"bezahlt",IF(TODAY()&gt;F179,"ÜBERFÄLLIG",IF(AND(I179&lt;&gt;"",TODAY()&lt;=I179),"Skonto nutzen bis "&amp;TEXT(I179,"DD.MM."),"fällig in "&amp;(F179-TODAY())&amp;" Tagen"))))</f>
        <v/>
      </c>
    </row>
    <row r="180" customFormat="false" ht="15" hidden="false" customHeight="false" outlineLevel="0" collapsed="false">
      <c r="A180" s="32"/>
      <c r="B180" s="32"/>
      <c r="C180" s="33"/>
      <c r="D180" s="30"/>
      <c r="E180" s="32"/>
      <c r="F180" s="44" t="str">
        <f aca="false">IF(C180="","",C180+IF(E180="",30,E180))</f>
        <v/>
      </c>
      <c r="G180" s="45"/>
      <c r="H180" s="32"/>
      <c r="I180" s="44" t="str">
        <f aca="false">IF(OR(C180="",G180=""),"",C180+H180)</f>
        <v/>
      </c>
      <c r="J180" s="33"/>
      <c r="K180" s="30"/>
      <c r="L180" s="31" t="str">
        <f aca="false">IF(D180="","",D180-N(K180))</f>
        <v/>
      </c>
      <c r="M180" s="35" t="str">
        <f aca="true">IF(D180="","",IF(L180&lt;=0.004,"bezahlt",IF(TODAY()&gt;F180,"ÜBERFÄLLIG",IF(AND(I180&lt;&gt;"",TODAY()&lt;=I180),"Skonto nutzen bis "&amp;TEXT(I180,"DD.MM."),"fällig in "&amp;(F180-TODAY())&amp;" Tagen"))))</f>
        <v/>
      </c>
    </row>
    <row r="181" customFormat="false" ht="15" hidden="false" customHeight="false" outlineLevel="0" collapsed="false">
      <c r="A181" s="32"/>
      <c r="B181" s="32"/>
      <c r="C181" s="33"/>
      <c r="D181" s="30"/>
      <c r="E181" s="32"/>
      <c r="F181" s="44" t="str">
        <f aca="false">IF(C181="","",C181+IF(E181="",30,E181))</f>
        <v/>
      </c>
      <c r="G181" s="45"/>
      <c r="H181" s="32"/>
      <c r="I181" s="44" t="str">
        <f aca="false">IF(OR(C181="",G181=""),"",C181+H181)</f>
        <v/>
      </c>
      <c r="J181" s="33"/>
      <c r="K181" s="30"/>
      <c r="L181" s="31" t="str">
        <f aca="false">IF(D181="","",D181-N(K181))</f>
        <v/>
      </c>
      <c r="M181" s="35" t="str">
        <f aca="true">IF(D181="","",IF(L181&lt;=0.004,"bezahlt",IF(TODAY()&gt;F181,"ÜBERFÄLLIG",IF(AND(I181&lt;&gt;"",TODAY()&lt;=I181),"Skonto nutzen bis "&amp;TEXT(I181,"DD.MM."),"fällig in "&amp;(F181-TODAY())&amp;" Tagen"))))</f>
        <v/>
      </c>
    </row>
    <row r="182" customFormat="false" ht="15" hidden="false" customHeight="false" outlineLevel="0" collapsed="false">
      <c r="A182" s="32"/>
      <c r="B182" s="32"/>
      <c r="C182" s="33"/>
      <c r="D182" s="30"/>
      <c r="E182" s="32"/>
      <c r="F182" s="44" t="str">
        <f aca="false">IF(C182="","",C182+IF(E182="",30,E182))</f>
        <v/>
      </c>
      <c r="G182" s="45"/>
      <c r="H182" s="32"/>
      <c r="I182" s="44" t="str">
        <f aca="false">IF(OR(C182="",G182=""),"",C182+H182)</f>
        <v/>
      </c>
      <c r="J182" s="33"/>
      <c r="K182" s="30"/>
      <c r="L182" s="31" t="str">
        <f aca="false">IF(D182="","",D182-N(K182))</f>
        <v/>
      </c>
      <c r="M182" s="35" t="str">
        <f aca="true">IF(D182="","",IF(L182&lt;=0.004,"bezahlt",IF(TODAY()&gt;F182,"ÜBERFÄLLIG",IF(AND(I182&lt;&gt;"",TODAY()&lt;=I182),"Skonto nutzen bis "&amp;TEXT(I182,"DD.MM."),"fällig in "&amp;(F182-TODAY())&amp;" Tagen"))))</f>
        <v/>
      </c>
    </row>
    <row r="183" customFormat="false" ht="15" hidden="false" customHeight="false" outlineLevel="0" collapsed="false">
      <c r="A183" s="32"/>
      <c r="B183" s="32"/>
      <c r="C183" s="33"/>
      <c r="D183" s="30"/>
      <c r="E183" s="32"/>
      <c r="F183" s="44" t="str">
        <f aca="false">IF(C183="","",C183+IF(E183="",30,E183))</f>
        <v/>
      </c>
      <c r="G183" s="45"/>
      <c r="H183" s="32"/>
      <c r="I183" s="44" t="str">
        <f aca="false">IF(OR(C183="",G183=""),"",C183+H183)</f>
        <v/>
      </c>
      <c r="J183" s="33"/>
      <c r="K183" s="30"/>
      <c r="L183" s="31" t="str">
        <f aca="false">IF(D183="","",D183-N(K183))</f>
        <v/>
      </c>
      <c r="M183" s="35" t="str">
        <f aca="true">IF(D183="","",IF(L183&lt;=0.004,"bezahlt",IF(TODAY()&gt;F183,"ÜBERFÄLLIG",IF(AND(I183&lt;&gt;"",TODAY()&lt;=I183),"Skonto nutzen bis "&amp;TEXT(I183,"DD.MM."),"fällig in "&amp;(F183-TODAY())&amp;" Tagen"))))</f>
        <v/>
      </c>
    </row>
    <row r="184" customFormat="false" ht="15" hidden="false" customHeight="false" outlineLevel="0" collapsed="false">
      <c r="A184" s="32"/>
      <c r="B184" s="32"/>
      <c r="C184" s="33"/>
      <c r="D184" s="30"/>
      <c r="E184" s="32"/>
      <c r="F184" s="44" t="str">
        <f aca="false">IF(C184="","",C184+IF(E184="",30,E184))</f>
        <v/>
      </c>
      <c r="G184" s="45"/>
      <c r="H184" s="32"/>
      <c r="I184" s="44" t="str">
        <f aca="false">IF(OR(C184="",G184=""),"",C184+H184)</f>
        <v/>
      </c>
      <c r="J184" s="33"/>
      <c r="K184" s="30"/>
      <c r="L184" s="31" t="str">
        <f aca="false">IF(D184="","",D184-N(K184))</f>
        <v/>
      </c>
      <c r="M184" s="35" t="str">
        <f aca="true">IF(D184="","",IF(L184&lt;=0.004,"bezahlt",IF(TODAY()&gt;F184,"ÜBERFÄLLIG",IF(AND(I184&lt;&gt;"",TODAY()&lt;=I184),"Skonto nutzen bis "&amp;TEXT(I184,"DD.MM."),"fällig in "&amp;(F184-TODAY())&amp;" Tagen"))))</f>
        <v/>
      </c>
    </row>
    <row r="185" customFormat="false" ht="15" hidden="false" customHeight="false" outlineLevel="0" collapsed="false">
      <c r="A185" s="32"/>
      <c r="B185" s="32"/>
      <c r="C185" s="33"/>
      <c r="D185" s="30"/>
      <c r="E185" s="32"/>
      <c r="F185" s="44" t="str">
        <f aca="false">IF(C185="","",C185+IF(E185="",30,E185))</f>
        <v/>
      </c>
      <c r="G185" s="45"/>
      <c r="H185" s="32"/>
      <c r="I185" s="44" t="str">
        <f aca="false">IF(OR(C185="",G185=""),"",C185+H185)</f>
        <v/>
      </c>
      <c r="J185" s="33"/>
      <c r="K185" s="30"/>
      <c r="L185" s="31" t="str">
        <f aca="false">IF(D185="","",D185-N(K185))</f>
        <v/>
      </c>
      <c r="M185" s="35" t="str">
        <f aca="true">IF(D185="","",IF(L185&lt;=0.004,"bezahlt",IF(TODAY()&gt;F185,"ÜBERFÄLLIG",IF(AND(I185&lt;&gt;"",TODAY()&lt;=I185),"Skonto nutzen bis "&amp;TEXT(I185,"DD.MM."),"fällig in "&amp;(F185-TODAY())&amp;" Tagen"))))</f>
        <v/>
      </c>
    </row>
    <row r="186" customFormat="false" ht="15" hidden="false" customHeight="false" outlineLevel="0" collapsed="false">
      <c r="A186" s="32"/>
      <c r="B186" s="32"/>
      <c r="C186" s="33"/>
      <c r="D186" s="30"/>
      <c r="E186" s="32"/>
      <c r="F186" s="44" t="str">
        <f aca="false">IF(C186="","",C186+IF(E186="",30,E186))</f>
        <v/>
      </c>
      <c r="G186" s="45"/>
      <c r="H186" s="32"/>
      <c r="I186" s="44" t="str">
        <f aca="false">IF(OR(C186="",G186=""),"",C186+H186)</f>
        <v/>
      </c>
      <c r="J186" s="33"/>
      <c r="K186" s="30"/>
      <c r="L186" s="31" t="str">
        <f aca="false">IF(D186="","",D186-N(K186))</f>
        <v/>
      </c>
      <c r="M186" s="35" t="str">
        <f aca="true">IF(D186="","",IF(L186&lt;=0.004,"bezahlt",IF(TODAY()&gt;F186,"ÜBERFÄLLIG",IF(AND(I186&lt;&gt;"",TODAY()&lt;=I186),"Skonto nutzen bis "&amp;TEXT(I186,"DD.MM."),"fällig in "&amp;(F186-TODAY())&amp;" Tagen"))))</f>
        <v/>
      </c>
    </row>
    <row r="187" customFormat="false" ht="15" hidden="false" customHeight="false" outlineLevel="0" collapsed="false">
      <c r="A187" s="32"/>
      <c r="B187" s="32"/>
      <c r="C187" s="33"/>
      <c r="D187" s="30"/>
      <c r="E187" s="32"/>
      <c r="F187" s="44" t="str">
        <f aca="false">IF(C187="","",C187+IF(E187="",30,E187))</f>
        <v/>
      </c>
      <c r="G187" s="45"/>
      <c r="H187" s="32"/>
      <c r="I187" s="44" t="str">
        <f aca="false">IF(OR(C187="",G187=""),"",C187+H187)</f>
        <v/>
      </c>
      <c r="J187" s="33"/>
      <c r="K187" s="30"/>
      <c r="L187" s="31" t="str">
        <f aca="false">IF(D187="","",D187-N(K187))</f>
        <v/>
      </c>
      <c r="M187" s="35" t="str">
        <f aca="true">IF(D187="","",IF(L187&lt;=0.004,"bezahlt",IF(TODAY()&gt;F187,"ÜBERFÄLLIG",IF(AND(I187&lt;&gt;"",TODAY()&lt;=I187),"Skonto nutzen bis "&amp;TEXT(I187,"DD.MM."),"fällig in "&amp;(F187-TODAY())&amp;" Tagen"))))</f>
        <v/>
      </c>
    </row>
    <row r="188" customFormat="false" ht="15" hidden="false" customHeight="false" outlineLevel="0" collapsed="false">
      <c r="A188" s="32"/>
      <c r="B188" s="32"/>
      <c r="C188" s="33"/>
      <c r="D188" s="30"/>
      <c r="E188" s="32"/>
      <c r="F188" s="44" t="str">
        <f aca="false">IF(C188="","",C188+IF(E188="",30,E188))</f>
        <v/>
      </c>
      <c r="G188" s="45"/>
      <c r="H188" s="32"/>
      <c r="I188" s="44" t="str">
        <f aca="false">IF(OR(C188="",G188=""),"",C188+H188)</f>
        <v/>
      </c>
      <c r="J188" s="33"/>
      <c r="K188" s="30"/>
      <c r="L188" s="31" t="str">
        <f aca="false">IF(D188="","",D188-N(K188))</f>
        <v/>
      </c>
      <c r="M188" s="35" t="str">
        <f aca="true">IF(D188="","",IF(L188&lt;=0.004,"bezahlt",IF(TODAY()&gt;F188,"ÜBERFÄLLIG",IF(AND(I188&lt;&gt;"",TODAY()&lt;=I188),"Skonto nutzen bis "&amp;TEXT(I188,"DD.MM."),"fällig in "&amp;(F188-TODAY())&amp;" Tagen"))))</f>
        <v/>
      </c>
    </row>
    <row r="189" customFormat="false" ht="15" hidden="false" customHeight="false" outlineLevel="0" collapsed="false">
      <c r="A189" s="32"/>
      <c r="B189" s="32"/>
      <c r="C189" s="33"/>
      <c r="D189" s="30"/>
      <c r="E189" s="32"/>
      <c r="F189" s="44" t="str">
        <f aca="false">IF(C189="","",C189+IF(E189="",30,E189))</f>
        <v/>
      </c>
      <c r="G189" s="45"/>
      <c r="H189" s="32"/>
      <c r="I189" s="44" t="str">
        <f aca="false">IF(OR(C189="",G189=""),"",C189+H189)</f>
        <v/>
      </c>
      <c r="J189" s="33"/>
      <c r="K189" s="30"/>
      <c r="L189" s="31" t="str">
        <f aca="false">IF(D189="","",D189-N(K189))</f>
        <v/>
      </c>
      <c r="M189" s="35" t="str">
        <f aca="true">IF(D189="","",IF(L189&lt;=0.004,"bezahlt",IF(TODAY()&gt;F189,"ÜBERFÄLLIG",IF(AND(I189&lt;&gt;"",TODAY()&lt;=I189),"Skonto nutzen bis "&amp;TEXT(I189,"DD.MM."),"fällig in "&amp;(F189-TODAY())&amp;" Tagen"))))</f>
        <v/>
      </c>
    </row>
    <row r="190" customFormat="false" ht="15" hidden="false" customHeight="false" outlineLevel="0" collapsed="false">
      <c r="A190" s="32"/>
      <c r="B190" s="32"/>
      <c r="C190" s="33"/>
      <c r="D190" s="30"/>
      <c r="E190" s="32"/>
      <c r="F190" s="44" t="str">
        <f aca="false">IF(C190="","",C190+IF(E190="",30,E190))</f>
        <v/>
      </c>
      <c r="G190" s="45"/>
      <c r="H190" s="32"/>
      <c r="I190" s="44" t="str">
        <f aca="false">IF(OR(C190="",G190=""),"",C190+H190)</f>
        <v/>
      </c>
      <c r="J190" s="33"/>
      <c r="K190" s="30"/>
      <c r="L190" s="31" t="str">
        <f aca="false">IF(D190="","",D190-N(K190))</f>
        <v/>
      </c>
      <c r="M190" s="35" t="str">
        <f aca="true">IF(D190="","",IF(L190&lt;=0.004,"bezahlt",IF(TODAY()&gt;F190,"ÜBERFÄLLIG",IF(AND(I190&lt;&gt;"",TODAY()&lt;=I190),"Skonto nutzen bis "&amp;TEXT(I190,"DD.MM."),"fällig in "&amp;(F190-TODAY())&amp;" Tagen"))))</f>
        <v/>
      </c>
    </row>
    <row r="191" customFormat="false" ht="15" hidden="false" customHeight="false" outlineLevel="0" collapsed="false">
      <c r="A191" s="32"/>
      <c r="B191" s="32"/>
      <c r="C191" s="33"/>
      <c r="D191" s="30"/>
      <c r="E191" s="32"/>
      <c r="F191" s="44" t="str">
        <f aca="false">IF(C191="","",C191+IF(E191="",30,E191))</f>
        <v/>
      </c>
      <c r="G191" s="45"/>
      <c r="H191" s="32"/>
      <c r="I191" s="44" t="str">
        <f aca="false">IF(OR(C191="",G191=""),"",C191+H191)</f>
        <v/>
      </c>
      <c r="J191" s="33"/>
      <c r="K191" s="30"/>
      <c r="L191" s="31" t="str">
        <f aca="false">IF(D191="","",D191-N(K191))</f>
        <v/>
      </c>
      <c r="M191" s="35" t="str">
        <f aca="true">IF(D191="","",IF(L191&lt;=0.004,"bezahlt",IF(TODAY()&gt;F191,"ÜBERFÄLLIG",IF(AND(I191&lt;&gt;"",TODAY()&lt;=I191),"Skonto nutzen bis "&amp;TEXT(I191,"DD.MM."),"fällig in "&amp;(F191-TODAY())&amp;" Tagen"))))</f>
        <v/>
      </c>
    </row>
    <row r="192" customFormat="false" ht="15" hidden="false" customHeight="false" outlineLevel="0" collapsed="false">
      <c r="A192" s="32"/>
      <c r="B192" s="32"/>
      <c r="C192" s="33"/>
      <c r="D192" s="30"/>
      <c r="E192" s="32"/>
      <c r="F192" s="44" t="str">
        <f aca="false">IF(C192="","",C192+IF(E192="",30,E192))</f>
        <v/>
      </c>
      <c r="G192" s="45"/>
      <c r="H192" s="32"/>
      <c r="I192" s="44" t="str">
        <f aca="false">IF(OR(C192="",G192=""),"",C192+H192)</f>
        <v/>
      </c>
      <c r="J192" s="33"/>
      <c r="K192" s="30"/>
      <c r="L192" s="31" t="str">
        <f aca="false">IF(D192="","",D192-N(K192))</f>
        <v/>
      </c>
      <c r="M192" s="35" t="str">
        <f aca="true">IF(D192="","",IF(L192&lt;=0.004,"bezahlt",IF(TODAY()&gt;F192,"ÜBERFÄLLIG",IF(AND(I192&lt;&gt;"",TODAY()&lt;=I192),"Skonto nutzen bis "&amp;TEXT(I192,"DD.MM."),"fällig in "&amp;(F192-TODAY())&amp;" Tagen"))))</f>
        <v/>
      </c>
    </row>
    <row r="193" customFormat="false" ht="15" hidden="false" customHeight="false" outlineLevel="0" collapsed="false">
      <c r="A193" s="32"/>
      <c r="B193" s="32"/>
      <c r="C193" s="33"/>
      <c r="D193" s="30"/>
      <c r="E193" s="32"/>
      <c r="F193" s="44" t="str">
        <f aca="false">IF(C193="","",C193+IF(E193="",30,E193))</f>
        <v/>
      </c>
      <c r="G193" s="45"/>
      <c r="H193" s="32"/>
      <c r="I193" s="44" t="str">
        <f aca="false">IF(OR(C193="",G193=""),"",C193+H193)</f>
        <v/>
      </c>
      <c r="J193" s="33"/>
      <c r="K193" s="30"/>
      <c r="L193" s="31" t="str">
        <f aca="false">IF(D193="","",D193-N(K193))</f>
        <v/>
      </c>
      <c r="M193" s="35" t="str">
        <f aca="true">IF(D193="","",IF(L193&lt;=0.004,"bezahlt",IF(TODAY()&gt;F193,"ÜBERFÄLLIG",IF(AND(I193&lt;&gt;"",TODAY()&lt;=I193),"Skonto nutzen bis "&amp;TEXT(I193,"DD.MM."),"fällig in "&amp;(F193-TODAY())&amp;" Tagen"))))</f>
        <v/>
      </c>
    </row>
    <row r="194" customFormat="false" ht="15" hidden="false" customHeight="false" outlineLevel="0" collapsed="false">
      <c r="A194" s="32"/>
      <c r="B194" s="32"/>
      <c r="C194" s="33"/>
      <c r="D194" s="30"/>
      <c r="E194" s="32"/>
      <c r="F194" s="44" t="str">
        <f aca="false">IF(C194="","",C194+IF(E194="",30,E194))</f>
        <v/>
      </c>
      <c r="G194" s="45"/>
      <c r="H194" s="32"/>
      <c r="I194" s="44" t="str">
        <f aca="false">IF(OR(C194="",G194=""),"",C194+H194)</f>
        <v/>
      </c>
      <c r="J194" s="33"/>
      <c r="K194" s="30"/>
      <c r="L194" s="31" t="str">
        <f aca="false">IF(D194="","",D194-N(K194))</f>
        <v/>
      </c>
      <c r="M194" s="35" t="str">
        <f aca="true">IF(D194="","",IF(L194&lt;=0.004,"bezahlt",IF(TODAY()&gt;F194,"ÜBERFÄLLIG",IF(AND(I194&lt;&gt;"",TODAY()&lt;=I194),"Skonto nutzen bis "&amp;TEXT(I194,"DD.MM."),"fällig in "&amp;(F194-TODAY())&amp;" Tagen"))))</f>
        <v/>
      </c>
    </row>
    <row r="195" customFormat="false" ht="15" hidden="false" customHeight="false" outlineLevel="0" collapsed="false">
      <c r="A195" s="32"/>
      <c r="B195" s="32"/>
      <c r="C195" s="33"/>
      <c r="D195" s="30"/>
      <c r="E195" s="32"/>
      <c r="F195" s="44" t="str">
        <f aca="false">IF(C195="","",C195+IF(E195="",30,E195))</f>
        <v/>
      </c>
      <c r="G195" s="45"/>
      <c r="H195" s="32"/>
      <c r="I195" s="44" t="str">
        <f aca="false">IF(OR(C195="",G195=""),"",C195+H195)</f>
        <v/>
      </c>
      <c r="J195" s="33"/>
      <c r="K195" s="30"/>
      <c r="L195" s="31" t="str">
        <f aca="false">IF(D195="","",D195-N(K195))</f>
        <v/>
      </c>
      <c r="M195" s="35" t="str">
        <f aca="true">IF(D195="","",IF(L195&lt;=0.004,"bezahlt",IF(TODAY()&gt;F195,"ÜBERFÄLLIG",IF(AND(I195&lt;&gt;"",TODAY()&lt;=I195),"Skonto nutzen bis "&amp;TEXT(I195,"DD.MM."),"fällig in "&amp;(F195-TODAY())&amp;" Tagen"))))</f>
        <v/>
      </c>
    </row>
    <row r="196" customFormat="false" ht="15" hidden="false" customHeight="false" outlineLevel="0" collapsed="false">
      <c r="A196" s="32"/>
      <c r="B196" s="32"/>
      <c r="C196" s="33"/>
      <c r="D196" s="30"/>
      <c r="E196" s="32"/>
      <c r="F196" s="44" t="str">
        <f aca="false">IF(C196="","",C196+IF(E196="",30,E196))</f>
        <v/>
      </c>
      <c r="G196" s="45"/>
      <c r="H196" s="32"/>
      <c r="I196" s="44" t="str">
        <f aca="false">IF(OR(C196="",G196=""),"",C196+H196)</f>
        <v/>
      </c>
      <c r="J196" s="33"/>
      <c r="K196" s="30"/>
      <c r="L196" s="31" t="str">
        <f aca="false">IF(D196="","",D196-N(K196))</f>
        <v/>
      </c>
      <c r="M196" s="35" t="str">
        <f aca="true">IF(D196="","",IF(L196&lt;=0.004,"bezahlt",IF(TODAY()&gt;F196,"ÜBERFÄLLIG",IF(AND(I196&lt;&gt;"",TODAY()&lt;=I196),"Skonto nutzen bis "&amp;TEXT(I196,"DD.MM."),"fällig in "&amp;(F196-TODAY())&amp;" Tagen"))))</f>
        <v/>
      </c>
    </row>
    <row r="197" customFormat="false" ht="15" hidden="false" customHeight="false" outlineLevel="0" collapsed="false">
      <c r="A197" s="32"/>
      <c r="B197" s="32"/>
      <c r="C197" s="33"/>
      <c r="D197" s="30"/>
      <c r="E197" s="32"/>
      <c r="F197" s="44" t="str">
        <f aca="false">IF(C197="","",C197+IF(E197="",30,E197))</f>
        <v/>
      </c>
      <c r="G197" s="45"/>
      <c r="H197" s="32"/>
      <c r="I197" s="44" t="str">
        <f aca="false">IF(OR(C197="",G197=""),"",C197+H197)</f>
        <v/>
      </c>
      <c r="J197" s="33"/>
      <c r="K197" s="30"/>
      <c r="L197" s="31" t="str">
        <f aca="false">IF(D197="","",D197-N(K197))</f>
        <v/>
      </c>
      <c r="M197" s="35" t="str">
        <f aca="true">IF(D197="","",IF(L197&lt;=0.004,"bezahlt",IF(TODAY()&gt;F197,"ÜBERFÄLLIG",IF(AND(I197&lt;&gt;"",TODAY()&lt;=I197),"Skonto nutzen bis "&amp;TEXT(I197,"DD.MM."),"fällig in "&amp;(F197-TODAY())&amp;" Tagen"))))</f>
        <v/>
      </c>
    </row>
    <row r="198" customFormat="false" ht="15" hidden="false" customHeight="false" outlineLevel="0" collapsed="false">
      <c r="A198" s="32"/>
      <c r="B198" s="32"/>
      <c r="C198" s="33"/>
      <c r="D198" s="30"/>
      <c r="E198" s="32"/>
      <c r="F198" s="44" t="str">
        <f aca="false">IF(C198="","",C198+IF(E198="",30,E198))</f>
        <v/>
      </c>
      <c r="G198" s="45"/>
      <c r="H198" s="32"/>
      <c r="I198" s="44" t="str">
        <f aca="false">IF(OR(C198="",G198=""),"",C198+H198)</f>
        <v/>
      </c>
      <c r="J198" s="33"/>
      <c r="K198" s="30"/>
      <c r="L198" s="31" t="str">
        <f aca="false">IF(D198="","",D198-N(K198))</f>
        <v/>
      </c>
      <c r="M198" s="35" t="str">
        <f aca="true">IF(D198="","",IF(L198&lt;=0.004,"bezahlt",IF(TODAY()&gt;F198,"ÜBERFÄLLIG",IF(AND(I198&lt;&gt;"",TODAY()&lt;=I198),"Skonto nutzen bis "&amp;TEXT(I198,"DD.MM."),"fällig in "&amp;(F198-TODAY())&amp;" Tagen"))))</f>
        <v/>
      </c>
    </row>
    <row r="199" customFormat="false" ht="15" hidden="false" customHeight="false" outlineLevel="0" collapsed="false">
      <c r="A199" s="32"/>
      <c r="B199" s="32"/>
      <c r="C199" s="33"/>
      <c r="D199" s="30"/>
      <c r="E199" s="32"/>
      <c r="F199" s="44" t="str">
        <f aca="false">IF(C199="","",C199+IF(E199="",30,E199))</f>
        <v/>
      </c>
      <c r="G199" s="45"/>
      <c r="H199" s="32"/>
      <c r="I199" s="44" t="str">
        <f aca="false">IF(OR(C199="",G199=""),"",C199+H199)</f>
        <v/>
      </c>
      <c r="J199" s="33"/>
      <c r="K199" s="30"/>
      <c r="L199" s="31" t="str">
        <f aca="false">IF(D199="","",D199-N(K199))</f>
        <v/>
      </c>
      <c r="M199" s="35" t="str">
        <f aca="true">IF(D199="","",IF(L199&lt;=0.004,"bezahlt",IF(TODAY()&gt;F199,"ÜBERFÄLLIG",IF(AND(I199&lt;&gt;"",TODAY()&lt;=I199),"Skonto nutzen bis "&amp;TEXT(I199,"DD.MM."),"fällig in "&amp;(F199-TODAY())&amp;" Tagen"))))</f>
        <v/>
      </c>
    </row>
    <row r="200" customFormat="false" ht="15" hidden="false" customHeight="false" outlineLevel="0" collapsed="false">
      <c r="A200" s="32"/>
      <c r="B200" s="32"/>
      <c r="C200" s="33"/>
      <c r="D200" s="30"/>
      <c r="E200" s="32"/>
      <c r="F200" s="44" t="str">
        <f aca="false">IF(C200="","",C200+IF(E200="",30,E200))</f>
        <v/>
      </c>
      <c r="G200" s="45"/>
      <c r="H200" s="32"/>
      <c r="I200" s="44" t="str">
        <f aca="false">IF(OR(C200="",G200=""),"",C200+H200)</f>
        <v/>
      </c>
      <c r="J200" s="33"/>
      <c r="K200" s="30"/>
      <c r="L200" s="31" t="str">
        <f aca="false">IF(D200="","",D200-N(K200))</f>
        <v/>
      </c>
      <c r="M200" s="35" t="str">
        <f aca="true">IF(D200="","",IF(L200&lt;=0.004,"bezahlt",IF(TODAY()&gt;F200,"ÜBERFÄLLIG",IF(AND(I200&lt;&gt;"",TODAY()&lt;=I200),"Skonto nutzen bis "&amp;TEXT(I200,"DD.MM."),"fällig in "&amp;(F200-TODAY())&amp;" Tagen"))))</f>
        <v/>
      </c>
    </row>
    <row r="201" customFormat="false" ht="15" hidden="false" customHeight="false" outlineLevel="0" collapsed="false">
      <c r="A201" s="32"/>
      <c r="B201" s="32"/>
      <c r="C201" s="33"/>
      <c r="D201" s="30"/>
      <c r="E201" s="32"/>
      <c r="F201" s="44" t="str">
        <f aca="false">IF(C201="","",C201+IF(E201="",30,E201))</f>
        <v/>
      </c>
      <c r="G201" s="45"/>
      <c r="H201" s="32"/>
      <c r="I201" s="44" t="str">
        <f aca="false">IF(OR(C201="",G201=""),"",C201+H201)</f>
        <v/>
      </c>
      <c r="J201" s="33"/>
      <c r="K201" s="30"/>
      <c r="L201" s="31" t="str">
        <f aca="false">IF(D201="","",D201-N(K201))</f>
        <v/>
      </c>
      <c r="M201" s="35" t="str">
        <f aca="true">IF(D201="","",IF(L201&lt;=0.004,"bezahlt",IF(TODAY()&gt;F201,"ÜBERFÄLLIG",IF(AND(I201&lt;&gt;"",TODAY()&lt;=I201),"Skonto nutzen bis "&amp;TEXT(I201,"DD.MM."),"fällig in "&amp;(F201-TODAY())&amp;" Tagen"))))</f>
        <v/>
      </c>
    </row>
    <row r="202" customFormat="false" ht="15" hidden="false" customHeight="false" outlineLevel="0" collapsed="false">
      <c r="A202" s="32"/>
      <c r="B202" s="32"/>
      <c r="C202" s="33"/>
      <c r="D202" s="30"/>
      <c r="E202" s="32"/>
      <c r="F202" s="44" t="str">
        <f aca="false">IF(C202="","",C202+IF(E202="",30,E202))</f>
        <v/>
      </c>
      <c r="G202" s="45"/>
      <c r="H202" s="32"/>
      <c r="I202" s="44" t="str">
        <f aca="false">IF(OR(C202="",G202=""),"",C202+H202)</f>
        <v/>
      </c>
      <c r="J202" s="33"/>
      <c r="K202" s="30"/>
      <c r="L202" s="31" t="str">
        <f aca="false">IF(D202="","",D202-N(K202))</f>
        <v/>
      </c>
      <c r="M202" s="35" t="str">
        <f aca="true">IF(D202="","",IF(L202&lt;=0.004,"bezahlt",IF(TODAY()&gt;F202,"ÜBERFÄLLIG",IF(AND(I202&lt;&gt;"",TODAY()&lt;=I202),"Skonto nutzen bis "&amp;TEXT(I202,"DD.MM."),"fällig in "&amp;(F202-TODAY())&amp;" Tagen"))))</f>
        <v/>
      </c>
    </row>
    <row r="203" customFormat="false" ht="15" hidden="false" customHeight="false" outlineLevel="0" collapsed="false">
      <c r="A203" s="32"/>
      <c r="B203" s="32"/>
      <c r="C203" s="33"/>
      <c r="D203" s="30"/>
      <c r="E203" s="32"/>
      <c r="F203" s="44" t="str">
        <f aca="false">IF(C203="","",C203+IF(E203="",30,E203))</f>
        <v/>
      </c>
      <c r="G203" s="45"/>
      <c r="H203" s="32"/>
      <c r="I203" s="44" t="str">
        <f aca="false">IF(OR(C203="",G203=""),"",C203+H203)</f>
        <v/>
      </c>
      <c r="J203" s="33"/>
      <c r="K203" s="30"/>
      <c r="L203" s="31" t="str">
        <f aca="false">IF(D203="","",D203-N(K203))</f>
        <v/>
      </c>
      <c r="M203" s="35" t="str">
        <f aca="true">IF(D203="","",IF(L203&lt;=0.004,"bezahlt",IF(TODAY()&gt;F203,"ÜBERFÄLLIG",IF(AND(I203&lt;&gt;"",TODAY()&lt;=I203),"Skonto nutzen bis "&amp;TEXT(I203,"DD.MM."),"fällig in "&amp;(F203-TODAY())&amp;" Tagen"))))</f>
        <v/>
      </c>
    </row>
    <row r="204" customFormat="false" ht="15" hidden="false" customHeight="false" outlineLevel="0" collapsed="false">
      <c r="A204" s="32"/>
      <c r="B204" s="32"/>
      <c r="C204" s="33"/>
      <c r="D204" s="30"/>
      <c r="E204" s="32"/>
      <c r="F204" s="44" t="str">
        <f aca="false">IF(C204="","",C204+IF(E204="",30,E204))</f>
        <v/>
      </c>
      <c r="G204" s="45"/>
      <c r="H204" s="32"/>
      <c r="I204" s="44" t="str">
        <f aca="false">IF(OR(C204="",G204=""),"",C204+H204)</f>
        <v/>
      </c>
      <c r="J204" s="33"/>
      <c r="K204" s="30"/>
      <c r="L204" s="31" t="str">
        <f aca="false">IF(D204="","",D204-N(K204))</f>
        <v/>
      </c>
      <c r="M204" s="35" t="str">
        <f aca="true">IF(D204="","",IF(L204&lt;=0.004,"bezahlt",IF(TODAY()&gt;F204,"ÜBERFÄLLIG",IF(AND(I204&lt;&gt;"",TODAY()&lt;=I204),"Skonto nutzen bis "&amp;TEXT(I204,"DD.MM."),"fällig in "&amp;(F204-TODAY())&amp;" Tagen"))))</f>
        <v/>
      </c>
    </row>
    <row r="205" customFormat="false" ht="15" hidden="false" customHeight="false" outlineLevel="0" collapsed="false">
      <c r="A205" s="32"/>
      <c r="B205" s="32"/>
      <c r="C205" s="33"/>
      <c r="D205" s="30"/>
      <c r="E205" s="32"/>
      <c r="F205" s="44" t="str">
        <f aca="false">IF(C205="","",C205+IF(E205="",30,E205))</f>
        <v/>
      </c>
      <c r="G205" s="45"/>
      <c r="H205" s="32"/>
      <c r="I205" s="44" t="str">
        <f aca="false">IF(OR(C205="",G205=""),"",C205+H205)</f>
        <v/>
      </c>
      <c r="J205" s="33"/>
      <c r="K205" s="30"/>
      <c r="L205" s="31" t="str">
        <f aca="false">IF(D205="","",D205-N(K205))</f>
        <v/>
      </c>
      <c r="M205" s="35" t="str">
        <f aca="true">IF(D205="","",IF(L205&lt;=0.004,"bezahlt",IF(TODAY()&gt;F205,"ÜBERFÄLLIG",IF(AND(I205&lt;&gt;"",TODAY()&lt;=I205),"Skonto nutzen bis "&amp;TEXT(I205,"DD.MM."),"fällig in "&amp;(F205-TODAY())&amp;" Tagen"))))</f>
        <v/>
      </c>
    </row>
    <row r="206" customFormat="false" ht="15" hidden="false" customHeight="false" outlineLevel="0" collapsed="false">
      <c r="A206" s="32"/>
      <c r="B206" s="32"/>
      <c r="C206" s="33"/>
      <c r="D206" s="30"/>
      <c r="E206" s="32"/>
      <c r="F206" s="44" t="str">
        <f aca="false">IF(C206="","",C206+IF(E206="",30,E206))</f>
        <v/>
      </c>
      <c r="G206" s="45"/>
      <c r="H206" s="32"/>
      <c r="I206" s="44" t="str">
        <f aca="false">IF(OR(C206="",G206=""),"",C206+H206)</f>
        <v/>
      </c>
      <c r="J206" s="33"/>
      <c r="K206" s="30"/>
      <c r="L206" s="31" t="str">
        <f aca="false">IF(D206="","",D206-N(K206))</f>
        <v/>
      </c>
      <c r="M206" s="35" t="str">
        <f aca="true">IF(D206="","",IF(L206&lt;=0.004,"bezahlt",IF(TODAY()&gt;F206,"ÜBERFÄLLIG",IF(AND(I206&lt;&gt;"",TODAY()&lt;=I206),"Skonto nutzen bis "&amp;TEXT(I206,"DD.MM."),"fällig in "&amp;(F206-TODAY())&amp;" Tagen"))))</f>
        <v/>
      </c>
    </row>
    <row r="207" customFormat="false" ht="15" hidden="false" customHeight="false" outlineLevel="0" collapsed="false">
      <c r="A207" s="32"/>
      <c r="B207" s="32"/>
      <c r="C207" s="33"/>
      <c r="D207" s="30"/>
      <c r="E207" s="32"/>
      <c r="F207" s="44" t="str">
        <f aca="false">IF(C207="","",C207+IF(E207="",30,E207))</f>
        <v/>
      </c>
      <c r="G207" s="45"/>
      <c r="H207" s="32"/>
      <c r="I207" s="44" t="str">
        <f aca="false">IF(OR(C207="",G207=""),"",C207+H207)</f>
        <v/>
      </c>
      <c r="J207" s="33"/>
      <c r="K207" s="30"/>
      <c r="L207" s="31" t="str">
        <f aca="false">IF(D207="","",D207-N(K207))</f>
        <v/>
      </c>
      <c r="M207" s="35" t="str">
        <f aca="true">IF(D207="","",IF(L207&lt;=0.004,"bezahlt",IF(TODAY()&gt;F207,"ÜBERFÄLLIG",IF(AND(I207&lt;&gt;"",TODAY()&lt;=I207),"Skonto nutzen bis "&amp;TEXT(I207,"DD.MM."),"fällig in "&amp;(F207-TODAY())&amp;" Tagen"))))</f>
        <v/>
      </c>
    </row>
    <row r="208" customFormat="false" ht="15" hidden="false" customHeight="false" outlineLevel="0" collapsed="false">
      <c r="A208" s="32"/>
      <c r="B208" s="32"/>
      <c r="C208" s="33"/>
      <c r="D208" s="30"/>
      <c r="E208" s="32"/>
      <c r="F208" s="44" t="str">
        <f aca="false">IF(C208="","",C208+IF(E208="",30,E208))</f>
        <v/>
      </c>
      <c r="G208" s="45"/>
      <c r="H208" s="32"/>
      <c r="I208" s="44" t="str">
        <f aca="false">IF(OR(C208="",G208=""),"",C208+H208)</f>
        <v/>
      </c>
      <c r="J208" s="33"/>
      <c r="K208" s="30"/>
      <c r="L208" s="31" t="str">
        <f aca="false">IF(D208="","",D208-N(K208))</f>
        <v/>
      </c>
      <c r="M208" s="35" t="str">
        <f aca="true">IF(D208="","",IF(L208&lt;=0.004,"bezahlt",IF(TODAY()&gt;F208,"ÜBERFÄLLIG",IF(AND(I208&lt;&gt;"",TODAY()&lt;=I208),"Skonto nutzen bis "&amp;TEXT(I208,"DD.MM."),"fällig in "&amp;(F208-TODAY())&amp;" Tagen"))))</f>
        <v/>
      </c>
    </row>
    <row r="209" customFormat="false" ht="15" hidden="false" customHeight="false" outlineLevel="0" collapsed="false">
      <c r="A209" s="32"/>
      <c r="B209" s="32"/>
      <c r="C209" s="33"/>
      <c r="D209" s="30"/>
      <c r="E209" s="32"/>
      <c r="F209" s="44" t="str">
        <f aca="false">IF(C209="","",C209+IF(E209="",30,E209))</f>
        <v/>
      </c>
      <c r="G209" s="45"/>
      <c r="H209" s="32"/>
      <c r="I209" s="44" t="str">
        <f aca="false">IF(OR(C209="",G209=""),"",C209+H209)</f>
        <v/>
      </c>
      <c r="J209" s="33"/>
      <c r="K209" s="30"/>
      <c r="L209" s="31" t="str">
        <f aca="false">IF(D209="","",D209-N(K209))</f>
        <v/>
      </c>
      <c r="M209" s="35" t="str">
        <f aca="true">IF(D209="","",IF(L209&lt;=0.004,"bezahlt",IF(TODAY()&gt;F209,"ÜBERFÄLLIG",IF(AND(I209&lt;&gt;"",TODAY()&lt;=I209),"Skonto nutzen bis "&amp;TEXT(I209,"DD.MM."),"fällig in "&amp;(F209-TODAY())&amp;" Tagen"))))</f>
        <v/>
      </c>
    </row>
    <row r="210" customFormat="false" ht="15" hidden="false" customHeight="false" outlineLevel="0" collapsed="false">
      <c r="A210" s="32"/>
      <c r="B210" s="32"/>
      <c r="C210" s="33"/>
      <c r="D210" s="30"/>
      <c r="E210" s="32"/>
      <c r="F210" s="44" t="str">
        <f aca="false">IF(C210="","",C210+IF(E210="",30,E210))</f>
        <v/>
      </c>
      <c r="G210" s="45"/>
      <c r="H210" s="32"/>
      <c r="I210" s="44" t="str">
        <f aca="false">IF(OR(C210="",G210=""),"",C210+H210)</f>
        <v/>
      </c>
      <c r="J210" s="33"/>
      <c r="K210" s="30"/>
      <c r="L210" s="31" t="str">
        <f aca="false">IF(D210="","",D210-N(K210))</f>
        <v/>
      </c>
      <c r="M210" s="35" t="str">
        <f aca="true">IF(D210="","",IF(L210&lt;=0.004,"bezahlt",IF(TODAY()&gt;F210,"ÜBERFÄLLIG",IF(AND(I210&lt;&gt;"",TODAY()&lt;=I210),"Skonto nutzen bis "&amp;TEXT(I210,"DD.MM."),"fällig in "&amp;(F210-TODAY())&amp;" Tagen"))))</f>
        <v/>
      </c>
    </row>
    <row r="211" customFormat="false" ht="15" hidden="false" customHeight="false" outlineLevel="0" collapsed="false">
      <c r="A211" s="32"/>
      <c r="B211" s="32"/>
      <c r="C211" s="33"/>
      <c r="D211" s="30"/>
      <c r="E211" s="32"/>
      <c r="F211" s="44" t="str">
        <f aca="false">IF(C211="","",C211+IF(E211="",30,E211))</f>
        <v/>
      </c>
      <c r="G211" s="45"/>
      <c r="H211" s="32"/>
      <c r="I211" s="44" t="str">
        <f aca="false">IF(OR(C211="",G211=""),"",C211+H211)</f>
        <v/>
      </c>
      <c r="J211" s="33"/>
      <c r="K211" s="30"/>
      <c r="L211" s="31" t="str">
        <f aca="false">IF(D211="","",D211-N(K211))</f>
        <v/>
      </c>
      <c r="M211" s="35" t="str">
        <f aca="true">IF(D211="","",IF(L211&lt;=0.004,"bezahlt",IF(TODAY()&gt;F211,"ÜBERFÄLLIG",IF(AND(I211&lt;&gt;"",TODAY()&lt;=I211),"Skonto nutzen bis "&amp;TEXT(I211,"DD.MM."),"fällig in "&amp;(F211-TODAY())&amp;" Tagen"))))</f>
        <v/>
      </c>
    </row>
    <row r="212" customFormat="false" ht="15" hidden="false" customHeight="false" outlineLevel="0" collapsed="false">
      <c r="A212" s="32"/>
      <c r="B212" s="32"/>
      <c r="C212" s="33"/>
      <c r="D212" s="30"/>
      <c r="E212" s="32"/>
      <c r="F212" s="44" t="str">
        <f aca="false">IF(C212="","",C212+IF(E212="",30,E212))</f>
        <v/>
      </c>
      <c r="G212" s="45"/>
      <c r="H212" s="32"/>
      <c r="I212" s="44" t="str">
        <f aca="false">IF(OR(C212="",G212=""),"",C212+H212)</f>
        <v/>
      </c>
      <c r="J212" s="33"/>
      <c r="K212" s="30"/>
      <c r="L212" s="31" t="str">
        <f aca="false">IF(D212="","",D212-N(K212))</f>
        <v/>
      </c>
      <c r="M212" s="35" t="str">
        <f aca="true">IF(D212="","",IF(L212&lt;=0.004,"bezahlt",IF(TODAY()&gt;F212,"ÜBERFÄLLIG",IF(AND(I212&lt;&gt;"",TODAY()&lt;=I212),"Skonto nutzen bis "&amp;TEXT(I212,"DD.MM."),"fällig in "&amp;(F212-TODAY())&amp;" Tagen"))))</f>
        <v/>
      </c>
    </row>
    <row r="213" customFormat="false" ht="15" hidden="false" customHeight="false" outlineLevel="0" collapsed="false">
      <c r="A213" s="32"/>
      <c r="B213" s="32"/>
      <c r="C213" s="33"/>
      <c r="D213" s="30"/>
      <c r="E213" s="32"/>
      <c r="F213" s="44" t="str">
        <f aca="false">IF(C213="","",C213+IF(E213="",30,E213))</f>
        <v/>
      </c>
      <c r="G213" s="45"/>
      <c r="H213" s="32"/>
      <c r="I213" s="44" t="str">
        <f aca="false">IF(OR(C213="",G213=""),"",C213+H213)</f>
        <v/>
      </c>
      <c r="J213" s="33"/>
      <c r="K213" s="30"/>
      <c r="L213" s="31" t="str">
        <f aca="false">IF(D213="","",D213-N(K213))</f>
        <v/>
      </c>
      <c r="M213" s="35" t="str">
        <f aca="true">IF(D213="","",IF(L213&lt;=0.004,"bezahlt",IF(TODAY()&gt;F213,"ÜBERFÄLLIG",IF(AND(I213&lt;&gt;"",TODAY()&lt;=I213),"Skonto nutzen bis "&amp;TEXT(I213,"DD.MM."),"fällig in "&amp;(F213-TODAY())&amp;" Tagen"))))</f>
        <v/>
      </c>
    </row>
    <row r="214" customFormat="false" ht="15" hidden="false" customHeight="false" outlineLevel="0" collapsed="false">
      <c r="A214" s="32"/>
      <c r="B214" s="32"/>
      <c r="C214" s="33"/>
      <c r="D214" s="30"/>
      <c r="E214" s="32"/>
      <c r="F214" s="44" t="str">
        <f aca="false">IF(C214="","",C214+IF(E214="",30,E214))</f>
        <v/>
      </c>
      <c r="G214" s="45"/>
      <c r="H214" s="32"/>
      <c r="I214" s="44" t="str">
        <f aca="false">IF(OR(C214="",G214=""),"",C214+H214)</f>
        <v/>
      </c>
      <c r="J214" s="33"/>
      <c r="K214" s="30"/>
      <c r="L214" s="31" t="str">
        <f aca="false">IF(D214="","",D214-N(K214))</f>
        <v/>
      </c>
      <c r="M214" s="35" t="str">
        <f aca="true">IF(D214="","",IF(L214&lt;=0.004,"bezahlt",IF(TODAY()&gt;F214,"ÜBERFÄLLIG",IF(AND(I214&lt;&gt;"",TODAY()&lt;=I214),"Skonto nutzen bis "&amp;TEXT(I214,"DD.MM."),"fällig in "&amp;(F214-TODAY())&amp;" Tagen"))))</f>
        <v/>
      </c>
    </row>
    <row r="215" customFormat="false" ht="15" hidden="false" customHeight="false" outlineLevel="0" collapsed="false">
      <c r="A215" s="32"/>
      <c r="B215" s="32"/>
      <c r="C215" s="33"/>
      <c r="D215" s="30"/>
      <c r="E215" s="32"/>
      <c r="F215" s="44" t="str">
        <f aca="false">IF(C215="","",C215+IF(E215="",30,E215))</f>
        <v/>
      </c>
      <c r="G215" s="45"/>
      <c r="H215" s="32"/>
      <c r="I215" s="44" t="str">
        <f aca="false">IF(OR(C215="",G215=""),"",C215+H215)</f>
        <v/>
      </c>
      <c r="J215" s="33"/>
      <c r="K215" s="30"/>
      <c r="L215" s="31" t="str">
        <f aca="false">IF(D215="","",D215-N(K215))</f>
        <v/>
      </c>
      <c r="M215" s="35" t="str">
        <f aca="true">IF(D215="","",IF(L215&lt;=0.004,"bezahlt",IF(TODAY()&gt;F215,"ÜBERFÄLLIG",IF(AND(I215&lt;&gt;"",TODAY()&lt;=I215),"Skonto nutzen bis "&amp;TEXT(I215,"DD.MM."),"fällig in "&amp;(F215-TODAY())&amp;" Tagen"))))</f>
        <v/>
      </c>
    </row>
    <row r="216" customFormat="false" ht="15" hidden="false" customHeight="false" outlineLevel="0" collapsed="false">
      <c r="A216" s="32"/>
      <c r="B216" s="32"/>
      <c r="C216" s="33"/>
      <c r="D216" s="30"/>
      <c r="E216" s="32"/>
      <c r="F216" s="44" t="str">
        <f aca="false">IF(C216="","",C216+IF(E216="",30,E216))</f>
        <v/>
      </c>
      <c r="G216" s="45"/>
      <c r="H216" s="32"/>
      <c r="I216" s="44" t="str">
        <f aca="false">IF(OR(C216="",G216=""),"",C216+H216)</f>
        <v/>
      </c>
      <c r="J216" s="33"/>
      <c r="K216" s="30"/>
      <c r="L216" s="31" t="str">
        <f aca="false">IF(D216="","",D216-N(K216))</f>
        <v/>
      </c>
      <c r="M216" s="35" t="str">
        <f aca="true">IF(D216="","",IF(L216&lt;=0.004,"bezahlt",IF(TODAY()&gt;F216,"ÜBERFÄLLIG",IF(AND(I216&lt;&gt;"",TODAY()&lt;=I216),"Skonto nutzen bis "&amp;TEXT(I216,"DD.MM."),"fällig in "&amp;(F216-TODAY())&amp;" Tagen"))))</f>
        <v/>
      </c>
    </row>
    <row r="217" customFormat="false" ht="15" hidden="false" customHeight="false" outlineLevel="0" collapsed="false">
      <c r="A217" s="32"/>
      <c r="B217" s="32"/>
      <c r="C217" s="33"/>
      <c r="D217" s="30"/>
      <c r="E217" s="32"/>
      <c r="F217" s="44" t="str">
        <f aca="false">IF(C217="","",C217+IF(E217="",30,E217))</f>
        <v/>
      </c>
      <c r="G217" s="45"/>
      <c r="H217" s="32"/>
      <c r="I217" s="44" t="str">
        <f aca="false">IF(OR(C217="",G217=""),"",C217+H217)</f>
        <v/>
      </c>
      <c r="J217" s="33"/>
      <c r="K217" s="30"/>
      <c r="L217" s="31" t="str">
        <f aca="false">IF(D217="","",D217-N(K217))</f>
        <v/>
      </c>
      <c r="M217" s="35" t="str">
        <f aca="true">IF(D217="","",IF(L217&lt;=0.004,"bezahlt",IF(TODAY()&gt;F217,"ÜBERFÄLLIG",IF(AND(I217&lt;&gt;"",TODAY()&lt;=I217),"Skonto nutzen bis "&amp;TEXT(I217,"DD.MM."),"fällig in "&amp;(F217-TODAY())&amp;" Tagen"))))</f>
        <v/>
      </c>
    </row>
    <row r="218" customFormat="false" ht="15" hidden="false" customHeight="false" outlineLevel="0" collapsed="false">
      <c r="A218" s="32"/>
      <c r="B218" s="32"/>
      <c r="C218" s="33"/>
      <c r="D218" s="30"/>
      <c r="E218" s="32"/>
      <c r="F218" s="44" t="str">
        <f aca="false">IF(C218="","",C218+IF(E218="",30,E218))</f>
        <v/>
      </c>
      <c r="G218" s="45"/>
      <c r="H218" s="32"/>
      <c r="I218" s="44" t="str">
        <f aca="false">IF(OR(C218="",G218=""),"",C218+H218)</f>
        <v/>
      </c>
      <c r="J218" s="33"/>
      <c r="K218" s="30"/>
      <c r="L218" s="31" t="str">
        <f aca="false">IF(D218="","",D218-N(K218))</f>
        <v/>
      </c>
      <c r="M218" s="35" t="str">
        <f aca="true">IF(D218="","",IF(L218&lt;=0.004,"bezahlt",IF(TODAY()&gt;F218,"ÜBERFÄLLIG",IF(AND(I218&lt;&gt;"",TODAY()&lt;=I218),"Skonto nutzen bis "&amp;TEXT(I218,"DD.MM."),"fällig in "&amp;(F218-TODAY())&amp;" Tagen"))))</f>
        <v/>
      </c>
    </row>
    <row r="219" customFormat="false" ht="15" hidden="false" customHeight="false" outlineLevel="0" collapsed="false">
      <c r="A219" s="32"/>
      <c r="B219" s="32"/>
      <c r="C219" s="33"/>
      <c r="D219" s="30"/>
      <c r="E219" s="32"/>
      <c r="F219" s="44" t="str">
        <f aca="false">IF(C219="","",C219+IF(E219="",30,E219))</f>
        <v/>
      </c>
      <c r="G219" s="45"/>
      <c r="H219" s="32"/>
      <c r="I219" s="44" t="str">
        <f aca="false">IF(OR(C219="",G219=""),"",C219+H219)</f>
        <v/>
      </c>
      <c r="J219" s="33"/>
      <c r="K219" s="30"/>
      <c r="L219" s="31" t="str">
        <f aca="false">IF(D219="","",D219-N(K219))</f>
        <v/>
      </c>
      <c r="M219" s="35" t="str">
        <f aca="true">IF(D219="","",IF(L219&lt;=0.004,"bezahlt",IF(TODAY()&gt;F219,"ÜBERFÄLLIG",IF(AND(I219&lt;&gt;"",TODAY()&lt;=I219),"Skonto nutzen bis "&amp;TEXT(I219,"DD.MM."),"fällig in "&amp;(F219-TODAY())&amp;" Tagen"))))</f>
        <v/>
      </c>
    </row>
    <row r="220" customFormat="false" ht="15" hidden="false" customHeight="false" outlineLevel="0" collapsed="false">
      <c r="A220" s="32"/>
      <c r="B220" s="32"/>
      <c r="C220" s="33"/>
      <c r="D220" s="30"/>
      <c r="E220" s="32"/>
      <c r="F220" s="44" t="str">
        <f aca="false">IF(C220="","",C220+IF(E220="",30,E220))</f>
        <v/>
      </c>
      <c r="G220" s="45"/>
      <c r="H220" s="32"/>
      <c r="I220" s="44" t="str">
        <f aca="false">IF(OR(C220="",G220=""),"",C220+H220)</f>
        <v/>
      </c>
      <c r="J220" s="33"/>
      <c r="K220" s="30"/>
      <c r="L220" s="31" t="str">
        <f aca="false">IF(D220="","",D220-N(K220))</f>
        <v/>
      </c>
      <c r="M220" s="35" t="str">
        <f aca="true">IF(D220="","",IF(L220&lt;=0.004,"bezahlt",IF(TODAY()&gt;F220,"ÜBERFÄLLIG",IF(AND(I220&lt;&gt;"",TODAY()&lt;=I220),"Skonto nutzen bis "&amp;TEXT(I220,"DD.MM."),"fällig in "&amp;(F220-TODAY())&amp;" Tagen"))))</f>
        <v/>
      </c>
    </row>
    <row r="221" customFormat="false" ht="15" hidden="false" customHeight="false" outlineLevel="0" collapsed="false">
      <c r="A221" s="32"/>
      <c r="B221" s="32"/>
      <c r="C221" s="33"/>
      <c r="D221" s="30"/>
      <c r="E221" s="32"/>
      <c r="F221" s="44" t="str">
        <f aca="false">IF(C221="","",C221+IF(E221="",30,E221))</f>
        <v/>
      </c>
      <c r="G221" s="45"/>
      <c r="H221" s="32"/>
      <c r="I221" s="44" t="str">
        <f aca="false">IF(OR(C221="",G221=""),"",C221+H221)</f>
        <v/>
      </c>
      <c r="J221" s="33"/>
      <c r="K221" s="30"/>
      <c r="L221" s="31" t="str">
        <f aca="false">IF(D221="","",D221-N(K221))</f>
        <v/>
      </c>
      <c r="M221" s="35" t="str">
        <f aca="true">IF(D221="","",IF(L221&lt;=0.004,"bezahlt",IF(TODAY()&gt;F221,"ÜBERFÄLLIG",IF(AND(I221&lt;&gt;"",TODAY()&lt;=I221),"Skonto nutzen bis "&amp;TEXT(I221,"DD.MM."),"fällig in "&amp;(F221-TODAY())&amp;" Tagen"))))</f>
        <v/>
      </c>
    </row>
    <row r="222" customFormat="false" ht="15" hidden="false" customHeight="false" outlineLevel="0" collapsed="false">
      <c r="A222" s="32"/>
      <c r="B222" s="32"/>
      <c r="C222" s="33"/>
      <c r="D222" s="30"/>
      <c r="E222" s="32"/>
      <c r="F222" s="44" t="str">
        <f aca="false">IF(C222="","",C222+IF(E222="",30,E222))</f>
        <v/>
      </c>
      <c r="G222" s="45"/>
      <c r="H222" s="32"/>
      <c r="I222" s="44" t="str">
        <f aca="false">IF(OR(C222="",G222=""),"",C222+H222)</f>
        <v/>
      </c>
      <c r="J222" s="33"/>
      <c r="K222" s="30"/>
      <c r="L222" s="31" t="str">
        <f aca="false">IF(D222="","",D222-N(K222))</f>
        <v/>
      </c>
      <c r="M222" s="35" t="str">
        <f aca="true">IF(D222="","",IF(L222&lt;=0.004,"bezahlt",IF(TODAY()&gt;F222,"ÜBERFÄLLIG",IF(AND(I222&lt;&gt;"",TODAY()&lt;=I222),"Skonto nutzen bis "&amp;TEXT(I222,"DD.MM."),"fällig in "&amp;(F222-TODAY())&amp;" Tagen"))))</f>
        <v/>
      </c>
    </row>
    <row r="223" customFormat="false" ht="15" hidden="false" customHeight="false" outlineLevel="0" collapsed="false">
      <c r="A223" s="32"/>
      <c r="B223" s="32"/>
      <c r="C223" s="33"/>
      <c r="D223" s="30"/>
      <c r="E223" s="32"/>
      <c r="F223" s="44" t="str">
        <f aca="false">IF(C223="","",C223+IF(E223="",30,E223))</f>
        <v/>
      </c>
      <c r="G223" s="45"/>
      <c r="H223" s="32"/>
      <c r="I223" s="44" t="str">
        <f aca="false">IF(OR(C223="",G223=""),"",C223+H223)</f>
        <v/>
      </c>
      <c r="J223" s="33"/>
      <c r="K223" s="30"/>
      <c r="L223" s="31" t="str">
        <f aca="false">IF(D223="","",D223-N(K223))</f>
        <v/>
      </c>
      <c r="M223" s="35" t="str">
        <f aca="true">IF(D223="","",IF(L223&lt;=0.004,"bezahlt",IF(TODAY()&gt;F223,"ÜBERFÄLLIG",IF(AND(I223&lt;&gt;"",TODAY()&lt;=I223),"Skonto nutzen bis "&amp;TEXT(I223,"DD.MM."),"fällig in "&amp;(F223-TODAY())&amp;" Tagen"))))</f>
        <v/>
      </c>
    </row>
    <row r="224" customFormat="false" ht="15" hidden="false" customHeight="false" outlineLevel="0" collapsed="false">
      <c r="A224" s="32"/>
      <c r="B224" s="32"/>
      <c r="C224" s="33"/>
      <c r="D224" s="30"/>
      <c r="E224" s="32"/>
      <c r="F224" s="44" t="str">
        <f aca="false">IF(C224="","",C224+IF(E224="",30,E224))</f>
        <v/>
      </c>
      <c r="G224" s="45"/>
      <c r="H224" s="32"/>
      <c r="I224" s="44" t="str">
        <f aca="false">IF(OR(C224="",G224=""),"",C224+H224)</f>
        <v/>
      </c>
      <c r="J224" s="33"/>
      <c r="K224" s="30"/>
      <c r="L224" s="31" t="str">
        <f aca="false">IF(D224="","",D224-N(K224))</f>
        <v/>
      </c>
      <c r="M224" s="35" t="str">
        <f aca="true">IF(D224="","",IF(L224&lt;=0.004,"bezahlt",IF(TODAY()&gt;F224,"ÜBERFÄLLIG",IF(AND(I224&lt;&gt;"",TODAY()&lt;=I224),"Skonto nutzen bis "&amp;TEXT(I224,"DD.MM."),"fällig in "&amp;(F224-TODAY())&amp;" Tagen"))))</f>
        <v/>
      </c>
    </row>
    <row r="225" customFormat="false" ht="15" hidden="false" customHeight="false" outlineLevel="0" collapsed="false">
      <c r="A225" s="32"/>
      <c r="B225" s="32"/>
      <c r="C225" s="33"/>
      <c r="D225" s="30"/>
      <c r="E225" s="32"/>
      <c r="F225" s="44" t="str">
        <f aca="false">IF(C225="","",C225+IF(E225="",30,E225))</f>
        <v/>
      </c>
      <c r="G225" s="45"/>
      <c r="H225" s="32"/>
      <c r="I225" s="44" t="str">
        <f aca="false">IF(OR(C225="",G225=""),"",C225+H225)</f>
        <v/>
      </c>
      <c r="J225" s="33"/>
      <c r="K225" s="30"/>
      <c r="L225" s="31" t="str">
        <f aca="false">IF(D225="","",D225-N(K225))</f>
        <v/>
      </c>
      <c r="M225" s="35" t="str">
        <f aca="true">IF(D225="","",IF(L225&lt;=0.004,"bezahlt",IF(TODAY()&gt;F225,"ÜBERFÄLLIG",IF(AND(I225&lt;&gt;"",TODAY()&lt;=I225),"Skonto nutzen bis "&amp;TEXT(I225,"DD.MM."),"fällig in "&amp;(F225-TODAY())&amp;" Tagen"))))</f>
        <v/>
      </c>
    </row>
    <row r="226" customFormat="false" ht="15" hidden="false" customHeight="false" outlineLevel="0" collapsed="false">
      <c r="A226" s="32"/>
      <c r="B226" s="32"/>
      <c r="C226" s="33"/>
      <c r="D226" s="30"/>
      <c r="E226" s="32"/>
      <c r="F226" s="44" t="str">
        <f aca="false">IF(C226="","",C226+IF(E226="",30,E226))</f>
        <v/>
      </c>
      <c r="G226" s="45"/>
      <c r="H226" s="32"/>
      <c r="I226" s="44" t="str">
        <f aca="false">IF(OR(C226="",G226=""),"",C226+H226)</f>
        <v/>
      </c>
      <c r="J226" s="33"/>
      <c r="K226" s="30"/>
      <c r="L226" s="31" t="str">
        <f aca="false">IF(D226="","",D226-N(K226))</f>
        <v/>
      </c>
      <c r="M226" s="35" t="str">
        <f aca="true">IF(D226="","",IF(L226&lt;=0.004,"bezahlt",IF(TODAY()&gt;F226,"ÜBERFÄLLIG",IF(AND(I226&lt;&gt;"",TODAY()&lt;=I226),"Skonto nutzen bis "&amp;TEXT(I226,"DD.MM."),"fällig in "&amp;(F226-TODAY())&amp;" Tagen"))))</f>
        <v/>
      </c>
    </row>
    <row r="227" customFormat="false" ht="15" hidden="false" customHeight="false" outlineLevel="0" collapsed="false">
      <c r="A227" s="32"/>
      <c r="B227" s="32"/>
      <c r="C227" s="33"/>
      <c r="D227" s="30"/>
      <c r="E227" s="32"/>
      <c r="F227" s="44" t="str">
        <f aca="false">IF(C227="","",C227+IF(E227="",30,E227))</f>
        <v/>
      </c>
      <c r="G227" s="45"/>
      <c r="H227" s="32"/>
      <c r="I227" s="44" t="str">
        <f aca="false">IF(OR(C227="",G227=""),"",C227+H227)</f>
        <v/>
      </c>
      <c r="J227" s="33"/>
      <c r="K227" s="30"/>
      <c r="L227" s="31" t="str">
        <f aca="false">IF(D227="","",D227-N(K227))</f>
        <v/>
      </c>
      <c r="M227" s="35" t="str">
        <f aca="true">IF(D227="","",IF(L227&lt;=0.004,"bezahlt",IF(TODAY()&gt;F227,"ÜBERFÄLLIG",IF(AND(I227&lt;&gt;"",TODAY()&lt;=I227),"Skonto nutzen bis "&amp;TEXT(I227,"DD.MM."),"fällig in "&amp;(F227-TODAY())&amp;" Tagen"))))</f>
        <v/>
      </c>
    </row>
    <row r="228" customFormat="false" ht="15" hidden="false" customHeight="false" outlineLevel="0" collapsed="false">
      <c r="A228" s="32"/>
      <c r="B228" s="32"/>
      <c r="C228" s="33"/>
      <c r="D228" s="30"/>
      <c r="E228" s="32"/>
      <c r="F228" s="44" t="str">
        <f aca="false">IF(C228="","",C228+IF(E228="",30,E228))</f>
        <v/>
      </c>
      <c r="G228" s="45"/>
      <c r="H228" s="32"/>
      <c r="I228" s="44" t="str">
        <f aca="false">IF(OR(C228="",G228=""),"",C228+H228)</f>
        <v/>
      </c>
      <c r="J228" s="33"/>
      <c r="K228" s="30"/>
      <c r="L228" s="31" t="str">
        <f aca="false">IF(D228="","",D228-N(K228))</f>
        <v/>
      </c>
      <c r="M228" s="35" t="str">
        <f aca="true">IF(D228="","",IF(L228&lt;=0.004,"bezahlt",IF(TODAY()&gt;F228,"ÜBERFÄLLIG",IF(AND(I228&lt;&gt;"",TODAY()&lt;=I228),"Skonto nutzen bis "&amp;TEXT(I228,"DD.MM."),"fällig in "&amp;(F228-TODAY())&amp;" Tagen"))))</f>
        <v/>
      </c>
    </row>
    <row r="229" customFormat="false" ht="15" hidden="false" customHeight="false" outlineLevel="0" collapsed="false">
      <c r="A229" s="32"/>
      <c r="B229" s="32"/>
      <c r="C229" s="33"/>
      <c r="D229" s="30"/>
      <c r="E229" s="32"/>
      <c r="F229" s="44" t="str">
        <f aca="false">IF(C229="","",C229+IF(E229="",30,E229))</f>
        <v/>
      </c>
      <c r="G229" s="45"/>
      <c r="H229" s="32"/>
      <c r="I229" s="44" t="str">
        <f aca="false">IF(OR(C229="",G229=""),"",C229+H229)</f>
        <v/>
      </c>
      <c r="J229" s="33"/>
      <c r="K229" s="30"/>
      <c r="L229" s="31" t="str">
        <f aca="false">IF(D229="","",D229-N(K229))</f>
        <v/>
      </c>
      <c r="M229" s="35" t="str">
        <f aca="true">IF(D229="","",IF(L229&lt;=0.004,"bezahlt",IF(TODAY()&gt;F229,"ÜBERFÄLLIG",IF(AND(I229&lt;&gt;"",TODAY()&lt;=I229),"Skonto nutzen bis "&amp;TEXT(I229,"DD.MM."),"fällig in "&amp;(F229-TODAY())&amp;" Tagen"))))</f>
        <v/>
      </c>
    </row>
    <row r="230" customFormat="false" ht="15" hidden="false" customHeight="false" outlineLevel="0" collapsed="false">
      <c r="A230" s="32"/>
      <c r="B230" s="32"/>
      <c r="C230" s="33"/>
      <c r="D230" s="30"/>
      <c r="E230" s="32"/>
      <c r="F230" s="44" t="str">
        <f aca="false">IF(C230="","",C230+IF(E230="",30,E230))</f>
        <v/>
      </c>
      <c r="G230" s="45"/>
      <c r="H230" s="32"/>
      <c r="I230" s="44" t="str">
        <f aca="false">IF(OR(C230="",G230=""),"",C230+H230)</f>
        <v/>
      </c>
      <c r="J230" s="33"/>
      <c r="K230" s="30"/>
      <c r="L230" s="31" t="str">
        <f aca="false">IF(D230="","",D230-N(K230))</f>
        <v/>
      </c>
      <c r="M230" s="35" t="str">
        <f aca="true">IF(D230="","",IF(L230&lt;=0.004,"bezahlt",IF(TODAY()&gt;F230,"ÜBERFÄLLIG",IF(AND(I230&lt;&gt;"",TODAY()&lt;=I230),"Skonto nutzen bis "&amp;TEXT(I230,"DD.MM."),"fällig in "&amp;(F230-TODAY())&amp;" Tagen"))))</f>
        <v/>
      </c>
    </row>
    <row r="231" customFormat="false" ht="15" hidden="false" customHeight="false" outlineLevel="0" collapsed="false">
      <c r="A231" s="32"/>
      <c r="B231" s="32"/>
      <c r="C231" s="33"/>
      <c r="D231" s="30"/>
      <c r="E231" s="32"/>
      <c r="F231" s="44" t="str">
        <f aca="false">IF(C231="","",C231+IF(E231="",30,E231))</f>
        <v/>
      </c>
      <c r="G231" s="45"/>
      <c r="H231" s="32"/>
      <c r="I231" s="44" t="str">
        <f aca="false">IF(OR(C231="",G231=""),"",C231+H231)</f>
        <v/>
      </c>
      <c r="J231" s="33"/>
      <c r="K231" s="30"/>
      <c r="L231" s="31" t="str">
        <f aca="false">IF(D231="","",D231-N(K231))</f>
        <v/>
      </c>
      <c r="M231" s="35" t="str">
        <f aca="true">IF(D231="","",IF(L231&lt;=0.004,"bezahlt",IF(TODAY()&gt;F231,"ÜBERFÄLLIG",IF(AND(I231&lt;&gt;"",TODAY()&lt;=I231),"Skonto nutzen bis "&amp;TEXT(I231,"DD.MM."),"fällig in "&amp;(F231-TODAY())&amp;" Tagen"))))</f>
        <v/>
      </c>
    </row>
    <row r="232" customFormat="false" ht="15" hidden="false" customHeight="false" outlineLevel="0" collapsed="false">
      <c r="A232" s="32"/>
      <c r="B232" s="32"/>
      <c r="C232" s="33"/>
      <c r="D232" s="30"/>
      <c r="E232" s="32"/>
      <c r="F232" s="44" t="str">
        <f aca="false">IF(C232="","",C232+IF(E232="",30,E232))</f>
        <v/>
      </c>
      <c r="G232" s="45"/>
      <c r="H232" s="32"/>
      <c r="I232" s="44" t="str">
        <f aca="false">IF(OR(C232="",G232=""),"",C232+H232)</f>
        <v/>
      </c>
      <c r="J232" s="33"/>
      <c r="K232" s="30"/>
      <c r="L232" s="31" t="str">
        <f aca="false">IF(D232="","",D232-N(K232))</f>
        <v/>
      </c>
      <c r="M232" s="35" t="str">
        <f aca="true">IF(D232="","",IF(L232&lt;=0.004,"bezahlt",IF(TODAY()&gt;F232,"ÜBERFÄLLIG",IF(AND(I232&lt;&gt;"",TODAY()&lt;=I232),"Skonto nutzen bis "&amp;TEXT(I232,"DD.MM."),"fällig in "&amp;(F232-TODAY())&amp;" Tagen"))))</f>
        <v/>
      </c>
    </row>
    <row r="233" customFormat="false" ht="15" hidden="false" customHeight="false" outlineLevel="0" collapsed="false">
      <c r="A233" s="32"/>
      <c r="B233" s="32"/>
      <c r="C233" s="33"/>
      <c r="D233" s="30"/>
      <c r="E233" s="32"/>
      <c r="F233" s="44" t="str">
        <f aca="false">IF(C233="","",C233+IF(E233="",30,E233))</f>
        <v/>
      </c>
      <c r="G233" s="45"/>
      <c r="H233" s="32"/>
      <c r="I233" s="44" t="str">
        <f aca="false">IF(OR(C233="",G233=""),"",C233+H233)</f>
        <v/>
      </c>
      <c r="J233" s="33"/>
      <c r="K233" s="30"/>
      <c r="L233" s="31" t="str">
        <f aca="false">IF(D233="","",D233-N(K233))</f>
        <v/>
      </c>
      <c r="M233" s="35" t="str">
        <f aca="true">IF(D233="","",IF(L233&lt;=0.004,"bezahlt",IF(TODAY()&gt;F233,"ÜBERFÄLLIG",IF(AND(I233&lt;&gt;"",TODAY()&lt;=I233),"Skonto nutzen bis "&amp;TEXT(I233,"DD.MM."),"fällig in "&amp;(F233-TODAY())&amp;" Tagen"))))</f>
        <v/>
      </c>
    </row>
    <row r="234" customFormat="false" ht="15" hidden="false" customHeight="false" outlineLevel="0" collapsed="false">
      <c r="A234" s="32"/>
      <c r="B234" s="32"/>
      <c r="C234" s="33"/>
      <c r="D234" s="30"/>
      <c r="E234" s="32"/>
      <c r="F234" s="44" t="str">
        <f aca="false">IF(C234="","",C234+IF(E234="",30,E234))</f>
        <v/>
      </c>
      <c r="G234" s="45"/>
      <c r="H234" s="32"/>
      <c r="I234" s="44" t="str">
        <f aca="false">IF(OR(C234="",G234=""),"",C234+H234)</f>
        <v/>
      </c>
      <c r="J234" s="33"/>
      <c r="K234" s="30"/>
      <c r="L234" s="31" t="str">
        <f aca="false">IF(D234="","",D234-N(K234))</f>
        <v/>
      </c>
      <c r="M234" s="35" t="str">
        <f aca="true">IF(D234="","",IF(L234&lt;=0.004,"bezahlt",IF(TODAY()&gt;F234,"ÜBERFÄLLIG",IF(AND(I234&lt;&gt;"",TODAY()&lt;=I234),"Skonto nutzen bis "&amp;TEXT(I234,"DD.MM."),"fällig in "&amp;(F234-TODAY())&amp;" Tagen"))))</f>
        <v/>
      </c>
    </row>
    <row r="235" customFormat="false" ht="15" hidden="false" customHeight="false" outlineLevel="0" collapsed="false">
      <c r="A235" s="32"/>
      <c r="B235" s="32"/>
      <c r="C235" s="33"/>
      <c r="D235" s="30"/>
      <c r="E235" s="32"/>
      <c r="F235" s="44" t="str">
        <f aca="false">IF(C235="","",C235+IF(E235="",30,E235))</f>
        <v/>
      </c>
      <c r="G235" s="45"/>
      <c r="H235" s="32"/>
      <c r="I235" s="44" t="str">
        <f aca="false">IF(OR(C235="",G235=""),"",C235+H235)</f>
        <v/>
      </c>
      <c r="J235" s="33"/>
      <c r="K235" s="30"/>
      <c r="L235" s="31" t="str">
        <f aca="false">IF(D235="","",D235-N(K235))</f>
        <v/>
      </c>
      <c r="M235" s="35" t="str">
        <f aca="true">IF(D235="","",IF(L235&lt;=0.004,"bezahlt",IF(TODAY()&gt;F235,"ÜBERFÄLLIG",IF(AND(I235&lt;&gt;"",TODAY()&lt;=I235),"Skonto nutzen bis "&amp;TEXT(I235,"DD.MM."),"fällig in "&amp;(F235-TODAY())&amp;" Tagen"))))</f>
        <v/>
      </c>
    </row>
    <row r="236" customFormat="false" ht="15" hidden="false" customHeight="false" outlineLevel="0" collapsed="false">
      <c r="A236" s="32"/>
      <c r="B236" s="32"/>
      <c r="C236" s="33"/>
      <c r="D236" s="30"/>
      <c r="E236" s="32"/>
      <c r="F236" s="44" t="str">
        <f aca="false">IF(C236="","",C236+IF(E236="",30,E236))</f>
        <v/>
      </c>
      <c r="G236" s="45"/>
      <c r="H236" s="32"/>
      <c r="I236" s="44" t="str">
        <f aca="false">IF(OR(C236="",G236=""),"",C236+H236)</f>
        <v/>
      </c>
      <c r="J236" s="33"/>
      <c r="K236" s="30"/>
      <c r="L236" s="31" t="str">
        <f aca="false">IF(D236="","",D236-N(K236))</f>
        <v/>
      </c>
      <c r="M236" s="35" t="str">
        <f aca="true">IF(D236="","",IF(L236&lt;=0.004,"bezahlt",IF(TODAY()&gt;F236,"ÜBERFÄLLIG",IF(AND(I236&lt;&gt;"",TODAY()&lt;=I236),"Skonto nutzen bis "&amp;TEXT(I236,"DD.MM."),"fällig in "&amp;(F236-TODAY())&amp;" Tagen"))))</f>
        <v/>
      </c>
    </row>
    <row r="237" customFormat="false" ht="15" hidden="false" customHeight="false" outlineLevel="0" collapsed="false">
      <c r="A237" s="32"/>
      <c r="B237" s="32"/>
      <c r="C237" s="33"/>
      <c r="D237" s="30"/>
      <c r="E237" s="32"/>
      <c r="F237" s="44" t="str">
        <f aca="false">IF(C237="","",C237+IF(E237="",30,E237))</f>
        <v/>
      </c>
      <c r="G237" s="45"/>
      <c r="H237" s="32"/>
      <c r="I237" s="44" t="str">
        <f aca="false">IF(OR(C237="",G237=""),"",C237+H237)</f>
        <v/>
      </c>
      <c r="J237" s="33"/>
      <c r="K237" s="30"/>
      <c r="L237" s="31" t="str">
        <f aca="false">IF(D237="","",D237-N(K237))</f>
        <v/>
      </c>
      <c r="M237" s="35" t="str">
        <f aca="true">IF(D237="","",IF(L237&lt;=0.004,"bezahlt",IF(TODAY()&gt;F237,"ÜBERFÄLLIG",IF(AND(I237&lt;&gt;"",TODAY()&lt;=I237),"Skonto nutzen bis "&amp;TEXT(I237,"DD.MM."),"fällig in "&amp;(F237-TODAY())&amp;" Tagen"))))</f>
        <v/>
      </c>
    </row>
    <row r="238" customFormat="false" ht="15" hidden="false" customHeight="false" outlineLevel="0" collapsed="false">
      <c r="A238" s="32"/>
      <c r="B238" s="32"/>
      <c r="C238" s="33"/>
      <c r="D238" s="30"/>
      <c r="E238" s="32"/>
      <c r="F238" s="44" t="str">
        <f aca="false">IF(C238="","",C238+IF(E238="",30,E238))</f>
        <v/>
      </c>
      <c r="G238" s="45"/>
      <c r="H238" s="32"/>
      <c r="I238" s="44" t="str">
        <f aca="false">IF(OR(C238="",G238=""),"",C238+H238)</f>
        <v/>
      </c>
      <c r="J238" s="33"/>
      <c r="K238" s="30"/>
      <c r="L238" s="31" t="str">
        <f aca="false">IF(D238="","",D238-N(K238))</f>
        <v/>
      </c>
      <c r="M238" s="35" t="str">
        <f aca="true">IF(D238="","",IF(L238&lt;=0.004,"bezahlt",IF(TODAY()&gt;F238,"ÜBERFÄLLIG",IF(AND(I238&lt;&gt;"",TODAY()&lt;=I238),"Skonto nutzen bis "&amp;TEXT(I238,"DD.MM."),"fällig in "&amp;(F238-TODAY())&amp;" Tagen"))))</f>
        <v/>
      </c>
    </row>
    <row r="239" customFormat="false" ht="15" hidden="false" customHeight="false" outlineLevel="0" collapsed="false">
      <c r="A239" s="32"/>
      <c r="B239" s="32"/>
      <c r="C239" s="33"/>
      <c r="D239" s="30"/>
      <c r="E239" s="32"/>
      <c r="F239" s="44" t="str">
        <f aca="false">IF(C239="","",C239+IF(E239="",30,E239))</f>
        <v/>
      </c>
      <c r="G239" s="45"/>
      <c r="H239" s="32"/>
      <c r="I239" s="44" t="str">
        <f aca="false">IF(OR(C239="",G239=""),"",C239+H239)</f>
        <v/>
      </c>
      <c r="J239" s="33"/>
      <c r="K239" s="30"/>
      <c r="L239" s="31" t="str">
        <f aca="false">IF(D239="","",D239-N(K239))</f>
        <v/>
      </c>
      <c r="M239" s="35" t="str">
        <f aca="true">IF(D239="","",IF(L239&lt;=0.004,"bezahlt",IF(TODAY()&gt;F239,"ÜBERFÄLLIG",IF(AND(I239&lt;&gt;"",TODAY()&lt;=I239),"Skonto nutzen bis "&amp;TEXT(I239,"DD.MM."),"fällig in "&amp;(F239-TODAY())&amp;" Tagen"))))</f>
        <v/>
      </c>
    </row>
    <row r="240" customFormat="false" ht="15" hidden="false" customHeight="false" outlineLevel="0" collapsed="false">
      <c r="A240" s="32"/>
      <c r="B240" s="32"/>
      <c r="C240" s="33"/>
      <c r="D240" s="30"/>
      <c r="E240" s="32"/>
      <c r="F240" s="44" t="str">
        <f aca="false">IF(C240="","",C240+IF(E240="",30,E240))</f>
        <v/>
      </c>
      <c r="G240" s="45"/>
      <c r="H240" s="32"/>
      <c r="I240" s="44" t="str">
        <f aca="false">IF(OR(C240="",G240=""),"",C240+H240)</f>
        <v/>
      </c>
      <c r="J240" s="33"/>
      <c r="K240" s="30"/>
      <c r="L240" s="31" t="str">
        <f aca="false">IF(D240="","",D240-N(K240))</f>
        <v/>
      </c>
      <c r="M240" s="35" t="str">
        <f aca="true">IF(D240="","",IF(L240&lt;=0.004,"bezahlt",IF(TODAY()&gt;F240,"ÜBERFÄLLIG",IF(AND(I240&lt;&gt;"",TODAY()&lt;=I240),"Skonto nutzen bis "&amp;TEXT(I240,"DD.MM."),"fällig in "&amp;(F240-TODAY())&amp;" Tagen"))))</f>
        <v/>
      </c>
    </row>
    <row r="241" customFormat="false" ht="15" hidden="false" customHeight="false" outlineLevel="0" collapsed="false">
      <c r="A241" s="32"/>
      <c r="B241" s="32"/>
      <c r="C241" s="33"/>
      <c r="D241" s="30"/>
      <c r="E241" s="32"/>
      <c r="F241" s="44" t="str">
        <f aca="false">IF(C241="","",C241+IF(E241="",30,E241))</f>
        <v/>
      </c>
      <c r="G241" s="45"/>
      <c r="H241" s="32"/>
      <c r="I241" s="44" t="str">
        <f aca="false">IF(OR(C241="",G241=""),"",C241+H241)</f>
        <v/>
      </c>
      <c r="J241" s="33"/>
      <c r="K241" s="30"/>
      <c r="L241" s="31" t="str">
        <f aca="false">IF(D241="","",D241-N(K241))</f>
        <v/>
      </c>
      <c r="M241" s="35" t="str">
        <f aca="true">IF(D241="","",IF(L241&lt;=0.004,"bezahlt",IF(TODAY()&gt;F241,"ÜBERFÄLLIG",IF(AND(I241&lt;&gt;"",TODAY()&lt;=I241),"Skonto nutzen bis "&amp;TEXT(I241,"DD.MM."),"fällig in "&amp;(F241-TODAY())&amp;" Tagen"))))</f>
        <v/>
      </c>
    </row>
    <row r="242" customFormat="false" ht="15" hidden="false" customHeight="false" outlineLevel="0" collapsed="false">
      <c r="A242" s="32"/>
      <c r="B242" s="32"/>
      <c r="C242" s="33"/>
      <c r="D242" s="30"/>
      <c r="E242" s="32"/>
      <c r="F242" s="44" t="str">
        <f aca="false">IF(C242="","",C242+IF(E242="",30,E242))</f>
        <v/>
      </c>
      <c r="G242" s="45"/>
      <c r="H242" s="32"/>
      <c r="I242" s="44" t="str">
        <f aca="false">IF(OR(C242="",G242=""),"",C242+H242)</f>
        <v/>
      </c>
      <c r="J242" s="33"/>
      <c r="K242" s="30"/>
      <c r="L242" s="31" t="str">
        <f aca="false">IF(D242="","",D242-N(K242))</f>
        <v/>
      </c>
      <c r="M242" s="35" t="str">
        <f aca="true">IF(D242="","",IF(L242&lt;=0.004,"bezahlt",IF(TODAY()&gt;F242,"ÜBERFÄLLIG",IF(AND(I242&lt;&gt;"",TODAY()&lt;=I242),"Skonto nutzen bis "&amp;TEXT(I242,"DD.MM."),"fällig in "&amp;(F242-TODAY())&amp;" Tagen"))))</f>
        <v/>
      </c>
    </row>
    <row r="243" customFormat="false" ht="15" hidden="false" customHeight="false" outlineLevel="0" collapsed="false">
      <c r="A243" s="32"/>
      <c r="B243" s="32"/>
      <c r="C243" s="33"/>
      <c r="D243" s="30"/>
      <c r="E243" s="32"/>
      <c r="F243" s="44" t="str">
        <f aca="false">IF(C243="","",C243+IF(E243="",30,E243))</f>
        <v/>
      </c>
      <c r="G243" s="45"/>
      <c r="H243" s="32"/>
      <c r="I243" s="44" t="str">
        <f aca="false">IF(OR(C243="",G243=""),"",C243+H243)</f>
        <v/>
      </c>
      <c r="J243" s="33"/>
      <c r="K243" s="30"/>
      <c r="L243" s="31" t="str">
        <f aca="false">IF(D243="","",D243-N(K243))</f>
        <v/>
      </c>
      <c r="M243" s="35" t="str">
        <f aca="true">IF(D243="","",IF(L243&lt;=0.004,"bezahlt",IF(TODAY()&gt;F243,"ÜBERFÄLLIG",IF(AND(I243&lt;&gt;"",TODAY()&lt;=I243),"Skonto nutzen bis "&amp;TEXT(I243,"DD.MM."),"fällig in "&amp;(F243-TODAY())&amp;" Tagen"))))</f>
        <v/>
      </c>
    </row>
    <row r="244" customFormat="false" ht="15" hidden="false" customHeight="false" outlineLevel="0" collapsed="false">
      <c r="A244" s="32"/>
      <c r="B244" s="32"/>
      <c r="C244" s="33"/>
      <c r="D244" s="30"/>
      <c r="E244" s="32"/>
      <c r="F244" s="44" t="str">
        <f aca="false">IF(C244="","",C244+IF(E244="",30,E244))</f>
        <v/>
      </c>
      <c r="G244" s="45"/>
      <c r="H244" s="32"/>
      <c r="I244" s="44" t="str">
        <f aca="false">IF(OR(C244="",G244=""),"",C244+H244)</f>
        <v/>
      </c>
      <c r="J244" s="33"/>
      <c r="K244" s="30"/>
      <c r="L244" s="31" t="str">
        <f aca="false">IF(D244="","",D244-N(K244))</f>
        <v/>
      </c>
      <c r="M244" s="35" t="str">
        <f aca="true">IF(D244="","",IF(L244&lt;=0.004,"bezahlt",IF(TODAY()&gt;F244,"ÜBERFÄLLIG",IF(AND(I244&lt;&gt;"",TODAY()&lt;=I244),"Skonto nutzen bis "&amp;TEXT(I244,"DD.MM."),"fällig in "&amp;(F244-TODAY())&amp;" Tagen"))))</f>
        <v/>
      </c>
    </row>
    <row r="245" customFormat="false" ht="15" hidden="false" customHeight="false" outlineLevel="0" collapsed="false">
      <c r="A245" s="32"/>
      <c r="B245" s="32"/>
      <c r="C245" s="33"/>
      <c r="D245" s="30"/>
      <c r="E245" s="32"/>
      <c r="F245" s="44" t="str">
        <f aca="false">IF(C245="","",C245+IF(E245="",30,E245))</f>
        <v/>
      </c>
      <c r="G245" s="45"/>
      <c r="H245" s="32"/>
      <c r="I245" s="44" t="str">
        <f aca="false">IF(OR(C245="",G245=""),"",C245+H245)</f>
        <v/>
      </c>
      <c r="J245" s="33"/>
      <c r="K245" s="30"/>
      <c r="L245" s="31" t="str">
        <f aca="false">IF(D245="","",D245-N(K245))</f>
        <v/>
      </c>
      <c r="M245" s="35" t="str">
        <f aca="true">IF(D245="","",IF(L245&lt;=0.004,"bezahlt",IF(TODAY()&gt;F245,"ÜBERFÄLLIG",IF(AND(I245&lt;&gt;"",TODAY()&lt;=I245),"Skonto nutzen bis "&amp;TEXT(I245,"DD.MM."),"fällig in "&amp;(F245-TODAY())&amp;" Tagen"))))</f>
        <v/>
      </c>
    </row>
    <row r="246" customFormat="false" ht="15" hidden="false" customHeight="false" outlineLevel="0" collapsed="false">
      <c r="A246" s="32"/>
      <c r="B246" s="32"/>
      <c r="C246" s="33"/>
      <c r="D246" s="30"/>
      <c r="E246" s="32"/>
      <c r="F246" s="44" t="str">
        <f aca="false">IF(C246="","",C246+IF(E246="",30,E246))</f>
        <v/>
      </c>
      <c r="G246" s="45"/>
      <c r="H246" s="32"/>
      <c r="I246" s="44" t="str">
        <f aca="false">IF(OR(C246="",G246=""),"",C246+H246)</f>
        <v/>
      </c>
      <c r="J246" s="33"/>
      <c r="K246" s="30"/>
      <c r="L246" s="31" t="str">
        <f aca="false">IF(D246="","",D246-N(K246))</f>
        <v/>
      </c>
      <c r="M246" s="35" t="str">
        <f aca="true">IF(D246="","",IF(L246&lt;=0.004,"bezahlt",IF(TODAY()&gt;F246,"ÜBERFÄLLIG",IF(AND(I246&lt;&gt;"",TODAY()&lt;=I246),"Skonto nutzen bis "&amp;TEXT(I246,"DD.MM."),"fällig in "&amp;(F246-TODAY())&amp;" Tagen"))))</f>
        <v/>
      </c>
    </row>
    <row r="247" customFormat="false" ht="15" hidden="false" customHeight="false" outlineLevel="0" collapsed="false">
      <c r="A247" s="32"/>
      <c r="B247" s="32"/>
      <c r="C247" s="33"/>
      <c r="D247" s="30"/>
      <c r="E247" s="32"/>
      <c r="F247" s="44" t="str">
        <f aca="false">IF(C247="","",C247+IF(E247="",30,E247))</f>
        <v/>
      </c>
      <c r="G247" s="45"/>
      <c r="H247" s="32"/>
      <c r="I247" s="44" t="str">
        <f aca="false">IF(OR(C247="",G247=""),"",C247+H247)</f>
        <v/>
      </c>
      <c r="J247" s="33"/>
      <c r="K247" s="30"/>
      <c r="L247" s="31" t="str">
        <f aca="false">IF(D247="","",D247-N(K247))</f>
        <v/>
      </c>
      <c r="M247" s="35" t="str">
        <f aca="true">IF(D247="","",IF(L247&lt;=0.004,"bezahlt",IF(TODAY()&gt;F247,"ÜBERFÄLLIG",IF(AND(I247&lt;&gt;"",TODAY()&lt;=I247),"Skonto nutzen bis "&amp;TEXT(I247,"DD.MM."),"fällig in "&amp;(F247-TODAY())&amp;" Tagen"))))</f>
        <v/>
      </c>
    </row>
    <row r="248" customFormat="false" ht="15" hidden="false" customHeight="false" outlineLevel="0" collapsed="false">
      <c r="A248" s="32"/>
      <c r="B248" s="32"/>
      <c r="C248" s="33"/>
      <c r="D248" s="30"/>
      <c r="E248" s="32"/>
      <c r="F248" s="44" t="str">
        <f aca="false">IF(C248="","",C248+IF(E248="",30,E248))</f>
        <v/>
      </c>
      <c r="G248" s="45"/>
      <c r="H248" s="32"/>
      <c r="I248" s="44" t="str">
        <f aca="false">IF(OR(C248="",G248=""),"",C248+H248)</f>
        <v/>
      </c>
      <c r="J248" s="33"/>
      <c r="K248" s="30"/>
      <c r="L248" s="31" t="str">
        <f aca="false">IF(D248="","",D248-N(K248))</f>
        <v/>
      </c>
      <c r="M248" s="35" t="str">
        <f aca="true">IF(D248="","",IF(L248&lt;=0.004,"bezahlt",IF(TODAY()&gt;F248,"ÜBERFÄLLIG",IF(AND(I248&lt;&gt;"",TODAY()&lt;=I248),"Skonto nutzen bis "&amp;TEXT(I248,"DD.MM."),"fällig in "&amp;(F248-TODAY())&amp;" Tagen"))))</f>
        <v/>
      </c>
    </row>
    <row r="249" customFormat="false" ht="15" hidden="false" customHeight="false" outlineLevel="0" collapsed="false">
      <c r="A249" s="32"/>
      <c r="B249" s="32"/>
      <c r="C249" s="33"/>
      <c r="D249" s="30"/>
      <c r="E249" s="32"/>
      <c r="F249" s="44" t="str">
        <f aca="false">IF(C249="","",C249+IF(E249="",30,E249))</f>
        <v/>
      </c>
      <c r="G249" s="45"/>
      <c r="H249" s="32"/>
      <c r="I249" s="44" t="str">
        <f aca="false">IF(OR(C249="",G249=""),"",C249+H249)</f>
        <v/>
      </c>
      <c r="J249" s="33"/>
      <c r="K249" s="30"/>
      <c r="L249" s="31" t="str">
        <f aca="false">IF(D249="","",D249-N(K249))</f>
        <v/>
      </c>
      <c r="M249" s="35" t="str">
        <f aca="true">IF(D249="","",IF(L249&lt;=0.004,"bezahlt",IF(TODAY()&gt;F249,"ÜBERFÄLLIG",IF(AND(I249&lt;&gt;"",TODAY()&lt;=I249),"Skonto nutzen bis "&amp;TEXT(I249,"DD.MM."),"fällig in "&amp;(F249-TODAY())&amp;" Tagen"))))</f>
        <v/>
      </c>
    </row>
    <row r="250" customFormat="false" ht="15" hidden="false" customHeight="false" outlineLevel="0" collapsed="false">
      <c r="A250" s="32"/>
      <c r="B250" s="32"/>
      <c r="C250" s="33"/>
      <c r="D250" s="30"/>
      <c r="E250" s="32"/>
      <c r="F250" s="44" t="str">
        <f aca="false">IF(C250="","",C250+IF(E250="",30,E250))</f>
        <v/>
      </c>
      <c r="G250" s="45"/>
      <c r="H250" s="32"/>
      <c r="I250" s="44" t="str">
        <f aca="false">IF(OR(C250="",G250=""),"",C250+H250)</f>
        <v/>
      </c>
      <c r="J250" s="33"/>
      <c r="K250" s="30"/>
      <c r="L250" s="31" t="str">
        <f aca="false">IF(D250="","",D250-N(K250))</f>
        <v/>
      </c>
      <c r="M250" s="35" t="str">
        <f aca="true">IF(D250="","",IF(L250&lt;=0.004,"bezahlt",IF(TODAY()&gt;F250,"ÜBERFÄLLIG",IF(AND(I250&lt;&gt;"",TODAY()&lt;=I250),"Skonto nutzen bis "&amp;TEXT(I250,"DD.MM."),"fällig in "&amp;(F250-TODAY())&amp;" Tagen"))))</f>
        <v/>
      </c>
    </row>
    <row r="251" customFormat="false" ht="15" hidden="false" customHeight="false" outlineLevel="0" collapsed="false">
      <c r="A251" s="32"/>
      <c r="B251" s="32"/>
      <c r="C251" s="33"/>
      <c r="D251" s="30"/>
      <c r="E251" s="32"/>
      <c r="F251" s="44" t="str">
        <f aca="false">IF(C251="","",C251+IF(E251="",30,E251))</f>
        <v/>
      </c>
      <c r="G251" s="45"/>
      <c r="H251" s="32"/>
      <c r="I251" s="44" t="str">
        <f aca="false">IF(OR(C251="",G251=""),"",C251+H251)</f>
        <v/>
      </c>
      <c r="J251" s="33"/>
      <c r="K251" s="30"/>
      <c r="L251" s="31" t="str">
        <f aca="false">IF(D251="","",D251-N(K251))</f>
        <v/>
      </c>
      <c r="M251" s="35" t="str">
        <f aca="true">IF(D251="","",IF(L251&lt;=0.004,"bezahlt",IF(TODAY()&gt;F251,"ÜBERFÄLLIG",IF(AND(I251&lt;&gt;"",TODAY()&lt;=I251),"Skonto nutzen bis "&amp;TEXT(I251,"DD.MM."),"fällig in "&amp;(F251-TODAY())&amp;" Tagen"))))</f>
        <v/>
      </c>
    </row>
    <row r="252" customFormat="false" ht="15" hidden="false" customHeight="false" outlineLevel="0" collapsed="false">
      <c r="A252" s="32"/>
      <c r="B252" s="32"/>
      <c r="C252" s="33"/>
      <c r="D252" s="30"/>
      <c r="E252" s="32"/>
      <c r="F252" s="44" t="str">
        <f aca="false">IF(C252="","",C252+IF(E252="",30,E252))</f>
        <v/>
      </c>
      <c r="G252" s="45"/>
      <c r="H252" s="32"/>
      <c r="I252" s="44" t="str">
        <f aca="false">IF(OR(C252="",G252=""),"",C252+H252)</f>
        <v/>
      </c>
      <c r="J252" s="33"/>
      <c r="K252" s="30"/>
      <c r="L252" s="31" t="str">
        <f aca="false">IF(D252="","",D252-N(K252))</f>
        <v/>
      </c>
      <c r="M252" s="35" t="str">
        <f aca="true">IF(D252="","",IF(L252&lt;=0.004,"bezahlt",IF(TODAY()&gt;F252,"ÜBERFÄLLIG",IF(AND(I252&lt;&gt;"",TODAY()&lt;=I252),"Skonto nutzen bis "&amp;TEXT(I252,"DD.MM."),"fällig in "&amp;(F252-TODAY())&amp;" Tagen"))))</f>
        <v/>
      </c>
    </row>
    <row r="253" customFormat="false" ht="15" hidden="false" customHeight="false" outlineLevel="0" collapsed="false">
      <c r="A253" s="32"/>
      <c r="B253" s="32"/>
      <c r="C253" s="33"/>
      <c r="D253" s="30"/>
      <c r="E253" s="32"/>
      <c r="F253" s="44" t="str">
        <f aca="false">IF(C253="","",C253+IF(E253="",30,E253))</f>
        <v/>
      </c>
      <c r="G253" s="45"/>
      <c r="H253" s="32"/>
      <c r="I253" s="44" t="str">
        <f aca="false">IF(OR(C253="",G253=""),"",C253+H253)</f>
        <v/>
      </c>
      <c r="J253" s="33"/>
      <c r="K253" s="30"/>
      <c r="L253" s="31" t="str">
        <f aca="false">IF(D253="","",D253-N(K253))</f>
        <v/>
      </c>
      <c r="M253" s="35" t="str">
        <f aca="true">IF(D253="","",IF(L253&lt;=0.004,"bezahlt",IF(TODAY()&gt;F253,"ÜBERFÄLLIG",IF(AND(I253&lt;&gt;"",TODAY()&lt;=I253),"Skonto nutzen bis "&amp;TEXT(I253,"DD.MM."),"fällig in "&amp;(F253-TODAY())&amp;" Tagen"))))</f>
        <v/>
      </c>
    </row>
    <row r="254" customFormat="false" ht="15" hidden="false" customHeight="false" outlineLevel="0" collapsed="false">
      <c r="A254" s="32"/>
      <c r="B254" s="32"/>
      <c r="C254" s="33"/>
      <c r="D254" s="30"/>
      <c r="E254" s="32"/>
      <c r="F254" s="44" t="str">
        <f aca="false">IF(C254="","",C254+IF(E254="",30,E254))</f>
        <v/>
      </c>
      <c r="G254" s="45"/>
      <c r="H254" s="32"/>
      <c r="I254" s="44" t="str">
        <f aca="false">IF(OR(C254="",G254=""),"",C254+H254)</f>
        <v/>
      </c>
      <c r="J254" s="33"/>
      <c r="K254" s="30"/>
      <c r="L254" s="31" t="str">
        <f aca="false">IF(D254="","",D254-N(K254))</f>
        <v/>
      </c>
      <c r="M254" s="35" t="str">
        <f aca="true">IF(D254="","",IF(L254&lt;=0.004,"bezahlt",IF(TODAY()&gt;F254,"ÜBERFÄLLIG",IF(AND(I254&lt;&gt;"",TODAY()&lt;=I254),"Skonto nutzen bis "&amp;TEXT(I254,"DD.MM."),"fällig in "&amp;(F254-TODAY())&amp;" Tagen"))))</f>
        <v/>
      </c>
    </row>
    <row r="255" customFormat="false" ht="15" hidden="false" customHeight="false" outlineLevel="0" collapsed="false">
      <c r="A255" s="32"/>
      <c r="B255" s="32"/>
      <c r="C255" s="33"/>
      <c r="D255" s="30"/>
      <c r="E255" s="32"/>
      <c r="F255" s="44" t="str">
        <f aca="false">IF(C255="","",C255+IF(E255="",30,E255))</f>
        <v/>
      </c>
      <c r="G255" s="45"/>
      <c r="H255" s="32"/>
      <c r="I255" s="44" t="str">
        <f aca="false">IF(OR(C255="",G255=""),"",C255+H255)</f>
        <v/>
      </c>
      <c r="J255" s="33"/>
      <c r="K255" s="30"/>
      <c r="L255" s="31" t="str">
        <f aca="false">IF(D255="","",D255-N(K255))</f>
        <v/>
      </c>
      <c r="M255" s="35" t="str">
        <f aca="true">IF(D255="","",IF(L255&lt;=0.004,"bezahlt",IF(TODAY()&gt;F255,"ÜBERFÄLLIG",IF(AND(I255&lt;&gt;"",TODAY()&lt;=I255),"Skonto nutzen bis "&amp;TEXT(I255,"DD.MM."),"fällig in "&amp;(F255-TODAY())&amp;" Tagen"))))</f>
        <v/>
      </c>
    </row>
    <row r="256" customFormat="false" ht="15" hidden="false" customHeight="false" outlineLevel="0" collapsed="false">
      <c r="A256" s="32"/>
      <c r="B256" s="32"/>
      <c r="C256" s="33"/>
      <c r="D256" s="30"/>
      <c r="E256" s="32"/>
      <c r="F256" s="44" t="str">
        <f aca="false">IF(C256="","",C256+IF(E256="",30,E256))</f>
        <v/>
      </c>
      <c r="G256" s="45"/>
      <c r="H256" s="32"/>
      <c r="I256" s="44" t="str">
        <f aca="false">IF(OR(C256="",G256=""),"",C256+H256)</f>
        <v/>
      </c>
      <c r="J256" s="33"/>
      <c r="K256" s="30"/>
      <c r="L256" s="31" t="str">
        <f aca="false">IF(D256="","",D256-N(K256))</f>
        <v/>
      </c>
      <c r="M256" s="35" t="str">
        <f aca="true">IF(D256="","",IF(L256&lt;=0.004,"bezahlt",IF(TODAY()&gt;F256,"ÜBERFÄLLIG",IF(AND(I256&lt;&gt;"",TODAY()&lt;=I256),"Skonto nutzen bis "&amp;TEXT(I256,"DD.MM."),"fällig in "&amp;(F256-TODAY())&amp;" Tagen"))))</f>
        <v/>
      </c>
    </row>
    <row r="257" customFormat="false" ht="15" hidden="false" customHeight="false" outlineLevel="0" collapsed="false">
      <c r="A257" s="32"/>
      <c r="B257" s="32"/>
      <c r="C257" s="33"/>
      <c r="D257" s="30"/>
      <c r="E257" s="32"/>
      <c r="F257" s="44" t="str">
        <f aca="false">IF(C257="","",C257+IF(E257="",30,E257))</f>
        <v/>
      </c>
      <c r="G257" s="45"/>
      <c r="H257" s="32"/>
      <c r="I257" s="44" t="str">
        <f aca="false">IF(OR(C257="",G257=""),"",C257+H257)</f>
        <v/>
      </c>
      <c r="J257" s="33"/>
      <c r="K257" s="30"/>
      <c r="L257" s="31" t="str">
        <f aca="false">IF(D257="","",D257-N(K257))</f>
        <v/>
      </c>
      <c r="M257" s="35" t="str">
        <f aca="true">IF(D257="","",IF(L257&lt;=0.004,"bezahlt",IF(TODAY()&gt;F257,"ÜBERFÄLLIG",IF(AND(I257&lt;&gt;"",TODAY()&lt;=I257),"Skonto nutzen bis "&amp;TEXT(I257,"DD.MM."),"fällig in "&amp;(F257-TODAY())&amp;" Tagen"))))</f>
        <v/>
      </c>
    </row>
    <row r="258" customFormat="false" ht="15" hidden="false" customHeight="false" outlineLevel="0" collapsed="false">
      <c r="A258" s="32"/>
      <c r="B258" s="32"/>
      <c r="C258" s="33"/>
      <c r="D258" s="30"/>
      <c r="E258" s="32"/>
      <c r="F258" s="44" t="str">
        <f aca="false">IF(C258="","",C258+IF(E258="",30,E258))</f>
        <v/>
      </c>
      <c r="G258" s="45"/>
      <c r="H258" s="32"/>
      <c r="I258" s="44" t="str">
        <f aca="false">IF(OR(C258="",G258=""),"",C258+H258)</f>
        <v/>
      </c>
      <c r="J258" s="33"/>
      <c r="K258" s="30"/>
      <c r="L258" s="31" t="str">
        <f aca="false">IF(D258="","",D258-N(K258))</f>
        <v/>
      </c>
      <c r="M258" s="35" t="str">
        <f aca="true">IF(D258="","",IF(L258&lt;=0.004,"bezahlt",IF(TODAY()&gt;F258,"ÜBERFÄLLIG",IF(AND(I258&lt;&gt;"",TODAY()&lt;=I258),"Skonto nutzen bis "&amp;TEXT(I258,"DD.MM."),"fällig in "&amp;(F258-TODAY())&amp;" Tagen"))))</f>
        <v/>
      </c>
    </row>
    <row r="259" customFormat="false" ht="15" hidden="false" customHeight="false" outlineLevel="0" collapsed="false">
      <c r="A259" s="32"/>
      <c r="B259" s="32"/>
      <c r="C259" s="33"/>
      <c r="D259" s="30"/>
      <c r="E259" s="32"/>
      <c r="F259" s="44" t="str">
        <f aca="false">IF(C259="","",C259+IF(E259="",30,E259))</f>
        <v/>
      </c>
      <c r="G259" s="45"/>
      <c r="H259" s="32"/>
      <c r="I259" s="44" t="str">
        <f aca="false">IF(OR(C259="",G259=""),"",C259+H259)</f>
        <v/>
      </c>
      <c r="J259" s="33"/>
      <c r="K259" s="30"/>
      <c r="L259" s="31" t="str">
        <f aca="false">IF(D259="","",D259-N(K259))</f>
        <v/>
      </c>
      <c r="M259" s="35" t="str">
        <f aca="true">IF(D259="","",IF(L259&lt;=0.004,"bezahlt",IF(TODAY()&gt;F259,"ÜBERFÄLLIG",IF(AND(I259&lt;&gt;"",TODAY()&lt;=I259),"Skonto nutzen bis "&amp;TEXT(I259,"DD.MM."),"fällig in "&amp;(F259-TODAY())&amp;" Tagen"))))</f>
        <v/>
      </c>
    </row>
    <row r="260" customFormat="false" ht="15" hidden="false" customHeight="false" outlineLevel="0" collapsed="false">
      <c r="A260" s="32"/>
      <c r="B260" s="32"/>
      <c r="C260" s="33"/>
      <c r="D260" s="30"/>
      <c r="E260" s="32"/>
      <c r="F260" s="44" t="str">
        <f aca="false">IF(C260="","",C260+IF(E260="",30,E260))</f>
        <v/>
      </c>
      <c r="G260" s="45"/>
      <c r="H260" s="32"/>
      <c r="I260" s="44" t="str">
        <f aca="false">IF(OR(C260="",G260=""),"",C260+H260)</f>
        <v/>
      </c>
      <c r="J260" s="33"/>
      <c r="K260" s="30"/>
      <c r="L260" s="31" t="str">
        <f aca="false">IF(D260="","",D260-N(K260))</f>
        <v/>
      </c>
      <c r="M260" s="35" t="str">
        <f aca="true">IF(D260="","",IF(L260&lt;=0.004,"bezahlt",IF(TODAY()&gt;F260,"ÜBERFÄLLIG",IF(AND(I260&lt;&gt;"",TODAY()&lt;=I260),"Skonto nutzen bis "&amp;TEXT(I260,"DD.MM."),"fällig in "&amp;(F260-TODAY())&amp;" Tagen"))))</f>
        <v/>
      </c>
    </row>
    <row r="261" customFormat="false" ht="15" hidden="false" customHeight="false" outlineLevel="0" collapsed="false">
      <c r="A261" s="32"/>
      <c r="B261" s="32"/>
      <c r="C261" s="33"/>
      <c r="D261" s="30"/>
      <c r="E261" s="32"/>
      <c r="F261" s="44" t="str">
        <f aca="false">IF(C261="","",C261+IF(E261="",30,E261))</f>
        <v/>
      </c>
      <c r="G261" s="45"/>
      <c r="H261" s="32"/>
      <c r="I261" s="44" t="str">
        <f aca="false">IF(OR(C261="",G261=""),"",C261+H261)</f>
        <v/>
      </c>
      <c r="J261" s="33"/>
      <c r="K261" s="30"/>
      <c r="L261" s="31" t="str">
        <f aca="false">IF(D261="","",D261-N(K261))</f>
        <v/>
      </c>
      <c r="M261" s="35" t="str">
        <f aca="true">IF(D261="","",IF(L261&lt;=0.004,"bezahlt",IF(TODAY()&gt;F261,"ÜBERFÄLLIG",IF(AND(I261&lt;&gt;"",TODAY()&lt;=I261),"Skonto nutzen bis "&amp;TEXT(I261,"DD.MM."),"fällig in "&amp;(F261-TODAY())&amp;" Tagen"))))</f>
        <v/>
      </c>
    </row>
    <row r="262" customFormat="false" ht="15" hidden="false" customHeight="false" outlineLevel="0" collapsed="false">
      <c r="A262" s="32"/>
      <c r="B262" s="32"/>
      <c r="C262" s="33"/>
      <c r="D262" s="30"/>
      <c r="E262" s="32"/>
      <c r="F262" s="44" t="str">
        <f aca="false">IF(C262="","",C262+IF(E262="",30,E262))</f>
        <v/>
      </c>
      <c r="G262" s="45"/>
      <c r="H262" s="32"/>
      <c r="I262" s="44" t="str">
        <f aca="false">IF(OR(C262="",G262=""),"",C262+H262)</f>
        <v/>
      </c>
      <c r="J262" s="33"/>
      <c r="K262" s="30"/>
      <c r="L262" s="31" t="str">
        <f aca="false">IF(D262="","",D262-N(K262))</f>
        <v/>
      </c>
      <c r="M262" s="35" t="str">
        <f aca="true">IF(D262="","",IF(L262&lt;=0.004,"bezahlt",IF(TODAY()&gt;F262,"ÜBERFÄLLIG",IF(AND(I262&lt;&gt;"",TODAY()&lt;=I262),"Skonto nutzen bis "&amp;TEXT(I262,"DD.MM."),"fällig in "&amp;(F262-TODAY())&amp;" Tagen"))))</f>
        <v/>
      </c>
    </row>
    <row r="263" customFormat="false" ht="15" hidden="false" customHeight="false" outlineLevel="0" collapsed="false">
      <c r="A263" s="32"/>
      <c r="B263" s="32"/>
      <c r="C263" s="33"/>
      <c r="D263" s="30"/>
      <c r="E263" s="32"/>
      <c r="F263" s="44" t="str">
        <f aca="false">IF(C263="","",C263+IF(E263="",30,E263))</f>
        <v/>
      </c>
      <c r="G263" s="45"/>
      <c r="H263" s="32"/>
      <c r="I263" s="44" t="str">
        <f aca="false">IF(OR(C263="",G263=""),"",C263+H263)</f>
        <v/>
      </c>
      <c r="J263" s="33"/>
      <c r="K263" s="30"/>
      <c r="L263" s="31" t="str">
        <f aca="false">IF(D263="","",D263-N(K263))</f>
        <v/>
      </c>
      <c r="M263" s="35" t="str">
        <f aca="true">IF(D263="","",IF(L263&lt;=0.004,"bezahlt",IF(TODAY()&gt;F263,"ÜBERFÄLLIG",IF(AND(I263&lt;&gt;"",TODAY()&lt;=I263),"Skonto nutzen bis "&amp;TEXT(I263,"DD.MM."),"fällig in "&amp;(F263-TODAY())&amp;" Tagen"))))</f>
        <v/>
      </c>
    </row>
    <row r="264" customFormat="false" ht="15" hidden="false" customHeight="false" outlineLevel="0" collapsed="false">
      <c r="A264" s="32"/>
      <c r="B264" s="32"/>
      <c r="C264" s="33"/>
      <c r="D264" s="30"/>
      <c r="E264" s="32"/>
      <c r="F264" s="44" t="str">
        <f aca="false">IF(C264="","",C264+IF(E264="",30,E264))</f>
        <v/>
      </c>
      <c r="G264" s="45"/>
      <c r="H264" s="32"/>
      <c r="I264" s="44" t="str">
        <f aca="false">IF(OR(C264="",G264=""),"",C264+H264)</f>
        <v/>
      </c>
      <c r="J264" s="33"/>
      <c r="K264" s="30"/>
      <c r="L264" s="31" t="str">
        <f aca="false">IF(D264="","",D264-N(K264))</f>
        <v/>
      </c>
      <c r="M264" s="35" t="str">
        <f aca="true">IF(D264="","",IF(L264&lt;=0.004,"bezahlt",IF(TODAY()&gt;F264,"ÜBERFÄLLIG",IF(AND(I264&lt;&gt;"",TODAY()&lt;=I264),"Skonto nutzen bis "&amp;TEXT(I264,"DD.MM."),"fällig in "&amp;(F264-TODAY())&amp;" Tagen"))))</f>
        <v/>
      </c>
    </row>
    <row r="265" customFormat="false" ht="15" hidden="false" customHeight="false" outlineLevel="0" collapsed="false">
      <c r="A265" s="32"/>
      <c r="B265" s="32"/>
      <c r="C265" s="33"/>
      <c r="D265" s="30"/>
      <c r="E265" s="32"/>
      <c r="F265" s="44" t="str">
        <f aca="false">IF(C265="","",C265+IF(E265="",30,E265))</f>
        <v/>
      </c>
      <c r="G265" s="45"/>
      <c r="H265" s="32"/>
      <c r="I265" s="44" t="str">
        <f aca="false">IF(OR(C265="",G265=""),"",C265+H265)</f>
        <v/>
      </c>
      <c r="J265" s="33"/>
      <c r="K265" s="30"/>
      <c r="L265" s="31" t="str">
        <f aca="false">IF(D265="","",D265-N(K265))</f>
        <v/>
      </c>
      <c r="M265" s="35" t="str">
        <f aca="true">IF(D265="","",IF(L265&lt;=0.004,"bezahlt",IF(TODAY()&gt;F265,"ÜBERFÄLLIG",IF(AND(I265&lt;&gt;"",TODAY()&lt;=I265),"Skonto nutzen bis "&amp;TEXT(I265,"DD.MM."),"fällig in "&amp;(F265-TODAY())&amp;" Tagen"))))</f>
        <v/>
      </c>
    </row>
    <row r="266" customFormat="false" ht="15" hidden="false" customHeight="false" outlineLevel="0" collapsed="false">
      <c r="A266" s="32"/>
      <c r="B266" s="32"/>
      <c r="C266" s="33"/>
      <c r="D266" s="30"/>
      <c r="E266" s="32"/>
      <c r="F266" s="44" t="str">
        <f aca="false">IF(C266="","",C266+IF(E266="",30,E266))</f>
        <v/>
      </c>
      <c r="G266" s="45"/>
      <c r="H266" s="32"/>
      <c r="I266" s="44" t="str">
        <f aca="false">IF(OR(C266="",G266=""),"",C266+H266)</f>
        <v/>
      </c>
      <c r="J266" s="33"/>
      <c r="K266" s="30"/>
      <c r="L266" s="31" t="str">
        <f aca="false">IF(D266="","",D266-N(K266))</f>
        <v/>
      </c>
      <c r="M266" s="35" t="str">
        <f aca="true">IF(D266="","",IF(L266&lt;=0.004,"bezahlt",IF(TODAY()&gt;F266,"ÜBERFÄLLIG",IF(AND(I266&lt;&gt;"",TODAY()&lt;=I266),"Skonto nutzen bis "&amp;TEXT(I266,"DD.MM."),"fällig in "&amp;(F266-TODAY())&amp;" Tagen"))))</f>
        <v/>
      </c>
    </row>
    <row r="267" customFormat="false" ht="15" hidden="false" customHeight="false" outlineLevel="0" collapsed="false">
      <c r="A267" s="32"/>
      <c r="B267" s="32"/>
      <c r="C267" s="33"/>
      <c r="D267" s="30"/>
      <c r="E267" s="32"/>
      <c r="F267" s="44" t="str">
        <f aca="false">IF(C267="","",C267+IF(E267="",30,E267))</f>
        <v/>
      </c>
      <c r="G267" s="45"/>
      <c r="H267" s="32"/>
      <c r="I267" s="44" t="str">
        <f aca="false">IF(OR(C267="",G267=""),"",C267+H267)</f>
        <v/>
      </c>
      <c r="J267" s="33"/>
      <c r="K267" s="30"/>
      <c r="L267" s="31" t="str">
        <f aca="false">IF(D267="","",D267-N(K267))</f>
        <v/>
      </c>
      <c r="M267" s="35" t="str">
        <f aca="true">IF(D267="","",IF(L267&lt;=0.004,"bezahlt",IF(TODAY()&gt;F267,"ÜBERFÄLLIG",IF(AND(I267&lt;&gt;"",TODAY()&lt;=I267),"Skonto nutzen bis "&amp;TEXT(I267,"DD.MM."),"fällig in "&amp;(F267-TODAY())&amp;" Tagen"))))</f>
        <v/>
      </c>
    </row>
    <row r="268" customFormat="false" ht="15" hidden="false" customHeight="false" outlineLevel="0" collapsed="false">
      <c r="A268" s="32"/>
      <c r="B268" s="32"/>
      <c r="C268" s="33"/>
      <c r="D268" s="30"/>
      <c r="E268" s="32"/>
      <c r="F268" s="44" t="str">
        <f aca="false">IF(C268="","",C268+IF(E268="",30,E268))</f>
        <v/>
      </c>
      <c r="G268" s="45"/>
      <c r="H268" s="32"/>
      <c r="I268" s="44" t="str">
        <f aca="false">IF(OR(C268="",G268=""),"",C268+H268)</f>
        <v/>
      </c>
      <c r="J268" s="33"/>
      <c r="K268" s="30"/>
      <c r="L268" s="31" t="str">
        <f aca="false">IF(D268="","",D268-N(K268))</f>
        <v/>
      </c>
      <c r="M268" s="35" t="str">
        <f aca="true">IF(D268="","",IF(L268&lt;=0.004,"bezahlt",IF(TODAY()&gt;F268,"ÜBERFÄLLIG",IF(AND(I268&lt;&gt;"",TODAY()&lt;=I268),"Skonto nutzen bis "&amp;TEXT(I268,"DD.MM."),"fällig in "&amp;(F268-TODAY())&amp;" Tagen"))))</f>
        <v/>
      </c>
    </row>
    <row r="269" customFormat="false" ht="15" hidden="false" customHeight="false" outlineLevel="0" collapsed="false">
      <c r="A269" s="32"/>
      <c r="B269" s="32"/>
      <c r="C269" s="33"/>
      <c r="D269" s="30"/>
      <c r="E269" s="32"/>
      <c r="F269" s="44" t="str">
        <f aca="false">IF(C269="","",C269+IF(E269="",30,E269))</f>
        <v/>
      </c>
      <c r="G269" s="45"/>
      <c r="H269" s="32"/>
      <c r="I269" s="44" t="str">
        <f aca="false">IF(OR(C269="",G269=""),"",C269+H269)</f>
        <v/>
      </c>
      <c r="J269" s="33"/>
      <c r="K269" s="30"/>
      <c r="L269" s="31" t="str">
        <f aca="false">IF(D269="","",D269-N(K269))</f>
        <v/>
      </c>
      <c r="M269" s="35" t="str">
        <f aca="true">IF(D269="","",IF(L269&lt;=0.004,"bezahlt",IF(TODAY()&gt;F269,"ÜBERFÄLLIG",IF(AND(I269&lt;&gt;"",TODAY()&lt;=I269),"Skonto nutzen bis "&amp;TEXT(I269,"DD.MM."),"fällig in "&amp;(F269-TODAY())&amp;" Tagen"))))</f>
        <v/>
      </c>
    </row>
    <row r="270" customFormat="false" ht="15" hidden="false" customHeight="false" outlineLevel="0" collapsed="false">
      <c r="A270" s="32"/>
      <c r="B270" s="32"/>
      <c r="C270" s="33"/>
      <c r="D270" s="30"/>
      <c r="E270" s="32"/>
      <c r="F270" s="44" t="str">
        <f aca="false">IF(C270="","",C270+IF(E270="",30,E270))</f>
        <v/>
      </c>
      <c r="G270" s="45"/>
      <c r="H270" s="32"/>
      <c r="I270" s="44" t="str">
        <f aca="false">IF(OR(C270="",G270=""),"",C270+H270)</f>
        <v/>
      </c>
      <c r="J270" s="33"/>
      <c r="K270" s="30"/>
      <c r="L270" s="31" t="str">
        <f aca="false">IF(D270="","",D270-N(K270))</f>
        <v/>
      </c>
      <c r="M270" s="35" t="str">
        <f aca="true">IF(D270="","",IF(L270&lt;=0.004,"bezahlt",IF(TODAY()&gt;F270,"ÜBERFÄLLIG",IF(AND(I270&lt;&gt;"",TODAY()&lt;=I270),"Skonto nutzen bis "&amp;TEXT(I270,"DD.MM."),"fällig in "&amp;(F270-TODAY())&amp;" Tagen"))))</f>
        <v/>
      </c>
    </row>
    <row r="271" customFormat="false" ht="15" hidden="false" customHeight="false" outlineLevel="0" collapsed="false">
      <c r="A271" s="32"/>
      <c r="B271" s="32"/>
      <c r="C271" s="33"/>
      <c r="D271" s="30"/>
      <c r="E271" s="32"/>
      <c r="F271" s="44" t="str">
        <f aca="false">IF(C271="","",C271+IF(E271="",30,E271))</f>
        <v/>
      </c>
      <c r="G271" s="45"/>
      <c r="H271" s="32"/>
      <c r="I271" s="44" t="str">
        <f aca="false">IF(OR(C271="",G271=""),"",C271+H271)</f>
        <v/>
      </c>
      <c r="J271" s="33"/>
      <c r="K271" s="30"/>
      <c r="L271" s="31" t="str">
        <f aca="false">IF(D271="","",D271-N(K271))</f>
        <v/>
      </c>
      <c r="M271" s="35" t="str">
        <f aca="true">IF(D271="","",IF(L271&lt;=0.004,"bezahlt",IF(TODAY()&gt;F271,"ÜBERFÄLLIG",IF(AND(I271&lt;&gt;"",TODAY()&lt;=I271),"Skonto nutzen bis "&amp;TEXT(I271,"DD.MM."),"fällig in "&amp;(F271-TODAY())&amp;" Tagen"))))</f>
        <v/>
      </c>
    </row>
    <row r="272" customFormat="false" ht="15" hidden="false" customHeight="false" outlineLevel="0" collapsed="false">
      <c r="A272" s="32"/>
      <c r="B272" s="32"/>
      <c r="C272" s="33"/>
      <c r="D272" s="30"/>
      <c r="E272" s="32"/>
      <c r="F272" s="44" t="str">
        <f aca="false">IF(C272="","",C272+IF(E272="",30,E272))</f>
        <v/>
      </c>
      <c r="G272" s="45"/>
      <c r="H272" s="32"/>
      <c r="I272" s="44" t="str">
        <f aca="false">IF(OR(C272="",G272=""),"",C272+H272)</f>
        <v/>
      </c>
      <c r="J272" s="33"/>
      <c r="K272" s="30"/>
      <c r="L272" s="31" t="str">
        <f aca="false">IF(D272="","",D272-N(K272))</f>
        <v/>
      </c>
      <c r="M272" s="35" t="str">
        <f aca="true">IF(D272="","",IF(L272&lt;=0.004,"bezahlt",IF(TODAY()&gt;F272,"ÜBERFÄLLIG",IF(AND(I272&lt;&gt;"",TODAY()&lt;=I272),"Skonto nutzen bis "&amp;TEXT(I272,"DD.MM."),"fällig in "&amp;(F272-TODAY())&amp;" Tagen"))))</f>
        <v/>
      </c>
    </row>
    <row r="273" customFormat="false" ht="15" hidden="false" customHeight="false" outlineLevel="0" collapsed="false">
      <c r="A273" s="32"/>
      <c r="B273" s="32"/>
      <c r="C273" s="33"/>
      <c r="D273" s="30"/>
      <c r="E273" s="32"/>
      <c r="F273" s="44" t="str">
        <f aca="false">IF(C273="","",C273+IF(E273="",30,E273))</f>
        <v/>
      </c>
      <c r="G273" s="45"/>
      <c r="H273" s="32"/>
      <c r="I273" s="44" t="str">
        <f aca="false">IF(OR(C273="",G273=""),"",C273+H273)</f>
        <v/>
      </c>
      <c r="J273" s="33"/>
      <c r="K273" s="30"/>
      <c r="L273" s="31" t="str">
        <f aca="false">IF(D273="","",D273-N(K273))</f>
        <v/>
      </c>
      <c r="M273" s="35" t="str">
        <f aca="true">IF(D273="","",IF(L273&lt;=0.004,"bezahlt",IF(TODAY()&gt;F273,"ÜBERFÄLLIG",IF(AND(I273&lt;&gt;"",TODAY()&lt;=I273),"Skonto nutzen bis "&amp;TEXT(I273,"DD.MM."),"fällig in "&amp;(F273-TODAY())&amp;" Tagen"))))</f>
        <v/>
      </c>
    </row>
    <row r="274" customFormat="false" ht="15" hidden="false" customHeight="false" outlineLevel="0" collapsed="false">
      <c r="A274" s="32"/>
      <c r="B274" s="32"/>
      <c r="C274" s="33"/>
      <c r="D274" s="30"/>
      <c r="E274" s="32"/>
      <c r="F274" s="44" t="str">
        <f aca="false">IF(C274="","",C274+IF(E274="",30,E274))</f>
        <v/>
      </c>
      <c r="G274" s="45"/>
      <c r="H274" s="32"/>
      <c r="I274" s="44" t="str">
        <f aca="false">IF(OR(C274="",G274=""),"",C274+H274)</f>
        <v/>
      </c>
      <c r="J274" s="33"/>
      <c r="K274" s="30"/>
      <c r="L274" s="31" t="str">
        <f aca="false">IF(D274="","",D274-N(K274))</f>
        <v/>
      </c>
      <c r="M274" s="35" t="str">
        <f aca="true">IF(D274="","",IF(L274&lt;=0.004,"bezahlt",IF(TODAY()&gt;F274,"ÜBERFÄLLIG",IF(AND(I274&lt;&gt;"",TODAY()&lt;=I274),"Skonto nutzen bis "&amp;TEXT(I274,"DD.MM."),"fällig in "&amp;(F274-TODAY())&amp;" Tagen"))))</f>
        <v/>
      </c>
    </row>
    <row r="275" customFormat="false" ht="15" hidden="false" customHeight="false" outlineLevel="0" collapsed="false">
      <c r="A275" s="32"/>
      <c r="B275" s="32"/>
      <c r="C275" s="33"/>
      <c r="D275" s="30"/>
      <c r="E275" s="32"/>
      <c r="F275" s="44" t="str">
        <f aca="false">IF(C275="","",C275+IF(E275="",30,E275))</f>
        <v/>
      </c>
      <c r="G275" s="45"/>
      <c r="H275" s="32"/>
      <c r="I275" s="44" t="str">
        <f aca="false">IF(OR(C275="",G275=""),"",C275+H275)</f>
        <v/>
      </c>
      <c r="J275" s="33"/>
      <c r="K275" s="30"/>
      <c r="L275" s="31" t="str">
        <f aca="false">IF(D275="","",D275-N(K275))</f>
        <v/>
      </c>
      <c r="M275" s="35" t="str">
        <f aca="true">IF(D275="","",IF(L275&lt;=0.004,"bezahlt",IF(TODAY()&gt;F275,"ÜBERFÄLLIG",IF(AND(I275&lt;&gt;"",TODAY()&lt;=I275),"Skonto nutzen bis "&amp;TEXT(I275,"DD.MM."),"fällig in "&amp;(F275-TODAY())&amp;" Tagen"))))</f>
        <v/>
      </c>
    </row>
    <row r="276" customFormat="false" ht="15" hidden="false" customHeight="false" outlineLevel="0" collapsed="false">
      <c r="A276" s="32"/>
      <c r="B276" s="32"/>
      <c r="C276" s="33"/>
      <c r="D276" s="30"/>
      <c r="E276" s="32"/>
      <c r="F276" s="44" t="str">
        <f aca="false">IF(C276="","",C276+IF(E276="",30,E276))</f>
        <v/>
      </c>
      <c r="G276" s="45"/>
      <c r="H276" s="32"/>
      <c r="I276" s="44" t="str">
        <f aca="false">IF(OR(C276="",G276=""),"",C276+H276)</f>
        <v/>
      </c>
      <c r="J276" s="33"/>
      <c r="K276" s="30"/>
      <c r="L276" s="31" t="str">
        <f aca="false">IF(D276="","",D276-N(K276))</f>
        <v/>
      </c>
      <c r="M276" s="35" t="str">
        <f aca="true">IF(D276="","",IF(L276&lt;=0.004,"bezahlt",IF(TODAY()&gt;F276,"ÜBERFÄLLIG",IF(AND(I276&lt;&gt;"",TODAY()&lt;=I276),"Skonto nutzen bis "&amp;TEXT(I276,"DD.MM."),"fällig in "&amp;(F276-TODAY())&amp;" Tagen"))))</f>
        <v/>
      </c>
    </row>
    <row r="277" customFormat="false" ht="15" hidden="false" customHeight="false" outlineLevel="0" collapsed="false">
      <c r="A277" s="32"/>
      <c r="B277" s="32"/>
      <c r="C277" s="33"/>
      <c r="D277" s="30"/>
      <c r="E277" s="32"/>
      <c r="F277" s="44" t="str">
        <f aca="false">IF(C277="","",C277+IF(E277="",30,E277))</f>
        <v/>
      </c>
      <c r="G277" s="45"/>
      <c r="H277" s="32"/>
      <c r="I277" s="44" t="str">
        <f aca="false">IF(OR(C277="",G277=""),"",C277+H277)</f>
        <v/>
      </c>
      <c r="J277" s="33"/>
      <c r="K277" s="30"/>
      <c r="L277" s="31" t="str">
        <f aca="false">IF(D277="","",D277-N(K277))</f>
        <v/>
      </c>
      <c r="M277" s="35" t="str">
        <f aca="true">IF(D277="","",IF(L277&lt;=0.004,"bezahlt",IF(TODAY()&gt;F277,"ÜBERFÄLLIG",IF(AND(I277&lt;&gt;"",TODAY()&lt;=I277),"Skonto nutzen bis "&amp;TEXT(I277,"DD.MM."),"fällig in "&amp;(F277-TODAY())&amp;" Tagen"))))</f>
        <v/>
      </c>
    </row>
    <row r="278" customFormat="false" ht="15" hidden="false" customHeight="false" outlineLevel="0" collapsed="false">
      <c r="A278" s="32"/>
      <c r="B278" s="32"/>
      <c r="C278" s="33"/>
      <c r="D278" s="30"/>
      <c r="E278" s="32"/>
      <c r="F278" s="44" t="str">
        <f aca="false">IF(C278="","",C278+IF(E278="",30,E278))</f>
        <v/>
      </c>
      <c r="G278" s="45"/>
      <c r="H278" s="32"/>
      <c r="I278" s="44" t="str">
        <f aca="false">IF(OR(C278="",G278=""),"",C278+H278)</f>
        <v/>
      </c>
      <c r="J278" s="33"/>
      <c r="K278" s="30"/>
      <c r="L278" s="31" t="str">
        <f aca="false">IF(D278="","",D278-N(K278))</f>
        <v/>
      </c>
      <c r="M278" s="35" t="str">
        <f aca="true">IF(D278="","",IF(L278&lt;=0.004,"bezahlt",IF(TODAY()&gt;F278,"ÜBERFÄLLIG",IF(AND(I278&lt;&gt;"",TODAY()&lt;=I278),"Skonto nutzen bis "&amp;TEXT(I278,"DD.MM."),"fällig in "&amp;(F278-TODAY())&amp;" Tagen"))))</f>
        <v/>
      </c>
    </row>
    <row r="279" customFormat="false" ht="15" hidden="false" customHeight="false" outlineLevel="0" collapsed="false">
      <c r="A279" s="32"/>
      <c r="B279" s="32"/>
      <c r="C279" s="33"/>
      <c r="D279" s="30"/>
      <c r="E279" s="32"/>
      <c r="F279" s="44" t="str">
        <f aca="false">IF(C279="","",C279+IF(E279="",30,E279))</f>
        <v/>
      </c>
      <c r="G279" s="45"/>
      <c r="H279" s="32"/>
      <c r="I279" s="44" t="str">
        <f aca="false">IF(OR(C279="",G279=""),"",C279+H279)</f>
        <v/>
      </c>
      <c r="J279" s="33"/>
      <c r="K279" s="30"/>
      <c r="L279" s="31" t="str">
        <f aca="false">IF(D279="","",D279-N(K279))</f>
        <v/>
      </c>
      <c r="M279" s="35" t="str">
        <f aca="true">IF(D279="","",IF(L279&lt;=0.004,"bezahlt",IF(TODAY()&gt;F279,"ÜBERFÄLLIG",IF(AND(I279&lt;&gt;"",TODAY()&lt;=I279),"Skonto nutzen bis "&amp;TEXT(I279,"DD.MM."),"fällig in "&amp;(F279-TODAY())&amp;" Tagen"))))</f>
        <v/>
      </c>
    </row>
    <row r="280" customFormat="false" ht="15" hidden="false" customHeight="false" outlineLevel="0" collapsed="false">
      <c r="A280" s="32"/>
      <c r="B280" s="32"/>
      <c r="C280" s="33"/>
      <c r="D280" s="30"/>
      <c r="E280" s="32"/>
      <c r="F280" s="44" t="str">
        <f aca="false">IF(C280="","",C280+IF(E280="",30,E280))</f>
        <v/>
      </c>
      <c r="G280" s="45"/>
      <c r="H280" s="32"/>
      <c r="I280" s="44" t="str">
        <f aca="false">IF(OR(C280="",G280=""),"",C280+H280)</f>
        <v/>
      </c>
      <c r="J280" s="33"/>
      <c r="K280" s="30"/>
      <c r="L280" s="31" t="str">
        <f aca="false">IF(D280="","",D280-N(K280))</f>
        <v/>
      </c>
      <c r="M280" s="35" t="str">
        <f aca="true">IF(D280="","",IF(L280&lt;=0.004,"bezahlt",IF(TODAY()&gt;F280,"ÜBERFÄLLIG",IF(AND(I280&lt;&gt;"",TODAY()&lt;=I280),"Skonto nutzen bis "&amp;TEXT(I280,"DD.MM."),"fällig in "&amp;(F280-TODAY())&amp;" Tagen"))))</f>
        <v/>
      </c>
    </row>
    <row r="281" customFormat="false" ht="15" hidden="false" customHeight="false" outlineLevel="0" collapsed="false">
      <c r="A281" s="32"/>
      <c r="B281" s="32"/>
      <c r="C281" s="33"/>
      <c r="D281" s="30"/>
      <c r="E281" s="32"/>
      <c r="F281" s="44" t="str">
        <f aca="false">IF(C281="","",C281+IF(E281="",30,E281))</f>
        <v/>
      </c>
      <c r="G281" s="45"/>
      <c r="H281" s="32"/>
      <c r="I281" s="44" t="str">
        <f aca="false">IF(OR(C281="",G281=""),"",C281+H281)</f>
        <v/>
      </c>
      <c r="J281" s="33"/>
      <c r="K281" s="30"/>
      <c r="L281" s="31" t="str">
        <f aca="false">IF(D281="","",D281-N(K281))</f>
        <v/>
      </c>
      <c r="M281" s="35" t="str">
        <f aca="true">IF(D281="","",IF(L281&lt;=0.004,"bezahlt",IF(TODAY()&gt;F281,"ÜBERFÄLLIG",IF(AND(I281&lt;&gt;"",TODAY()&lt;=I281),"Skonto nutzen bis "&amp;TEXT(I281,"DD.MM."),"fällig in "&amp;(F281-TODAY())&amp;" Tagen"))))</f>
        <v/>
      </c>
    </row>
    <row r="282" customFormat="false" ht="15" hidden="false" customHeight="false" outlineLevel="0" collapsed="false">
      <c r="A282" s="32"/>
      <c r="B282" s="32"/>
      <c r="C282" s="33"/>
      <c r="D282" s="30"/>
      <c r="E282" s="32"/>
      <c r="F282" s="44" t="str">
        <f aca="false">IF(C282="","",C282+IF(E282="",30,E282))</f>
        <v/>
      </c>
      <c r="G282" s="45"/>
      <c r="H282" s="32"/>
      <c r="I282" s="44" t="str">
        <f aca="false">IF(OR(C282="",G282=""),"",C282+H282)</f>
        <v/>
      </c>
      <c r="J282" s="33"/>
      <c r="K282" s="30"/>
      <c r="L282" s="31" t="str">
        <f aca="false">IF(D282="","",D282-N(K282))</f>
        <v/>
      </c>
      <c r="M282" s="35" t="str">
        <f aca="true">IF(D282="","",IF(L282&lt;=0.004,"bezahlt",IF(TODAY()&gt;F282,"ÜBERFÄLLIG",IF(AND(I282&lt;&gt;"",TODAY()&lt;=I282),"Skonto nutzen bis "&amp;TEXT(I282,"DD.MM."),"fällig in "&amp;(F282-TODAY())&amp;" Tagen"))))</f>
        <v/>
      </c>
    </row>
    <row r="283" customFormat="false" ht="15" hidden="false" customHeight="false" outlineLevel="0" collapsed="false">
      <c r="A283" s="32"/>
      <c r="B283" s="32"/>
      <c r="C283" s="33"/>
      <c r="D283" s="30"/>
      <c r="E283" s="32"/>
      <c r="F283" s="44" t="str">
        <f aca="false">IF(C283="","",C283+IF(E283="",30,E283))</f>
        <v/>
      </c>
      <c r="G283" s="45"/>
      <c r="H283" s="32"/>
      <c r="I283" s="44" t="str">
        <f aca="false">IF(OR(C283="",G283=""),"",C283+H283)</f>
        <v/>
      </c>
      <c r="J283" s="33"/>
      <c r="K283" s="30"/>
      <c r="L283" s="31" t="str">
        <f aca="false">IF(D283="","",D283-N(K283))</f>
        <v/>
      </c>
      <c r="M283" s="35" t="str">
        <f aca="true">IF(D283="","",IF(L283&lt;=0.004,"bezahlt",IF(TODAY()&gt;F283,"ÜBERFÄLLIG",IF(AND(I283&lt;&gt;"",TODAY()&lt;=I283),"Skonto nutzen bis "&amp;TEXT(I283,"DD.MM."),"fällig in "&amp;(F283-TODAY())&amp;" Tagen"))))</f>
        <v/>
      </c>
    </row>
    <row r="284" customFormat="false" ht="15" hidden="false" customHeight="false" outlineLevel="0" collapsed="false">
      <c r="A284" s="32"/>
      <c r="B284" s="32"/>
      <c r="C284" s="33"/>
      <c r="D284" s="30"/>
      <c r="E284" s="32"/>
      <c r="F284" s="44" t="str">
        <f aca="false">IF(C284="","",C284+IF(E284="",30,E284))</f>
        <v/>
      </c>
      <c r="G284" s="45"/>
      <c r="H284" s="32"/>
      <c r="I284" s="44" t="str">
        <f aca="false">IF(OR(C284="",G284=""),"",C284+H284)</f>
        <v/>
      </c>
      <c r="J284" s="33"/>
      <c r="K284" s="30"/>
      <c r="L284" s="31" t="str">
        <f aca="false">IF(D284="","",D284-N(K284))</f>
        <v/>
      </c>
      <c r="M284" s="35" t="str">
        <f aca="true">IF(D284="","",IF(L284&lt;=0.004,"bezahlt",IF(TODAY()&gt;F284,"ÜBERFÄLLIG",IF(AND(I284&lt;&gt;"",TODAY()&lt;=I284),"Skonto nutzen bis "&amp;TEXT(I284,"DD.MM."),"fällig in "&amp;(F284-TODAY())&amp;" Tagen"))))</f>
        <v/>
      </c>
    </row>
    <row r="285" customFormat="false" ht="15" hidden="false" customHeight="false" outlineLevel="0" collapsed="false">
      <c r="A285" s="32"/>
      <c r="B285" s="32"/>
      <c r="C285" s="33"/>
      <c r="D285" s="30"/>
      <c r="E285" s="32"/>
      <c r="F285" s="44" t="str">
        <f aca="false">IF(C285="","",C285+IF(E285="",30,E285))</f>
        <v/>
      </c>
      <c r="G285" s="45"/>
      <c r="H285" s="32"/>
      <c r="I285" s="44" t="str">
        <f aca="false">IF(OR(C285="",G285=""),"",C285+H285)</f>
        <v/>
      </c>
      <c r="J285" s="33"/>
      <c r="K285" s="30"/>
      <c r="L285" s="31" t="str">
        <f aca="false">IF(D285="","",D285-N(K285))</f>
        <v/>
      </c>
      <c r="M285" s="35" t="str">
        <f aca="true">IF(D285="","",IF(L285&lt;=0.004,"bezahlt",IF(TODAY()&gt;F285,"ÜBERFÄLLIG",IF(AND(I285&lt;&gt;"",TODAY()&lt;=I285),"Skonto nutzen bis "&amp;TEXT(I285,"DD.MM."),"fällig in "&amp;(F285-TODAY())&amp;" Tagen"))))</f>
        <v/>
      </c>
    </row>
    <row r="286" customFormat="false" ht="15" hidden="false" customHeight="false" outlineLevel="0" collapsed="false">
      <c r="A286" s="32"/>
      <c r="B286" s="32"/>
      <c r="C286" s="33"/>
      <c r="D286" s="30"/>
      <c r="E286" s="32"/>
      <c r="F286" s="44" t="str">
        <f aca="false">IF(C286="","",C286+IF(E286="",30,E286))</f>
        <v/>
      </c>
      <c r="G286" s="45"/>
      <c r="H286" s="32"/>
      <c r="I286" s="44" t="str">
        <f aca="false">IF(OR(C286="",G286=""),"",C286+H286)</f>
        <v/>
      </c>
      <c r="J286" s="33"/>
      <c r="K286" s="30"/>
      <c r="L286" s="31" t="str">
        <f aca="false">IF(D286="","",D286-N(K286))</f>
        <v/>
      </c>
      <c r="M286" s="35" t="str">
        <f aca="true">IF(D286="","",IF(L286&lt;=0.004,"bezahlt",IF(TODAY()&gt;F286,"ÜBERFÄLLIG",IF(AND(I286&lt;&gt;"",TODAY()&lt;=I286),"Skonto nutzen bis "&amp;TEXT(I286,"DD.MM."),"fällig in "&amp;(F286-TODAY())&amp;" Tagen"))))</f>
        <v/>
      </c>
    </row>
    <row r="287" customFormat="false" ht="15" hidden="false" customHeight="false" outlineLevel="0" collapsed="false">
      <c r="A287" s="32"/>
      <c r="B287" s="32"/>
      <c r="C287" s="33"/>
      <c r="D287" s="30"/>
      <c r="E287" s="32"/>
      <c r="F287" s="44" t="str">
        <f aca="false">IF(C287="","",C287+IF(E287="",30,E287))</f>
        <v/>
      </c>
      <c r="G287" s="45"/>
      <c r="H287" s="32"/>
      <c r="I287" s="44" t="str">
        <f aca="false">IF(OR(C287="",G287=""),"",C287+H287)</f>
        <v/>
      </c>
      <c r="J287" s="33"/>
      <c r="K287" s="30"/>
      <c r="L287" s="31" t="str">
        <f aca="false">IF(D287="","",D287-N(K287))</f>
        <v/>
      </c>
      <c r="M287" s="35" t="str">
        <f aca="true">IF(D287="","",IF(L287&lt;=0.004,"bezahlt",IF(TODAY()&gt;F287,"ÜBERFÄLLIG",IF(AND(I287&lt;&gt;"",TODAY()&lt;=I287),"Skonto nutzen bis "&amp;TEXT(I287,"DD.MM."),"fällig in "&amp;(F287-TODAY())&amp;" Tagen"))))</f>
        <v/>
      </c>
    </row>
    <row r="288" customFormat="false" ht="15" hidden="false" customHeight="false" outlineLevel="0" collapsed="false">
      <c r="A288" s="32"/>
      <c r="B288" s="32"/>
      <c r="C288" s="33"/>
      <c r="D288" s="30"/>
      <c r="E288" s="32"/>
      <c r="F288" s="44" t="str">
        <f aca="false">IF(C288="","",C288+IF(E288="",30,E288))</f>
        <v/>
      </c>
      <c r="G288" s="45"/>
      <c r="H288" s="32"/>
      <c r="I288" s="44" t="str">
        <f aca="false">IF(OR(C288="",G288=""),"",C288+H288)</f>
        <v/>
      </c>
      <c r="J288" s="33"/>
      <c r="K288" s="30"/>
      <c r="L288" s="31" t="str">
        <f aca="false">IF(D288="","",D288-N(K288))</f>
        <v/>
      </c>
      <c r="M288" s="35" t="str">
        <f aca="true">IF(D288="","",IF(L288&lt;=0.004,"bezahlt",IF(TODAY()&gt;F288,"ÜBERFÄLLIG",IF(AND(I288&lt;&gt;"",TODAY()&lt;=I288),"Skonto nutzen bis "&amp;TEXT(I288,"DD.MM."),"fällig in "&amp;(F288-TODAY())&amp;" Tagen"))))</f>
        <v/>
      </c>
    </row>
    <row r="289" customFormat="false" ht="15" hidden="false" customHeight="false" outlineLevel="0" collapsed="false">
      <c r="A289" s="32"/>
      <c r="B289" s="32"/>
      <c r="C289" s="33"/>
      <c r="D289" s="30"/>
      <c r="E289" s="32"/>
      <c r="F289" s="44" t="str">
        <f aca="false">IF(C289="","",C289+IF(E289="",30,E289))</f>
        <v/>
      </c>
      <c r="G289" s="45"/>
      <c r="H289" s="32"/>
      <c r="I289" s="44" t="str">
        <f aca="false">IF(OR(C289="",G289=""),"",C289+H289)</f>
        <v/>
      </c>
      <c r="J289" s="33"/>
      <c r="K289" s="30"/>
      <c r="L289" s="31" t="str">
        <f aca="false">IF(D289="","",D289-N(K289))</f>
        <v/>
      </c>
      <c r="M289" s="35" t="str">
        <f aca="true">IF(D289="","",IF(L289&lt;=0.004,"bezahlt",IF(TODAY()&gt;F289,"ÜBERFÄLLIG",IF(AND(I289&lt;&gt;"",TODAY()&lt;=I289),"Skonto nutzen bis "&amp;TEXT(I289,"DD.MM."),"fällig in "&amp;(F289-TODAY())&amp;" Tagen"))))</f>
        <v/>
      </c>
    </row>
    <row r="290" customFormat="false" ht="15" hidden="false" customHeight="false" outlineLevel="0" collapsed="false">
      <c r="A290" s="32"/>
      <c r="B290" s="32"/>
      <c r="C290" s="33"/>
      <c r="D290" s="30"/>
      <c r="E290" s="32"/>
      <c r="F290" s="44" t="str">
        <f aca="false">IF(C290="","",C290+IF(E290="",30,E290))</f>
        <v/>
      </c>
      <c r="G290" s="45"/>
      <c r="H290" s="32"/>
      <c r="I290" s="44" t="str">
        <f aca="false">IF(OR(C290="",G290=""),"",C290+H290)</f>
        <v/>
      </c>
      <c r="J290" s="33"/>
      <c r="K290" s="30"/>
      <c r="L290" s="31" t="str">
        <f aca="false">IF(D290="","",D290-N(K290))</f>
        <v/>
      </c>
      <c r="M290" s="35" t="str">
        <f aca="true">IF(D290="","",IF(L290&lt;=0.004,"bezahlt",IF(TODAY()&gt;F290,"ÜBERFÄLLIG",IF(AND(I290&lt;&gt;"",TODAY()&lt;=I290),"Skonto nutzen bis "&amp;TEXT(I290,"DD.MM."),"fällig in "&amp;(F290-TODAY())&amp;" Tagen"))))</f>
        <v/>
      </c>
    </row>
    <row r="291" customFormat="false" ht="15" hidden="false" customHeight="false" outlineLevel="0" collapsed="false">
      <c r="A291" s="32"/>
      <c r="B291" s="32"/>
      <c r="C291" s="33"/>
      <c r="D291" s="30"/>
      <c r="E291" s="32"/>
      <c r="F291" s="44" t="str">
        <f aca="false">IF(C291="","",C291+IF(E291="",30,E291))</f>
        <v/>
      </c>
      <c r="G291" s="45"/>
      <c r="H291" s="32"/>
      <c r="I291" s="44" t="str">
        <f aca="false">IF(OR(C291="",G291=""),"",C291+H291)</f>
        <v/>
      </c>
      <c r="J291" s="33"/>
      <c r="K291" s="30"/>
      <c r="L291" s="31" t="str">
        <f aca="false">IF(D291="","",D291-N(K291))</f>
        <v/>
      </c>
      <c r="M291" s="35" t="str">
        <f aca="true">IF(D291="","",IF(L291&lt;=0.004,"bezahlt",IF(TODAY()&gt;F291,"ÜBERFÄLLIG",IF(AND(I291&lt;&gt;"",TODAY()&lt;=I291),"Skonto nutzen bis "&amp;TEXT(I291,"DD.MM."),"fällig in "&amp;(F291-TODAY())&amp;" Tagen"))))</f>
        <v/>
      </c>
    </row>
    <row r="292" customFormat="false" ht="15" hidden="false" customHeight="false" outlineLevel="0" collapsed="false">
      <c r="A292" s="32"/>
      <c r="B292" s="32"/>
      <c r="C292" s="33"/>
      <c r="D292" s="30"/>
      <c r="E292" s="32"/>
      <c r="F292" s="44" t="str">
        <f aca="false">IF(C292="","",C292+IF(E292="",30,E292))</f>
        <v/>
      </c>
      <c r="G292" s="45"/>
      <c r="H292" s="32"/>
      <c r="I292" s="44" t="str">
        <f aca="false">IF(OR(C292="",G292=""),"",C292+H292)</f>
        <v/>
      </c>
      <c r="J292" s="33"/>
      <c r="K292" s="30"/>
      <c r="L292" s="31" t="str">
        <f aca="false">IF(D292="","",D292-N(K292))</f>
        <v/>
      </c>
      <c r="M292" s="35" t="str">
        <f aca="true">IF(D292="","",IF(L292&lt;=0.004,"bezahlt",IF(TODAY()&gt;F292,"ÜBERFÄLLIG",IF(AND(I292&lt;&gt;"",TODAY()&lt;=I292),"Skonto nutzen bis "&amp;TEXT(I292,"DD.MM."),"fällig in "&amp;(F292-TODAY())&amp;" Tagen"))))</f>
        <v/>
      </c>
    </row>
    <row r="293" customFormat="false" ht="15" hidden="false" customHeight="false" outlineLevel="0" collapsed="false">
      <c r="A293" s="32"/>
      <c r="B293" s="32"/>
      <c r="C293" s="33"/>
      <c r="D293" s="30"/>
      <c r="E293" s="32"/>
      <c r="F293" s="44" t="str">
        <f aca="false">IF(C293="","",C293+IF(E293="",30,E293))</f>
        <v/>
      </c>
      <c r="G293" s="45"/>
      <c r="H293" s="32"/>
      <c r="I293" s="44" t="str">
        <f aca="false">IF(OR(C293="",G293=""),"",C293+H293)</f>
        <v/>
      </c>
      <c r="J293" s="33"/>
      <c r="K293" s="30"/>
      <c r="L293" s="31" t="str">
        <f aca="false">IF(D293="","",D293-N(K293))</f>
        <v/>
      </c>
      <c r="M293" s="35" t="str">
        <f aca="true">IF(D293="","",IF(L293&lt;=0.004,"bezahlt",IF(TODAY()&gt;F293,"ÜBERFÄLLIG",IF(AND(I293&lt;&gt;"",TODAY()&lt;=I293),"Skonto nutzen bis "&amp;TEXT(I293,"DD.MM."),"fällig in "&amp;(F293-TODAY())&amp;" Tagen"))))</f>
        <v/>
      </c>
    </row>
    <row r="294" customFormat="false" ht="15" hidden="false" customHeight="false" outlineLevel="0" collapsed="false">
      <c r="A294" s="32"/>
      <c r="B294" s="32"/>
      <c r="C294" s="33"/>
      <c r="D294" s="30"/>
      <c r="E294" s="32"/>
      <c r="F294" s="44" t="str">
        <f aca="false">IF(C294="","",C294+IF(E294="",30,E294))</f>
        <v/>
      </c>
      <c r="G294" s="45"/>
      <c r="H294" s="32"/>
      <c r="I294" s="44" t="str">
        <f aca="false">IF(OR(C294="",G294=""),"",C294+H294)</f>
        <v/>
      </c>
      <c r="J294" s="33"/>
      <c r="K294" s="30"/>
      <c r="L294" s="31" t="str">
        <f aca="false">IF(D294="","",D294-N(K294))</f>
        <v/>
      </c>
      <c r="M294" s="35" t="str">
        <f aca="true">IF(D294="","",IF(L294&lt;=0.004,"bezahlt",IF(TODAY()&gt;F294,"ÜBERFÄLLIG",IF(AND(I294&lt;&gt;"",TODAY()&lt;=I294),"Skonto nutzen bis "&amp;TEXT(I294,"DD.MM."),"fällig in "&amp;(F294-TODAY())&amp;" Tagen"))))</f>
        <v/>
      </c>
    </row>
    <row r="295" customFormat="false" ht="15" hidden="false" customHeight="false" outlineLevel="0" collapsed="false">
      <c r="A295" s="32"/>
      <c r="B295" s="32"/>
      <c r="C295" s="33"/>
      <c r="D295" s="30"/>
      <c r="E295" s="32"/>
      <c r="F295" s="44" t="str">
        <f aca="false">IF(C295="","",C295+IF(E295="",30,E295))</f>
        <v/>
      </c>
      <c r="G295" s="45"/>
      <c r="H295" s="32"/>
      <c r="I295" s="44" t="str">
        <f aca="false">IF(OR(C295="",G295=""),"",C295+H295)</f>
        <v/>
      </c>
      <c r="J295" s="33"/>
      <c r="K295" s="30"/>
      <c r="L295" s="31" t="str">
        <f aca="false">IF(D295="","",D295-N(K295))</f>
        <v/>
      </c>
      <c r="M295" s="35" t="str">
        <f aca="true">IF(D295="","",IF(L295&lt;=0.004,"bezahlt",IF(TODAY()&gt;F295,"ÜBERFÄLLIG",IF(AND(I295&lt;&gt;"",TODAY()&lt;=I295),"Skonto nutzen bis "&amp;TEXT(I295,"DD.MM."),"fällig in "&amp;(F295-TODAY())&amp;" Tagen"))))</f>
        <v/>
      </c>
    </row>
    <row r="296" customFormat="false" ht="15" hidden="false" customHeight="false" outlineLevel="0" collapsed="false">
      <c r="A296" s="32"/>
      <c r="B296" s="32"/>
      <c r="C296" s="33"/>
      <c r="D296" s="30"/>
      <c r="E296" s="32"/>
      <c r="F296" s="44" t="str">
        <f aca="false">IF(C296="","",C296+IF(E296="",30,E296))</f>
        <v/>
      </c>
      <c r="G296" s="45"/>
      <c r="H296" s="32"/>
      <c r="I296" s="44" t="str">
        <f aca="false">IF(OR(C296="",G296=""),"",C296+H296)</f>
        <v/>
      </c>
      <c r="J296" s="33"/>
      <c r="K296" s="30"/>
      <c r="L296" s="31" t="str">
        <f aca="false">IF(D296="","",D296-N(K296))</f>
        <v/>
      </c>
      <c r="M296" s="35" t="str">
        <f aca="true">IF(D296="","",IF(L296&lt;=0.004,"bezahlt",IF(TODAY()&gt;F296,"ÜBERFÄLLIG",IF(AND(I296&lt;&gt;"",TODAY()&lt;=I296),"Skonto nutzen bis "&amp;TEXT(I296,"DD.MM."),"fällig in "&amp;(F296-TODAY())&amp;" Tagen"))))</f>
        <v/>
      </c>
    </row>
    <row r="297" customFormat="false" ht="15" hidden="false" customHeight="false" outlineLevel="0" collapsed="false">
      <c r="A297" s="32"/>
      <c r="B297" s="32"/>
      <c r="C297" s="33"/>
      <c r="D297" s="30"/>
      <c r="E297" s="32"/>
      <c r="F297" s="44" t="str">
        <f aca="false">IF(C297="","",C297+IF(E297="",30,E297))</f>
        <v/>
      </c>
      <c r="G297" s="45"/>
      <c r="H297" s="32"/>
      <c r="I297" s="44" t="str">
        <f aca="false">IF(OR(C297="",G297=""),"",C297+H297)</f>
        <v/>
      </c>
      <c r="J297" s="33"/>
      <c r="K297" s="30"/>
      <c r="L297" s="31" t="str">
        <f aca="false">IF(D297="","",D297-N(K297))</f>
        <v/>
      </c>
      <c r="M297" s="35" t="str">
        <f aca="true">IF(D297="","",IF(L297&lt;=0.004,"bezahlt",IF(TODAY()&gt;F297,"ÜBERFÄLLIG",IF(AND(I297&lt;&gt;"",TODAY()&lt;=I297),"Skonto nutzen bis "&amp;TEXT(I297,"DD.MM."),"fällig in "&amp;(F297-TODAY())&amp;" Tagen"))))</f>
        <v/>
      </c>
    </row>
    <row r="298" customFormat="false" ht="15" hidden="false" customHeight="false" outlineLevel="0" collapsed="false">
      <c r="A298" s="32"/>
      <c r="B298" s="32"/>
      <c r="C298" s="33"/>
      <c r="D298" s="30"/>
      <c r="E298" s="32"/>
      <c r="F298" s="44" t="str">
        <f aca="false">IF(C298="","",C298+IF(E298="",30,E298))</f>
        <v/>
      </c>
      <c r="G298" s="45"/>
      <c r="H298" s="32"/>
      <c r="I298" s="44" t="str">
        <f aca="false">IF(OR(C298="",G298=""),"",C298+H298)</f>
        <v/>
      </c>
      <c r="J298" s="33"/>
      <c r="K298" s="30"/>
      <c r="L298" s="31" t="str">
        <f aca="false">IF(D298="","",D298-N(K298))</f>
        <v/>
      </c>
      <c r="M298" s="35" t="str">
        <f aca="true">IF(D298="","",IF(L298&lt;=0.004,"bezahlt",IF(TODAY()&gt;F298,"ÜBERFÄLLIG",IF(AND(I298&lt;&gt;"",TODAY()&lt;=I298),"Skonto nutzen bis "&amp;TEXT(I298,"DD.MM."),"fällig in "&amp;(F298-TODAY())&amp;" Tagen"))))</f>
        <v/>
      </c>
    </row>
    <row r="299" customFormat="false" ht="15" hidden="false" customHeight="false" outlineLevel="0" collapsed="false">
      <c r="A299" s="32"/>
      <c r="B299" s="32"/>
      <c r="C299" s="33"/>
      <c r="D299" s="30"/>
      <c r="E299" s="32"/>
      <c r="F299" s="44" t="str">
        <f aca="false">IF(C299="","",C299+IF(E299="",30,E299))</f>
        <v/>
      </c>
      <c r="G299" s="45"/>
      <c r="H299" s="32"/>
      <c r="I299" s="44" t="str">
        <f aca="false">IF(OR(C299="",G299=""),"",C299+H299)</f>
        <v/>
      </c>
      <c r="J299" s="33"/>
      <c r="K299" s="30"/>
      <c r="L299" s="31" t="str">
        <f aca="false">IF(D299="","",D299-N(K299))</f>
        <v/>
      </c>
      <c r="M299" s="35" t="str">
        <f aca="true">IF(D299="","",IF(L299&lt;=0.004,"bezahlt",IF(TODAY()&gt;F299,"ÜBERFÄLLIG",IF(AND(I299&lt;&gt;"",TODAY()&lt;=I299),"Skonto nutzen bis "&amp;TEXT(I299,"DD.MM."),"fällig in "&amp;(F299-TODAY())&amp;" Tagen"))))</f>
        <v/>
      </c>
    </row>
    <row r="300" customFormat="false" ht="15" hidden="false" customHeight="false" outlineLevel="0" collapsed="false">
      <c r="A300" s="32"/>
      <c r="B300" s="32"/>
      <c r="C300" s="33"/>
      <c r="D300" s="30"/>
      <c r="E300" s="32"/>
      <c r="F300" s="44" t="str">
        <f aca="false">IF(C300="","",C300+IF(E300="",30,E300))</f>
        <v/>
      </c>
      <c r="G300" s="45"/>
      <c r="H300" s="32"/>
      <c r="I300" s="44" t="str">
        <f aca="false">IF(OR(C300="",G300=""),"",C300+H300)</f>
        <v/>
      </c>
      <c r="J300" s="33"/>
      <c r="K300" s="30"/>
      <c r="L300" s="31" t="str">
        <f aca="false">IF(D300="","",D300-N(K300))</f>
        <v/>
      </c>
      <c r="M300" s="35" t="str">
        <f aca="true">IF(D300="","",IF(L300&lt;=0.004,"bezahlt",IF(TODAY()&gt;F300,"ÜBERFÄLLIG",IF(AND(I300&lt;&gt;"",TODAY()&lt;=I300),"Skonto nutzen bis "&amp;TEXT(I300,"DD.MM."),"fällig in "&amp;(F300-TODAY())&amp;" Tagen"))))</f>
        <v/>
      </c>
    </row>
    <row r="301" customFormat="false" ht="15" hidden="false" customHeight="false" outlineLevel="0" collapsed="false">
      <c r="A301" s="32"/>
      <c r="B301" s="32"/>
      <c r="C301" s="33"/>
      <c r="D301" s="30"/>
      <c r="E301" s="32"/>
      <c r="F301" s="44" t="str">
        <f aca="false">IF(C301="","",C301+IF(E301="",30,E301))</f>
        <v/>
      </c>
      <c r="G301" s="45"/>
      <c r="H301" s="32"/>
      <c r="I301" s="44" t="str">
        <f aca="false">IF(OR(C301="",G301=""),"",C301+H301)</f>
        <v/>
      </c>
      <c r="J301" s="33"/>
      <c r="K301" s="30"/>
      <c r="L301" s="31" t="str">
        <f aca="false">IF(D301="","",D301-N(K301))</f>
        <v/>
      </c>
      <c r="M301" s="35" t="str">
        <f aca="true">IF(D301="","",IF(L301&lt;=0.004,"bezahlt",IF(TODAY()&gt;F301,"ÜBERFÄLLIG",IF(AND(I301&lt;&gt;"",TODAY()&lt;=I301),"Skonto nutzen bis "&amp;TEXT(I301,"DD.MM."),"fällig in "&amp;(F301-TODAY())&amp;" Tagen"))))</f>
        <v/>
      </c>
    </row>
    <row r="302" customFormat="false" ht="15" hidden="false" customHeight="false" outlineLevel="0" collapsed="false">
      <c r="A302" s="32"/>
      <c r="B302" s="32"/>
      <c r="C302" s="33"/>
      <c r="D302" s="30"/>
      <c r="E302" s="32"/>
      <c r="F302" s="44" t="str">
        <f aca="false">IF(C302="","",C302+IF(E302="",30,E302))</f>
        <v/>
      </c>
      <c r="G302" s="45"/>
      <c r="H302" s="32"/>
      <c r="I302" s="44" t="str">
        <f aca="false">IF(OR(C302="",G302=""),"",C302+H302)</f>
        <v/>
      </c>
      <c r="J302" s="33"/>
      <c r="K302" s="30"/>
      <c r="L302" s="31" t="str">
        <f aca="false">IF(D302="","",D302-N(K302))</f>
        <v/>
      </c>
      <c r="M302" s="35" t="str">
        <f aca="true">IF(D302="","",IF(L302&lt;=0.004,"bezahlt",IF(TODAY()&gt;F302,"ÜBERFÄLLIG",IF(AND(I302&lt;&gt;"",TODAY()&lt;=I302),"Skonto nutzen bis "&amp;TEXT(I302,"DD.MM."),"fällig in "&amp;(F302-TODAY())&amp;" Tagen"))))</f>
        <v/>
      </c>
    </row>
    <row r="303" customFormat="false" ht="15" hidden="false" customHeight="false" outlineLevel="0" collapsed="false">
      <c r="A303" s="32"/>
      <c r="B303" s="32"/>
      <c r="C303" s="33"/>
      <c r="D303" s="30"/>
      <c r="E303" s="32"/>
      <c r="F303" s="44" t="str">
        <f aca="false">IF(C303="","",C303+IF(E303="",30,E303))</f>
        <v/>
      </c>
      <c r="G303" s="45"/>
      <c r="H303" s="32"/>
      <c r="I303" s="44" t="str">
        <f aca="false">IF(OR(C303="",G303=""),"",C303+H303)</f>
        <v/>
      </c>
      <c r="J303" s="33"/>
      <c r="K303" s="30"/>
      <c r="L303" s="31" t="str">
        <f aca="false">IF(D303="","",D303-N(K303))</f>
        <v/>
      </c>
      <c r="M303" s="35" t="str">
        <f aca="true">IF(D303="","",IF(L303&lt;=0.004,"bezahlt",IF(TODAY()&gt;F303,"ÜBERFÄLLIG",IF(AND(I303&lt;&gt;"",TODAY()&lt;=I303),"Skonto nutzen bis "&amp;TEXT(I303,"DD.MM."),"fällig in "&amp;(F303-TODAY())&amp;" Tagen"))))</f>
        <v/>
      </c>
    </row>
    <row r="304" customFormat="false" ht="15" hidden="false" customHeight="false" outlineLevel="0" collapsed="false">
      <c r="A304" s="32"/>
      <c r="B304" s="32"/>
      <c r="C304" s="33"/>
      <c r="D304" s="30"/>
      <c r="E304" s="32"/>
      <c r="F304" s="44" t="str">
        <f aca="false">IF(C304="","",C304+IF(E304="",30,E304))</f>
        <v/>
      </c>
      <c r="G304" s="45"/>
      <c r="H304" s="32"/>
      <c r="I304" s="44" t="str">
        <f aca="false">IF(OR(C304="",G304=""),"",C304+H304)</f>
        <v/>
      </c>
      <c r="J304" s="33"/>
      <c r="K304" s="30"/>
      <c r="L304" s="31" t="str">
        <f aca="false">IF(D304="","",D304-N(K304))</f>
        <v/>
      </c>
      <c r="M304" s="35" t="str">
        <f aca="true">IF(D304="","",IF(L304&lt;=0.004,"bezahlt",IF(TODAY()&gt;F304,"ÜBERFÄLLIG",IF(AND(I304&lt;&gt;"",TODAY()&lt;=I304),"Skonto nutzen bis "&amp;TEXT(I304,"DD.MM."),"fällig in "&amp;(F304-TODAY())&amp;" Tagen"))))</f>
        <v/>
      </c>
    </row>
    <row r="305" customFormat="false" ht="15" hidden="false" customHeight="false" outlineLevel="0" collapsed="false">
      <c r="A305" s="32"/>
      <c r="B305" s="32"/>
      <c r="C305" s="33"/>
      <c r="D305" s="30"/>
      <c r="E305" s="32"/>
      <c r="F305" s="44" t="str">
        <f aca="false">IF(C305="","",C305+IF(E305="",30,E305))</f>
        <v/>
      </c>
      <c r="G305" s="45"/>
      <c r="H305" s="32"/>
      <c r="I305" s="44" t="str">
        <f aca="false">IF(OR(C305="",G305=""),"",C305+H305)</f>
        <v/>
      </c>
      <c r="J305" s="33"/>
      <c r="K305" s="30"/>
      <c r="L305" s="31" t="str">
        <f aca="false">IF(D305="","",D305-N(K305))</f>
        <v/>
      </c>
      <c r="M305" s="35" t="str">
        <f aca="true">IF(D305="","",IF(L305&lt;=0.004,"bezahlt",IF(TODAY()&gt;F305,"ÜBERFÄLLIG",IF(AND(I305&lt;&gt;"",TODAY()&lt;=I305),"Skonto nutzen bis "&amp;TEXT(I305,"DD.MM."),"fällig in "&amp;(F305-TODAY())&amp;" Tagen"))))</f>
        <v/>
      </c>
    </row>
    <row r="306" customFormat="false" ht="15" hidden="false" customHeight="false" outlineLevel="0" collapsed="false">
      <c r="A306" s="32"/>
      <c r="B306" s="32"/>
      <c r="C306" s="33"/>
      <c r="D306" s="30"/>
      <c r="E306" s="32"/>
      <c r="F306" s="44" t="str">
        <f aca="false">IF(C306="","",C306+IF(E306="",30,E306))</f>
        <v/>
      </c>
      <c r="G306" s="45"/>
      <c r="H306" s="32"/>
      <c r="I306" s="44" t="str">
        <f aca="false">IF(OR(C306="",G306=""),"",C306+H306)</f>
        <v/>
      </c>
      <c r="J306" s="33"/>
      <c r="K306" s="30"/>
      <c r="L306" s="31" t="str">
        <f aca="false">IF(D306="","",D306-N(K306))</f>
        <v/>
      </c>
      <c r="M306" s="35" t="str">
        <f aca="true">IF(D306="","",IF(L306&lt;=0.004,"bezahlt",IF(TODAY()&gt;F306,"ÜBERFÄLLIG",IF(AND(I306&lt;&gt;"",TODAY()&lt;=I306),"Skonto nutzen bis "&amp;TEXT(I306,"DD.MM."),"fällig in "&amp;(F306-TODAY())&amp;" Tagen"))))</f>
        <v/>
      </c>
    </row>
    <row r="307" customFormat="false" ht="15" hidden="false" customHeight="false" outlineLevel="0" collapsed="false">
      <c r="A307" s="32"/>
      <c r="B307" s="32"/>
      <c r="C307" s="33"/>
      <c r="D307" s="30"/>
      <c r="E307" s="32"/>
      <c r="F307" s="44" t="str">
        <f aca="false">IF(C307="","",C307+IF(E307="",30,E307))</f>
        <v/>
      </c>
      <c r="G307" s="45"/>
      <c r="H307" s="32"/>
      <c r="I307" s="44" t="str">
        <f aca="false">IF(OR(C307="",G307=""),"",C307+H307)</f>
        <v/>
      </c>
      <c r="J307" s="33"/>
      <c r="K307" s="30"/>
      <c r="L307" s="31" t="str">
        <f aca="false">IF(D307="","",D307-N(K307))</f>
        <v/>
      </c>
      <c r="M307" s="35" t="str">
        <f aca="true">IF(D307="","",IF(L307&lt;=0.004,"bezahlt",IF(TODAY()&gt;F307,"ÜBERFÄLLIG",IF(AND(I307&lt;&gt;"",TODAY()&lt;=I307),"Skonto nutzen bis "&amp;TEXT(I307,"DD.MM."),"fällig in "&amp;(F307-TODAY())&amp;" Tagen"))))</f>
        <v/>
      </c>
    </row>
    <row r="308" customFormat="false" ht="15" hidden="false" customHeight="false" outlineLevel="0" collapsed="false">
      <c r="A308" s="32"/>
      <c r="B308" s="32"/>
      <c r="C308" s="33"/>
      <c r="D308" s="30"/>
      <c r="E308" s="32"/>
      <c r="F308" s="44" t="str">
        <f aca="false">IF(C308="","",C308+IF(E308="",30,E308))</f>
        <v/>
      </c>
      <c r="G308" s="45"/>
      <c r="H308" s="32"/>
      <c r="I308" s="44" t="str">
        <f aca="false">IF(OR(C308="",G308=""),"",C308+H308)</f>
        <v/>
      </c>
      <c r="J308" s="33"/>
      <c r="K308" s="30"/>
      <c r="L308" s="31" t="str">
        <f aca="false">IF(D308="","",D308-N(K308))</f>
        <v/>
      </c>
      <c r="M308" s="35" t="str">
        <f aca="true">IF(D308="","",IF(L308&lt;=0.004,"bezahlt",IF(TODAY()&gt;F308,"ÜBERFÄLLIG",IF(AND(I308&lt;&gt;"",TODAY()&lt;=I308),"Skonto nutzen bis "&amp;TEXT(I308,"DD.MM."),"fällig in "&amp;(F308-TODAY())&amp;" Tagen"))))</f>
        <v/>
      </c>
    </row>
    <row r="309" customFormat="false" ht="15" hidden="false" customHeight="false" outlineLevel="0" collapsed="false">
      <c r="A309" s="32"/>
      <c r="B309" s="32"/>
      <c r="C309" s="33"/>
      <c r="D309" s="30"/>
      <c r="E309" s="32"/>
      <c r="F309" s="44" t="str">
        <f aca="false">IF(C309="","",C309+IF(E309="",30,E309))</f>
        <v/>
      </c>
      <c r="G309" s="45"/>
      <c r="H309" s="32"/>
      <c r="I309" s="44" t="str">
        <f aca="false">IF(OR(C309="",G309=""),"",C309+H309)</f>
        <v/>
      </c>
      <c r="J309" s="33"/>
      <c r="K309" s="30"/>
      <c r="L309" s="31" t="str">
        <f aca="false">IF(D309="","",D309-N(K309))</f>
        <v/>
      </c>
      <c r="M309" s="35" t="str">
        <f aca="true">IF(D309="","",IF(L309&lt;=0.004,"bezahlt",IF(TODAY()&gt;F309,"ÜBERFÄLLIG",IF(AND(I309&lt;&gt;"",TODAY()&lt;=I309),"Skonto nutzen bis "&amp;TEXT(I309,"DD.MM."),"fällig in "&amp;(F309-TODAY())&amp;" Tagen"))))</f>
        <v/>
      </c>
    </row>
    <row r="310" customFormat="false" ht="15" hidden="false" customHeight="false" outlineLevel="0" collapsed="false">
      <c r="A310" s="32"/>
      <c r="B310" s="32"/>
      <c r="C310" s="33"/>
      <c r="D310" s="30"/>
      <c r="E310" s="32"/>
      <c r="F310" s="44" t="str">
        <f aca="false">IF(C310="","",C310+IF(E310="",30,E310))</f>
        <v/>
      </c>
      <c r="G310" s="45"/>
      <c r="H310" s="32"/>
      <c r="I310" s="44" t="str">
        <f aca="false">IF(OR(C310="",G310=""),"",C310+H310)</f>
        <v/>
      </c>
      <c r="J310" s="33"/>
      <c r="K310" s="30"/>
      <c r="L310" s="31" t="str">
        <f aca="false">IF(D310="","",D310-N(K310))</f>
        <v/>
      </c>
      <c r="M310" s="35" t="str">
        <f aca="true">IF(D310="","",IF(L310&lt;=0.004,"bezahlt",IF(TODAY()&gt;F310,"ÜBERFÄLLIG",IF(AND(I310&lt;&gt;"",TODAY()&lt;=I310),"Skonto nutzen bis "&amp;TEXT(I310,"DD.MM."),"fällig in "&amp;(F310-TODAY())&amp;" Tagen"))))</f>
        <v/>
      </c>
    </row>
    <row r="311" customFormat="false" ht="15" hidden="false" customHeight="false" outlineLevel="0" collapsed="false">
      <c r="A311" s="32"/>
      <c r="B311" s="32"/>
      <c r="C311" s="33"/>
      <c r="D311" s="30"/>
      <c r="E311" s="32"/>
      <c r="F311" s="44" t="str">
        <f aca="false">IF(C311="","",C311+IF(E311="",30,E311))</f>
        <v/>
      </c>
      <c r="G311" s="45"/>
      <c r="H311" s="32"/>
      <c r="I311" s="44" t="str">
        <f aca="false">IF(OR(C311="",G311=""),"",C311+H311)</f>
        <v/>
      </c>
      <c r="J311" s="33"/>
      <c r="K311" s="30"/>
      <c r="L311" s="31" t="str">
        <f aca="false">IF(D311="","",D311-N(K311))</f>
        <v/>
      </c>
      <c r="M311" s="35" t="str">
        <f aca="true">IF(D311="","",IF(L311&lt;=0.004,"bezahlt",IF(TODAY()&gt;F311,"ÜBERFÄLLIG",IF(AND(I311&lt;&gt;"",TODAY()&lt;=I311),"Skonto nutzen bis "&amp;TEXT(I311,"DD.MM."),"fällig in "&amp;(F311-TODAY())&amp;" Tagen"))))</f>
        <v/>
      </c>
    </row>
    <row r="312" customFormat="false" ht="15" hidden="false" customHeight="false" outlineLevel="0" collapsed="false">
      <c r="A312" s="32"/>
      <c r="B312" s="32"/>
      <c r="C312" s="33"/>
      <c r="D312" s="30"/>
      <c r="E312" s="32"/>
      <c r="F312" s="44" t="str">
        <f aca="false">IF(C312="","",C312+IF(E312="",30,E312))</f>
        <v/>
      </c>
      <c r="G312" s="45"/>
      <c r="H312" s="32"/>
      <c r="I312" s="44" t="str">
        <f aca="false">IF(OR(C312="",G312=""),"",C312+H312)</f>
        <v/>
      </c>
      <c r="J312" s="33"/>
      <c r="K312" s="30"/>
      <c r="L312" s="31" t="str">
        <f aca="false">IF(D312="","",D312-N(K312))</f>
        <v/>
      </c>
      <c r="M312" s="35" t="str">
        <f aca="true">IF(D312="","",IF(L312&lt;=0.004,"bezahlt",IF(TODAY()&gt;F312,"ÜBERFÄLLIG",IF(AND(I312&lt;&gt;"",TODAY()&lt;=I312),"Skonto nutzen bis "&amp;TEXT(I312,"DD.MM."),"fällig in "&amp;(F312-TODAY())&amp;" Tagen"))))</f>
        <v/>
      </c>
    </row>
    <row r="313" customFormat="false" ht="15" hidden="false" customHeight="false" outlineLevel="0" collapsed="false">
      <c r="A313" s="32"/>
      <c r="B313" s="32"/>
      <c r="C313" s="33"/>
      <c r="D313" s="30"/>
      <c r="E313" s="32"/>
      <c r="F313" s="44" t="str">
        <f aca="false">IF(C313="","",C313+IF(E313="",30,E313))</f>
        <v/>
      </c>
      <c r="G313" s="45"/>
      <c r="H313" s="32"/>
      <c r="I313" s="44" t="str">
        <f aca="false">IF(OR(C313="",G313=""),"",C313+H313)</f>
        <v/>
      </c>
      <c r="J313" s="33"/>
      <c r="K313" s="30"/>
      <c r="L313" s="31" t="str">
        <f aca="false">IF(D313="","",D313-N(K313))</f>
        <v/>
      </c>
      <c r="M313" s="35" t="str">
        <f aca="true">IF(D313="","",IF(L313&lt;=0.004,"bezahlt",IF(TODAY()&gt;F313,"ÜBERFÄLLIG",IF(AND(I313&lt;&gt;"",TODAY()&lt;=I313),"Skonto nutzen bis "&amp;TEXT(I313,"DD.MM."),"fällig in "&amp;(F313-TODAY())&amp;" Tagen"))))</f>
        <v/>
      </c>
    </row>
    <row r="314" customFormat="false" ht="15" hidden="false" customHeight="false" outlineLevel="0" collapsed="false">
      <c r="A314" s="32"/>
      <c r="B314" s="32"/>
      <c r="C314" s="33"/>
      <c r="D314" s="30"/>
      <c r="E314" s="32"/>
      <c r="F314" s="44" t="str">
        <f aca="false">IF(C314="","",C314+IF(E314="",30,E314))</f>
        <v/>
      </c>
      <c r="G314" s="45"/>
      <c r="H314" s="32"/>
      <c r="I314" s="44" t="str">
        <f aca="false">IF(OR(C314="",G314=""),"",C314+H314)</f>
        <v/>
      </c>
      <c r="J314" s="33"/>
      <c r="K314" s="30"/>
      <c r="L314" s="31" t="str">
        <f aca="false">IF(D314="","",D314-N(K314))</f>
        <v/>
      </c>
      <c r="M314" s="35" t="str">
        <f aca="true">IF(D314="","",IF(L314&lt;=0.004,"bezahlt",IF(TODAY()&gt;F314,"ÜBERFÄLLIG",IF(AND(I314&lt;&gt;"",TODAY()&lt;=I314),"Skonto nutzen bis "&amp;TEXT(I314,"DD.MM."),"fällig in "&amp;(F314-TODAY())&amp;" Tagen"))))</f>
        <v/>
      </c>
    </row>
    <row r="315" customFormat="false" ht="15" hidden="false" customHeight="false" outlineLevel="0" collapsed="false">
      <c r="A315" s="32"/>
      <c r="B315" s="32"/>
      <c r="C315" s="33"/>
      <c r="D315" s="30"/>
      <c r="E315" s="32"/>
      <c r="F315" s="44" t="str">
        <f aca="false">IF(C315="","",C315+IF(E315="",30,E315))</f>
        <v/>
      </c>
      <c r="G315" s="45"/>
      <c r="H315" s="32"/>
      <c r="I315" s="44" t="str">
        <f aca="false">IF(OR(C315="",G315=""),"",C315+H315)</f>
        <v/>
      </c>
      <c r="J315" s="33"/>
      <c r="K315" s="30"/>
      <c r="L315" s="31" t="str">
        <f aca="false">IF(D315="","",D315-N(K315))</f>
        <v/>
      </c>
      <c r="M315" s="35" t="str">
        <f aca="true">IF(D315="","",IF(L315&lt;=0.004,"bezahlt",IF(TODAY()&gt;F315,"ÜBERFÄLLIG",IF(AND(I315&lt;&gt;"",TODAY()&lt;=I315),"Skonto nutzen bis "&amp;TEXT(I315,"DD.MM."),"fällig in "&amp;(F315-TODAY())&amp;" Tagen"))))</f>
        <v/>
      </c>
    </row>
    <row r="316" customFormat="false" ht="15" hidden="false" customHeight="false" outlineLevel="0" collapsed="false">
      <c r="A316" s="32"/>
      <c r="B316" s="32"/>
      <c r="C316" s="33"/>
      <c r="D316" s="30"/>
      <c r="E316" s="32"/>
      <c r="F316" s="44" t="str">
        <f aca="false">IF(C316="","",C316+IF(E316="",30,E316))</f>
        <v/>
      </c>
      <c r="G316" s="45"/>
      <c r="H316" s="32"/>
      <c r="I316" s="44" t="str">
        <f aca="false">IF(OR(C316="",G316=""),"",C316+H316)</f>
        <v/>
      </c>
      <c r="J316" s="33"/>
      <c r="K316" s="30"/>
      <c r="L316" s="31" t="str">
        <f aca="false">IF(D316="","",D316-N(K316))</f>
        <v/>
      </c>
      <c r="M316" s="35" t="str">
        <f aca="true">IF(D316="","",IF(L316&lt;=0.004,"bezahlt",IF(TODAY()&gt;F316,"ÜBERFÄLLIG",IF(AND(I316&lt;&gt;"",TODAY()&lt;=I316),"Skonto nutzen bis "&amp;TEXT(I316,"DD.MM."),"fällig in "&amp;(F316-TODAY())&amp;" Tagen"))))</f>
        <v/>
      </c>
    </row>
    <row r="317" customFormat="false" ht="15" hidden="false" customHeight="false" outlineLevel="0" collapsed="false">
      <c r="A317" s="32"/>
      <c r="B317" s="32"/>
      <c r="C317" s="33"/>
      <c r="D317" s="30"/>
      <c r="E317" s="32"/>
      <c r="F317" s="44" t="str">
        <f aca="false">IF(C317="","",C317+IF(E317="",30,E317))</f>
        <v/>
      </c>
      <c r="G317" s="45"/>
      <c r="H317" s="32"/>
      <c r="I317" s="44" t="str">
        <f aca="false">IF(OR(C317="",G317=""),"",C317+H317)</f>
        <v/>
      </c>
      <c r="J317" s="33"/>
      <c r="K317" s="30"/>
      <c r="L317" s="31" t="str">
        <f aca="false">IF(D317="","",D317-N(K317))</f>
        <v/>
      </c>
      <c r="M317" s="35" t="str">
        <f aca="true">IF(D317="","",IF(L317&lt;=0.004,"bezahlt",IF(TODAY()&gt;F317,"ÜBERFÄLLIG",IF(AND(I317&lt;&gt;"",TODAY()&lt;=I317),"Skonto nutzen bis "&amp;TEXT(I317,"DD.MM."),"fällig in "&amp;(F317-TODAY())&amp;" Tagen"))))</f>
        <v/>
      </c>
    </row>
    <row r="318" customFormat="false" ht="15" hidden="false" customHeight="false" outlineLevel="0" collapsed="false">
      <c r="A318" s="32"/>
      <c r="B318" s="32"/>
      <c r="C318" s="33"/>
      <c r="D318" s="30"/>
      <c r="E318" s="32"/>
      <c r="F318" s="44" t="str">
        <f aca="false">IF(C318="","",C318+IF(E318="",30,E318))</f>
        <v/>
      </c>
      <c r="G318" s="45"/>
      <c r="H318" s="32"/>
      <c r="I318" s="44" t="str">
        <f aca="false">IF(OR(C318="",G318=""),"",C318+H318)</f>
        <v/>
      </c>
      <c r="J318" s="33"/>
      <c r="K318" s="30"/>
      <c r="L318" s="31" t="str">
        <f aca="false">IF(D318="","",D318-N(K318))</f>
        <v/>
      </c>
      <c r="M318" s="35" t="str">
        <f aca="true">IF(D318="","",IF(L318&lt;=0.004,"bezahlt",IF(TODAY()&gt;F318,"ÜBERFÄLLIG",IF(AND(I318&lt;&gt;"",TODAY()&lt;=I318),"Skonto nutzen bis "&amp;TEXT(I318,"DD.MM."),"fällig in "&amp;(F318-TODAY())&amp;" Tagen"))))</f>
        <v/>
      </c>
    </row>
    <row r="319" customFormat="false" ht="15" hidden="false" customHeight="false" outlineLevel="0" collapsed="false">
      <c r="A319" s="32"/>
      <c r="B319" s="32"/>
      <c r="C319" s="33"/>
      <c r="D319" s="30"/>
      <c r="E319" s="32"/>
      <c r="F319" s="44" t="str">
        <f aca="false">IF(C319="","",C319+IF(E319="",30,E319))</f>
        <v/>
      </c>
      <c r="G319" s="45"/>
      <c r="H319" s="32"/>
      <c r="I319" s="44" t="str">
        <f aca="false">IF(OR(C319="",G319=""),"",C319+H319)</f>
        <v/>
      </c>
      <c r="J319" s="33"/>
      <c r="K319" s="30"/>
      <c r="L319" s="31" t="str">
        <f aca="false">IF(D319="","",D319-N(K319))</f>
        <v/>
      </c>
      <c r="M319" s="35" t="str">
        <f aca="true">IF(D319="","",IF(L319&lt;=0.004,"bezahlt",IF(TODAY()&gt;F319,"ÜBERFÄLLIG",IF(AND(I319&lt;&gt;"",TODAY()&lt;=I319),"Skonto nutzen bis "&amp;TEXT(I319,"DD.MM."),"fällig in "&amp;(F319-TODAY())&amp;" Tagen"))))</f>
        <v/>
      </c>
    </row>
    <row r="320" customFormat="false" ht="15" hidden="false" customHeight="false" outlineLevel="0" collapsed="false">
      <c r="A320" s="32"/>
      <c r="B320" s="32"/>
      <c r="C320" s="33"/>
      <c r="D320" s="30"/>
      <c r="E320" s="32"/>
      <c r="F320" s="44" t="str">
        <f aca="false">IF(C320="","",C320+IF(E320="",30,E320))</f>
        <v/>
      </c>
      <c r="G320" s="45"/>
      <c r="H320" s="32"/>
      <c r="I320" s="44" t="str">
        <f aca="false">IF(OR(C320="",G320=""),"",C320+H320)</f>
        <v/>
      </c>
      <c r="J320" s="33"/>
      <c r="K320" s="30"/>
      <c r="L320" s="31" t="str">
        <f aca="false">IF(D320="","",D320-N(K320))</f>
        <v/>
      </c>
      <c r="M320" s="35" t="str">
        <f aca="true">IF(D320="","",IF(L320&lt;=0.004,"bezahlt",IF(TODAY()&gt;F320,"ÜBERFÄLLIG",IF(AND(I320&lt;&gt;"",TODAY()&lt;=I320),"Skonto nutzen bis "&amp;TEXT(I320,"DD.MM."),"fällig in "&amp;(F320-TODAY())&amp;" Tagen"))))</f>
        <v/>
      </c>
    </row>
    <row r="321" customFormat="false" ht="15" hidden="false" customHeight="false" outlineLevel="0" collapsed="false">
      <c r="A321" s="32"/>
      <c r="B321" s="32"/>
      <c r="C321" s="33"/>
      <c r="D321" s="30"/>
      <c r="E321" s="32"/>
      <c r="F321" s="44" t="str">
        <f aca="false">IF(C321="","",C321+IF(E321="",30,E321))</f>
        <v/>
      </c>
      <c r="G321" s="45"/>
      <c r="H321" s="32"/>
      <c r="I321" s="44" t="str">
        <f aca="false">IF(OR(C321="",G321=""),"",C321+H321)</f>
        <v/>
      </c>
      <c r="J321" s="33"/>
      <c r="K321" s="30"/>
      <c r="L321" s="31" t="str">
        <f aca="false">IF(D321="","",D321-N(K321))</f>
        <v/>
      </c>
      <c r="M321" s="35" t="str">
        <f aca="true">IF(D321="","",IF(L321&lt;=0.004,"bezahlt",IF(TODAY()&gt;F321,"ÜBERFÄLLIG",IF(AND(I321&lt;&gt;"",TODAY()&lt;=I321),"Skonto nutzen bis "&amp;TEXT(I321,"DD.MM."),"fällig in "&amp;(F321-TODAY())&amp;" Tagen"))))</f>
        <v/>
      </c>
    </row>
    <row r="322" customFormat="false" ht="15" hidden="false" customHeight="false" outlineLevel="0" collapsed="false">
      <c r="A322" s="32"/>
      <c r="B322" s="32"/>
      <c r="C322" s="33"/>
      <c r="D322" s="30"/>
      <c r="E322" s="32"/>
      <c r="F322" s="44" t="str">
        <f aca="false">IF(C322="","",C322+IF(E322="",30,E322))</f>
        <v/>
      </c>
      <c r="G322" s="45"/>
      <c r="H322" s="32"/>
      <c r="I322" s="44" t="str">
        <f aca="false">IF(OR(C322="",G322=""),"",C322+H322)</f>
        <v/>
      </c>
      <c r="J322" s="33"/>
      <c r="K322" s="30"/>
      <c r="L322" s="31" t="str">
        <f aca="false">IF(D322="","",D322-N(K322))</f>
        <v/>
      </c>
      <c r="M322" s="35" t="str">
        <f aca="true">IF(D322="","",IF(L322&lt;=0.004,"bezahlt",IF(TODAY()&gt;F322,"ÜBERFÄLLIG",IF(AND(I322&lt;&gt;"",TODAY()&lt;=I322),"Skonto nutzen bis "&amp;TEXT(I322,"DD.MM."),"fällig in "&amp;(F322-TODAY())&amp;" Tagen"))))</f>
        <v/>
      </c>
    </row>
    <row r="323" customFormat="false" ht="15" hidden="false" customHeight="false" outlineLevel="0" collapsed="false">
      <c r="A323" s="32"/>
      <c r="B323" s="32"/>
      <c r="C323" s="33"/>
      <c r="D323" s="30"/>
      <c r="E323" s="32"/>
      <c r="F323" s="44" t="str">
        <f aca="false">IF(C323="","",C323+IF(E323="",30,E323))</f>
        <v/>
      </c>
      <c r="G323" s="45"/>
      <c r="H323" s="32"/>
      <c r="I323" s="44" t="str">
        <f aca="false">IF(OR(C323="",G323=""),"",C323+H323)</f>
        <v/>
      </c>
      <c r="J323" s="33"/>
      <c r="K323" s="30"/>
      <c r="L323" s="31" t="str">
        <f aca="false">IF(D323="","",D323-N(K323))</f>
        <v/>
      </c>
      <c r="M323" s="35" t="str">
        <f aca="true">IF(D323="","",IF(L323&lt;=0.004,"bezahlt",IF(TODAY()&gt;F323,"ÜBERFÄLLIG",IF(AND(I323&lt;&gt;"",TODAY()&lt;=I323),"Skonto nutzen bis "&amp;TEXT(I323,"DD.MM."),"fällig in "&amp;(F323-TODAY())&amp;" Tagen"))))</f>
        <v/>
      </c>
    </row>
    <row r="324" customFormat="false" ht="15" hidden="false" customHeight="false" outlineLevel="0" collapsed="false">
      <c r="A324" s="32"/>
      <c r="B324" s="32"/>
      <c r="C324" s="33"/>
      <c r="D324" s="30"/>
      <c r="E324" s="32"/>
      <c r="F324" s="44" t="str">
        <f aca="false">IF(C324="","",C324+IF(E324="",30,E324))</f>
        <v/>
      </c>
      <c r="G324" s="45"/>
      <c r="H324" s="32"/>
      <c r="I324" s="44" t="str">
        <f aca="false">IF(OR(C324="",G324=""),"",C324+H324)</f>
        <v/>
      </c>
      <c r="J324" s="33"/>
      <c r="K324" s="30"/>
      <c r="L324" s="31" t="str">
        <f aca="false">IF(D324="","",D324-N(K324))</f>
        <v/>
      </c>
      <c r="M324" s="35" t="str">
        <f aca="true">IF(D324="","",IF(L324&lt;=0.004,"bezahlt",IF(TODAY()&gt;F324,"ÜBERFÄLLIG",IF(AND(I324&lt;&gt;"",TODAY()&lt;=I324),"Skonto nutzen bis "&amp;TEXT(I324,"DD.MM."),"fällig in "&amp;(F324-TODAY())&amp;" Tagen"))))</f>
        <v/>
      </c>
    </row>
    <row r="325" customFormat="false" ht="15" hidden="false" customHeight="false" outlineLevel="0" collapsed="false">
      <c r="A325" s="32"/>
      <c r="B325" s="32"/>
      <c r="C325" s="33"/>
      <c r="D325" s="30"/>
      <c r="E325" s="32"/>
      <c r="F325" s="44" t="str">
        <f aca="false">IF(C325="","",C325+IF(E325="",30,E325))</f>
        <v/>
      </c>
      <c r="G325" s="45"/>
      <c r="H325" s="32"/>
      <c r="I325" s="44" t="str">
        <f aca="false">IF(OR(C325="",G325=""),"",C325+H325)</f>
        <v/>
      </c>
      <c r="J325" s="33"/>
      <c r="K325" s="30"/>
      <c r="L325" s="31" t="str">
        <f aca="false">IF(D325="","",D325-N(K325))</f>
        <v/>
      </c>
      <c r="M325" s="35" t="str">
        <f aca="true">IF(D325="","",IF(L325&lt;=0.004,"bezahlt",IF(TODAY()&gt;F325,"ÜBERFÄLLIG",IF(AND(I325&lt;&gt;"",TODAY()&lt;=I325),"Skonto nutzen bis "&amp;TEXT(I325,"DD.MM."),"fällig in "&amp;(F325-TODAY())&amp;" Tagen"))))</f>
        <v/>
      </c>
    </row>
    <row r="326" customFormat="false" ht="15" hidden="false" customHeight="false" outlineLevel="0" collapsed="false">
      <c r="A326" s="32"/>
      <c r="B326" s="32"/>
      <c r="C326" s="33"/>
      <c r="D326" s="30"/>
      <c r="E326" s="32"/>
      <c r="F326" s="44" t="str">
        <f aca="false">IF(C326="","",C326+IF(E326="",30,E326))</f>
        <v/>
      </c>
      <c r="G326" s="45"/>
      <c r="H326" s="32"/>
      <c r="I326" s="44" t="str">
        <f aca="false">IF(OR(C326="",G326=""),"",C326+H326)</f>
        <v/>
      </c>
      <c r="J326" s="33"/>
      <c r="K326" s="30"/>
      <c r="L326" s="31" t="str">
        <f aca="false">IF(D326="","",D326-N(K326))</f>
        <v/>
      </c>
      <c r="M326" s="35" t="str">
        <f aca="true">IF(D326="","",IF(L326&lt;=0.004,"bezahlt",IF(TODAY()&gt;F326,"ÜBERFÄLLIG",IF(AND(I326&lt;&gt;"",TODAY()&lt;=I326),"Skonto nutzen bis "&amp;TEXT(I326,"DD.MM."),"fällig in "&amp;(F326-TODAY())&amp;" Tagen"))))</f>
        <v/>
      </c>
    </row>
    <row r="327" customFormat="false" ht="15" hidden="false" customHeight="false" outlineLevel="0" collapsed="false">
      <c r="A327" s="32"/>
      <c r="B327" s="32"/>
      <c r="C327" s="33"/>
      <c r="D327" s="30"/>
      <c r="E327" s="32"/>
      <c r="F327" s="44" t="str">
        <f aca="false">IF(C327="","",C327+IF(E327="",30,E327))</f>
        <v/>
      </c>
      <c r="G327" s="45"/>
      <c r="H327" s="32"/>
      <c r="I327" s="44" t="str">
        <f aca="false">IF(OR(C327="",G327=""),"",C327+H327)</f>
        <v/>
      </c>
      <c r="J327" s="33"/>
      <c r="K327" s="30"/>
      <c r="L327" s="31" t="str">
        <f aca="false">IF(D327="","",D327-N(K327))</f>
        <v/>
      </c>
      <c r="M327" s="35" t="str">
        <f aca="true">IF(D327="","",IF(L327&lt;=0.004,"bezahlt",IF(TODAY()&gt;F327,"ÜBERFÄLLIG",IF(AND(I327&lt;&gt;"",TODAY()&lt;=I327),"Skonto nutzen bis "&amp;TEXT(I327,"DD.MM."),"fällig in "&amp;(F327-TODAY())&amp;" Tagen"))))</f>
        <v/>
      </c>
    </row>
    <row r="328" customFormat="false" ht="15" hidden="false" customHeight="false" outlineLevel="0" collapsed="false">
      <c r="A328" s="32"/>
      <c r="B328" s="32"/>
      <c r="C328" s="33"/>
      <c r="D328" s="30"/>
      <c r="E328" s="32"/>
      <c r="F328" s="44" t="str">
        <f aca="false">IF(C328="","",C328+IF(E328="",30,E328))</f>
        <v/>
      </c>
      <c r="G328" s="45"/>
      <c r="H328" s="32"/>
      <c r="I328" s="44" t="str">
        <f aca="false">IF(OR(C328="",G328=""),"",C328+H328)</f>
        <v/>
      </c>
      <c r="J328" s="33"/>
      <c r="K328" s="30"/>
      <c r="L328" s="31" t="str">
        <f aca="false">IF(D328="","",D328-N(K328))</f>
        <v/>
      </c>
      <c r="M328" s="35" t="str">
        <f aca="true">IF(D328="","",IF(L328&lt;=0.004,"bezahlt",IF(TODAY()&gt;F328,"ÜBERFÄLLIG",IF(AND(I328&lt;&gt;"",TODAY()&lt;=I328),"Skonto nutzen bis "&amp;TEXT(I328,"DD.MM."),"fällig in "&amp;(F328-TODAY())&amp;" Tagen"))))</f>
        <v/>
      </c>
    </row>
    <row r="329" customFormat="false" ht="15" hidden="false" customHeight="false" outlineLevel="0" collapsed="false">
      <c r="A329" s="32"/>
      <c r="B329" s="32"/>
      <c r="C329" s="33"/>
      <c r="D329" s="30"/>
      <c r="E329" s="32"/>
      <c r="F329" s="44" t="str">
        <f aca="false">IF(C329="","",C329+IF(E329="",30,E329))</f>
        <v/>
      </c>
      <c r="G329" s="45"/>
      <c r="H329" s="32"/>
      <c r="I329" s="44" t="str">
        <f aca="false">IF(OR(C329="",G329=""),"",C329+H329)</f>
        <v/>
      </c>
      <c r="J329" s="33"/>
      <c r="K329" s="30"/>
      <c r="L329" s="31" t="str">
        <f aca="false">IF(D329="","",D329-N(K329))</f>
        <v/>
      </c>
      <c r="M329" s="35" t="str">
        <f aca="true">IF(D329="","",IF(L329&lt;=0.004,"bezahlt",IF(TODAY()&gt;F329,"ÜBERFÄLLIG",IF(AND(I329&lt;&gt;"",TODAY()&lt;=I329),"Skonto nutzen bis "&amp;TEXT(I329,"DD.MM."),"fällig in "&amp;(F329-TODAY())&amp;" Tagen"))))</f>
        <v/>
      </c>
    </row>
    <row r="330" customFormat="false" ht="15" hidden="false" customHeight="false" outlineLevel="0" collapsed="false">
      <c r="A330" s="32"/>
      <c r="B330" s="32"/>
      <c r="C330" s="33"/>
      <c r="D330" s="30"/>
      <c r="E330" s="32"/>
      <c r="F330" s="44" t="str">
        <f aca="false">IF(C330="","",C330+IF(E330="",30,E330))</f>
        <v/>
      </c>
      <c r="G330" s="45"/>
      <c r="H330" s="32"/>
      <c r="I330" s="44" t="str">
        <f aca="false">IF(OR(C330="",G330=""),"",C330+H330)</f>
        <v/>
      </c>
      <c r="J330" s="33"/>
      <c r="K330" s="30"/>
      <c r="L330" s="31" t="str">
        <f aca="false">IF(D330="","",D330-N(K330))</f>
        <v/>
      </c>
      <c r="M330" s="35" t="str">
        <f aca="true">IF(D330="","",IF(L330&lt;=0.004,"bezahlt",IF(TODAY()&gt;F330,"ÜBERFÄLLIG",IF(AND(I330&lt;&gt;"",TODAY()&lt;=I330),"Skonto nutzen bis "&amp;TEXT(I330,"DD.MM."),"fällig in "&amp;(F330-TODAY())&amp;" Tagen"))))</f>
        <v/>
      </c>
    </row>
    <row r="331" customFormat="false" ht="15" hidden="false" customHeight="false" outlineLevel="0" collapsed="false">
      <c r="A331" s="32"/>
      <c r="B331" s="32"/>
      <c r="C331" s="33"/>
      <c r="D331" s="30"/>
      <c r="E331" s="32"/>
      <c r="F331" s="44" t="str">
        <f aca="false">IF(C331="","",C331+IF(E331="",30,E331))</f>
        <v/>
      </c>
      <c r="G331" s="45"/>
      <c r="H331" s="32"/>
      <c r="I331" s="44" t="str">
        <f aca="false">IF(OR(C331="",G331=""),"",C331+H331)</f>
        <v/>
      </c>
      <c r="J331" s="33"/>
      <c r="K331" s="30"/>
      <c r="L331" s="31" t="str">
        <f aca="false">IF(D331="","",D331-N(K331))</f>
        <v/>
      </c>
      <c r="M331" s="35" t="str">
        <f aca="true">IF(D331="","",IF(L331&lt;=0.004,"bezahlt",IF(TODAY()&gt;F331,"ÜBERFÄLLIG",IF(AND(I331&lt;&gt;"",TODAY()&lt;=I331),"Skonto nutzen bis "&amp;TEXT(I331,"DD.MM."),"fällig in "&amp;(F331-TODAY())&amp;" Tagen"))))</f>
        <v/>
      </c>
    </row>
    <row r="332" customFormat="false" ht="15" hidden="false" customHeight="false" outlineLevel="0" collapsed="false">
      <c r="A332" s="32"/>
      <c r="B332" s="32"/>
      <c r="C332" s="33"/>
      <c r="D332" s="30"/>
      <c r="E332" s="32"/>
      <c r="F332" s="44" t="str">
        <f aca="false">IF(C332="","",C332+IF(E332="",30,E332))</f>
        <v/>
      </c>
      <c r="G332" s="45"/>
      <c r="H332" s="32"/>
      <c r="I332" s="44" t="str">
        <f aca="false">IF(OR(C332="",G332=""),"",C332+H332)</f>
        <v/>
      </c>
      <c r="J332" s="33"/>
      <c r="K332" s="30"/>
      <c r="L332" s="31" t="str">
        <f aca="false">IF(D332="","",D332-N(K332))</f>
        <v/>
      </c>
      <c r="M332" s="35" t="str">
        <f aca="true">IF(D332="","",IF(L332&lt;=0.004,"bezahlt",IF(TODAY()&gt;F332,"ÜBERFÄLLIG",IF(AND(I332&lt;&gt;"",TODAY()&lt;=I332),"Skonto nutzen bis "&amp;TEXT(I332,"DD.MM."),"fällig in "&amp;(F332-TODAY())&amp;" Tagen"))))</f>
        <v/>
      </c>
    </row>
    <row r="333" customFormat="false" ht="15" hidden="false" customHeight="false" outlineLevel="0" collapsed="false">
      <c r="A333" s="32"/>
      <c r="B333" s="32"/>
      <c r="C333" s="33"/>
      <c r="D333" s="30"/>
      <c r="E333" s="32"/>
      <c r="F333" s="44" t="str">
        <f aca="false">IF(C333="","",C333+IF(E333="",30,E333))</f>
        <v/>
      </c>
      <c r="G333" s="45"/>
      <c r="H333" s="32"/>
      <c r="I333" s="44" t="str">
        <f aca="false">IF(OR(C333="",G333=""),"",C333+H333)</f>
        <v/>
      </c>
      <c r="J333" s="33"/>
      <c r="K333" s="30"/>
      <c r="L333" s="31" t="str">
        <f aca="false">IF(D333="","",D333-N(K333))</f>
        <v/>
      </c>
      <c r="M333" s="35" t="str">
        <f aca="true">IF(D333="","",IF(L333&lt;=0.004,"bezahlt",IF(TODAY()&gt;F333,"ÜBERFÄLLIG",IF(AND(I333&lt;&gt;"",TODAY()&lt;=I333),"Skonto nutzen bis "&amp;TEXT(I333,"DD.MM."),"fällig in "&amp;(F333-TODAY())&amp;" Tagen"))))</f>
        <v/>
      </c>
    </row>
    <row r="334" customFormat="false" ht="15" hidden="false" customHeight="false" outlineLevel="0" collapsed="false">
      <c r="A334" s="32"/>
      <c r="B334" s="32"/>
      <c r="C334" s="33"/>
      <c r="D334" s="30"/>
      <c r="E334" s="32"/>
      <c r="F334" s="44" t="str">
        <f aca="false">IF(C334="","",C334+IF(E334="",30,E334))</f>
        <v/>
      </c>
      <c r="G334" s="45"/>
      <c r="H334" s="32"/>
      <c r="I334" s="44" t="str">
        <f aca="false">IF(OR(C334="",G334=""),"",C334+H334)</f>
        <v/>
      </c>
      <c r="J334" s="33"/>
      <c r="K334" s="30"/>
      <c r="L334" s="31" t="str">
        <f aca="false">IF(D334="","",D334-N(K334))</f>
        <v/>
      </c>
      <c r="M334" s="35" t="str">
        <f aca="true">IF(D334="","",IF(L334&lt;=0.004,"bezahlt",IF(TODAY()&gt;F334,"ÜBERFÄLLIG",IF(AND(I334&lt;&gt;"",TODAY()&lt;=I334),"Skonto nutzen bis "&amp;TEXT(I334,"DD.MM."),"fällig in "&amp;(F334-TODAY())&amp;" Tagen"))))</f>
        <v/>
      </c>
    </row>
    <row r="335" customFormat="false" ht="15" hidden="false" customHeight="false" outlineLevel="0" collapsed="false">
      <c r="A335" s="32"/>
      <c r="B335" s="32"/>
      <c r="C335" s="33"/>
      <c r="D335" s="30"/>
      <c r="E335" s="32"/>
      <c r="F335" s="44" t="str">
        <f aca="false">IF(C335="","",C335+IF(E335="",30,E335))</f>
        <v/>
      </c>
      <c r="G335" s="45"/>
      <c r="H335" s="32"/>
      <c r="I335" s="44" t="str">
        <f aca="false">IF(OR(C335="",G335=""),"",C335+H335)</f>
        <v/>
      </c>
      <c r="J335" s="33"/>
      <c r="K335" s="30"/>
      <c r="L335" s="31" t="str">
        <f aca="false">IF(D335="","",D335-N(K335))</f>
        <v/>
      </c>
      <c r="M335" s="35" t="str">
        <f aca="true">IF(D335="","",IF(L335&lt;=0.004,"bezahlt",IF(TODAY()&gt;F335,"ÜBERFÄLLIG",IF(AND(I335&lt;&gt;"",TODAY()&lt;=I335),"Skonto nutzen bis "&amp;TEXT(I335,"DD.MM."),"fällig in "&amp;(F335-TODAY())&amp;" Tagen"))))</f>
        <v/>
      </c>
    </row>
    <row r="336" customFormat="false" ht="15" hidden="false" customHeight="false" outlineLevel="0" collapsed="false">
      <c r="A336" s="32"/>
      <c r="B336" s="32"/>
      <c r="C336" s="33"/>
      <c r="D336" s="30"/>
      <c r="E336" s="32"/>
      <c r="F336" s="44" t="str">
        <f aca="false">IF(C336="","",C336+IF(E336="",30,E336))</f>
        <v/>
      </c>
      <c r="G336" s="45"/>
      <c r="H336" s="32"/>
      <c r="I336" s="44" t="str">
        <f aca="false">IF(OR(C336="",G336=""),"",C336+H336)</f>
        <v/>
      </c>
      <c r="J336" s="33"/>
      <c r="K336" s="30"/>
      <c r="L336" s="31" t="str">
        <f aca="false">IF(D336="","",D336-N(K336))</f>
        <v/>
      </c>
      <c r="M336" s="35" t="str">
        <f aca="true">IF(D336="","",IF(L336&lt;=0.004,"bezahlt",IF(TODAY()&gt;F336,"ÜBERFÄLLIG",IF(AND(I336&lt;&gt;"",TODAY()&lt;=I336),"Skonto nutzen bis "&amp;TEXT(I336,"DD.MM."),"fällig in "&amp;(F336-TODAY())&amp;" Tagen"))))</f>
        <v/>
      </c>
    </row>
    <row r="337" customFormat="false" ht="15" hidden="false" customHeight="false" outlineLevel="0" collapsed="false">
      <c r="A337" s="32"/>
      <c r="B337" s="32"/>
      <c r="C337" s="33"/>
      <c r="D337" s="30"/>
      <c r="E337" s="32"/>
      <c r="F337" s="44" t="str">
        <f aca="false">IF(C337="","",C337+IF(E337="",30,E337))</f>
        <v/>
      </c>
      <c r="G337" s="45"/>
      <c r="H337" s="32"/>
      <c r="I337" s="44" t="str">
        <f aca="false">IF(OR(C337="",G337=""),"",C337+H337)</f>
        <v/>
      </c>
      <c r="J337" s="33"/>
      <c r="K337" s="30"/>
      <c r="L337" s="31" t="str">
        <f aca="false">IF(D337="","",D337-N(K337))</f>
        <v/>
      </c>
      <c r="M337" s="35" t="str">
        <f aca="true">IF(D337="","",IF(L337&lt;=0.004,"bezahlt",IF(TODAY()&gt;F337,"ÜBERFÄLLIG",IF(AND(I337&lt;&gt;"",TODAY()&lt;=I337),"Skonto nutzen bis "&amp;TEXT(I337,"DD.MM."),"fällig in "&amp;(F337-TODAY())&amp;" Tagen"))))</f>
        <v/>
      </c>
    </row>
    <row r="338" customFormat="false" ht="15" hidden="false" customHeight="false" outlineLevel="0" collapsed="false">
      <c r="A338" s="32"/>
      <c r="B338" s="32"/>
      <c r="C338" s="33"/>
      <c r="D338" s="30"/>
      <c r="E338" s="32"/>
      <c r="F338" s="44" t="str">
        <f aca="false">IF(C338="","",C338+IF(E338="",30,E338))</f>
        <v/>
      </c>
      <c r="G338" s="45"/>
      <c r="H338" s="32"/>
      <c r="I338" s="44" t="str">
        <f aca="false">IF(OR(C338="",G338=""),"",C338+H338)</f>
        <v/>
      </c>
      <c r="J338" s="33"/>
      <c r="K338" s="30"/>
      <c r="L338" s="31" t="str">
        <f aca="false">IF(D338="","",D338-N(K338))</f>
        <v/>
      </c>
      <c r="M338" s="35" t="str">
        <f aca="true">IF(D338="","",IF(L338&lt;=0.004,"bezahlt",IF(TODAY()&gt;F338,"ÜBERFÄLLIG",IF(AND(I338&lt;&gt;"",TODAY()&lt;=I338),"Skonto nutzen bis "&amp;TEXT(I338,"DD.MM."),"fällig in "&amp;(F338-TODAY())&amp;" Tagen"))))</f>
        <v/>
      </c>
    </row>
    <row r="339" customFormat="false" ht="15" hidden="false" customHeight="false" outlineLevel="0" collapsed="false">
      <c r="A339" s="32"/>
      <c r="B339" s="32"/>
      <c r="C339" s="33"/>
      <c r="D339" s="30"/>
      <c r="E339" s="32"/>
      <c r="F339" s="44" t="str">
        <f aca="false">IF(C339="","",C339+IF(E339="",30,E339))</f>
        <v/>
      </c>
      <c r="G339" s="45"/>
      <c r="H339" s="32"/>
      <c r="I339" s="44" t="str">
        <f aca="false">IF(OR(C339="",G339=""),"",C339+H339)</f>
        <v/>
      </c>
      <c r="J339" s="33"/>
      <c r="K339" s="30"/>
      <c r="L339" s="31" t="str">
        <f aca="false">IF(D339="","",D339-N(K339))</f>
        <v/>
      </c>
      <c r="M339" s="35" t="str">
        <f aca="true">IF(D339="","",IF(L339&lt;=0.004,"bezahlt",IF(TODAY()&gt;F339,"ÜBERFÄLLIG",IF(AND(I339&lt;&gt;"",TODAY()&lt;=I339),"Skonto nutzen bis "&amp;TEXT(I339,"DD.MM."),"fällig in "&amp;(F339-TODAY())&amp;" Tagen"))))</f>
        <v/>
      </c>
    </row>
    <row r="340" customFormat="false" ht="15" hidden="false" customHeight="false" outlineLevel="0" collapsed="false">
      <c r="A340" s="32"/>
      <c r="B340" s="32"/>
      <c r="C340" s="33"/>
      <c r="D340" s="30"/>
      <c r="E340" s="32"/>
      <c r="F340" s="44" t="str">
        <f aca="false">IF(C340="","",C340+IF(E340="",30,E340))</f>
        <v/>
      </c>
      <c r="G340" s="45"/>
      <c r="H340" s="32"/>
      <c r="I340" s="44" t="str">
        <f aca="false">IF(OR(C340="",G340=""),"",C340+H340)</f>
        <v/>
      </c>
      <c r="J340" s="33"/>
      <c r="K340" s="30"/>
      <c r="L340" s="31" t="str">
        <f aca="false">IF(D340="","",D340-N(K340))</f>
        <v/>
      </c>
      <c r="M340" s="35" t="str">
        <f aca="true">IF(D340="","",IF(L340&lt;=0.004,"bezahlt",IF(TODAY()&gt;F340,"ÜBERFÄLLIG",IF(AND(I340&lt;&gt;"",TODAY()&lt;=I340),"Skonto nutzen bis "&amp;TEXT(I340,"DD.MM."),"fällig in "&amp;(F340-TODAY())&amp;" Tagen"))))</f>
        <v/>
      </c>
    </row>
    <row r="341" customFormat="false" ht="15" hidden="false" customHeight="false" outlineLevel="0" collapsed="false">
      <c r="A341" s="32"/>
      <c r="B341" s="32"/>
      <c r="C341" s="33"/>
      <c r="D341" s="30"/>
      <c r="E341" s="32"/>
      <c r="F341" s="44" t="str">
        <f aca="false">IF(C341="","",C341+IF(E341="",30,E341))</f>
        <v/>
      </c>
      <c r="G341" s="45"/>
      <c r="H341" s="32"/>
      <c r="I341" s="44" t="str">
        <f aca="false">IF(OR(C341="",G341=""),"",C341+H341)</f>
        <v/>
      </c>
      <c r="J341" s="33"/>
      <c r="K341" s="30"/>
      <c r="L341" s="31" t="str">
        <f aca="false">IF(D341="","",D341-N(K341))</f>
        <v/>
      </c>
      <c r="M341" s="35" t="str">
        <f aca="true">IF(D341="","",IF(L341&lt;=0.004,"bezahlt",IF(TODAY()&gt;F341,"ÜBERFÄLLIG",IF(AND(I341&lt;&gt;"",TODAY()&lt;=I341),"Skonto nutzen bis "&amp;TEXT(I341,"DD.MM."),"fällig in "&amp;(F341-TODAY())&amp;" Tagen"))))</f>
        <v/>
      </c>
    </row>
    <row r="342" customFormat="false" ht="15" hidden="false" customHeight="false" outlineLevel="0" collapsed="false">
      <c r="A342" s="32"/>
      <c r="B342" s="32"/>
      <c r="C342" s="33"/>
      <c r="D342" s="30"/>
      <c r="E342" s="32"/>
      <c r="F342" s="44" t="str">
        <f aca="false">IF(C342="","",C342+IF(E342="",30,E342))</f>
        <v/>
      </c>
      <c r="G342" s="45"/>
      <c r="H342" s="32"/>
      <c r="I342" s="44" t="str">
        <f aca="false">IF(OR(C342="",G342=""),"",C342+H342)</f>
        <v/>
      </c>
      <c r="J342" s="33"/>
      <c r="K342" s="30"/>
      <c r="L342" s="31" t="str">
        <f aca="false">IF(D342="","",D342-N(K342))</f>
        <v/>
      </c>
      <c r="M342" s="35" t="str">
        <f aca="true">IF(D342="","",IF(L342&lt;=0.004,"bezahlt",IF(TODAY()&gt;F342,"ÜBERFÄLLIG",IF(AND(I342&lt;&gt;"",TODAY()&lt;=I342),"Skonto nutzen bis "&amp;TEXT(I342,"DD.MM."),"fällig in "&amp;(F342-TODAY())&amp;" Tagen"))))</f>
        <v/>
      </c>
    </row>
    <row r="343" customFormat="false" ht="15" hidden="false" customHeight="false" outlineLevel="0" collapsed="false">
      <c r="A343" s="32"/>
      <c r="B343" s="32"/>
      <c r="C343" s="33"/>
      <c r="D343" s="30"/>
      <c r="E343" s="32"/>
      <c r="F343" s="44" t="str">
        <f aca="false">IF(C343="","",C343+IF(E343="",30,E343))</f>
        <v/>
      </c>
      <c r="G343" s="45"/>
      <c r="H343" s="32"/>
      <c r="I343" s="44" t="str">
        <f aca="false">IF(OR(C343="",G343=""),"",C343+H343)</f>
        <v/>
      </c>
      <c r="J343" s="33"/>
      <c r="K343" s="30"/>
      <c r="L343" s="31" t="str">
        <f aca="false">IF(D343="","",D343-N(K343))</f>
        <v/>
      </c>
      <c r="M343" s="35" t="str">
        <f aca="true">IF(D343="","",IF(L343&lt;=0.004,"bezahlt",IF(TODAY()&gt;F343,"ÜBERFÄLLIG",IF(AND(I343&lt;&gt;"",TODAY()&lt;=I343),"Skonto nutzen bis "&amp;TEXT(I343,"DD.MM."),"fällig in "&amp;(F343-TODAY())&amp;" Tagen"))))</f>
        <v/>
      </c>
    </row>
    <row r="344" customFormat="false" ht="15" hidden="false" customHeight="false" outlineLevel="0" collapsed="false">
      <c r="A344" s="32"/>
      <c r="B344" s="32"/>
      <c r="C344" s="33"/>
      <c r="D344" s="30"/>
      <c r="E344" s="32"/>
      <c r="F344" s="44" t="str">
        <f aca="false">IF(C344="","",C344+IF(E344="",30,E344))</f>
        <v/>
      </c>
      <c r="G344" s="45"/>
      <c r="H344" s="32"/>
      <c r="I344" s="44" t="str">
        <f aca="false">IF(OR(C344="",G344=""),"",C344+H344)</f>
        <v/>
      </c>
      <c r="J344" s="33"/>
      <c r="K344" s="30"/>
      <c r="L344" s="31" t="str">
        <f aca="false">IF(D344="","",D344-N(K344))</f>
        <v/>
      </c>
      <c r="M344" s="35" t="str">
        <f aca="true">IF(D344="","",IF(L344&lt;=0.004,"bezahlt",IF(TODAY()&gt;F344,"ÜBERFÄLLIG",IF(AND(I344&lt;&gt;"",TODAY()&lt;=I344),"Skonto nutzen bis "&amp;TEXT(I344,"DD.MM."),"fällig in "&amp;(F344-TODAY())&amp;" Tagen"))))</f>
        <v/>
      </c>
    </row>
    <row r="345" customFormat="false" ht="15" hidden="false" customHeight="false" outlineLevel="0" collapsed="false">
      <c r="A345" s="32"/>
      <c r="B345" s="32"/>
      <c r="C345" s="33"/>
      <c r="D345" s="30"/>
      <c r="E345" s="32"/>
      <c r="F345" s="44" t="str">
        <f aca="false">IF(C345="","",C345+IF(E345="",30,E345))</f>
        <v/>
      </c>
      <c r="G345" s="45"/>
      <c r="H345" s="32"/>
      <c r="I345" s="44" t="str">
        <f aca="false">IF(OR(C345="",G345=""),"",C345+H345)</f>
        <v/>
      </c>
      <c r="J345" s="33"/>
      <c r="K345" s="30"/>
      <c r="L345" s="31" t="str">
        <f aca="false">IF(D345="","",D345-N(K345))</f>
        <v/>
      </c>
      <c r="M345" s="35" t="str">
        <f aca="true">IF(D345="","",IF(L345&lt;=0.004,"bezahlt",IF(TODAY()&gt;F345,"ÜBERFÄLLIG",IF(AND(I345&lt;&gt;"",TODAY()&lt;=I345),"Skonto nutzen bis "&amp;TEXT(I345,"DD.MM."),"fällig in "&amp;(F345-TODAY())&amp;" Tagen"))))</f>
        <v/>
      </c>
    </row>
    <row r="346" customFormat="false" ht="15" hidden="false" customHeight="false" outlineLevel="0" collapsed="false">
      <c r="A346" s="32"/>
      <c r="B346" s="32"/>
      <c r="C346" s="33"/>
      <c r="D346" s="30"/>
      <c r="E346" s="32"/>
      <c r="F346" s="44" t="str">
        <f aca="false">IF(C346="","",C346+IF(E346="",30,E346))</f>
        <v/>
      </c>
      <c r="G346" s="45"/>
      <c r="H346" s="32"/>
      <c r="I346" s="44" t="str">
        <f aca="false">IF(OR(C346="",G346=""),"",C346+H346)</f>
        <v/>
      </c>
      <c r="J346" s="33"/>
      <c r="K346" s="30"/>
      <c r="L346" s="31" t="str">
        <f aca="false">IF(D346="","",D346-N(K346))</f>
        <v/>
      </c>
      <c r="M346" s="35" t="str">
        <f aca="true">IF(D346="","",IF(L346&lt;=0.004,"bezahlt",IF(TODAY()&gt;F346,"ÜBERFÄLLIG",IF(AND(I346&lt;&gt;"",TODAY()&lt;=I346),"Skonto nutzen bis "&amp;TEXT(I346,"DD.MM."),"fällig in "&amp;(F346-TODAY())&amp;" Tagen"))))</f>
        <v/>
      </c>
    </row>
    <row r="347" customFormat="false" ht="15" hidden="false" customHeight="false" outlineLevel="0" collapsed="false">
      <c r="A347" s="32"/>
      <c r="B347" s="32"/>
      <c r="C347" s="33"/>
      <c r="D347" s="30"/>
      <c r="E347" s="32"/>
      <c r="F347" s="44" t="str">
        <f aca="false">IF(C347="","",C347+IF(E347="",30,E347))</f>
        <v/>
      </c>
      <c r="G347" s="45"/>
      <c r="H347" s="32"/>
      <c r="I347" s="44" t="str">
        <f aca="false">IF(OR(C347="",G347=""),"",C347+H347)</f>
        <v/>
      </c>
      <c r="J347" s="33"/>
      <c r="K347" s="30"/>
      <c r="L347" s="31" t="str">
        <f aca="false">IF(D347="","",D347-N(K347))</f>
        <v/>
      </c>
      <c r="M347" s="35" t="str">
        <f aca="true">IF(D347="","",IF(L347&lt;=0.004,"bezahlt",IF(TODAY()&gt;F347,"ÜBERFÄLLIG",IF(AND(I347&lt;&gt;"",TODAY()&lt;=I347),"Skonto nutzen bis "&amp;TEXT(I347,"DD.MM."),"fällig in "&amp;(F347-TODAY())&amp;" Tagen"))))</f>
        <v/>
      </c>
    </row>
    <row r="348" customFormat="false" ht="15" hidden="false" customHeight="false" outlineLevel="0" collapsed="false">
      <c r="A348" s="32"/>
      <c r="B348" s="32"/>
      <c r="C348" s="33"/>
      <c r="D348" s="30"/>
      <c r="E348" s="32"/>
      <c r="F348" s="44" t="str">
        <f aca="false">IF(C348="","",C348+IF(E348="",30,E348))</f>
        <v/>
      </c>
      <c r="G348" s="45"/>
      <c r="H348" s="32"/>
      <c r="I348" s="44" t="str">
        <f aca="false">IF(OR(C348="",G348=""),"",C348+H348)</f>
        <v/>
      </c>
      <c r="J348" s="33"/>
      <c r="K348" s="30"/>
      <c r="L348" s="31" t="str">
        <f aca="false">IF(D348="","",D348-N(K348))</f>
        <v/>
      </c>
      <c r="M348" s="35" t="str">
        <f aca="true">IF(D348="","",IF(L348&lt;=0.004,"bezahlt",IF(TODAY()&gt;F348,"ÜBERFÄLLIG",IF(AND(I348&lt;&gt;"",TODAY()&lt;=I348),"Skonto nutzen bis "&amp;TEXT(I348,"DD.MM."),"fällig in "&amp;(F348-TODAY())&amp;" Tagen"))))</f>
        <v/>
      </c>
    </row>
    <row r="349" customFormat="false" ht="15" hidden="false" customHeight="false" outlineLevel="0" collapsed="false">
      <c r="A349" s="32"/>
      <c r="B349" s="32"/>
      <c r="C349" s="33"/>
      <c r="D349" s="30"/>
      <c r="E349" s="32"/>
      <c r="F349" s="44" t="str">
        <f aca="false">IF(C349="","",C349+IF(E349="",30,E349))</f>
        <v/>
      </c>
      <c r="G349" s="45"/>
      <c r="H349" s="32"/>
      <c r="I349" s="44" t="str">
        <f aca="false">IF(OR(C349="",G349=""),"",C349+H349)</f>
        <v/>
      </c>
      <c r="J349" s="33"/>
      <c r="K349" s="30"/>
      <c r="L349" s="31" t="str">
        <f aca="false">IF(D349="","",D349-N(K349))</f>
        <v/>
      </c>
      <c r="M349" s="35" t="str">
        <f aca="true">IF(D349="","",IF(L349&lt;=0.004,"bezahlt",IF(TODAY()&gt;F349,"ÜBERFÄLLIG",IF(AND(I349&lt;&gt;"",TODAY()&lt;=I349),"Skonto nutzen bis "&amp;TEXT(I349,"DD.MM."),"fällig in "&amp;(F349-TODAY())&amp;" Tagen"))))</f>
        <v/>
      </c>
    </row>
    <row r="350" customFormat="false" ht="15" hidden="false" customHeight="false" outlineLevel="0" collapsed="false">
      <c r="A350" s="32"/>
      <c r="B350" s="32"/>
      <c r="C350" s="33"/>
      <c r="D350" s="30"/>
      <c r="E350" s="32"/>
      <c r="F350" s="44" t="str">
        <f aca="false">IF(C350="","",C350+IF(E350="",30,E350))</f>
        <v/>
      </c>
      <c r="G350" s="45"/>
      <c r="H350" s="32"/>
      <c r="I350" s="44" t="str">
        <f aca="false">IF(OR(C350="",G350=""),"",C350+H350)</f>
        <v/>
      </c>
      <c r="J350" s="33"/>
      <c r="K350" s="30"/>
      <c r="L350" s="31" t="str">
        <f aca="false">IF(D350="","",D350-N(K350))</f>
        <v/>
      </c>
      <c r="M350" s="35" t="str">
        <f aca="true">IF(D350="","",IF(L350&lt;=0.004,"bezahlt",IF(TODAY()&gt;F350,"ÜBERFÄLLIG",IF(AND(I350&lt;&gt;"",TODAY()&lt;=I350),"Skonto nutzen bis "&amp;TEXT(I350,"DD.MM."),"fällig in "&amp;(F350-TODAY())&amp;" Tagen"))))</f>
        <v/>
      </c>
    </row>
    <row r="351" customFormat="false" ht="15" hidden="false" customHeight="false" outlineLevel="0" collapsed="false">
      <c r="A351" s="32"/>
      <c r="B351" s="32"/>
      <c r="C351" s="33"/>
      <c r="D351" s="30"/>
      <c r="E351" s="32"/>
      <c r="F351" s="44" t="str">
        <f aca="false">IF(C351="","",C351+IF(E351="",30,E351))</f>
        <v/>
      </c>
      <c r="G351" s="45"/>
      <c r="H351" s="32"/>
      <c r="I351" s="44" t="str">
        <f aca="false">IF(OR(C351="",G351=""),"",C351+H351)</f>
        <v/>
      </c>
      <c r="J351" s="33"/>
      <c r="K351" s="30"/>
      <c r="L351" s="31" t="str">
        <f aca="false">IF(D351="","",D351-N(K351))</f>
        <v/>
      </c>
      <c r="M351" s="35" t="str">
        <f aca="true">IF(D351="","",IF(L351&lt;=0.004,"bezahlt",IF(TODAY()&gt;F351,"ÜBERFÄLLIG",IF(AND(I351&lt;&gt;"",TODAY()&lt;=I351),"Skonto nutzen bis "&amp;TEXT(I351,"DD.MM."),"fällig in "&amp;(F351-TODAY())&amp;" Tagen"))))</f>
        <v/>
      </c>
    </row>
    <row r="352" customFormat="false" ht="15" hidden="false" customHeight="false" outlineLevel="0" collapsed="false">
      <c r="A352" s="32"/>
      <c r="B352" s="32"/>
      <c r="C352" s="33"/>
      <c r="D352" s="30"/>
      <c r="E352" s="32"/>
      <c r="F352" s="44" t="str">
        <f aca="false">IF(C352="","",C352+IF(E352="",30,E352))</f>
        <v/>
      </c>
      <c r="G352" s="45"/>
      <c r="H352" s="32"/>
      <c r="I352" s="44" t="str">
        <f aca="false">IF(OR(C352="",G352=""),"",C352+H352)</f>
        <v/>
      </c>
      <c r="J352" s="33"/>
      <c r="K352" s="30"/>
      <c r="L352" s="31" t="str">
        <f aca="false">IF(D352="","",D352-N(K352))</f>
        <v/>
      </c>
      <c r="M352" s="35" t="str">
        <f aca="true">IF(D352="","",IF(L352&lt;=0.004,"bezahlt",IF(TODAY()&gt;F352,"ÜBERFÄLLIG",IF(AND(I352&lt;&gt;"",TODAY()&lt;=I352),"Skonto nutzen bis "&amp;TEXT(I352,"DD.MM."),"fällig in "&amp;(F352-TODAY())&amp;" Tagen"))))</f>
        <v/>
      </c>
    </row>
    <row r="353" customFormat="false" ht="15" hidden="false" customHeight="false" outlineLevel="0" collapsed="false">
      <c r="A353" s="32"/>
      <c r="B353" s="32"/>
      <c r="C353" s="33"/>
      <c r="D353" s="30"/>
      <c r="E353" s="32"/>
      <c r="F353" s="44" t="str">
        <f aca="false">IF(C353="","",C353+IF(E353="",30,E353))</f>
        <v/>
      </c>
      <c r="G353" s="45"/>
      <c r="H353" s="32"/>
      <c r="I353" s="44" t="str">
        <f aca="false">IF(OR(C353="",G353=""),"",C353+H353)</f>
        <v/>
      </c>
      <c r="J353" s="33"/>
      <c r="K353" s="30"/>
      <c r="L353" s="31" t="str">
        <f aca="false">IF(D353="","",D353-N(K353))</f>
        <v/>
      </c>
      <c r="M353" s="35" t="str">
        <f aca="true">IF(D353="","",IF(L353&lt;=0.004,"bezahlt",IF(TODAY()&gt;F353,"ÜBERFÄLLIG",IF(AND(I353&lt;&gt;"",TODAY()&lt;=I353),"Skonto nutzen bis "&amp;TEXT(I353,"DD.MM."),"fällig in "&amp;(F353-TODAY())&amp;" Tagen"))))</f>
        <v/>
      </c>
    </row>
    <row r="354" customFormat="false" ht="15" hidden="false" customHeight="false" outlineLevel="0" collapsed="false">
      <c r="A354" s="32"/>
      <c r="B354" s="32"/>
      <c r="C354" s="33"/>
      <c r="D354" s="30"/>
      <c r="E354" s="32"/>
      <c r="F354" s="44" t="str">
        <f aca="false">IF(C354="","",C354+IF(E354="",30,E354))</f>
        <v/>
      </c>
      <c r="G354" s="45"/>
      <c r="H354" s="32"/>
      <c r="I354" s="44" t="str">
        <f aca="false">IF(OR(C354="",G354=""),"",C354+H354)</f>
        <v/>
      </c>
      <c r="J354" s="33"/>
      <c r="K354" s="30"/>
      <c r="L354" s="31" t="str">
        <f aca="false">IF(D354="","",D354-N(K354))</f>
        <v/>
      </c>
      <c r="M354" s="35" t="str">
        <f aca="true">IF(D354="","",IF(L354&lt;=0.004,"bezahlt",IF(TODAY()&gt;F354,"ÜBERFÄLLIG",IF(AND(I354&lt;&gt;"",TODAY()&lt;=I354),"Skonto nutzen bis "&amp;TEXT(I354,"DD.MM."),"fällig in "&amp;(F354-TODAY())&amp;" Tagen"))))</f>
        <v/>
      </c>
    </row>
    <row r="355" customFormat="false" ht="15" hidden="false" customHeight="false" outlineLevel="0" collapsed="false">
      <c r="A355" s="32"/>
      <c r="B355" s="32"/>
      <c r="C355" s="33"/>
      <c r="D355" s="30"/>
      <c r="E355" s="32"/>
      <c r="F355" s="44" t="str">
        <f aca="false">IF(C355="","",C355+IF(E355="",30,E355))</f>
        <v/>
      </c>
      <c r="G355" s="45"/>
      <c r="H355" s="32"/>
      <c r="I355" s="44" t="str">
        <f aca="false">IF(OR(C355="",G355=""),"",C355+H355)</f>
        <v/>
      </c>
      <c r="J355" s="33"/>
      <c r="K355" s="30"/>
      <c r="L355" s="31" t="str">
        <f aca="false">IF(D355="","",D355-N(K355))</f>
        <v/>
      </c>
      <c r="M355" s="35" t="str">
        <f aca="true">IF(D355="","",IF(L355&lt;=0.004,"bezahlt",IF(TODAY()&gt;F355,"ÜBERFÄLLIG",IF(AND(I355&lt;&gt;"",TODAY()&lt;=I355),"Skonto nutzen bis "&amp;TEXT(I355,"DD.MM."),"fällig in "&amp;(F355-TODAY())&amp;" Tagen"))))</f>
        <v/>
      </c>
    </row>
    <row r="356" customFormat="false" ht="15" hidden="false" customHeight="false" outlineLevel="0" collapsed="false">
      <c r="A356" s="32"/>
      <c r="B356" s="32"/>
      <c r="C356" s="33"/>
      <c r="D356" s="30"/>
      <c r="E356" s="32"/>
      <c r="F356" s="44" t="str">
        <f aca="false">IF(C356="","",C356+IF(E356="",30,E356))</f>
        <v/>
      </c>
      <c r="G356" s="45"/>
      <c r="H356" s="32"/>
      <c r="I356" s="44" t="str">
        <f aca="false">IF(OR(C356="",G356=""),"",C356+H356)</f>
        <v/>
      </c>
      <c r="J356" s="33"/>
      <c r="K356" s="30"/>
      <c r="L356" s="31" t="str">
        <f aca="false">IF(D356="","",D356-N(K356))</f>
        <v/>
      </c>
      <c r="M356" s="35" t="str">
        <f aca="true">IF(D356="","",IF(L356&lt;=0.004,"bezahlt",IF(TODAY()&gt;F356,"ÜBERFÄLLIG",IF(AND(I356&lt;&gt;"",TODAY()&lt;=I356),"Skonto nutzen bis "&amp;TEXT(I356,"DD.MM."),"fällig in "&amp;(F356-TODAY())&amp;" Tagen"))))</f>
        <v/>
      </c>
    </row>
    <row r="357" customFormat="false" ht="15" hidden="false" customHeight="false" outlineLevel="0" collapsed="false">
      <c r="A357" s="32"/>
      <c r="B357" s="32"/>
      <c r="C357" s="33"/>
      <c r="D357" s="30"/>
      <c r="E357" s="32"/>
      <c r="F357" s="44" t="str">
        <f aca="false">IF(C357="","",C357+IF(E357="",30,E357))</f>
        <v/>
      </c>
      <c r="G357" s="45"/>
      <c r="H357" s="32"/>
      <c r="I357" s="44" t="str">
        <f aca="false">IF(OR(C357="",G357=""),"",C357+H357)</f>
        <v/>
      </c>
      <c r="J357" s="33"/>
      <c r="K357" s="30"/>
      <c r="L357" s="31" t="str">
        <f aca="false">IF(D357="","",D357-N(K357))</f>
        <v/>
      </c>
      <c r="M357" s="35" t="str">
        <f aca="true">IF(D357="","",IF(L357&lt;=0.004,"bezahlt",IF(TODAY()&gt;F357,"ÜBERFÄLLIG",IF(AND(I357&lt;&gt;"",TODAY()&lt;=I357),"Skonto nutzen bis "&amp;TEXT(I357,"DD.MM."),"fällig in "&amp;(F357-TODAY())&amp;" Tagen"))))</f>
        <v/>
      </c>
    </row>
    <row r="358" customFormat="false" ht="15" hidden="false" customHeight="false" outlineLevel="0" collapsed="false">
      <c r="A358" s="32"/>
      <c r="B358" s="32"/>
      <c r="C358" s="33"/>
      <c r="D358" s="30"/>
      <c r="E358" s="32"/>
      <c r="F358" s="44" t="str">
        <f aca="false">IF(C358="","",C358+IF(E358="",30,E358))</f>
        <v/>
      </c>
      <c r="G358" s="45"/>
      <c r="H358" s="32"/>
      <c r="I358" s="44" t="str">
        <f aca="false">IF(OR(C358="",G358=""),"",C358+H358)</f>
        <v/>
      </c>
      <c r="J358" s="33"/>
      <c r="K358" s="30"/>
      <c r="L358" s="31" t="str">
        <f aca="false">IF(D358="","",D358-N(K358))</f>
        <v/>
      </c>
      <c r="M358" s="35" t="str">
        <f aca="true">IF(D358="","",IF(L358&lt;=0.004,"bezahlt",IF(TODAY()&gt;F358,"ÜBERFÄLLIG",IF(AND(I358&lt;&gt;"",TODAY()&lt;=I358),"Skonto nutzen bis "&amp;TEXT(I358,"DD.MM."),"fällig in "&amp;(F358-TODAY())&amp;" Tagen"))))</f>
        <v/>
      </c>
    </row>
    <row r="359" customFormat="false" ht="15" hidden="false" customHeight="false" outlineLevel="0" collapsed="false">
      <c r="A359" s="32"/>
      <c r="B359" s="32"/>
      <c r="C359" s="33"/>
      <c r="D359" s="30"/>
      <c r="E359" s="32"/>
      <c r="F359" s="44" t="str">
        <f aca="false">IF(C359="","",C359+IF(E359="",30,E359))</f>
        <v/>
      </c>
      <c r="G359" s="45"/>
      <c r="H359" s="32"/>
      <c r="I359" s="44" t="str">
        <f aca="false">IF(OR(C359="",G359=""),"",C359+H359)</f>
        <v/>
      </c>
      <c r="J359" s="33"/>
      <c r="K359" s="30"/>
      <c r="L359" s="31" t="str">
        <f aca="false">IF(D359="","",D359-N(K359))</f>
        <v/>
      </c>
      <c r="M359" s="35" t="str">
        <f aca="true">IF(D359="","",IF(L359&lt;=0.004,"bezahlt",IF(TODAY()&gt;F359,"ÜBERFÄLLIG",IF(AND(I359&lt;&gt;"",TODAY()&lt;=I359),"Skonto nutzen bis "&amp;TEXT(I359,"DD.MM."),"fällig in "&amp;(F359-TODAY())&amp;" Tagen"))))</f>
        <v/>
      </c>
    </row>
    <row r="360" customFormat="false" ht="15" hidden="false" customHeight="false" outlineLevel="0" collapsed="false">
      <c r="A360" s="32"/>
      <c r="B360" s="32"/>
      <c r="C360" s="33"/>
      <c r="D360" s="30"/>
      <c r="E360" s="32"/>
      <c r="F360" s="44" t="str">
        <f aca="false">IF(C360="","",C360+IF(E360="",30,E360))</f>
        <v/>
      </c>
      <c r="G360" s="45"/>
      <c r="H360" s="32"/>
      <c r="I360" s="44" t="str">
        <f aca="false">IF(OR(C360="",G360=""),"",C360+H360)</f>
        <v/>
      </c>
      <c r="J360" s="33"/>
      <c r="K360" s="30"/>
      <c r="L360" s="31" t="str">
        <f aca="false">IF(D360="","",D360-N(K360))</f>
        <v/>
      </c>
      <c r="M360" s="35" t="str">
        <f aca="true">IF(D360="","",IF(L360&lt;=0.004,"bezahlt",IF(TODAY()&gt;F360,"ÜBERFÄLLIG",IF(AND(I360&lt;&gt;"",TODAY()&lt;=I360),"Skonto nutzen bis "&amp;TEXT(I360,"DD.MM."),"fällig in "&amp;(F360-TODAY())&amp;" Tagen"))))</f>
        <v/>
      </c>
    </row>
    <row r="361" customFormat="false" ht="15" hidden="false" customHeight="false" outlineLevel="0" collapsed="false">
      <c r="A361" s="32"/>
      <c r="B361" s="32"/>
      <c r="C361" s="33"/>
      <c r="D361" s="30"/>
      <c r="E361" s="32"/>
      <c r="F361" s="44" t="str">
        <f aca="false">IF(C361="","",C361+IF(E361="",30,E361))</f>
        <v/>
      </c>
      <c r="G361" s="45"/>
      <c r="H361" s="32"/>
      <c r="I361" s="44" t="str">
        <f aca="false">IF(OR(C361="",G361=""),"",C361+H361)</f>
        <v/>
      </c>
      <c r="J361" s="33"/>
      <c r="K361" s="30"/>
      <c r="L361" s="31" t="str">
        <f aca="false">IF(D361="","",D361-N(K361))</f>
        <v/>
      </c>
      <c r="M361" s="35" t="str">
        <f aca="true">IF(D361="","",IF(L361&lt;=0.004,"bezahlt",IF(TODAY()&gt;F361,"ÜBERFÄLLIG",IF(AND(I361&lt;&gt;"",TODAY()&lt;=I361),"Skonto nutzen bis "&amp;TEXT(I361,"DD.MM."),"fällig in "&amp;(F361-TODAY())&amp;" Tagen"))))</f>
        <v/>
      </c>
    </row>
    <row r="362" customFormat="false" ht="15" hidden="false" customHeight="false" outlineLevel="0" collapsed="false">
      <c r="A362" s="32"/>
      <c r="B362" s="32"/>
      <c r="C362" s="33"/>
      <c r="D362" s="30"/>
      <c r="E362" s="32"/>
      <c r="F362" s="44" t="str">
        <f aca="false">IF(C362="","",C362+IF(E362="",30,E362))</f>
        <v/>
      </c>
      <c r="G362" s="45"/>
      <c r="H362" s="32"/>
      <c r="I362" s="44" t="str">
        <f aca="false">IF(OR(C362="",G362=""),"",C362+H362)</f>
        <v/>
      </c>
      <c r="J362" s="33"/>
      <c r="K362" s="30"/>
      <c r="L362" s="31" t="str">
        <f aca="false">IF(D362="","",D362-N(K362))</f>
        <v/>
      </c>
      <c r="M362" s="35" t="str">
        <f aca="true">IF(D362="","",IF(L362&lt;=0.004,"bezahlt",IF(TODAY()&gt;F362,"ÜBERFÄLLIG",IF(AND(I362&lt;&gt;"",TODAY()&lt;=I362),"Skonto nutzen bis "&amp;TEXT(I362,"DD.MM."),"fällig in "&amp;(F362-TODAY())&amp;" Tagen"))))</f>
        <v/>
      </c>
    </row>
    <row r="363" customFormat="false" ht="15" hidden="false" customHeight="false" outlineLevel="0" collapsed="false">
      <c r="A363" s="32"/>
      <c r="B363" s="32"/>
      <c r="C363" s="33"/>
      <c r="D363" s="30"/>
      <c r="E363" s="32"/>
      <c r="F363" s="44" t="str">
        <f aca="false">IF(C363="","",C363+IF(E363="",30,E363))</f>
        <v/>
      </c>
      <c r="G363" s="45"/>
      <c r="H363" s="32"/>
      <c r="I363" s="44" t="str">
        <f aca="false">IF(OR(C363="",G363=""),"",C363+H363)</f>
        <v/>
      </c>
      <c r="J363" s="33"/>
      <c r="K363" s="30"/>
      <c r="L363" s="31" t="str">
        <f aca="false">IF(D363="","",D363-N(K363))</f>
        <v/>
      </c>
      <c r="M363" s="35" t="str">
        <f aca="true">IF(D363="","",IF(L363&lt;=0.004,"bezahlt",IF(TODAY()&gt;F363,"ÜBERFÄLLIG",IF(AND(I363&lt;&gt;"",TODAY()&lt;=I363),"Skonto nutzen bis "&amp;TEXT(I363,"DD.MM."),"fällig in "&amp;(F363-TODAY())&amp;" Tagen"))))</f>
        <v/>
      </c>
    </row>
    <row r="364" customFormat="false" ht="15" hidden="false" customHeight="false" outlineLevel="0" collapsed="false">
      <c r="A364" s="32"/>
      <c r="B364" s="32"/>
      <c r="C364" s="33"/>
      <c r="D364" s="30"/>
      <c r="E364" s="32"/>
      <c r="F364" s="44" t="str">
        <f aca="false">IF(C364="","",C364+IF(E364="",30,E364))</f>
        <v/>
      </c>
      <c r="G364" s="45"/>
      <c r="H364" s="32"/>
      <c r="I364" s="44" t="str">
        <f aca="false">IF(OR(C364="",G364=""),"",C364+H364)</f>
        <v/>
      </c>
      <c r="J364" s="33"/>
      <c r="K364" s="30"/>
      <c r="L364" s="31" t="str">
        <f aca="false">IF(D364="","",D364-N(K364))</f>
        <v/>
      </c>
      <c r="M364" s="35" t="str">
        <f aca="true">IF(D364="","",IF(L364&lt;=0.004,"bezahlt",IF(TODAY()&gt;F364,"ÜBERFÄLLIG",IF(AND(I364&lt;&gt;"",TODAY()&lt;=I364),"Skonto nutzen bis "&amp;TEXT(I364,"DD.MM."),"fällig in "&amp;(F364-TODAY())&amp;" Tagen"))))</f>
        <v/>
      </c>
    </row>
    <row r="365" customFormat="false" ht="15" hidden="false" customHeight="false" outlineLevel="0" collapsed="false">
      <c r="A365" s="32"/>
      <c r="B365" s="32"/>
      <c r="C365" s="33"/>
      <c r="D365" s="30"/>
      <c r="E365" s="32"/>
      <c r="F365" s="44" t="str">
        <f aca="false">IF(C365="","",C365+IF(E365="",30,E365))</f>
        <v/>
      </c>
      <c r="G365" s="45"/>
      <c r="H365" s="32"/>
      <c r="I365" s="44" t="str">
        <f aca="false">IF(OR(C365="",G365=""),"",C365+H365)</f>
        <v/>
      </c>
      <c r="J365" s="33"/>
      <c r="K365" s="30"/>
      <c r="L365" s="31" t="str">
        <f aca="false">IF(D365="","",D365-N(K365))</f>
        <v/>
      </c>
      <c r="M365" s="35" t="str">
        <f aca="true">IF(D365="","",IF(L365&lt;=0.004,"bezahlt",IF(TODAY()&gt;F365,"ÜBERFÄLLIG",IF(AND(I365&lt;&gt;"",TODAY()&lt;=I365),"Skonto nutzen bis "&amp;TEXT(I365,"DD.MM."),"fällig in "&amp;(F365-TODAY())&amp;" Tagen"))))</f>
        <v/>
      </c>
    </row>
    <row r="366" customFormat="false" ht="15" hidden="false" customHeight="false" outlineLevel="0" collapsed="false">
      <c r="A366" s="32"/>
      <c r="B366" s="32"/>
      <c r="C366" s="33"/>
      <c r="D366" s="30"/>
      <c r="E366" s="32"/>
      <c r="F366" s="44" t="str">
        <f aca="false">IF(C366="","",C366+IF(E366="",30,E366))</f>
        <v/>
      </c>
      <c r="G366" s="45"/>
      <c r="H366" s="32"/>
      <c r="I366" s="44" t="str">
        <f aca="false">IF(OR(C366="",G366=""),"",C366+H366)</f>
        <v/>
      </c>
      <c r="J366" s="33"/>
      <c r="K366" s="30"/>
      <c r="L366" s="31" t="str">
        <f aca="false">IF(D366="","",D366-N(K366))</f>
        <v/>
      </c>
      <c r="M366" s="35" t="str">
        <f aca="true">IF(D366="","",IF(L366&lt;=0.004,"bezahlt",IF(TODAY()&gt;F366,"ÜBERFÄLLIG",IF(AND(I366&lt;&gt;"",TODAY()&lt;=I366),"Skonto nutzen bis "&amp;TEXT(I366,"DD.MM."),"fällig in "&amp;(F366-TODAY())&amp;" Tagen"))))</f>
        <v/>
      </c>
    </row>
    <row r="367" customFormat="false" ht="15" hidden="false" customHeight="false" outlineLevel="0" collapsed="false">
      <c r="A367" s="32"/>
      <c r="B367" s="32"/>
      <c r="C367" s="33"/>
      <c r="D367" s="30"/>
      <c r="E367" s="32"/>
      <c r="F367" s="44" t="str">
        <f aca="false">IF(C367="","",C367+IF(E367="",30,E367))</f>
        <v/>
      </c>
      <c r="G367" s="45"/>
      <c r="H367" s="32"/>
      <c r="I367" s="44" t="str">
        <f aca="false">IF(OR(C367="",G367=""),"",C367+H367)</f>
        <v/>
      </c>
      <c r="J367" s="33"/>
      <c r="K367" s="30"/>
      <c r="L367" s="31" t="str">
        <f aca="false">IF(D367="","",D367-N(K367))</f>
        <v/>
      </c>
      <c r="M367" s="35" t="str">
        <f aca="true">IF(D367="","",IF(L367&lt;=0.004,"bezahlt",IF(TODAY()&gt;F367,"ÜBERFÄLLIG",IF(AND(I367&lt;&gt;"",TODAY()&lt;=I367),"Skonto nutzen bis "&amp;TEXT(I367,"DD.MM."),"fällig in "&amp;(F367-TODAY())&amp;" Tagen"))))</f>
        <v/>
      </c>
    </row>
    <row r="368" customFormat="false" ht="15" hidden="false" customHeight="false" outlineLevel="0" collapsed="false">
      <c r="A368" s="32"/>
      <c r="B368" s="32"/>
      <c r="C368" s="33"/>
      <c r="D368" s="30"/>
      <c r="E368" s="32"/>
      <c r="F368" s="44" t="str">
        <f aca="false">IF(C368="","",C368+IF(E368="",30,E368))</f>
        <v/>
      </c>
      <c r="G368" s="45"/>
      <c r="H368" s="32"/>
      <c r="I368" s="44" t="str">
        <f aca="false">IF(OR(C368="",G368=""),"",C368+H368)</f>
        <v/>
      </c>
      <c r="J368" s="33"/>
      <c r="K368" s="30"/>
      <c r="L368" s="31" t="str">
        <f aca="false">IF(D368="","",D368-N(K368))</f>
        <v/>
      </c>
      <c r="M368" s="35" t="str">
        <f aca="true">IF(D368="","",IF(L368&lt;=0.004,"bezahlt",IF(TODAY()&gt;F368,"ÜBERFÄLLIG",IF(AND(I368&lt;&gt;"",TODAY()&lt;=I368),"Skonto nutzen bis "&amp;TEXT(I368,"DD.MM."),"fällig in "&amp;(F368-TODAY())&amp;" Tagen"))))</f>
        <v/>
      </c>
    </row>
    <row r="369" customFormat="false" ht="15" hidden="false" customHeight="false" outlineLevel="0" collapsed="false">
      <c r="A369" s="32"/>
      <c r="B369" s="32"/>
      <c r="C369" s="33"/>
      <c r="D369" s="30"/>
      <c r="E369" s="32"/>
      <c r="F369" s="44" t="str">
        <f aca="false">IF(C369="","",C369+IF(E369="",30,E369))</f>
        <v/>
      </c>
      <c r="G369" s="45"/>
      <c r="H369" s="32"/>
      <c r="I369" s="44" t="str">
        <f aca="false">IF(OR(C369="",G369=""),"",C369+H369)</f>
        <v/>
      </c>
      <c r="J369" s="33"/>
      <c r="K369" s="30"/>
      <c r="L369" s="31" t="str">
        <f aca="false">IF(D369="","",D369-N(K369))</f>
        <v/>
      </c>
      <c r="M369" s="35" t="str">
        <f aca="true">IF(D369="","",IF(L369&lt;=0.004,"bezahlt",IF(TODAY()&gt;F369,"ÜBERFÄLLIG",IF(AND(I369&lt;&gt;"",TODAY()&lt;=I369),"Skonto nutzen bis "&amp;TEXT(I369,"DD.MM."),"fällig in "&amp;(F369-TODAY())&amp;" Tagen"))))</f>
        <v/>
      </c>
    </row>
    <row r="370" customFormat="false" ht="15" hidden="false" customHeight="false" outlineLevel="0" collapsed="false">
      <c r="A370" s="32"/>
      <c r="B370" s="32"/>
      <c r="C370" s="33"/>
      <c r="D370" s="30"/>
      <c r="E370" s="32"/>
      <c r="F370" s="44" t="str">
        <f aca="false">IF(C370="","",C370+IF(E370="",30,E370))</f>
        <v/>
      </c>
      <c r="G370" s="45"/>
      <c r="H370" s="32"/>
      <c r="I370" s="44" t="str">
        <f aca="false">IF(OR(C370="",G370=""),"",C370+H370)</f>
        <v/>
      </c>
      <c r="J370" s="33"/>
      <c r="K370" s="30"/>
      <c r="L370" s="31" t="str">
        <f aca="false">IF(D370="","",D370-N(K370))</f>
        <v/>
      </c>
      <c r="M370" s="35" t="str">
        <f aca="true">IF(D370="","",IF(L370&lt;=0.004,"bezahlt",IF(TODAY()&gt;F370,"ÜBERFÄLLIG",IF(AND(I370&lt;&gt;"",TODAY()&lt;=I370),"Skonto nutzen bis "&amp;TEXT(I370,"DD.MM."),"fällig in "&amp;(F370-TODAY())&amp;" Tagen"))))</f>
        <v/>
      </c>
    </row>
    <row r="371" customFormat="false" ht="15" hidden="false" customHeight="false" outlineLevel="0" collapsed="false">
      <c r="A371" s="32"/>
      <c r="B371" s="32"/>
      <c r="C371" s="33"/>
      <c r="D371" s="30"/>
      <c r="E371" s="32"/>
      <c r="F371" s="44" t="str">
        <f aca="false">IF(C371="","",C371+IF(E371="",30,E371))</f>
        <v/>
      </c>
      <c r="G371" s="45"/>
      <c r="H371" s="32"/>
      <c r="I371" s="44" t="str">
        <f aca="false">IF(OR(C371="",G371=""),"",C371+H371)</f>
        <v/>
      </c>
      <c r="J371" s="33"/>
      <c r="K371" s="30"/>
      <c r="L371" s="31" t="str">
        <f aca="false">IF(D371="","",D371-N(K371))</f>
        <v/>
      </c>
      <c r="M371" s="35" t="str">
        <f aca="true">IF(D371="","",IF(L371&lt;=0.004,"bezahlt",IF(TODAY()&gt;F371,"ÜBERFÄLLIG",IF(AND(I371&lt;&gt;"",TODAY()&lt;=I371),"Skonto nutzen bis "&amp;TEXT(I371,"DD.MM."),"fällig in "&amp;(F371-TODAY())&amp;" Tagen"))))</f>
        <v/>
      </c>
    </row>
    <row r="372" customFormat="false" ht="15" hidden="false" customHeight="false" outlineLevel="0" collapsed="false">
      <c r="A372" s="32"/>
      <c r="B372" s="32"/>
      <c r="C372" s="33"/>
      <c r="D372" s="30"/>
      <c r="E372" s="32"/>
      <c r="F372" s="44" t="str">
        <f aca="false">IF(C372="","",C372+IF(E372="",30,E372))</f>
        <v/>
      </c>
      <c r="G372" s="45"/>
      <c r="H372" s="32"/>
      <c r="I372" s="44" t="str">
        <f aca="false">IF(OR(C372="",G372=""),"",C372+H372)</f>
        <v/>
      </c>
      <c r="J372" s="33"/>
      <c r="K372" s="30"/>
      <c r="L372" s="31" t="str">
        <f aca="false">IF(D372="","",D372-N(K372))</f>
        <v/>
      </c>
      <c r="M372" s="35" t="str">
        <f aca="true">IF(D372="","",IF(L372&lt;=0.004,"bezahlt",IF(TODAY()&gt;F372,"ÜBERFÄLLIG",IF(AND(I372&lt;&gt;"",TODAY()&lt;=I372),"Skonto nutzen bis "&amp;TEXT(I372,"DD.MM."),"fällig in "&amp;(F372-TODAY())&amp;" Tagen"))))</f>
        <v/>
      </c>
    </row>
    <row r="373" customFormat="false" ht="15" hidden="false" customHeight="false" outlineLevel="0" collapsed="false">
      <c r="A373" s="32"/>
      <c r="B373" s="32"/>
      <c r="C373" s="33"/>
      <c r="D373" s="30"/>
      <c r="E373" s="32"/>
      <c r="F373" s="44" t="str">
        <f aca="false">IF(C373="","",C373+IF(E373="",30,E373))</f>
        <v/>
      </c>
      <c r="G373" s="45"/>
      <c r="H373" s="32"/>
      <c r="I373" s="44" t="str">
        <f aca="false">IF(OR(C373="",G373=""),"",C373+H373)</f>
        <v/>
      </c>
      <c r="J373" s="33"/>
      <c r="K373" s="30"/>
      <c r="L373" s="31" t="str">
        <f aca="false">IF(D373="","",D373-N(K373))</f>
        <v/>
      </c>
      <c r="M373" s="35" t="str">
        <f aca="true">IF(D373="","",IF(L373&lt;=0.004,"bezahlt",IF(TODAY()&gt;F373,"ÜBERFÄLLIG",IF(AND(I373&lt;&gt;"",TODAY()&lt;=I373),"Skonto nutzen bis "&amp;TEXT(I373,"DD.MM."),"fällig in "&amp;(F373-TODAY())&amp;" Tagen"))))</f>
        <v/>
      </c>
    </row>
    <row r="374" customFormat="false" ht="15" hidden="false" customHeight="false" outlineLevel="0" collapsed="false">
      <c r="A374" s="32"/>
      <c r="B374" s="32"/>
      <c r="C374" s="33"/>
      <c r="D374" s="30"/>
      <c r="E374" s="32"/>
      <c r="F374" s="44" t="str">
        <f aca="false">IF(C374="","",C374+IF(E374="",30,E374))</f>
        <v/>
      </c>
      <c r="G374" s="45"/>
      <c r="H374" s="32"/>
      <c r="I374" s="44" t="str">
        <f aca="false">IF(OR(C374="",G374=""),"",C374+H374)</f>
        <v/>
      </c>
      <c r="J374" s="33"/>
      <c r="K374" s="30"/>
      <c r="L374" s="31" t="str">
        <f aca="false">IF(D374="","",D374-N(K374))</f>
        <v/>
      </c>
      <c r="M374" s="35" t="str">
        <f aca="true">IF(D374="","",IF(L374&lt;=0.004,"bezahlt",IF(TODAY()&gt;F374,"ÜBERFÄLLIG",IF(AND(I374&lt;&gt;"",TODAY()&lt;=I374),"Skonto nutzen bis "&amp;TEXT(I374,"DD.MM."),"fällig in "&amp;(F374-TODAY())&amp;" Tagen"))))</f>
        <v/>
      </c>
    </row>
    <row r="375" customFormat="false" ht="15" hidden="false" customHeight="false" outlineLevel="0" collapsed="false">
      <c r="A375" s="32"/>
      <c r="B375" s="32"/>
      <c r="C375" s="33"/>
      <c r="D375" s="30"/>
      <c r="E375" s="32"/>
      <c r="F375" s="44" t="str">
        <f aca="false">IF(C375="","",C375+IF(E375="",30,E375))</f>
        <v/>
      </c>
      <c r="G375" s="45"/>
      <c r="H375" s="32"/>
      <c r="I375" s="44" t="str">
        <f aca="false">IF(OR(C375="",G375=""),"",C375+H375)</f>
        <v/>
      </c>
      <c r="J375" s="33"/>
      <c r="K375" s="30"/>
      <c r="L375" s="31" t="str">
        <f aca="false">IF(D375="","",D375-N(K375))</f>
        <v/>
      </c>
      <c r="M375" s="35" t="str">
        <f aca="true">IF(D375="","",IF(L375&lt;=0.004,"bezahlt",IF(TODAY()&gt;F375,"ÜBERFÄLLIG",IF(AND(I375&lt;&gt;"",TODAY()&lt;=I375),"Skonto nutzen bis "&amp;TEXT(I375,"DD.MM."),"fällig in "&amp;(F375-TODAY())&amp;" Tagen"))))</f>
        <v/>
      </c>
    </row>
    <row r="376" customFormat="false" ht="15" hidden="false" customHeight="false" outlineLevel="0" collapsed="false">
      <c r="A376" s="32"/>
      <c r="B376" s="32"/>
      <c r="C376" s="33"/>
      <c r="D376" s="30"/>
      <c r="E376" s="32"/>
      <c r="F376" s="44" t="str">
        <f aca="false">IF(C376="","",C376+IF(E376="",30,E376))</f>
        <v/>
      </c>
      <c r="G376" s="45"/>
      <c r="H376" s="32"/>
      <c r="I376" s="44" t="str">
        <f aca="false">IF(OR(C376="",G376=""),"",C376+H376)</f>
        <v/>
      </c>
      <c r="J376" s="33"/>
      <c r="K376" s="30"/>
      <c r="L376" s="31" t="str">
        <f aca="false">IF(D376="","",D376-N(K376))</f>
        <v/>
      </c>
      <c r="M376" s="35" t="str">
        <f aca="true">IF(D376="","",IF(L376&lt;=0.004,"bezahlt",IF(TODAY()&gt;F376,"ÜBERFÄLLIG",IF(AND(I376&lt;&gt;"",TODAY()&lt;=I376),"Skonto nutzen bis "&amp;TEXT(I376,"DD.MM."),"fällig in "&amp;(F376-TODAY())&amp;" Tagen"))))</f>
        <v/>
      </c>
    </row>
    <row r="377" customFormat="false" ht="15" hidden="false" customHeight="false" outlineLevel="0" collapsed="false">
      <c r="A377" s="32"/>
      <c r="B377" s="32"/>
      <c r="C377" s="33"/>
      <c r="D377" s="30"/>
      <c r="E377" s="32"/>
      <c r="F377" s="44" t="str">
        <f aca="false">IF(C377="","",C377+IF(E377="",30,E377))</f>
        <v/>
      </c>
      <c r="G377" s="45"/>
      <c r="H377" s="32"/>
      <c r="I377" s="44" t="str">
        <f aca="false">IF(OR(C377="",G377=""),"",C377+H377)</f>
        <v/>
      </c>
      <c r="J377" s="33"/>
      <c r="K377" s="30"/>
      <c r="L377" s="31" t="str">
        <f aca="false">IF(D377="","",D377-N(K377))</f>
        <v/>
      </c>
      <c r="M377" s="35" t="str">
        <f aca="true">IF(D377="","",IF(L377&lt;=0.004,"bezahlt",IF(TODAY()&gt;F377,"ÜBERFÄLLIG",IF(AND(I377&lt;&gt;"",TODAY()&lt;=I377),"Skonto nutzen bis "&amp;TEXT(I377,"DD.MM."),"fällig in "&amp;(F377-TODAY())&amp;" Tagen"))))</f>
        <v/>
      </c>
    </row>
    <row r="378" customFormat="false" ht="15" hidden="false" customHeight="false" outlineLevel="0" collapsed="false">
      <c r="A378" s="32"/>
      <c r="B378" s="32"/>
      <c r="C378" s="33"/>
      <c r="D378" s="30"/>
      <c r="E378" s="32"/>
      <c r="F378" s="44" t="str">
        <f aca="false">IF(C378="","",C378+IF(E378="",30,E378))</f>
        <v/>
      </c>
      <c r="G378" s="45"/>
      <c r="H378" s="32"/>
      <c r="I378" s="44" t="str">
        <f aca="false">IF(OR(C378="",G378=""),"",C378+H378)</f>
        <v/>
      </c>
      <c r="J378" s="33"/>
      <c r="K378" s="30"/>
      <c r="L378" s="31" t="str">
        <f aca="false">IF(D378="","",D378-N(K378))</f>
        <v/>
      </c>
      <c r="M378" s="35" t="str">
        <f aca="true">IF(D378="","",IF(L378&lt;=0.004,"bezahlt",IF(TODAY()&gt;F378,"ÜBERFÄLLIG",IF(AND(I378&lt;&gt;"",TODAY()&lt;=I378),"Skonto nutzen bis "&amp;TEXT(I378,"DD.MM."),"fällig in "&amp;(F378-TODAY())&amp;" Tagen"))))</f>
        <v/>
      </c>
    </row>
    <row r="379" customFormat="false" ht="15" hidden="false" customHeight="false" outlineLevel="0" collapsed="false">
      <c r="A379" s="32"/>
      <c r="B379" s="32"/>
      <c r="C379" s="33"/>
      <c r="D379" s="30"/>
      <c r="E379" s="32"/>
      <c r="F379" s="44" t="str">
        <f aca="false">IF(C379="","",C379+IF(E379="",30,E379))</f>
        <v/>
      </c>
      <c r="G379" s="45"/>
      <c r="H379" s="32"/>
      <c r="I379" s="44" t="str">
        <f aca="false">IF(OR(C379="",G379=""),"",C379+H379)</f>
        <v/>
      </c>
      <c r="J379" s="33"/>
      <c r="K379" s="30"/>
      <c r="L379" s="31" t="str">
        <f aca="false">IF(D379="","",D379-N(K379))</f>
        <v/>
      </c>
      <c r="M379" s="35" t="str">
        <f aca="true">IF(D379="","",IF(L379&lt;=0.004,"bezahlt",IF(TODAY()&gt;F379,"ÜBERFÄLLIG",IF(AND(I379&lt;&gt;"",TODAY()&lt;=I379),"Skonto nutzen bis "&amp;TEXT(I379,"DD.MM."),"fällig in "&amp;(F379-TODAY())&amp;" Tagen"))))</f>
        <v/>
      </c>
    </row>
    <row r="380" customFormat="false" ht="15" hidden="false" customHeight="false" outlineLevel="0" collapsed="false">
      <c r="A380" s="32"/>
      <c r="B380" s="32"/>
      <c r="C380" s="33"/>
      <c r="D380" s="30"/>
      <c r="E380" s="32"/>
      <c r="F380" s="44" t="str">
        <f aca="false">IF(C380="","",C380+IF(E380="",30,E380))</f>
        <v/>
      </c>
      <c r="G380" s="45"/>
      <c r="H380" s="32"/>
      <c r="I380" s="44" t="str">
        <f aca="false">IF(OR(C380="",G380=""),"",C380+H380)</f>
        <v/>
      </c>
      <c r="J380" s="33"/>
      <c r="K380" s="30"/>
      <c r="L380" s="31" t="str">
        <f aca="false">IF(D380="","",D380-N(K380))</f>
        <v/>
      </c>
      <c r="M380" s="35" t="str">
        <f aca="true">IF(D380="","",IF(L380&lt;=0.004,"bezahlt",IF(TODAY()&gt;F380,"ÜBERFÄLLIG",IF(AND(I380&lt;&gt;"",TODAY()&lt;=I380),"Skonto nutzen bis "&amp;TEXT(I380,"DD.MM."),"fällig in "&amp;(F380-TODAY())&amp;" Tagen"))))</f>
        <v/>
      </c>
    </row>
    <row r="381" customFormat="false" ht="15" hidden="false" customHeight="false" outlineLevel="0" collapsed="false">
      <c r="A381" s="32"/>
      <c r="B381" s="32"/>
      <c r="C381" s="33"/>
      <c r="D381" s="30"/>
      <c r="E381" s="32"/>
      <c r="F381" s="44" t="str">
        <f aca="false">IF(C381="","",C381+IF(E381="",30,E381))</f>
        <v/>
      </c>
      <c r="G381" s="45"/>
      <c r="H381" s="32"/>
      <c r="I381" s="44" t="str">
        <f aca="false">IF(OR(C381="",G381=""),"",C381+H381)</f>
        <v/>
      </c>
      <c r="J381" s="33"/>
      <c r="K381" s="30"/>
      <c r="L381" s="31" t="str">
        <f aca="false">IF(D381="","",D381-N(K381))</f>
        <v/>
      </c>
      <c r="M381" s="35" t="str">
        <f aca="true">IF(D381="","",IF(L381&lt;=0.004,"bezahlt",IF(TODAY()&gt;F381,"ÜBERFÄLLIG",IF(AND(I381&lt;&gt;"",TODAY()&lt;=I381),"Skonto nutzen bis "&amp;TEXT(I381,"DD.MM."),"fällig in "&amp;(F381-TODAY())&amp;" Tagen"))))</f>
        <v/>
      </c>
    </row>
    <row r="382" customFormat="false" ht="15" hidden="false" customHeight="false" outlineLevel="0" collapsed="false">
      <c r="A382" s="32"/>
      <c r="B382" s="32"/>
      <c r="C382" s="33"/>
      <c r="D382" s="30"/>
      <c r="E382" s="32"/>
      <c r="F382" s="44" t="str">
        <f aca="false">IF(C382="","",C382+IF(E382="",30,E382))</f>
        <v/>
      </c>
      <c r="G382" s="45"/>
      <c r="H382" s="32"/>
      <c r="I382" s="44" t="str">
        <f aca="false">IF(OR(C382="",G382=""),"",C382+H382)</f>
        <v/>
      </c>
      <c r="J382" s="33"/>
      <c r="K382" s="30"/>
      <c r="L382" s="31" t="str">
        <f aca="false">IF(D382="","",D382-N(K382))</f>
        <v/>
      </c>
      <c r="M382" s="35" t="str">
        <f aca="true">IF(D382="","",IF(L382&lt;=0.004,"bezahlt",IF(TODAY()&gt;F382,"ÜBERFÄLLIG",IF(AND(I382&lt;&gt;"",TODAY()&lt;=I382),"Skonto nutzen bis "&amp;TEXT(I382,"DD.MM."),"fällig in "&amp;(F382-TODAY())&amp;" Tagen"))))</f>
        <v/>
      </c>
    </row>
    <row r="383" customFormat="false" ht="15" hidden="false" customHeight="false" outlineLevel="0" collapsed="false">
      <c r="A383" s="32"/>
      <c r="B383" s="32"/>
      <c r="C383" s="33"/>
      <c r="D383" s="30"/>
      <c r="E383" s="32"/>
      <c r="F383" s="44" t="str">
        <f aca="false">IF(C383="","",C383+IF(E383="",30,E383))</f>
        <v/>
      </c>
      <c r="G383" s="45"/>
      <c r="H383" s="32"/>
      <c r="I383" s="44" t="str">
        <f aca="false">IF(OR(C383="",G383=""),"",C383+H383)</f>
        <v/>
      </c>
      <c r="J383" s="33"/>
      <c r="K383" s="30"/>
      <c r="L383" s="31" t="str">
        <f aca="false">IF(D383="","",D383-N(K383))</f>
        <v/>
      </c>
      <c r="M383" s="35" t="str">
        <f aca="true">IF(D383="","",IF(L383&lt;=0.004,"bezahlt",IF(TODAY()&gt;F383,"ÜBERFÄLLIG",IF(AND(I383&lt;&gt;"",TODAY()&lt;=I383),"Skonto nutzen bis "&amp;TEXT(I383,"DD.MM."),"fällig in "&amp;(F383-TODAY())&amp;" Tagen"))))</f>
        <v/>
      </c>
    </row>
    <row r="384" customFormat="false" ht="15" hidden="false" customHeight="false" outlineLevel="0" collapsed="false">
      <c r="A384" s="32"/>
      <c r="B384" s="32"/>
      <c r="C384" s="33"/>
      <c r="D384" s="30"/>
      <c r="E384" s="32"/>
      <c r="F384" s="44" t="str">
        <f aca="false">IF(C384="","",C384+IF(E384="",30,E384))</f>
        <v/>
      </c>
      <c r="G384" s="45"/>
      <c r="H384" s="32"/>
      <c r="I384" s="44" t="str">
        <f aca="false">IF(OR(C384="",G384=""),"",C384+H384)</f>
        <v/>
      </c>
      <c r="J384" s="33"/>
      <c r="K384" s="30"/>
      <c r="L384" s="31" t="str">
        <f aca="false">IF(D384="","",D384-N(K384))</f>
        <v/>
      </c>
      <c r="M384" s="35" t="str">
        <f aca="true">IF(D384="","",IF(L384&lt;=0.004,"bezahlt",IF(TODAY()&gt;F384,"ÜBERFÄLLIG",IF(AND(I384&lt;&gt;"",TODAY()&lt;=I384),"Skonto nutzen bis "&amp;TEXT(I384,"DD.MM."),"fällig in "&amp;(F384-TODAY())&amp;" Tagen"))))</f>
        <v/>
      </c>
    </row>
    <row r="385" customFormat="false" ht="15" hidden="false" customHeight="false" outlineLevel="0" collapsed="false">
      <c r="A385" s="32"/>
      <c r="B385" s="32"/>
      <c r="C385" s="33"/>
      <c r="D385" s="30"/>
      <c r="E385" s="32"/>
      <c r="F385" s="44" t="str">
        <f aca="false">IF(C385="","",C385+IF(E385="",30,E385))</f>
        <v/>
      </c>
      <c r="G385" s="45"/>
      <c r="H385" s="32"/>
      <c r="I385" s="44" t="str">
        <f aca="false">IF(OR(C385="",G385=""),"",C385+H385)</f>
        <v/>
      </c>
      <c r="J385" s="33"/>
      <c r="K385" s="30"/>
      <c r="L385" s="31" t="str">
        <f aca="false">IF(D385="","",D385-N(K385))</f>
        <v/>
      </c>
      <c r="M385" s="35" t="str">
        <f aca="true">IF(D385="","",IF(L385&lt;=0.004,"bezahlt",IF(TODAY()&gt;F385,"ÜBERFÄLLIG",IF(AND(I385&lt;&gt;"",TODAY()&lt;=I385),"Skonto nutzen bis "&amp;TEXT(I385,"DD.MM."),"fällig in "&amp;(F385-TODAY())&amp;" Tagen"))))</f>
        <v/>
      </c>
    </row>
    <row r="386" customFormat="false" ht="15" hidden="false" customHeight="false" outlineLevel="0" collapsed="false">
      <c r="A386" s="32"/>
      <c r="B386" s="32"/>
      <c r="C386" s="33"/>
      <c r="D386" s="30"/>
      <c r="E386" s="32"/>
      <c r="F386" s="44" t="str">
        <f aca="false">IF(C386="","",C386+IF(E386="",30,E386))</f>
        <v/>
      </c>
      <c r="G386" s="45"/>
      <c r="H386" s="32"/>
      <c r="I386" s="44" t="str">
        <f aca="false">IF(OR(C386="",G386=""),"",C386+H386)</f>
        <v/>
      </c>
      <c r="J386" s="33"/>
      <c r="K386" s="30"/>
      <c r="L386" s="31" t="str">
        <f aca="false">IF(D386="","",D386-N(K386))</f>
        <v/>
      </c>
      <c r="M386" s="35" t="str">
        <f aca="true">IF(D386="","",IF(L386&lt;=0.004,"bezahlt",IF(TODAY()&gt;F386,"ÜBERFÄLLIG",IF(AND(I386&lt;&gt;"",TODAY()&lt;=I386),"Skonto nutzen bis "&amp;TEXT(I386,"DD.MM."),"fällig in "&amp;(F386-TODAY())&amp;" Tagen"))))</f>
        <v/>
      </c>
    </row>
    <row r="387" customFormat="false" ht="15" hidden="false" customHeight="false" outlineLevel="0" collapsed="false">
      <c r="A387" s="32"/>
      <c r="B387" s="32"/>
      <c r="C387" s="33"/>
      <c r="D387" s="30"/>
      <c r="E387" s="32"/>
      <c r="F387" s="44" t="str">
        <f aca="false">IF(C387="","",C387+IF(E387="",30,E387))</f>
        <v/>
      </c>
      <c r="G387" s="45"/>
      <c r="H387" s="32"/>
      <c r="I387" s="44" t="str">
        <f aca="false">IF(OR(C387="",G387=""),"",C387+H387)</f>
        <v/>
      </c>
      <c r="J387" s="33"/>
      <c r="K387" s="30"/>
      <c r="L387" s="31" t="str">
        <f aca="false">IF(D387="","",D387-N(K387))</f>
        <v/>
      </c>
      <c r="M387" s="35" t="str">
        <f aca="true">IF(D387="","",IF(L387&lt;=0.004,"bezahlt",IF(TODAY()&gt;F387,"ÜBERFÄLLIG",IF(AND(I387&lt;&gt;"",TODAY()&lt;=I387),"Skonto nutzen bis "&amp;TEXT(I387,"DD.MM."),"fällig in "&amp;(F387-TODAY())&amp;" Tagen"))))</f>
        <v/>
      </c>
    </row>
    <row r="388" customFormat="false" ht="15" hidden="false" customHeight="false" outlineLevel="0" collapsed="false">
      <c r="A388" s="32"/>
      <c r="B388" s="32"/>
      <c r="C388" s="33"/>
      <c r="D388" s="30"/>
      <c r="E388" s="32"/>
      <c r="F388" s="44" t="str">
        <f aca="false">IF(C388="","",C388+IF(E388="",30,E388))</f>
        <v/>
      </c>
      <c r="G388" s="45"/>
      <c r="H388" s="32"/>
      <c r="I388" s="44" t="str">
        <f aca="false">IF(OR(C388="",G388=""),"",C388+H388)</f>
        <v/>
      </c>
      <c r="J388" s="33"/>
      <c r="K388" s="30"/>
      <c r="L388" s="31" t="str">
        <f aca="false">IF(D388="","",D388-N(K388))</f>
        <v/>
      </c>
      <c r="M388" s="35" t="str">
        <f aca="true">IF(D388="","",IF(L388&lt;=0.004,"bezahlt",IF(TODAY()&gt;F388,"ÜBERFÄLLIG",IF(AND(I388&lt;&gt;"",TODAY()&lt;=I388),"Skonto nutzen bis "&amp;TEXT(I388,"DD.MM."),"fällig in "&amp;(F388-TODAY())&amp;" Tagen"))))</f>
        <v/>
      </c>
    </row>
    <row r="389" customFormat="false" ht="15" hidden="false" customHeight="false" outlineLevel="0" collapsed="false">
      <c r="A389" s="32"/>
      <c r="B389" s="32"/>
      <c r="C389" s="33"/>
      <c r="D389" s="30"/>
      <c r="E389" s="32"/>
      <c r="F389" s="44" t="str">
        <f aca="false">IF(C389="","",C389+IF(E389="",30,E389))</f>
        <v/>
      </c>
      <c r="G389" s="45"/>
      <c r="H389" s="32"/>
      <c r="I389" s="44" t="str">
        <f aca="false">IF(OR(C389="",G389=""),"",C389+H389)</f>
        <v/>
      </c>
      <c r="J389" s="33"/>
      <c r="K389" s="30"/>
      <c r="L389" s="31" t="str">
        <f aca="false">IF(D389="","",D389-N(K389))</f>
        <v/>
      </c>
      <c r="M389" s="35" t="str">
        <f aca="true">IF(D389="","",IF(L389&lt;=0.004,"bezahlt",IF(TODAY()&gt;F389,"ÜBERFÄLLIG",IF(AND(I389&lt;&gt;"",TODAY()&lt;=I389),"Skonto nutzen bis "&amp;TEXT(I389,"DD.MM."),"fällig in "&amp;(F389-TODAY())&amp;" Tagen"))))</f>
        <v/>
      </c>
    </row>
    <row r="390" customFormat="false" ht="15" hidden="false" customHeight="false" outlineLevel="0" collapsed="false">
      <c r="A390" s="32"/>
      <c r="B390" s="32"/>
      <c r="C390" s="33"/>
      <c r="D390" s="30"/>
      <c r="E390" s="32"/>
      <c r="F390" s="44" t="str">
        <f aca="false">IF(C390="","",C390+IF(E390="",30,E390))</f>
        <v/>
      </c>
      <c r="G390" s="45"/>
      <c r="H390" s="32"/>
      <c r="I390" s="44" t="str">
        <f aca="false">IF(OR(C390="",G390=""),"",C390+H390)</f>
        <v/>
      </c>
      <c r="J390" s="33"/>
      <c r="K390" s="30"/>
      <c r="L390" s="31" t="str">
        <f aca="false">IF(D390="","",D390-N(K390))</f>
        <v/>
      </c>
      <c r="M390" s="35" t="str">
        <f aca="true">IF(D390="","",IF(L390&lt;=0.004,"bezahlt",IF(TODAY()&gt;F390,"ÜBERFÄLLIG",IF(AND(I390&lt;&gt;"",TODAY()&lt;=I390),"Skonto nutzen bis "&amp;TEXT(I390,"DD.MM."),"fällig in "&amp;(F390-TODAY())&amp;" Tagen"))))</f>
        <v/>
      </c>
    </row>
    <row r="391" customFormat="false" ht="15" hidden="false" customHeight="false" outlineLevel="0" collapsed="false">
      <c r="A391" s="32"/>
      <c r="B391" s="32"/>
      <c r="C391" s="33"/>
      <c r="D391" s="30"/>
      <c r="E391" s="32"/>
      <c r="F391" s="44" t="str">
        <f aca="false">IF(C391="","",C391+IF(E391="",30,E391))</f>
        <v/>
      </c>
      <c r="G391" s="45"/>
      <c r="H391" s="32"/>
      <c r="I391" s="44" t="str">
        <f aca="false">IF(OR(C391="",G391=""),"",C391+H391)</f>
        <v/>
      </c>
      <c r="J391" s="33"/>
      <c r="K391" s="30"/>
      <c r="L391" s="31" t="str">
        <f aca="false">IF(D391="","",D391-N(K391))</f>
        <v/>
      </c>
      <c r="M391" s="35" t="str">
        <f aca="true">IF(D391="","",IF(L391&lt;=0.004,"bezahlt",IF(TODAY()&gt;F391,"ÜBERFÄLLIG",IF(AND(I391&lt;&gt;"",TODAY()&lt;=I391),"Skonto nutzen bis "&amp;TEXT(I391,"DD.MM."),"fällig in "&amp;(F391-TODAY())&amp;" Tagen"))))</f>
        <v/>
      </c>
    </row>
    <row r="392" customFormat="false" ht="15" hidden="false" customHeight="false" outlineLevel="0" collapsed="false">
      <c r="A392" s="32"/>
      <c r="B392" s="32"/>
      <c r="C392" s="33"/>
      <c r="D392" s="30"/>
      <c r="E392" s="32"/>
      <c r="F392" s="44" t="str">
        <f aca="false">IF(C392="","",C392+IF(E392="",30,E392))</f>
        <v/>
      </c>
      <c r="G392" s="45"/>
      <c r="H392" s="32"/>
      <c r="I392" s="44" t="str">
        <f aca="false">IF(OR(C392="",G392=""),"",C392+H392)</f>
        <v/>
      </c>
      <c r="J392" s="33"/>
      <c r="K392" s="30"/>
      <c r="L392" s="31" t="str">
        <f aca="false">IF(D392="","",D392-N(K392))</f>
        <v/>
      </c>
      <c r="M392" s="35" t="str">
        <f aca="true">IF(D392="","",IF(L392&lt;=0.004,"bezahlt",IF(TODAY()&gt;F392,"ÜBERFÄLLIG",IF(AND(I392&lt;&gt;"",TODAY()&lt;=I392),"Skonto nutzen bis "&amp;TEXT(I392,"DD.MM."),"fällig in "&amp;(F392-TODAY())&amp;" Tagen"))))</f>
        <v/>
      </c>
    </row>
    <row r="393" customFormat="false" ht="15" hidden="false" customHeight="false" outlineLevel="0" collapsed="false">
      <c r="A393" s="32"/>
      <c r="B393" s="32"/>
      <c r="C393" s="33"/>
      <c r="D393" s="30"/>
      <c r="E393" s="32"/>
      <c r="F393" s="44" t="str">
        <f aca="false">IF(C393="","",C393+IF(E393="",30,E393))</f>
        <v/>
      </c>
      <c r="G393" s="45"/>
      <c r="H393" s="32"/>
      <c r="I393" s="44" t="str">
        <f aca="false">IF(OR(C393="",G393=""),"",C393+H393)</f>
        <v/>
      </c>
      <c r="J393" s="33"/>
      <c r="K393" s="30"/>
      <c r="L393" s="31" t="str">
        <f aca="false">IF(D393="","",D393-N(K393))</f>
        <v/>
      </c>
      <c r="M393" s="35" t="str">
        <f aca="true">IF(D393="","",IF(L393&lt;=0.004,"bezahlt",IF(TODAY()&gt;F393,"ÜBERFÄLLIG",IF(AND(I393&lt;&gt;"",TODAY()&lt;=I393),"Skonto nutzen bis "&amp;TEXT(I393,"DD.MM."),"fällig in "&amp;(F393-TODAY())&amp;" Tagen"))))</f>
        <v/>
      </c>
    </row>
    <row r="394" customFormat="false" ht="15" hidden="false" customHeight="false" outlineLevel="0" collapsed="false">
      <c r="A394" s="32"/>
      <c r="B394" s="32"/>
      <c r="C394" s="33"/>
      <c r="D394" s="30"/>
      <c r="E394" s="32"/>
      <c r="F394" s="44" t="str">
        <f aca="false">IF(C394="","",C394+IF(E394="",30,E394))</f>
        <v/>
      </c>
      <c r="G394" s="45"/>
      <c r="H394" s="32"/>
      <c r="I394" s="44" t="str">
        <f aca="false">IF(OR(C394="",G394=""),"",C394+H394)</f>
        <v/>
      </c>
      <c r="J394" s="33"/>
      <c r="K394" s="30"/>
      <c r="L394" s="31" t="str">
        <f aca="false">IF(D394="","",D394-N(K394))</f>
        <v/>
      </c>
      <c r="M394" s="35" t="str">
        <f aca="true">IF(D394="","",IF(L394&lt;=0.004,"bezahlt",IF(TODAY()&gt;F394,"ÜBERFÄLLIG",IF(AND(I394&lt;&gt;"",TODAY()&lt;=I394),"Skonto nutzen bis "&amp;TEXT(I394,"DD.MM."),"fällig in "&amp;(F394-TODAY())&amp;" Tagen"))))</f>
        <v/>
      </c>
    </row>
    <row r="395" customFormat="false" ht="15" hidden="false" customHeight="false" outlineLevel="0" collapsed="false">
      <c r="A395" s="32"/>
      <c r="B395" s="32"/>
      <c r="C395" s="33"/>
      <c r="D395" s="30"/>
      <c r="E395" s="32"/>
      <c r="F395" s="44" t="str">
        <f aca="false">IF(C395="","",C395+IF(E395="",30,E395))</f>
        <v/>
      </c>
      <c r="G395" s="45"/>
      <c r="H395" s="32"/>
      <c r="I395" s="44" t="str">
        <f aca="false">IF(OR(C395="",G395=""),"",C395+H395)</f>
        <v/>
      </c>
      <c r="J395" s="33"/>
      <c r="K395" s="30"/>
      <c r="L395" s="31" t="str">
        <f aca="false">IF(D395="","",D395-N(K395))</f>
        <v/>
      </c>
      <c r="M395" s="35" t="str">
        <f aca="true">IF(D395="","",IF(L395&lt;=0.004,"bezahlt",IF(TODAY()&gt;F395,"ÜBERFÄLLIG",IF(AND(I395&lt;&gt;"",TODAY()&lt;=I395),"Skonto nutzen bis "&amp;TEXT(I395,"DD.MM."),"fällig in "&amp;(F395-TODAY())&amp;" Tagen"))))</f>
        <v/>
      </c>
    </row>
    <row r="396" customFormat="false" ht="15" hidden="false" customHeight="false" outlineLevel="0" collapsed="false">
      <c r="A396" s="32"/>
      <c r="B396" s="32"/>
      <c r="C396" s="33"/>
      <c r="D396" s="30"/>
      <c r="E396" s="32"/>
      <c r="F396" s="44" t="str">
        <f aca="false">IF(C396="","",C396+IF(E396="",30,E396))</f>
        <v/>
      </c>
      <c r="G396" s="45"/>
      <c r="H396" s="32"/>
      <c r="I396" s="44" t="str">
        <f aca="false">IF(OR(C396="",G396=""),"",C396+H396)</f>
        <v/>
      </c>
      <c r="J396" s="33"/>
      <c r="K396" s="30"/>
      <c r="L396" s="31" t="str">
        <f aca="false">IF(D396="","",D396-N(K396))</f>
        <v/>
      </c>
      <c r="M396" s="35" t="str">
        <f aca="true">IF(D396="","",IF(L396&lt;=0.004,"bezahlt",IF(TODAY()&gt;F396,"ÜBERFÄLLIG",IF(AND(I396&lt;&gt;"",TODAY()&lt;=I396),"Skonto nutzen bis "&amp;TEXT(I396,"DD.MM."),"fällig in "&amp;(F396-TODAY())&amp;" Tagen"))))</f>
        <v/>
      </c>
    </row>
    <row r="397" customFormat="false" ht="15" hidden="false" customHeight="false" outlineLevel="0" collapsed="false">
      <c r="A397" s="32"/>
      <c r="B397" s="32"/>
      <c r="C397" s="33"/>
      <c r="D397" s="30"/>
      <c r="E397" s="32"/>
      <c r="F397" s="44" t="str">
        <f aca="false">IF(C397="","",C397+IF(E397="",30,E397))</f>
        <v/>
      </c>
      <c r="G397" s="45"/>
      <c r="H397" s="32"/>
      <c r="I397" s="44" t="str">
        <f aca="false">IF(OR(C397="",G397=""),"",C397+H397)</f>
        <v/>
      </c>
      <c r="J397" s="33"/>
      <c r="K397" s="30"/>
      <c r="L397" s="31" t="str">
        <f aca="false">IF(D397="","",D397-N(K397))</f>
        <v/>
      </c>
      <c r="M397" s="35" t="str">
        <f aca="true">IF(D397="","",IF(L397&lt;=0.004,"bezahlt",IF(TODAY()&gt;F397,"ÜBERFÄLLIG",IF(AND(I397&lt;&gt;"",TODAY()&lt;=I397),"Skonto nutzen bis "&amp;TEXT(I397,"DD.MM."),"fällig in "&amp;(F397-TODAY())&amp;" Tagen"))))</f>
        <v/>
      </c>
    </row>
    <row r="398" customFormat="false" ht="15" hidden="false" customHeight="false" outlineLevel="0" collapsed="false">
      <c r="A398" s="32"/>
      <c r="B398" s="32"/>
      <c r="C398" s="33"/>
      <c r="D398" s="30"/>
      <c r="E398" s="32"/>
      <c r="F398" s="44" t="str">
        <f aca="false">IF(C398="","",C398+IF(E398="",30,E398))</f>
        <v/>
      </c>
      <c r="G398" s="45"/>
      <c r="H398" s="32"/>
      <c r="I398" s="44" t="str">
        <f aca="false">IF(OR(C398="",G398=""),"",C398+H398)</f>
        <v/>
      </c>
      <c r="J398" s="33"/>
      <c r="K398" s="30"/>
      <c r="L398" s="31" t="str">
        <f aca="false">IF(D398="","",D398-N(K398))</f>
        <v/>
      </c>
      <c r="M398" s="35" t="str">
        <f aca="true">IF(D398="","",IF(L398&lt;=0.004,"bezahlt",IF(TODAY()&gt;F398,"ÜBERFÄLLIG",IF(AND(I398&lt;&gt;"",TODAY()&lt;=I398),"Skonto nutzen bis "&amp;TEXT(I398,"DD.MM."),"fällig in "&amp;(F398-TODAY())&amp;" Tagen"))))</f>
        <v/>
      </c>
    </row>
    <row r="399" customFormat="false" ht="15" hidden="false" customHeight="false" outlineLevel="0" collapsed="false">
      <c r="A399" s="32"/>
      <c r="B399" s="32"/>
      <c r="C399" s="33"/>
      <c r="D399" s="30"/>
      <c r="E399" s="32"/>
      <c r="F399" s="44" t="str">
        <f aca="false">IF(C399="","",C399+IF(E399="",30,E399))</f>
        <v/>
      </c>
      <c r="G399" s="45"/>
      <c r="H399" s="32"/>
      <c r="I399" s="44" t="str">
        <f aca="false">IF(OR(C399="",G399=""),"",C399+H399)</f>
        <v/>
      </c>
      <c r="J399" s="33"/>
      <c r="K399" s="30"/>
      <c r="L399" s="31" t="str">
        <f aca="false">IF(D399="","",D399-N(K399))</f>
        <v/>
      </c>
      <c r="M399" s="35" t="str">
        <f aca="true">IF(D399="","",IF(L399&lt;=0.004,"bezahlt",IF(TODAY()&gt;F399,"ÜBERFÄLLIG",IF(AND(I399&lt;&gt;"",TODAY()&lt;=I399),"Skonto nutzen bis "&amp;TEXT(I399,"DD.MM."),"fällig in "&amp;(F399-TODAY())&amp;" Tagen"))))</f>
        <v/>
      </c>
    </row>
    <row r="400" customFormat="false" ht="15" hidden="false" customHeight="false" outlineLevel="0" collapsed="false">
      <c r="A400" s="32"/>
      <c r="B400" s="32"/>
      <c r="C400" s="33"/>
      <c r="D400" s="30"/>
      <c r="E400" s="32"/>
      <c r="F400" s="44" t="str">
        <f aca="false">IF(C400="","",C400+IF(E400="",30,E400))</f>
        <v/>
      </c>
      <c r="G400" s="45"/>
      <c r="H400" s="32"/>
      <c r="I400" s="44" t="str">
        <f aca="false">IF(OR(C400="",G400=""),"",C400+H400)</f>
        <v/>
      </c>
      <c r="J400" s="33"/>
      <c r="K400" s="30"/>
      <c r="L400" s="31" t="str">
        <f aca="false">IF(D400="","",D400-N(K400))</f>
        <v/>
      </c>
      <c r="M400" s="35" t="str">
        <f aca="true">IF(D400="","",IF(L400&lt;=0.004,"bezahlt",IF(TODAY()&gt;F400,"ÜBERFÄLLIG",IF(AND(I400&lt;&gt;"",TODAY()&lt;=I400),"Skonto nutzen bis "&amp;TEXT(I400,"DD.MM."),"fällig in "&amp;(F400-TODAY())&amp;" Tagen"))))</f>
        <v/>
      </c>
    </row>
    <row r="401" customFormat="false" ht="15" hidden="false" customHeight="false" outlineLevel="0" collapsed="false">
      <c r="A401" s="32"/>
      <c r="B401" s="32"/>
      <c r="C401" s="33"/>
      <c r="D401" s="30"/>
      <c r="E401" s="32"/>
      <c r="F401" s="44" t="str">
        <f aca="false">IF(C401="","",C401+IF(E401="",30,E401))</f>
        <v/>
      </c>
      <c r="G401" s="45"/>
      <c r="H401" s="32"/>
      <c r="I401" s="44" t="str">
        <f aca="false">IF(OR(C401="",G401=""),"",C401+H401)</f>
        <v/>
      </c>
      <c r="J401" s="33"/>
      <c r="K401" s="30"/>
      <c r="L401" s="31" t="str">
        <f aca="false">IF(D401="","",D401-N(K401))</f>
        <v/>
      </c>
      <c r="M401" s="35" t="str">
        <f aca="true">IF(D401="","",IF(L401&lt;=0.004,"bezahlt",IF(TODAY()&gt;F401,"ÜBERFÄLLIG",IF(AND(I401&lt;&gt;"",TODAY()&lt;=I401),"Skonto nutzen bis "&amp;TEXT(I401,"DD.MM."),"fällig in "&amp;(F401-TODAY())&amp;" Tagen"))))</f>
        <v/>
      </c>
    </row>
    <row r="402" customFormat="false" ht="15" hidden="false" customHeight="false" outlineLevel="0" collapsed="false">
      <c r="A402" s="32"/>
      <c r="B402" s="32"/>
      <c r="C402" s="33"/>
      <c r="D402" s="30"/>
      <c r="E402" s="32"/>
      <c r="F402" s="44" t="str">
        <f aca="false">IF(C402="","",C402+IF(E402="",30,E402))</f>
        <v/>
      </c>
      <c r="G402" s="45"/>
      <c r="H402" s="32"/>
      <c r="I402" s="44" t="str">
        <f aca="false">IF(OR(C402="",G402=""),"",C402+H402)</f>
        <v/>
      </c>
      <c r="J402" s="33"/>
      <c r="K402" s="30"/>
      <c r="L402" s="31" t="str">
        <f aca="false">IF(D402="","",D402-N(K402))</f>
        <v/>
      </c>
      <c r="M402" s="35" t="str">
        <f aca="true">IF(D402="","",IF(L402&lt;=0.004,"bezahlt",IF(TODAY()&gt;F402,"ÜBERFÄLLIG",IF(AND(I402&lt;&gt;"",TODAY()&lt;=I402),"Skonto nutzen bis "&amp;TEXT(I402,"DD.MM."),"fällig in "&amp;(F402-TODAY())&amp;" Tagen"))))</f>
        <v/>
      </c>
    </row>
    <row r="403" customFormat="false" ht="15" hidden="false" customHeight="false" outlineLevel="0" collapsed="false">
      <c r="A403" s="32"/>
      <c r="B403" s="32"/>
      <c r="C403" s="33"/>
      <c r="D403" s="30"/>
      <c r="E403" s="32"/>
      <c r="F403" s="44" t="str">
        <f aca="false">IF(C403="","",C403+IF(E403="",30,E403))</f>
        <v/>
      </c>
      <c r="G403" s="45"/>
      <c r="H403" s="32"/>
      <c r="I403" s="44" t="str">
        <f aca="false">IF(OR(C403="",G403=""),"",C403+H403)</f>
        <v/>
      </c>
      <c r="J403" s="33"/>
      <c r="K403" s="30"/>
      <c r="L403" s="31" t="str">
        <f aca="false">IF(D403="","",D403-N(K403))</f>
        <v/>
      </c>
      <c r="M403" s="35" t="str">
        <f aca="true">IF(D403="","",IF(L403&lt;=0.004,"bezahlt",IF(TODAY()&gt;F403,"ÜBERFÄLLIG",IF(AND(I403&lt;&gt;"",TODAY()&lt;=I403),"Skonto nutzen bis "&amp;TEXT(I403,"DD.MM."),"fällig in "&amp;(F403-TODAY())&amp;" Tagen"))))</f>
        <v/>
      </c>
    </row>
    <row r="404" customFormat="false" ht="15" hidden="false" customHeight="false" outlineLevel="0" collapsed="false">
      <c r="A404" s="32"/>
      <c r="B404" s="32"/>
      <c r="C404" s="33"/>
      <c r="D404" s="30"/>
      <c r="E404" s="32"/>
      <c r="F404" s="44" t="str">
        <f aca="false">IF(C404="","",C404+IF(E404="",30,E404))</f>
        <v/>
      </c>
      <c r="G404" s="45"/>
      <c r="H404" s="32"/>
      <c r="I404" s="44" t="str">
        <f aca="false">IF(OR(C404="",G404=""),"",C404+H404)</f>
        <v/>
      </c>
      <c r="J404" s="33"/>
      <c r="K404" s="30"/>
      <c r="L404" s="31" t="str">
        <f aca="false">IF(D404="","",D404-N(K404))</f>
        <v/>
      </c>
      <c r="M404" s="35" t="str">
        <f aca="true">IF(D404="","",IF(L404&lt;=0.004,"bezahlt",IF(TODAY()&gt;F404,"ÜBERFÄLLIG",IF(AND(I404&lt;&gt;"",TODAY()&lt;=I404),"Skonto nutzen bis "&amp;TEXT(I404,"DD.MM."),"fällig in "&amp;(F404-TODAY())&amp;" Tagen"))))</f>
        <v/>
      </c>
    </row>
    <row r="405" customFormat="false" ht="15" hidden="false" customHeight="false" outlineLevel="0" collapsed="false">
      <c r="A405" s="32"/>
      <c r="B405" s="32"/>
      <c r="C405" s="33"/>
      <c r="D405" s="30"/>
      <c r="E405" s="32"/>
      <c r="F405" s="44" t="str">
        <f aca="false">IF(C405="","",C405+IF(E405="",30,E405))</f>
        <v/>
      </c>
      <c r="G405" s="45"/>
      <c r="H405" s="32"/>
      <c r="I405" s="44" t="str">
        <f aca="false">IF(OR(C405="",G405=""),"",C405+H405)</f>
        <v/>
      </c>
      <c r="J405" s="33"/>
      <c r="K405" s="30"/>
      <c r="L405" s="31" t="str">
        <f aca="false">IF(D405="","",D405-N(K405))</f>
        <v/>
      </c>
      <c r="M405" s="35" t="str">
        <f aca="true">IF(D405="","",IF(L405&lt;=0.004,"bezahlt",IF(TODAY()&gt;F405,"ÜBERFÄLLIG",IF(AND(I405&lt;&gt;"",TODAY()&lt;=I405),"Skonto nutzen bis "&amp;TEXT(I405,"DD.MM."),"fällig in "&amp;(F405-TODAY())&amp;" Tagen"))))</f>
        <v/>
      </c>
    </row>
    <row r="406" customFormat="false" ht="15" hidden="false" customHeight="false" outlineLevel="0" collapsed="false">
      <c r="A406" s="32"/>
      <c r="B406" s="32"/>
      <c r="C406" s="33"/>
      <c r="D406" s="30"/>
      <c r="E406" s="32"/>
      <c r="F406" s="44" t="str">
        <f aca="false">IF(C406="","",C406+IF(E406="",30,E406))</f>
        <v/>
      </c>
      <c r="G406" s="45"/>
      <c r="H406" s="32"/>
      <c r="I406" s="44" t="str">
        <f aca="false">IF(OR(C406="",G406=""),"",C406+H406)</f>
        <v/>
      </c>
      <c r="J406" s="33"/>
      <c r="K406" s="30"/>
      <c r="L406" s="31" t="str">
        <f aca="false">IF(D406="","",D406-N(K406))</f>
        <v/>
      </c>
      <c r="M406" s="35" t="str">
        <f aca="true">IF(D406="","",IF(L406&lt;=0.004,"bezahlt",IF(TODAY()&gt;F406,"ÜBERFÄLLIG",IF(AND(I406&lt;&gt;"",TODAY()&lt;=I406),"Skonto nutzen bis "&amp;TEXT(I406,"DD.MM."),"fällig in "&amp;(F406-TODAY())&amp;" Tagen"))))</f>
        <v/>
      </c>
    </row>
    <row r="407" customFormat="false" ht="15" hidden="false" customHeight="false" outlineLevel="0" collapsed="false">
      <c r="A407" s="32"/>
      <c r="B407" s="32"/>
      <c r="C407" s="33"/>
      <c r="D407" s="30"/>
      <c r="E407" s="32"/>
      <c r="F407" s="44" t="str">
        <f aca="false">IF(C407="","",C407+IF(E407="",30,E407))</f>
        <v/>
      </c>
      <c r="G407" s="45"/>
      <c r="H407" s="32"/>
      <c r="I407" s="44" t="str">
        <f aca="false">IF(OR(C407="",G407=""),"",C407+H407)</f>
        <v/>
      </c>
      <c r="J407" s="33"/>
      <c r="K407" s="30"/>
      <c r="L407" s="31" t="str">
        <f aca="false">IF(D407="","",D407-N(K407))</f>
        <v/>
      </c>
      <c r="M407" s="35" t="str">
        <f aca="true">IF(D407="","",IF(L407&lt;=0.004,"bezahlt",IF(TODAY()&gt;F407,"ÜBERFÄLLIG",IF(AND(I407&lt;&gt;"",TODAY()&lt;=I407),"Skonto nutzen bis "&amp;TEXT(I407,"DD.MM."),"fällig in "&amp;(F407-TODAY())&amp;" Tagen"))))</f>
        <v/>
      </c>
    </row>
    <row r="408" customFormat="false" ht="15" hidden="false" customHeight="false" outlineLevel="0" collapsed="false">
      <c r="A408" s="32"/>
      <c r="B408" s="32"/>
      <c r="C408" s="33"/>
      <c r="D408" s="30"/>
      <c r="E408" s="32"/>
      <c r="F408" s="44" t="str">
        <f aca="false">IF(C408="","",C408+IF(E408="",30,E408))</f>
        <v/>
      </c>
      <c r="G408" s="45"/>
      <c r="H408" s="32"/>
      <c r="I408" s="44" t="str">
        <f aca="false">IF(OR(C408="",G408=""),"",C408+H408)</f>
        <v/>
      </c>
      <c r="J408" s="33"/>
      <c r="K408" s="30"/>
      <c r="L408" s="31" t="str">
        <f aca="false">IF(D408="","",D408-N(K408))</f>
        <v/>
      </c>
      <c r="M408" s="35" t="str">
        <f aca="true">IF(D408="","",IF(L408&lt;=0.004,"bezahlt",IF(TODAY()&gt;F408,"ÜBERFÄLLIG",IF(AND(I408&lt;&gt;"",TODAY()&lt;=I408),"Skonto nutzen bis "&amp;TEXT(I408,"DD.MM."),"fällig in "&amp;(F408-TODAY())&amp;" Tagen"))))</f>
        <v/>
      </c>
    </row>
    <row r="409" customFormat="false" ht="15" hidden="false" customHeight="false" outlineLevel="0" collapsed="false">
      <c r="A409" s="32"/>
      <c r="B409" s="32"/>
      <c r="C409" s="33"/>
      <c r="D409" s="30"/>
      <c r="E409" s="32"/>
      <c r="F409" s="44" t="str">
        <f aca="false">IF(C409="","",C409+IF(E409="",30,E409))</f>
        <v/>
      </c>
      <c r="G409" s="45"/>
      <c r="H409" s="32"/>
      <c r="I409" s="44" t="str">
        <f aca="false">IF(OR(C409="",G409=""),"",C409+H409)</f>
        <v/>
      </c>
      <c r="J409" s="33"/>
      <c r="K409" s="30"/>
      <c r="L409" s="31" t="str">
        <f aca="false">IF(D409="","",D409-N(K409))</f>
        <v/>
      </c>
      <c r="M409" s="35" t="str">
        <f aca="true">IF(D409="","",IF(L409&lt;=0.004,"bezahlt",IF(TODAY()&gt;F409,"ÜBERFÄLLIG",IF(AND(I409&lt;&gt;"",TODAY()&lt;=I409),"Skonto nutzen bis "&amp;TEXT(I409,"DD.MM."),"fällig in "&amp;(F409-TODAY())&amp;" Tagen"))))</f>
        <v/>
      </c>
    </row>
    <row r="410" customFormat="false" ht="15" hidden="false" customHeight="false" outlineLevel="0" collapsed="false">
      <c r="A410" s="32"/>
      <c r="B410" s="32"/>
      <c r="C410" s="33"/>
      <c r="D410" s="30"/>
      <c r="E410" s="32"/>
      <c r="F410" s="44" t="str">
        <f aca="false">IF(C410="","",C410+IF(E410="",30,E410))</f>
        <v/>
      </c>
      <c r="G410" s="45"/>
      <c r="H410" s="32"/>
      <c r="I410" s="44" t="str">
        <f aca="false">IF(OR(C410="",G410=""),"",C410+H410)</f>
        <v/>
      </c>
      <c r="J410" s="33"/>
      <c r="K410" s="30"/>
      <c r="L410" s="31" t="str">
        <f aca="false">IF(D410="","",D410-N(K410))</f>
        <v/>
      </c>
      <c r="M410" s="35" t="str">
        <f aca="true">IF(D410="","",IF(L410&lt;=0.004,"bezahlt",IF(TODAY()&gt;F410,"ÜBERFÄLLIG",IF(AND(I410&lt;&gt;"",TODAY()&lt;=I410),"Skonto nutzen bis "&amp;TEXT(I410,"DD.MM."),"fällig in "&amp;(F410-TODAY())&amp;" Tagen"))))</f>
        <v/>
      </c>
    </row>
    <row r="411" customFormat="false" ht="15" hidden="false" customHeight="false" outlineLevel="0" collapsed="false">
      <c r="A411" s="32"/>
      <c r="B411" s="32"/>
      <c r="C411" s="33"/>
      <c r="D411" s="30"/>
      <c r="E411" s="32"/>
      <c r="F411" s="44" t="str">
        <f aca="false">IF(C411="","",C411+IF(E411="",30,E411))</f>
        <v/>
      </c>
      <c r="G411" s="45"/>
      <c r="H411" s="32"/>
      <c r="I411" s="44" t="str">
        <f aca="false">IF(OR(C411="",G411=""),"",C411+H411)</f>
        <v/>
      </c>
      <c r="J411" s="33"/>
      <c r="K411" s="30"/>
      <c r="L411" s="31" t="str">
        <f aca="false">IF(D411="","",D411-N(K411))</f>
        <v/>
      </c>
      <c r="M411" s="35" t="str">
        <f aca="true">IF(D411="","",IF(L411&lt;=0.004,"bezahlt",IF(TODAY()&gt;F411,"ÜBERFÄLLIG",IF(AND(I411&lt;&gt;"",TODAY()&lt;=I411),"Skonto nutzen bis "&amp;TEXT(I411,"DD.MM."),"fällig in "&amp;(F411-TODAY())&amp;" Tagen"))))</f>
        <v/>
      </c>
    </row>
    <row r="412" customFormat="false" ht="15" hidden="false" customHeight="false" outlineLevel="0" collapsed="false">
      <c r="A412" s="32"/>
      <c r="B412" s="32"/>
      <c r="C412" s="33"/>
      <c r="D412" s="30"/>
      <c r="E412" s="32"/>
      <c r="F412" s="44" t="str">
        <f aca="false">IF(C412="","",C412+IF(E412="",30,E412))</f>
        <v/>
      </c>
      <c r="G412" s="45"/>
      <c r="H412" s="32"/>
      <c r="I412" s="44" t="str">
        <f aca="false">IF(OR(C412="",G412=""),"",C412+H412)</f>
        <v/>
      </c>
      <c r="J412" s="33"/>
      <c r="K412" s="30"/>
      <c r="L412" s="31" t="str">
        <f aca="false">IF(D412="","",D412-N(K412))</f>
        <v/>
      </c>
      <c r="M412" s="35" t="str">
        <f aca="true">IF(D412="","",IF(L412&lt;=0.004,"bezahlt",IF(TODAY()&gt;F412,"ÜBERFÄLLIG",IF(AND(I412&lt;&gt;"",TODAY()&lt;=I412),"Skonto nutzen bis "&amp;TEXT(I412,"DD.MM."),"fällig in "&amp;(F412-TODAY())&amp;" Tagen"))))</f>
        <v/>
      </c>
    </row>
    <row r="413" customFormat="false" ht="15" hidden="false" customHeight="false" outlineLevel="0" collapsed="false">
      <c r="A413" s="32"/>
      <c r="B413" s="32"/>
      <c r="C413" s="33"/>
      <c r="D413" s="30"/>
      <c r="E413" s="32"/>
      <c r="F413" s="44" t="str">
        <f aca="false">IF(C413="","",C413+IF(E413="",30,E413))</f>
        <v/>
      </c>
      <c r="G413" s="45"/>
      <c r="H413" s="32"/>
      <c r="I413" s="44" t="str">
        <f aca="false">IF(OR(C413="",G413=""),"",C413+H413)</f>
        <v/>
      </c>
      <c r="J413" s="33"/>
      <c r="K413" s="30"/>
      <c r="L413" s="31" t="str">
        <f aca="false">IF(D413="","",D413-N(K413))</f>
        <v/>
      </c>
      <c r="M413" s="35" t="str">
        <f aca="true">IF(D413="","",IF(L413&lt;=0.004,"bezahlt",IF(TODAY()&gt;F413,"ÜBERFÄLLIG",IF(AND(I413&lt;&gt;"",TODAY()&lt;=I413),"Skonto nutzen bis "&amp;TEXT(I413,"DD.MM."),"fällig in "&amp;(F413-TODAY())&amp;" Tagen"))))</f>
        <v/>
      </c>
    </row>
    <row r="414" customFormat="false" ht="15" hidden="false" customHeight="false" outlineLevel="0" collapsed="false">
      <c r="A414" s="32"/>
      <c r="B414" s="32"/>
      <c r="C414" s="33"/>
      <c r="D414" s="30"/>
      <c r="E414" s="32"/>
      <c r="F414" s="44" t="str">
        <f aca="false">IF(C414="","",C414+IF(E414="",30,E414))</f>
        <v/>
      </c>
      <c r="G414" s="45"/>
      <c r="H414" s="32"/>
      <c r="I414" s="44" t="str">
        <f aca="false">IF(OR(C414="",G414=""),"",C414+H414)</f>
        <v/>
      </c>
      <c r="J414" s="33"/>
      <c r="K414" s="30"/>
      <c r="L414" s="31" t="str">
        <f aca="false">IF(D414="","",D414-N(K414))</f>
        <v/>
      </c>
      <c r="M414" s="35" t="str">
        <f aca="true">IF(D414="","",IF(L414&lt;=0.004,"bezahlt",IF(TODAY()&gt;F414,"ÜBERFÄLLIG",IF(AND(I414&lt;&gt;"",TODAY()&lt;=I414),"Skonto nutzen bis "&amp;TEXT(I414,"DD.MM."),"fällig in "&amp;(F414-TODAY())&amp;" Tagen"))))</f>
        <v/>
      </c>
    </row>
    <row r="415" customFormat="false" ht="15" hidden="false" customHeight="false" outlineLevel="0" collapsed="false">
      <c r="A415" s="32"/>
      <c r="B415" s="32"/>
      <c r="C415" s="33"/>
      <c r="D415" s="30"/>
      <c r="E415" s="32"/>
      <c r="F415" s="44" t="str">
        <f aca="false">IF(C415="","",C415+IF(E415="",30,E415))</f>
        <v/>
      </c>
      <c r="G415" s="45"/>
      <c r="H415" s="32"/>
      <c r="I415" s="44" t="str">
        <f aca="false">IF(OR(C415="",G415=""),"",C415+H415)</f>
        <v/>
      </c>
      <c r="J415" s="33"/>
      <c r="K415" s="30"/>
      <c r="L415" s="31" t="str">
        <f aca="false">IF(D415="","",D415-N(K415))</f>
        <v/>
      </c>
      <c r="M415" s="35" t="str">
        <f aca="true">IF(D415="","",IF(L415&lt;=0.004,"bezahlt",IF(TODAY()&gt;F415,"ÜBERFÄLLIG",IF(AND(I415&lt;&gt;"",TODAY()&lt;=I415),"Skonto nutzen bis "&amp;TEXT(I415,"DD.MM."),"fällig in "&amp;(F415-TODAY())&amp;" Tagen"))))</f>
        <v/>
      </c>
    </row>
    <row r="416" customFormat="false" ht="15" hidden="false" customHeight="false" outlineLevel="0" collapsed="false">
      <c r="A416" s="32"/>
      <c r="B416" s="32"/>
      <c r="C416" s="33"/>
      <c r="D416" s="30"/>
      <c r="E416" s="32"/>
      <c r="F416" s="44" t="str">
        <f aca="false">IF(C416="","",C416+IF(E416="",30,E416))</f>
        <v/>
      </c>
      <c r="G416" s="45"/>
      <c r="H416" s="32"/>
      <c r="I416" s="44" t="str">
        <f aca="false">IF(OR(C416="",G416=""),"",C416+H416)</f>
        <v/>
      </c>
      <c r="J416" s="33"/>
      <c r="K416" s="30"/>
      <c r="L416" s="31" t="str">
        <f aca="false">IF(D416="","",D416-N(K416))</f>
        <v/>
      </c>
      <c r="M416" s="35" t="str">
        <f aca="true">IF(D416="","",IF(L416&lt;=0.004,"bezahlt",IF(TODAY()&gt;F416,"ÜBERFÄLLIG",IF(AND(I416&lt;&gt;"",TODAY()&lt;=I416),"Skonto nutzen bis "&amp;TEXT(I416,"DD.MM."),"fällig in "&amp;(F416-TODAY())&amp;" Tagen"))))</f>
        <v/>
      </c>
    </row>
    <row r="417" customFormat="false" ht="15" hidden="false" customHeight="false" outlineLevel="0" collapsed="false">
      <c r="A417" s="32"/>
      <c r="B417" s="32"/>
      <c r="C417" s="33"/>
      <c r="D417" s="30"/>
      <c r="E417" s="32"/>
      <c r="F417" s="44" t="str">
        <f aca="false">IF(C417="","",C417+IF(E417="",30,E417))</f>
        <v/>
      </c>
      <c r="G417" s="45"/>
      <c r="H417" s="32"/>
      <c r="I417" s="44" t="str">
        <f aca="false">IF(OR(C417="",G417=""),"",C417+H417)</f>
        <v/>
      </c>
      <c r="J417" s="33"/>
      <c r="K417" s="30"/>
      <c r="L417" s="31" t="str">
        <f aca="false">IF(D417="","",D417-N(K417))</f>
        <v/>
      </c>
      <c r="M417" s="35" t="str">
        <f aca="true">IF(D417="","",IF(L417&lt;=0.004,"bezahlt",IF(TODAY()&gt;F417,"ÜBERFÄLLIG",IF(AND(I417&lt;&gt;"",TODAY()&lt;=I417),"Skonto nutzen bis "&amp;TEXT(I417,"DD.MM."),"fällig in "&amp;(F417-TODAY())&amp;" Tagen"))))</f>
        <v/>
      </c>
    </row>
    <row r="418" customFormat="false" ht="15" hidden="false" customHeight="false" outlineLevel="0" collapsed="false">
      <c r="A418" s="32"/>
      <c r="B418" s="32"/>
      <c r="C418" s="33"/>
      <c r="D418" s="30"/>
      <c r="E418" s="32"/>
      <c r="F418" s="44" t="str">
        <f aca="false">IF(C418="","",C418+IF(E418="",30,E418))</f>
        <v/>
      </c>
      <c r="G418" s="45"/>
      <c r="H418" s="32"/>
      <c r="I418" s="44" t="str">
        <f aca="false">IF(OR(C418="",G418=""),"",C418+H418)</f>
        <v/>
      </c>
      <c r="J418" s="33"/>
      <c r="K418" s="30"/>
      <c r="L418" s="31" t="str">
        <f aca="false">IF(D418="","",D418-N(K418))</f>
        <v/>
      </c>
      <c r="M418" s="35" t="str">
        <f aca="true">IF(D418="","",IF(L418&lt;=0.004,"bezahlt",IF(TODAY()&gt;F418,"ÜBERFÄLLIG",IF(AND(I418&lt;&gt;"",TODAY()&lt;=I418),"Skonto nutzen bis "&amp;TEXT(I418,"DD.MM."),"fällig in "&amp;(F418-TODAY())&amp;" Tagen"))))</f>
        <v/>
      </c>
    </row>
    <row r="419" customFormat="false" ht="15" hidden="false" customHeight="false" outlineLevel="0" collapsed="false">
      <c r="A419" s="32"/>
      <c r="B419" s="32"/>
      <c r="C419" s="33"/>
      <c r="D419" s="30"/>
      <c r="E419" s="32"/>
      <c r="F419" s="44" t="str">
        <f aca="false">IF(C419="","",C419+IF(E419="",30,E419))</f>
        <v/>
      </c>
      <c r="G419" s="45"/>
      <c r="H419" s="32"/>
      <c r="I419" s="44" t="str">
        <f aca="false">IF(OR(C419="",G419=""),"",C419+H419)</f>
        <v/>
      </c>
      <c r="J419" s="33"/>
      <c r="K419" s="30"/>
      <c r="L419" s="31" t="str">
        <f aca="false">IF(D419="","",D419-N(K419))</f>
        <v/>
      </c>
      <c r="M419" s="35" t="str">
        <f aca="true">IF(D419="","",IF(L419&lt;=0.004,"bezahlt",IF(TODAY()&gt;F419,"ÜBERFÄLLIG",IF(AND(I419&lt;&gt;"",TODAY()&lt;=I419),"Skonto nutzen bis "&amp;TEXT(I419,"DD.MM."),"fällig in "&amp;(F419-TODAY())&amp;" Tagen"))))</f>
        <v/>
      </c>
    </row>
    <row r="420" customFormat="false" ht="15" hidden="false" customHeight="false" outlineLevel="0" collapsed="false">
      <c r="A420" s="32"/>
      <c r="B420" s="32"/>
      <c r="C420" s="33"/>
      <c r="D420" s="30"/>
      <c r="E420" s="32"/>
      <c r="F420" s="44" t="str">
        <f aca="false">IF(C420="","",C420+IF(E420="",30,E420))</f>
        <v/>
      </c>
      <c r="G420" s="45"/>
      <c r="H420" s="32"/>
      <c r="I420" s="44" t="str">
        <f aca="false">IF(OR(C420="",G420=""),"",C420+H420)</f>
        <v/>
      </c>
      <c r="J420" s="33"/>
      <c r="K420" s="30"/>
      <c r="L420" s="31" t="str">
        <f aca="false">IF(D420="","",D420-N(K420))</f>
        <v/>
      </c>
      <c r="M420" s="35" t="str">
        <f aca="true">IF(D420="","",IF(L420&lt;=0.004,"bezahlt",IF(TODAY()&gt;F420,"ÜBERFÄLLIG",IF(AND(I420&lt;&gt;"",TODAY()&lt;=I420),"Skonto nutzen bis "&amp;TEXT(I420,"DD.MM."),"fällig in "&amp;(F420-TODAY())&amp;" Tagen"))))</f>
        <v/>
      </c>
    </row>
    <row r="421" customFormat="false" ht="15" hidden="false" customHeight="false" outlineLevel="0" collapsed="false">
      <c r="A421" s="32"/>
      <c r="B421" s="32"/>
      <c r="C421" s="33"/>
      <c r="D421" s="30"/>
      <c r="E421" s="32"/>
      <c r="F421" s="44" t="str">
        <f aca="false">IF(C421="","",C421+IF(E421="",30,E421))</f>
        <v/>
      </c>
      <c r="G421" s="45"/>
      <c r="H421" s="32"/>
      <c r="I421" s="44" t="str">
        <f aca="false">IF(OR(C421="",G421=""),"",C421+H421)</f>
        <v/>
      </c>
      <c r="J421" s="33"/>
      <c r="K421" s="30"/>
      <c r="L421" s="31" t="str">
        <f aca="false">IF(D421="","",D421-N(K421))</f>
        <v/>
      </c>
      <c r="M421" s="35" t="str">
        <f aca="true">IF(D421="","",IF(L421&lt;=0.004,"bezahlt",IF(TODAY()&gt;F421,"ÜBERFÄLLIG",IF(AND(I421&lt;&gt;"",TODAY()&lt;=I421),"Skonto nutzen bis "&amp;TEXT(I421,"DD.MM."),"fällig in "&amp;(F421-TODAY())&amp;" Tagen"))))</f>
        <v/>
      </c>
    </row>
    <row r="422" customFormat="false" ht="15" hidden="false" customHeight="false" outlineLevel="0" collapsed="false">
      <c r="A422" s="32"/>
      <c r="B422" s="32"/>
      <c r="C422" s="33"/>
      <c r="D422" s="30"/>
      <c r="E422" s="32"/>
      <c r="F422" s="44" t="str">
        <f aca="false">IF(C422="","",C422+IF(E422="",30,E422))</f>
        <v/>
      </c>
      <c r="G422" s="45"/>
      <c r="H422" s="32"/>
      <c r="I422" s="44" t="str">
        <f aca="false">IF(OR(C422="",G422=""),"",C422+H422)</f>
        <v/>
      </c>
      <c r="J422" s="33"/>
      <c r="K422" s="30"/>
      <c r="L422" s="31" t="str">
        <f aca="false">IF(D422="","",D422-N(K422))</f>
        <v/>
      </c>
      <c r="M422" s="35" t="str">
        <f aca="true">IF(D422="","",IF(L422&lt;=0.004,"bezahlt",IF(TODAY()&gt;F422,"ÜBERFÄLLIG",IF(AND(I422&lt;&gt;"",TODAY()&lt;=I422),"Skonto nutzen bis "&amp;TEXT(I422,"DD.MM."),"fällig in "&amp;(F422-TODAY())&amp;" Tagen"))))</f>
        <v/>
      </c>
    </row>
    <row r="423" customFormat="false" ht="15" hidden="false" customHeight="false" outlineLevel="0" collapsed="false">
      <c r="A423" s="32"/>
      <c r="B423" s="32"/>
      <c r="C423" s="33"/>
      <c r="D423" s="30"/>
      <c r="E423" s="32"/>
      <c r="F423" s="44" t="str">
        <f aca="false">IF(C423="","",C423+IF(E423="",30,E423))</f>
        <v/>
      </c>
      <c r="G423" s="45"/>
      <c r="H423" s="32"/>
      <c r="I423" s="44" t="str">
        <f aca="false">IF(OR(C423="",G423=""),"",C423+H423)</f>
        <v/>
      </c>
      <c r="J423" s="33"/>
      <c r="K423" s="30"/>
      <c r="L423" s="31" t="str">
        <f aca="false">IF(D423="","",D423-N(K423))</f>
        <v/>
      </c>
      <c r="M423" s="35" t="str">
        <f aca="true">IF(D423="","",IF(L423&lt;=0.004,"bezahlt",IF(TODAY()&gt;F423,"ÜBERFÄLLIG",IF(AND(I423&lt;&gt;"",TODAY()&lt;=I423),"Skonto nutzen bis "&amp;TEXT(I423,"DD.MM."),"fällig in "&amp;(F423-TODAY())&amp;" Tagen"))))</f>
        <v/>
      </c>
    </row>
    <row r="424" customFormat="false" ht="15" hidden="false" customHeight="false" outlineLevel="0" collapsed="false">
      <c r="A424" s="32"/>
      <c r="B424" s="32"/>
      <c r="C424" s="33"/>
      <c r="D424" s="30"/>
      <c r="E424" s="32"/>
      <c r="F424" s="44" t="str">
        <f aca="false">IF(C424="","",C424+IF(E424="",30,E424))</f>
        <v/>
      </c>
      <c r="G424" s="45"/>
      <c r="H424" s="32"/>
      <c r="I424" s="44" t="str">
        <f aca="false">IF(OR(C424="",G424=""),"",C424+H424)</f>
        <v/>
      </c>
      <c r="J424" s="33"/>
      <c r="K424" s="30"/>
      <c r="L424" s="31" t="str">
        <f aca="false">IF(D424="","",D424-N(K424))</f>
        <v/>
      </c>
      <c r="M424" s="35" t="str">
        <f aca="true">IF(D424="","",IF(L424&lt;=0.004,"bezahlt",IF(TODAY()&gt;F424,"ÜBERFÄLLIG",IF(AND(I424&lt;&gt;"",TODAY()&lt;=I424),"Skonto nutzen bis "&amp;TEXT(I424,"DD.MM."),"fällig in "&amp;(F424-TODAY())&amp;" Tagen"))))</f>
        <v/>
      </c>
    </row>
    <row r="425" customFormat="false" ht="15" hidden="false" customHeight="false" outlineLevel="0" collapsed="false">
      <c r="A425" s="32"/>
      <c r="B425" s="32"/>
      <c r="C425" s="33"/>
      <c r="D425" s="30"/>
      <c r="E425" s="32"/>
      <c r="F425" s="44" t="str">
        <f aca="false">IF(C425="","",C425+IF(E425="",30,E425))</f>
        <v/>
      </c>
      <c r="G425" s="45"/>
      <c r="H425" s="32"/>
      <c r="I425" s="44" t="str">
        <f aca="false">IF(OR(C425="",G425=""),"",C425+H425)</f>
        <v/>
      </c>
      <c r="J425" s="33"/>
      <c r="K425" s="30"/>
      <c r="L425" s="31" t="str">
        <f aca="false">IF(D425="","",D425-N(K425))</f>
        <v/>
      </c>
      <c r="M425" s="35" t="str">
        <f aca="true">IF(D425="","",IF(L425&lt;=0.004,"bezahlt",IF(TODAY()&gt;F425,"ÜBERFÄLLIG",IF(AND(I425&lt;&gt;"",TODAY()&lt;=I425),"Skonto nutzen bis "&amp;TEXT(I425,"DD.MM."),"fällig in "&amp;(F425-TODAY())&amp;" Tagen"))))</f>
        <v/>
      </c>
    </row>
    <row r="426" customFormat="false" ht="15" hidden="false" customHeight="false" outlineLevel="0" collapsed="false">
      <c r="A426" s="32"/>
      <c r="B426" s="32"/>
      <c r="C426" s="33"/>
      <c r="D426" s="30"/>
      <c r="E426" s="32"/>
      <c r="F426" s="44" t="str">
        <f aca="false">IF(C426="","",C426+IF(E426="",30,E426))</f>
        <v/>
      </c>
      <c r="G426" s="45"/>
      <c r="H426" s="32"/>
      <c r="I426" s="44" t="str">
        <f aca="false">IF(OR(C426="",G426=""),"",C426+H426)</f>
        <v/>
      </c>
      <c r="J426" s="33"/>
      <c r="K426" s="30"/>
      <c r="L426" s="31" t="str">
        <f aca="false">IF(D426="","",D426-N(K426))</f>
        <v/>
      </c>
      <c r="M426" s="35" t="str">
        <f aca="true">IF(D426="","",IF(L426&lt;=0.004,"bezahlt",IF(TODAY()&gt;F426,"ÜBERFÄLLIG",IF(AND(I426&lt;&gt;"",TODAY()&lt;=I426),"Skonto nutzen bis "&amp;TEXT(I426,"DD.MM."),"fällig in "&amp;(F426-TODAY())&amp;" Tagen"))))</f>
        <v/>
      </c>
    </row>
    <row r="427" customFormat="false" ht="15" hidden="false" customHeight="false" outlineLevel="0" collapsed="false">
      <c r="A427" s="32"/>
      <c r="B427" s="32"/>
      <c r="C427" s="33"/>
      <c r="D427" s="30"/>
      <c r="E427" s="32"/>
      <c r="F427" s="44" t="str">
        <f aca="false">IF(C427="","",C427+IF(E427="",30,E427))</f>
        <v/>
      </c>
      <c r="G427" s="45"/>
      <c r="H427" s="32"/>
      <c r="I427" s="44" t="str">
        <f aca="false">IF(OR(C427="",G427=""),"",C427+H427)</f>
        <v/>
      </c>
      <c r="J427" s="33"/>
      <c r="K427" s="30"/>
      <c r="L427" s="31" t="str">
        <f aca="false">IF(D427="","",D427-N(K427))</f>
        <v/>
      </c>
      <c r="M427" s="35" t="str">
        <f aca="true">IF(D427="","",IF(L427&lt;=0.004,"bezahlt",IF(TODAY()&gt;F427,"ÜBERFÄLLIG",IF(AND(I427&lt;&gt;"",TODAY()&lt;=I427),"Skonto nutzen bis "&amp;TEXT(I427,"DD.MM."),"fällig in "&amp;(F427-TODAY())&amp;" Tagen"))))</f>
        <v/>
      </c>
    </row>
    <row r="428" customFormat="false" ht="15" hidden="false" customHeight="false" outlineLevel="0" collapsed="false">
      <c r="A428" s="32"/>
      <c r="B428" s="32"/>
      <c r="C428" s="33"/>
      <c r="D428" s="30"/>
      <c r="E428" s="32"/>
      <c r="F428" s="44" t="str">
        <f aca="false">IF(C428="","",C428+IF(E428="",30,E428))</f>
        <v/>
      </c>
      <c r="G428" s="45"/>
      <c r="H428" s="32"/>
      <c r="I428" s="44" t="str">
        <f aca="false">IF(OR(C428="",G428=""),"",C428+H428)</f>
        <v/>
      </c>
      <c r="J428" s="33"/>
      <c r="K428" s="30"/>
      <c r="L428" s="31" t="str">
        <f aca="false">IF(D428="","",D428-N(K428))</f>
        <v/>
      </c>
      <c r="M428" s="35" t="str">
        <f aca="true">IF(D428="","",IF(L428&lt;=0.004,"bezahlt",IF(TODAY()&gt;F428,"ÜBERFÄLLIG",IF(AND(I428&lt;&gt;"",TODAY()&lt;=I428),"Skonto nutzen bis "&amp;TEXT(I428,"DD.MM."),"fällig in "&amp;(F428-TODAY())&amp;" Tagen"))))</f>
        <v/>
      </c>
    </row>
    <row r="429" customFormat="false" ht="15" hidden="false" customHeight="false" outlineLevel="0" collapsed="false">
      <c r="A429" s="32"/>
      <c r="B429" s="32"/>
      <c r="C429" s="33"/>
      <c r="D429" s="30"/>
      <c r="E429" s="32"/>
      <c r="F429" s="44" t="str">
        <f aca="false">IF(C429="","",C429+IF(E429="",30,E429))</f>
        <v/>
      </c>
      <c r="G429" s="45"/>
      <c r="H429" s="32"/>
      <c r="I429" s="44" t="str">
        <f aca="false">IF(OR(C429="",G429=""),"",C429+H429)</f>
        <v/>
      </c>
      <c r="J429" s="33"/>
      <c r="K429" s="30"/>
      <c r="L429" s="31" t="str">
        <f aca="false">IF(D429="","",D429-N(K429))</f>
        <v/>
      </c>
      <c r="M429" s="35" t="str">
        <f aca="true">IF(D429="","",IF(L429&lt;=0.004,"bezahlt",IF(TODAY()&gt;F429,"ÜBERFÄLLIG",IF(AND(I429&lt;&gt;"",TODAY()&lt;=I429),"Skonto nutzen bis "&amp;TEXT(I429,"DD.MM."),"fällig in "&amp;(F429-TODAY())&amp;" Tagen"))))</f>
        <v/>
      </c>
    </row>
    <row r="430" customFormat="false" ht="15" hidden="false" customHeight="false" outlineLevel="0" collapsed="false">
      <c r="A430" s="32"/>
      <c r="B430" s="32"/>
      <c r="C430" s="33"/>
      <c r="D430" s="30"/>
      <c r="E430" s="32"/>
      <c r="F430" s="44" t="str">
        <f aca="false">IF(C430="","",C430+IF(E430="",30,E430))</f>
        <v/>
      </c>
      <c r="G430" s="45"/>
      <c r="H430" s="32"/>
      <c r="I430" s="44" t="str">
        <f aca="false">IF(OR(C430="",G430=""),"",C430+H430)</f>
        <v/>
      </c>
      <c r="J430" s="33"/>
      <c r="K430" s="30"/>
      <c r="L430" s="31" t="str">
        <f aca="false">IF(D430="","",D430-N(K430))</f>
        <v/>
      </c>
      <c r="M430" s="35" t="str">
        <f aca="true">IF(D430="","",IF(L430&lt;=0.004,"bezahlt",IF(TODAY()&gt;F430,"ÜBERFÄLLIG",IF(AND(I430&lt;&gt;"",TODAY()&lt;=I430),"Skonto nutzen bis "&amp;TEXT(I430,"DD.MM."),"fällig in "&amp;(F430-TODAY())&amp;" Tagen"))))</f>
        <v/>
      </c>
    </row>
    <row r="431" customFormat="false" ht="15" hidden="false" customHeight="false" outlineLevel="0" collapsed="false">
      <c r="A431" s="32"/>
      <c r="B431" s="32"/>
      <c r="C431" s="33"/>
      <c r="D431" s="30"/>
      <c r="E431" s="32"/>
      <c r="F431" s="44" t="str">
        <f aca="false">IF(C431="","",C431+IF(E431="",30,E431))</f>
        <v/>
      </c>
      <c r="G431" s="45"/>
      <c r="H431" s="32"/>
      <c r="I431" s="44" t="str">
        <f aca="false">IF(OR(C431="",G431=""),"",C431+H431)</f>
        <v/>
      </c>
      <c r="J431" s="33"/>
      <c r="K431" s="30"/>
      <c r="L431" s="31" t="str">
        <f aca="false">IF(D431="","",D431-N(K431))</f>
        <v/>
      </c>
      <c r="M431" s="35" t="str">
        <f aca="true">IF(D431="","",IF(L431&lt;=0.004,"bezahlt",IF(TODAY()&gt;F431,"ÜBERFÄLLIG",IF(AND(I431&lt;&gt;"",TODAY()&lt;=I431),"Skonto nutzen bis "&amp;TEXT(I431,"DD.MM."),"fällig in "&amp;(F431-TODAY())&amp;" Tagen"))))</f>
        <v/>
      </c>
    </row>
    <row r="432" customFormat="false" ht="15" hidden="false" customHeight="false" outlineLevel="0" collapsed="false">
      <c r="A432" s="32"/>
      <c r="B432" s="32"/>
      <c r="C432" s="33"/>
      <c r="D432" s="30"/>
      <c r="E432" s="32"/>
      <c r="F432" s="44" t="str">
        <f aca="false">IF(C432="","",C432+IF(E432="",30,E432))</f>
        <v/>
      </c>
      <c r="G432" s="45"/>
      <c r="H432" s="32"/>
      <c r="I432" s="44" t="str">
        <f aca="false">IF(OR(C432="",G432=""),"",C432+H432)</f>
        <v/>
      </c>
      <c r="J432" s="33"/>
      <c r="K432" s="30"/>
      <c r="L432" s="31" t="str">
        <f aca="false">IF(D432="","",D432-N(K432))</f>
        <v/>
      </c>
      <c r="M432" s="35" t="str">
        <f aca="true">IF(D432="","",IF(L432&lt;=0.004,"bezahlt",IF(TODAY()&gt;F432,"ÜBERFÄLLIG",IF(AND(I432&lt;&gt;"",TODAY()&lt;=I432),"Skonto nutzen bis "&amp;TEXT(I432,"DD.MM."),"fällig in "&amp;(F432-TODAY())&amp;" Tagen"))))</f>
        <v/>
      </c>
    </row>
    <row r="433" customFormat="false" ht="15" hidden="false" customHeight="false" outlineLevel="0" collapsed="false">
      <c r="A433" s="32"/>
      <c r="B433" s="32"/>
      <c r="C433" s="33"/>
      <c r="D433" s="30"/>
      <c r="E433" s="32"/>
      <c r="F433" s="44" t="str">
        <f aca="false">IF(C433="","",C433+IF(E433="",30,E433))</f>
        <v/>
      </c>
      <c r="G433" s="45"/>
      <c r="H433" s="32"/>
      <c r="I433" s="44" t="str">
        <f aca="false">IF(OR(C433="",G433=""),"",C433+H433)</f>
        <v/>
      </c>
      <c r="J433" s="33"/>
      <c r="K433" s="30"/>
      <c r="L433" s="31" t="str">
        <f aca="false">IF(D433="","",D433-N(K433))</f>
        <v/>
      </c>
      <c r="M433" s="35" t="str">
        <f aca="true">IF(D433="","",IF(L433&lt;=0.004,"bezahlt",IF(TODAY()&gt;F433,"ÜBERFÄLLIG",IF(AND(I433&lt;&gt;"",TODAY()&lt;=I433),"Skonto nutzen bis "&amp;TEXT(I433,"DD.MM."),"fällig in "&amp;(F433-TODAY())&amp;" Tagen"))))</f>
        <v/>
      </c>
    </row>
    <row r="434" customFormat="false" ht="15" hidden="false" customHeight="false" outlineLevel="0" collapsed="false">
      <c r="A434" s="32"/>
      <c r="B434" s="32"/>
      <c r="C434" s="33"/>
      <c r="D434" s="30"/>
      <c r="E434" s="32"/>
      <c r="F434" s="44" t="str">
        <f aca="false">IF(C434="","",C434+IF(E434="",30,E434))</f>
        <v/>
      </c>
      <c r="G434" s="45"/>
      <c r="H434" s="32"/>
      <c r="I434" s="44" t="str">
        <f aca="false">IF(OR(C434="",G434=""),"",C434+H434)</f>
        <v/>
      </c>
      <c r="J434" s="33"/>
      <c r="K434" s="30"/>
      <c r="L434" s="31" t="str">
        <f aca="false">IF(D434="","",D434-N(K434))</f>
        <v/>
      </c>
      <c r="M434" s="35" t="str">
        <f aca="true">IF(D434="","",IF(L434&lt;=0.004,"bezahlt",IF(TODAY()&gt;F434,"ÜBERFÄLLIG",IF(AND(I434&lt;&gt;"",TODAY()&lt;=I434),"Skonto nutzen bis "&amp;TEXT(I434,"DD.MM."),"fällig in "&amp;(F434-TODAY())&amp;" Tagen"))))</f>
        <v/>
      </c>
    </row>
    <row r="435" customFormat="false" ht="15" hidden="false" customHeight="false" outlineLevel="0" collapsed="false">
      <c r="A435" s="32"/>
      <c r="B435" s="32"/>
      <c r="C435" s="33"/>
      <c r="D435" s="30"/>
      <c r="E435" s="32"/>
      <c r="F435" s="44" t="str">
        <f aca="false">IF(C435="","",C435+IF(E435="",30,E435))</f>
        <v/>
      </c>
      <c r="G435" s="45"/>
      <c r="H435" s="32"/>
      <c r="I435" s="44" t="str">
        <f aca="false">IF(OR(C435="",G435=""),"",C435+H435)</f>
        <v/>
      </c>
      <c r="J435" s="33"/>
      <c r="K435" s="30"/>
      <c r="L435" s="31" t="str">
        <f aca="false">IF(D435="","",D435-N(K435))</f>
        <v/>
      </c>
      <c r="M435" s="35" t="str">
        <f aca="true">IF(D435="","",IF(L435&lt;=0.004,"bezahlt",IF(TODAY()&gt;F435,"ÜBERFÄLLIG",IF(AND(I435&lt;&gt;"",TODAY()&lt;=I435),"Skonto nutzen bis "&amp;TEXT(I435,"DD.MM."),"fällig in "&amp;(F435-TODAY())&amp;" Tagen"))))</f>
        <v/>
      </c>
    </row>
    <row r="436" customFormat="false" ht="15" hidden="false" customHeight="false" outlineLevel="0" collapsed="false">
      <c r="A436" s="32"/>
      <c r="B436" s="32"/>
      <c r="C436" s="33"/>
      <c r="D436" s="30"/>
      <c r="E436" s="32"/>
      <c r="F436" s="44" t="str">
        <f aca="false">IF(C436="","",C436+IF(E436="",30,E436))</f>
        <v/>
      </c>
      <c r="G436" s="45"/>
      <c r="H436" s="32"/>
      <c r="I436" s="44" t="str">
        <f aca="false">IF(OR(C436="",G436=""),"",C436+H436)</f>
        <v/>
      </c>
      <c r="J436" s="33"/>
      <c r="K436" s="30"/>
      <c r="L436" s="31" t="str">
        <f aca="false">IF(D436="","",D436-N(K436))</f>
        <v/>
      </c>
      <c r="M436" s="35" t="str">
        <f aca="true">IF(D436="","",IF(L436&lt;=0.004,"bezahlt",IF(TODAY()&gt;F436,"ÜBERFÄLLIG",IF(AND(I436&lt;&gt;"",TODAY()&lt;=I436),"Skonto nutzen bis "&amp;TEXT(I436,"DD.MM."),"fällig in "&amp;(F436-TODAY())&amp;" Tagen"))))</f>
        <v/>
      </c>
    </row>
    <row r="437" customFormat="false" ht="15" hidden="false" customHeight="false" outlineLevel="0" collapsed="false">
      <c r="A437" s="32"/>
      <c r="B437" s="32"/>
      <c r="C437" s="33"/>
      <c r="D437" s="30"/>
      <c r="E437" s="32"/>
      <c r="F437" s="44" t="str">
        <f aca="false">IF(C437="","",C437+IF(E437="",30,E437))</f>
        <v/>
      </c>
      <c r="G437" s="45"/>
      <c r="H437" s="32"/>
      <c r="I437" s="44" t="str">
        <f aca="false">IF(OR(C437="",G437=""),"",C437+H437)</f>
        <v/>
      </c>
      <c r="J437" s="33"/>
      <c r="K437" s="30"/>
      <c r="L437" s="31" t="str">
        <f aca="false">IF(D437="","",D437-N(K437))</f>
        <v/>
      </c>
      <c r="M437" s="35" t="str">
        <f aca="true">IF(D437="","",IF(L437&lt;=0.004,"bezahlt",IF(TODAY()&gt;F437,"ÜBERFÄLLIG",IF(AND(I437&lt;&gt;"",TODAY()&lt;=I437),"Skonto nutzen bis "&amp;TEXT(I437,"DD.MM."),"fällig in "&amp;(F437-TODAY())&amp;" Tagen"))))</f>
        <v/>
      </c>
    </row>
    <row r="438" customFormat="false" ht="15" hidden="false" customHeight="false" outlineLevel="0" collapsed="false">
      <c r="A438" s="32"/>
      <c r="B438" s="32"/>
      <c r="C438" s="33"/>
      <c r="D438" s="30"/>
      <c r="E438" s="32"/>
      <c r="F438" s="44" t="str">
        <f aca="false">IF(C438="","",C438+IF(E438="",30,E438))</f>
        <v/>
      </c>
      <c r="G438" s="45"/>
      <c r="H438" s="32"/>
      <c r="I438" s="44" t="str">
        <f aca="false">IF(OR(C438="",G438=""),"",C438+H438)</f>
        <v/>
      </c>
      <c r="J438" s="33"/>
      <c r="K438" s="30"/>
      <c r="L438" s="31" t="str">
        <f aca="false">IF(D438="","",D438-N(K438))</f>
        <v/>
      </c>
      <c r="M438" s="35" t="str">
        <f aca="true">IF(D438="","",IF(L438&lt;=0.004,"bezahlt",IF(TODAY()&gt;F438,"ÜBERFÄLLIG",IF(AND(I438&lt;&gt;"",TODAY()&lt;=I438),"Skonto nutzen bis "&amp;TEXT(I438,"DD.MM."),"fällig in "&amp;(F438-TODAY())&amp;" Tagen"))))</f>
        <v/>
      </c>
    </row>
    <row r="439" customFormat="false" ht="15" hidden="false" customHeight="false" outlineLevel="0" collapsed="false">
      <c r="A439" s="32"/>
      <c r="B439" s="32"/>
      <c r="C439" s="33"/>
      <c r="D439" s="30"/>
      <c r="E439" s="32"/>
      <c r="F439" s="44" t="str">
        <f aca="false">IF(C439="","",C439+IF(E439="",30,E439))</f>
        <v/>
      </c>
      <c r="G439" s="45"/>
      <c r="H439" s="32"/>
      <c r="I439" s="44" t="str">
        <f aca="false">IF(OR(C439="",G439=""),"",C439+H439)</f>
        <v/>
      </c>
      <c r="J439" s="33"/>
      <c r="K439" s="30"/>
      <c r="L439" s="31" t="str">
        <f aca="false">IF(D439="","",D439-N(K439))</f>
        <v/>
      </c>
      <c r="M439" s="35" t="str">
        <f aca="true">IF(D439="","",IF(L439&lt;=0.004,"bezahlt",IF(TODAY()&gt;F439,"ÜBERFÄLLIG",IF(AND(I439&lt;&gt;"",TODAY()&lt;=I439),"Skonto nutzen bis "&amp;TEXT(I439,"DD.MM."),"fällig in "&amp;(F439-TODAY())&amp;" Tagen"))))</f>
        <v/>
      </c>
    </row>
    <row r="440" customFormat="false" ht="15" hidden="false" customHeight="false" outlineLevel="0" collapsed="false">
      <c r="A440" s="32"/>
      <c r="B440" s="32"/>
      <c r="C440" s="33"/>
      <c r="D440" s="30"/>
      <c r="E440" s="32"/>
      <c r="F440" s="44" t="str">
        <f aca="false">IF(C440="","",C440+IF(E440="",30,E440))</f>
        <v/>
      </c>
      <c r="G440" s="45"/>
      <c r="H440" s="32"/>
      <c r="I440" s="44" t="str">
        <f aca="false">IF(OR(C440="",G440=""),"",C440+H440)</f>
        <v/>
      </c>
      <c r="J440" s="33"/>
      <c r="K440" s="30"/>
      <c r="L440" s="31" t="str">
        <f aca="false">IF(D440="","",D440-N(K440))</f>
        <v/>
      </c>
      <c r="M440" s="35" t="str">
        <f aca="true">IF(D440="","",IF(L440&lt;=0.004,"bezahlt",IF(TODAY()&gt;F440,"ÜBERFÄLLIG",IF(AND(I440&lt;&gt;"",TODAY()&lt;=I440),"Skonto nutzen bis "&amp;TEXT(I440,"DD.MM."),"fällig in "&amp;(F440-TODAY())&amp;" Tagen"))))</f>
        <v/>
      </c>
    </row>
    <row r="441" customFormat="false" ht="15" hidden="false" customHeight="false" outlineLevel="0" collapsed="false">
      <c r="A441" s="32"/>
      <c r="B441" s="32"/>
      <c r="C441" s="33"/>
      <c r="D441" s="30"/>
      <c r="E441" s="32"/>
      <c r="F441" s="44" t="str">
        <f aca="false">IF(C441="","",C441+IF(E441="",30,E441))</f>
        <v/>
      </c>
      <c r="G441" s="45"/>
      <c r="H441" s="32"/>
      <c r="I441" s="44" t="str">
        <f aca="false">IF(OR(C441="",G441=""),"",C441+H441)</f>
        <v/>
      </c>
      <c r="J441" s="33"/>
      <c r="K441" s="30"/>
      <c r="L441" s="31" t="str">
        <f aca="false">IF(D441="","",D441-N(K441))</f>
        <v/>
      </c>
      <c r="M441" s="35" t="str">
        <f aca="true">IF(D441="","",IF(L441&lt;=0.004,"bezahlt",IF(TODAY()&gt;F441,"ÜBERFÄLLIG",IF(AND(I441&lt;&gt;"",TODAY()&lt;=I441),"Skonto nutzen bis "&amp;TEXT(I441,"DD.MM."),"fällig in "&amp;(F441-TODAY())&amp;" Tagen"))))</f>
        <v/>
      </c>
    </row>
    <row r="442" customFormat="false" ht="15" hidden="false" customHeight="false" outlineLevel="0" collapsed="false">
      <c r="A442" s="32"/>
      <c r="B442" s="32"/>
      <c r="C442" s="33"/>
      <c r="D442" s="30"/>
      <c r="E442" s="32"/>
      <c r="F442" s="44" t="str">
        <f aca="false">IF(C442="","",C442+IF(E442="",30,E442))</f>
        <v/>
      </c>
      <c r="G442" s="45"/>
      <c r="H442" s="32"/>
      <c r="I442" s="44" t="str">
        <f aca="false">IF(OR(C442="",G442=""),"",C442+H442)</f>
        <v/>
      </c>
      <c r="J442" s="33"/>
      <c r="K442" s="30"/>
      <c r="L442" s="31" t="str">
        <f aca="false">IF(D442="","",D442-N(K442))</f>
        <v/>
      </c>
      <c r="M442" s="35" t="str">
        <f aca="true">IF(D442="","",IF(L442&lt;=0.004,"bezahlt",IF(TODAY()&gt;F442,"ÜBERFÄLLIG",IF(AND(I442&lt;&gt;"",TODAY()&lt;=I442),"Skonto nutzen bis "&amp;TEXT(I442,"DD.MM."),"fällig in "&amp;(F442-TODAY())&amp;" Tagen"))))</f>
        <v/>
      </c>
    </row>
    <row r="443" customFormat="false" ht="15" hidden="false" customHeight="false" outlineLevel="0" collapsed="false">
      <c r="A443" s="32"/>
      <c r="B443" s="32"/>
      <c r="C443" s="33"/>
      <c r="D443" s="30"/>
      <c r="E443" s="32"/>
      <c r="F443" s="44" t="str">
        <f aca="false">IF(C443="","",C443+IF(E443="",30,E443))</f>
        <v/>
      </c>
      <c r="G443" s="45"/>
      <c r="H443" s="32"/>
      <c r="I443" s="44" t="str">
        <f aca="false">IF(OR(C443="",G443=""),"",C443+H443)</f>
        <v/>
      </c>
      <c r="J443" s="33"/>
      <c r="K443" s="30"/>
      <c r="L443" s="31" t="str">
        <f aca="false">IF(D443="","",D443-N(K443))</f>
        <v/>
      </c>
      <c r="M443" s="35" t="str">
        <f aca="true">IF(D443="","",IF(L443&lt;=0.004,"bezahlt",IF(TODAY()&gt;F443,"ÜBERFÄLLIG",IF(AND(I443&lt;&gt;"",TODAY()&lt;=I443),"Skonto nutzen bis "&amp;TEXT(I443,"DD.MM."),"fällig in "&amp;(F443-TODAY())&amp;" Tagen"))))</f>
        <v/>
      </c>
    </row>
    <row r="444" customFormat="false" ht="15" hidden="false" customHeight="false" outlineLevel="0" collapsed="false">
      <c r="A444" s="32"/>
      <c r="B444" s="32"/>
      <c r="C444" s="33"/>
      <c r="D444" s="30"/>
      <c r="E444" s="32"/>
      <c r="F444" s="44" t="str">
        <f aca="false">IF(C444="","",C444+IF(E444="",30,E444))</f>
        <v/>
      </c>
      <c r="G444" s="45"/>
      <c r="H444" s="32"/>
      <c r="I444" s="44" t="str">
        <f aca="false">IF(OR(C444="",G444=""),"",C444+H444)</f>
        <v/>
      </c>
      <c r="J444" s="33"/>
      <c r="K444" s="30"/>
      <c r="L444" s="31" t="str">
        <f aca="false">IF(D444="","",D444-N(K444))</f>
        <v/>
      </c>
      <c r="M444" s="35" t="str">
        <f aca="true">IF(D444="","",IF(L444&lt;=0.004,"bezahlt",IF(TODAY()&gt;F444,"ÜBERFÄLLIG",IF(AND(I444&lt;&gt;"",TODAY()&lt;=I444),"Skonto nutzen bis "&amp;TEXT(I444,"DD.MM."),"fällig in "&amp;(F444-TODAY())&amp;" Tagen"))))</f>
        <v/>
      </c>
    </row>
    <row r="445" customFormat="false" ht="15" hidden="false" customHeight="false" outlineLevel="0" collapsed="false">
      <c r="A445" s="32"/>
      <c r="B445" s="32"/>
      <c r="C445" s="33"/>
      <c r="D445" s="30"/>
      <c r="E445" s="32"/>
      <c r="F445" s="44" t="str">
        <f aca="false">IF(C445="","",C445+IF(E445="",30,E445))</f>
        <v/>
      </c>
      <c r="G445" s="45"/>
      <c r="H445" s="32"/>
      <c r="I445" s="44" t="str">
        <f aca="false">IF(OR(C445="",G445=""),"",C445+H445)</f>
        <v/>
      </c>
      <c r="J445" s="33"/>
      <c r="K445" s="30"/>
      <c r="L445" s="31" t="str">
        <f aca="false">IF(D445="","",D445-N(K445))</f>
        <v/>
      </c>
      <c r="M445" s="35" t="str">
        <f aca="true">IF(D445="","",IF(L445&lt;=0.004,"bezahlt",IF(TODAY()&gt;F445,"ÜBERFÄLLIG",IF(AND(I445&lt;&gt;"",TODAY()&lt;=I445),"Skonto nutzen bis "&amp;TEXT(I445,"DD.MM."),"fällig in "&amp;(F445-TODAY())&amp;" Tagen"))))</f>
        <v/>
      </c>
    </row>
    <row r="446" customFormat="false" ht="15" hidden="false" customHeight="false" outlineLevel="0" collapsed="false">
      <c r="A446" s="32"/>
      <c r="B446" s="32"/>
      <c r="C446" s="33"/>
      <c r="D446" s="30"/>
      <c r="E446" s="32"/>
      <c r="F446" s="44" t="str">
        <f aca="false">IF(C446="","",C446+IF(E446="",30,E446))</f>
        <v/>
      </c>
      <c r="G446" s="45"/>
      <c r="H446" s="32"/>
      <c r="I446" s="44" t="str">
        <f aca="false">IF(OR(C446="",G446=""),"",C446+H446)</f>
        <v/>
      </c>
      <c r="J446" s="33"/>
      <c r="K446" s="30"/>
      <c r="L446" s="31" t="str">
        <f aca="false">IF(D446="","",D446-N(K446))</f>
        <v/>
      </c>
      <c r="M446" s="35" t="str">
        <f aca="true">IF(D446="","",IF(L446&lt;=0.004,"bezahlt",IF(TODAY()&gt;F446,"ÜBERFÄLLIG",IF(AND(I446&lt;&gt;"",TODAY()&lt;=I446),"Skonto nutzen bis "&amp;TEXT(I446,"DD.MM."),"fällig in "&amp;(F446-TODAY())&amp;" Tagen"))))</f>
        <v/>
      </c>
    </row>
    <row r="447" customFormat="false" ht="15" hidden="false" customHeight="false" outlineLevel="0" collapsed="false">
      <c r="A447" s="32"/>
      <c r="B447" s="32"/>
      <c r="C447" s="33"/>
      <c r="D447" s="30"/>
      <c r="E447" s="32"/>
      <c r="F447" s="44" t="str">
        <f aca="false">IF(C447="","",C447+IF(E447="",30,E447))</f>
        <v/>
      </c>
      <c r="G447" s="45"/>
      <c r="H447" s="32"/>
      <c r="I447" s="44" t="str">
        <f aca="false">IF(OR(C447="",G447=""),"",C447+H447)</f>
        <v/>
      </c>
      <c r="J447" s="33"/>
      <c r="K447" s="30"/>
      <c r="L447" s="31" t="str">
        <f aca="false">IF(D447="","",D447-N(K447))</f>
        <v/>
      </c>
      <c r="M447" s="35" t="str">
        <f aca="true">IF(D447="","",IF(L447&lt;=0.004,"bezahlt",IF(TODAY()&gt;F447,"ÜBERFÄLLIG",IF(AND(I447&lt;&gt;"",TODAY()&lt;=I447),"Skonto nutzen bis "&amp;TEXT(I447,"DD.MM."),"fällig in "&amp;(F447-TODAY())&amp;" Tagen"))))</f>
        <v/>
      </c>
    </row>
    <row r="448" customFormat="false" ht="15" hidden="false" customHeight="false" outlineLevel="0" collapsed="false">
      <c r="A448" s="32"/>
      <c r="B448" s="32"/>
      <c r="C448" s="33"/>
      <c r="D448" s="30"/>
      <c r="E448" s="32"/>
      <c r="F448" s="44" t="str">
        <f aca="false">IF(C448="","",C448+IF(E448="",30,E448))</f>
        <v/>
      </c>
      <c r="G448" s="45"/>
      <c r="H448" s="32"/>
      <c r="I448" s="44" t="str">
        <f aca="false">IF(OR(C448="",G448=""),"",C448+H448)</f>
        <v/>
      </c>
      <c r="J448" s="33"/>
      <c r="K448" s="30"/>
      <c r="L448" s="31" t="str">
        <f aca="false">IF(D448="","",D448-N(K448))</f>
        <v/>
      </c>
      <c r="M448" s="35" t="str">
        <f aca="true">IF(D448="","",IF(L448&lt;=0.004,"bezahlt",IF(TODAY()&gt;F448,"ÜBERFÄLLIG",IF(AND(I448&lt;&gt;"",TODAY()&lt;=I448),"Skonto nutzen bis "&amp;TEXT(I448,"DD.MM."),"fällig in "&amp;(F448-TODAY())&amp;" Tagen"))))</f>
        <v/>
      </c>
    </row>
    <row r="449" customFormat="false" ht="15" hidden="false" customHeight="false" outlineLevel="0" collapsed="false">
      <c r="A449" s="32"/>
      <c r="B449" s="32"/>
      <c r="C449" s="33"/>
      <c r="D449" s="30"/>
      <c r="E449" s="32"/>
      <c r="F449" s="44" t="str">
        <f aca="false">IF(C449="","",C449+IF(E449="",30,E449))</f>
        <v/>
      </c>
      <c r="G449" s="45"/>
      <c r="H449" s="32"/>
      <c r="I449" s="44" t="str">
        <f aca="false">IF(OR(C449="",G449=""),"",C449+H449)</f>
        <v/>
      </c>
      <c r="J449" s="33"/>
      <c r="K449" s="30"/>
      <c r="L449" s="31" t="str">
        <f aca="false">IF(D449="","",D449-N(K449))</f>
        <v/>
      </c>
      <c r="M449" s="35" t="str">
        <f aca="true">IF(D449="","",IF(L449&lt;=0.004,"bezahlt",IF(TODAY()&gt;F449,"ÜBERFÄLLIG",IF(AND(I449&lt;&gt;"",TODAY()&lt;=I449),"Skonto nutzen bis "&amp;TEXT(I449,"DD.MM."),"fällig in "&amp;(F449-TODAY())&amp;" Tagen"))))</f>
        <v/>
      </c>
    </row>
    <row r="450" customFormat="false" ht="15" hidden="false" customHeight="false" outlineLevel="0" collapsed="false">
      <c r="A450" s="32"/>
      <c r="B450" s="32"/>
      <c r="C450" s="33"/>
      <c r="D450" s="30"/>
      <c r="E450" s="32"/>
      <c r="F450" s="44" t="str">
        <f aca="false">IF(C450="","",C450+IF(E450="",30,E450))</f>
        <v/>
      </c>
      <c r="G450" s="45"/>
      <c r="H450" s="32"/>
      <c r="I450" s="44" t="str">
        <f aca="false">IF(OR(C450="",G450=""),"",C450+H450)</f>
        <v/>
      </c>
      <c r="J450" s="33"/>
      <c r="K450" s="30"/>
      <c r="L450" s="31" t="str">
        <f aca="false">IF(D450="","",D450-N(K450))</f>
        <v/>
      </c>
      <c r="M450" s="35" t="str">
        <f aca="true">IF(D450="","",IF(L450&lt;=0.004,"bezahlt",IF(TODAY()&gt;F450,"ÜBERFÄLLIG",IF(AND(I450&lt;&gt;"",TODAY()&lt;=I450),"Skonto nutzen bis "&amp;TEXT(I450,"DD.MM."),"fällig in "&amp;(F450-TODAY())&amp;" Tagen"))))</f>
        <v/>
      </c>
    </row>
    <row r="451" customFormat="false" ht="15" hidden="false" customHeight="false" outlineLevel="0" collapsed="false">
      <c r="A451" s="32"/>
      <c r="B451" s="32"/>
      <c r="C451" s="33"/>
      <c r="D451" s="30"/>
      <c r="E451" s="32"/>
      <c r="F451" s="44" t="str">
        <f aca="false">IF(C451="","",C451+IF(E451="",30,E451))</f>
        <v/>
      </c>
      <c r="G451" s="45"/>
      <c r="H451" s="32"/>
      <c r="I451" s="44" t="str">
        <f aca="false">IF(OR(C451="",G451=""),"",C451+H451)</f>
        <v/>
      </c>
      <c r="J451" s="33"/>
      <c r="K451" s="30"/>
      <c r="L451" s="31" t="str">
        <f aca="false">IF(D451="","",D451-N(K451))</f>
        <v/>
      </c>
      <c r="M451" s="35" t="str">
        <f aca="true">IF(D451="","",IF(L451&lt;=0.004,"bezahlt",IF(TODAY()&gt;F451,"ÜBERFÄLLIG",IF(AND(I451&lt;&gt;"",TODAY()&lt;=I451),"Skonto nutzen bis "&amp;TEXT(I451,"DD.MM."),"fällig in "&amp;(F451-TODAY())&amp;" Tagen"))))</f>
        <v/>
      </c>
    </row>
    <row r="452" customFormat="false" ht="15" hidden="false" customHeight="false" outlineLevel="0" collapsed="false">
      <c r="A452" s="32"/>
      <c r="B452" s="32"/>
      <c r="C452" s="33"/>
      <c r="D452" s="30"/>
      <c r="E452" s="32"/>
      <c r="F452" s="44" t="str">
        <f aca="false">IF(C452="","",C452+IF(E452="",30,E452))</f>
        <v/>
      </c>
      <c r="G452" s="45"/>
      <c r="H452" s="32"/>
      <c r="I452" s="44" t="str">
        <f aca="false">IF(OR(C452="",G452=""),"",C452+H452)</f>
        <v/>
      </c>
      <c r="J452" s="33"/>
      <c r="K452" s="30"/>
      <c r="L452" s="31" t="str">
        <f aca="false">IF(D452="","",D452-N(K452))</f>
        <v/>
      </c>
      <c r="M452" s="35" t="str">
        <f aca="true">IF(D452="","",IF(L452&lt;=0.004,"bezahlt",IF(TODAY()&gt;F452,"ÜBERFÄLLIG",IF(AND(I452&lt;&gt;"",TODAY()&lt;=I452),"Skonto nutzen bis "&amp;TEXT(I452,"DD.MM."),"fällig in "&amp;(F452-TODAY())&amp;" Tagen"))))</f>
        <v/>
      </c>
    </row>
    <row r="453" customFormat="false" ht="15" hidden="false" customHeight="false" outlineLevel="0" collapsed="false">
      <c r="A453" s="32"/>
      <c r="B453" s="32"/>
      <c r="C453" s="33"/>
      <c r="D453" s="30"/>
      <c r="E453" s="32"/>
      <c r="F453" s="44" t="str">
        <f aca="false">IF(C453="","",C453+IF(E453="",30,E453))</f>
        <v/>
      </c>
      <c r="G453" s="45"/>
      <c r="H453" s="32"/>
      <c r="I453" s="44" t="str">
        <f aca="false">IF(OR(C453="",G453=""),"",C453+H453)</f>
        <v/>
      </c>
      <c r="J453" s="33"/>
      <c r="K453" s="30"/>
      <c r="L453" s="31" t="str">
        <f aca="false">IF(D453="","",D453-N(K453))</f>
        <v/>
      </c>
      <c r="M453" s="35" t="str">
        <f aca="true">IF(D453="","",IF(L453&lt;=0.004,"bezahlt",IF(TODAY()&gt;F453,"ÜBERFÄLLIG",IF(AND(I453&lt;&gt;"",TODAY()&lt;=I453),"Skonto nutzen bis "&amp;TEXT(I453,"DD.MM."),"fällig in "&amp;(F453-TODAY())&amp;" Tagen"))))</f>
        <v/>
      </c>
    </row>
    <row r="454" customFormat="false" ht="15" hidden="false" customHeight="false" outlineLevel="0" collapsed="false">
      <c r="A454" s="32"/>
      <c r="B454" s="32"/>
      <c r="C454" s="33"/>
      <c r="D454" s="30"/>
      <c r="E454" s="32"/>
      <c r="F454" s="44" t="str">
        <f aca="false">IF(C454="","",C454+IF(E454="",30,E454))</f>
        <v/>
      </c>
      <c r="G454" s="45"/>
      <c r="H454" s="32"/>
      <c r="I454" s="44" t="str">
        <f aca="false">IF(OR(C454="",G454=""),"",C454+H454)</f>
        <v/>
      </c>
      <c r="J454" s="33"/>
      <c r="K454" s="30"/>
      <c r="L454" s="31" t="str">
        <f aca="false">IF(D454="","",D454-N(K454))</f>
        <v/>
      </c>
      <c r="M454" s="35" t="str">
        <f aca="true">IF(D454="","",IF(L454&lt;=0.004,"bezahlt",IF(TODAY()&gt;F454,"ÜBERFÄLLIG",IF(AND(I454&lt;&gt;"",TODAY()&lt;=I454),"Skonto nutzen bis "&amp;TEXT(I454,"DD.MM."),"fällig in "&amp;(F454-TODAY())&amp;" Tagen"))))</f>
        <v/>
      </c>
    </row>
    <row r="455" customFormat="false" ht="15" hidden="false" customHeight="false" outlineLevel="0" collapsed="false">
      <c r="A455" s="32"/>
      <c r="B455" s="32"/>
      <c r="C455" s="33"/>
      <c r="D455" s="30"/>
      <c r="E455" s="32"/>
      <c r="F455" s="44" t="str">
        <f aca="false">IF(C455="","",C455+IF(E455="",30,E455))</f>
        <v/>
      </c>
      <c r="G455" s="45"/>
      <c r="H455" s="32"/>
      <c r="I455" s="44" t="str">
        <f aca="false">IF(OR(C455="",G455=""),"",C455+H455)</f>
        <v/>
      </c>
      <c r="J455" s="33"/>
      <c r="K455" s="30"/>
      <c r="L455" s="31" t="str">
        <f aca="false">IF(D455="","",D455-N(K455))</f>
        <v/>
      </c>
      <c r="M455" s="35" t="str">
        <f aca="true">IF(D455="","",IF(L455&lt;=0.004,"bezahlt",IF(TODAY()&gt;F455,"ÜBERFÄLLIG",IF(AND(I455&lt;&gt;"",TODAY()&lt;=I455),"Skonto nutzen bis "&amp;TEXT(I455,"DD.MM."),"fällig in "&amp;(F455-TODAY())&amp;" Tagen"))))</f>
        <v/>
      </c>
    </row>
    <row r="456" customFormat="false" ht="15" hidden="false" customHeight="false" outlineLevel="0" collapsed="false">
      <c r="A456" s="32"/>
      <c r="B456" s="32"/>
      <c r="C456" s="33"/>
      <c r="D456" s="30"/>
      <c r="E456" s="32"/>
      <c r="F456" s="44" t="str">
        <f aca="false">IF(C456="","",C456+IF(E456="",30,E456))</f>
        <v/>
      </c>
      <c r="G456" s="45"/>
      <c r="H456" s="32"/>
      <c r="I456" s="44" t="str">
        <f aca="false">IF(OR(C456="",G456=""),"",C456+H456)</f>
        <v/>
      </c>
      <c r="J456" s="33"/>
      <c r="K456" s="30"/>
      <c r="L456" s="31" t="str">
        <f aca="false">IF(D456="","",D456-N(K456))</f>
        <v/>
      </c>
      <c r="M456" s="35" t="str">
        <f aca="true">IF(D456="","",IF(L456&lt;=0.004,"bezahlt",IF(TODAY()&gt;F456,"ÜBERFÄLLIG",IF(AND(I456&lt;&gt;"",TODAY()&lt;=I456),"Skonto nutzen bis "&amp;TEXT(I456,"DD.MM."),"fällig in "&amp;(F456-TODAY())&amp;" Tagen"))))</f>
        <v/>
      </c>
    </row>
    <row r="457" customFormat="false" ht="15" hidden="false" customHeight="false" outlineLevel="0" collapsed="false">
      <c r="A457" s="32"/>
      <c r="B457" s="32"/>
      <c r="C457" s="33"/>
      <c r="D457" s="30"/>
      <c r="E457" s="32"/>
      <c r="F457" s="44" t="str">
        <f aca="false">IF(C457="","",C457+IF(E457="",30,E457))</f>
        <v/>
      </c>
      <c r="G457" s="45"/>
      <c r="H457" s="32"/>
      <c r="I457" s="44" t="str">
        <f aca="false">IF(OR(C457="",G457=""),"",C457+H457)</f>
        <v/>
      </c>
      <c r="J457" s="33"/>
      <c r="K457" s="30"/>
      <c r="L457" s="31" t="str">
        <f aca="false">IF(D457="","",D457-N(K457))</f>
        <v/>
      </c>
      <c r="M457" s="35" t="str">
        <f aca="true">IF(D457="","",IF(L457&lt;=0.004,"bezahlt",IF(TODAY()&gt;F457,"ÜBERFÄLLIG",IF(AND(I457&lt;&gt;"",TODAY()&lt;=I457),"Skonto nutzen bis "&amp;TEXT(I457,"DD.MM."),"fällig in "&amp;(F457-TODAY())&amp;" Tagen"))))</f>
        <v/>
      </c>
    </row>
    <row r="458" customFormat="false" ht="15" hidden="false" customHeight="false" outlineLevel="0" collapsed="false">
      <c r="A458" s="32"/>
      <c r="B458" s="32"/>
      <c r="C458" s="33"/>
      <c r="D458" s="30"/>
      <c r="E458" s="32"/>
      <c r="F458" s="44" t="str">
        <f aca="false">IF(C458="","",C458+IF(E458="",30,E458))</f>
        <v/>
      </c>
      <c r="G458" s="45"/>
      <c r="H458" s="32"/>
      <c r="I458" s="44" t="str">
        <f aca="false">IF(OR(C458="",G458=""),"",C458+H458)</f>
        <v/>
      </c>
      <c r="J458" s="33"/>
      <c r="K458" s="30"/>
      <c r="L458" s="31" t="str">
        <f aca="false">IF(D458="","",D458-N(K458))</f>
        <v/>
      </c>
      <c r="M458" s="35" t="str">
        <f aca="true">IF(D458="","",IF(L458&lt;=0.004,"bezahlt",IF(TODAY()&gt;F458,"ÜBERFÄLLIG",IF(AND(I458&lt;&gt;"",TODAY()&lt;=I458),"Skonto nutzen bis "&amp;TEXT(I458,"DD.MM."),"fällig in "&amp;(F458-TODAY())&amp;" Tagen"))))</f>
        <v/>
      </c>
    </row>
    <row r="459" customFormat="false" ht="15" hidden="false" customHeight="false" outlineLevel="0" collapsed="false">
      <c r="A459" s="32"/>
      <c r="B459" s="32"/>
      <c r="C459" s="33"/>
      <c r="D459" s="30"/>
      <c r="E459" s="32"/>
      <c r="F459" s="44" t="str">
        <f aca="false">IF(C459="","",C459+IF(E459="",30,E459))</f>
        <v/>
      </c>
      <c r="G459" s="45"/>
      <c r="H459" s="32"/>
      <c r="I459" s="44" t="str">
        <f aca="false">IF(OR(C459="",G459=""),"",C459+H459)</f>
        <v/>
      </c>
      <c r="J459" s="33"/>
      <c r="K459" s="30"/>
      <c r="L459" s="31" t="str">
        <f aca="false">IF(D459="","",D459-N(K459))</f>
        <v/>
      </c>
      <c r="M459" s="35" t="str">
        <f aca="true">IF(D459="","",IF(L459&lt;=0.004,"bezahlt",IF(TODAY()&gt;F459,"ÜBERFÄLLIG",IF(AND(I459&lt;&gt;"",TODAY()&lt;=I459),"Skonto nutzen bis "&amp;TEXT(I459,"DD.MM."),"fällig in "&amp;(F459-TODAY())&amp;" Tagen"))))</f>
        <v/>
      </c>
    </row>
    <row r="460" customFormat="false" ht="15" hidden="false" customHeight="false" outlineLevel="0" collapsed="false">
      <c r="A460" s="32"/>
      <c r="B460" s="32"/>
      <c r="C460" s="33"/>
      <c r="D460" s="30"/>
      <c r="E460" s="32"/>
      <c r="F460" s="44" t="str">
        <f aca="false">IF(C460="","",C460+IF(E460="",30,E460))</f>
        <v/>
      </c>
      <c r="G460" s="45"/>
      <c r="H460" s="32"/>
      <c r="I460" s="44" t="str">
        <f aca="false">IF(OR(C460="",G460=""),"",C460+H460)</f>
        <v/>
      </c>
      <c r="J460" s="33"/>
      <c r="K460" s="30"/>
      <c r="L460" s="31" t="str">
        <f aca="false">IF(D460="","",D460-N(K460))</f>
        <v/>
      </c>
      <c r="M460" s="35" t="str">
        <f aca="true">IF(D460="","",IF(L460&lt;=0.004,"bezahlt",IF(TODAY()&gt;F460,"ÜBERFÄLLIG",IF(AND(I460&lt;&gt;"",TODAY()&lt;=I460),"Skonto nutzen bis "&amp;TEXT(I460,"DD.MM."),"fällig in "&amp;(F460-TODAY())&amp;" Tagen"))))</f>
        <v/>
      </c>
    </row>
    <row r="461" customFormat="false" ht="15" hidden="false" customHeight="false" outlineLevel="0" collapsed="false">
      <c r="A461" s="32"/>
      <c r="B461" s="32"/>
      <c r="C461" s="33"/>
      <c r="D461" s="30"/>
      <c r="E461" s="32"/>
      <c r="F461" s="44" t="str">
        <f aca="false">IF(C461="","",C461+IF(E461="",30,E461))</f>
        <v/>
      </c>
      <c r="G461" s="45"/>
      <c r="H461" s="32"/>
      <c r="I461" s="44" t="str">
        <f aca="false">IF(OR(C461="",G461=""),"",C461+H461)</f>
        <v/>
      </c>
      <c r="J461" s="33"/>
      <c r="K461" s="30"/>
      <c r="L461" s="31" t="str">
        <f aca="false">IF(D461="","",D461-N(K461))</f>
        <v/>
      </c>
      <c r="M461" s="35" t="str">
        <f aca="true">IF(D461="","",IF(L461&lt;=0.004,"bezahlt",IF(TODAY()&gt;F461,"ÜBERFÄLLIG",IF(AND(I461&lt;&gt;"",TODAY()&lt;=I461),"Skonto nutzen bis "&amp;TEXT(I461,"DD.MM."),"fällig in "&amp;(F461-TODAY())&amp;" Tagen"))))</f>
        <v/>
      </c>
    </row>
    <row r="462" customFormat="false" ht="15" hidden="false" customHeight="false" outlineLevel="0" collapsed="false">
      <c r="A462" s="32"/>
      <c r="B462" s="32"/>
      <c r="C462" s="33"/>
      <c r="D462" s="30"/>
      <c r="E462" s="32"/>
      <c r="F462" s="44" t="str">
        <f aca="false">IF(C462="","",C462+IF(E462="",30,E462))</f>
        <v/>
      </c>
      <c r="G462" s="45"/>
      <c r="H462" s="32"/>
      <c r="I462" s="44" t="str">
        <f aca="false">IF(OR(C462="",G462=""),"",C462+H462)</f>
        <v/>
      </c>
      <c r="J462" s="33"/>
      <c r="K462" s="30"/>
      <c r="L462" s="31" t="str">
        <f aca="false">IF(D462="","",D462-N(K462))</f>
        <v/>
      </c>
      <c r="M462" s="35" t="str">
        <f aca="true">IF(D462="","",IF(L462&lt;=0.004,"bezahlt",IF(TODAY()&gt;F462,"ÜBERFÄLLIG",IF(AND(I462&lt;&gt;"",TODAY()&lt;=I462),"Skonto nutzen bis "&amp;TEXT(I462,"DD.MM."),"fällig in "&amp;(F462-TODAY())&amp;" Tagen"))))</f>
        <v/>
      </c>
    </row>
    <row r="463" customFormat="false" ht="15" hidden="false" customHeight="false" outlineLevel="0" collapsed="false">
      <c r="A463" s="32"/>
      <c r="B463" s="32"/>
      <c r="C463" s="33"/>
      <c r="D463" s="30"/>
      <c r="E463" s="32"/>
      <c r="F463" s="44" t="str">
        <f aca="false">IF(C463="","",C463+IF(E463="",30,E463))</f>
        <v/>
      </c>
      <c r="G463" s="45"/>
      <c r="H463" s="32"/>
      <c r="I463" s="44" t="str">
        <f aca="false">IF(OR(C463="",G463=""),"",C463+H463)</f>
        <v/>
      </c>
      <c r="J463" s="33"/>
      <c r="K463" s="30"/>
      <c r="L463" s="31" t="str">
        <f aca="false">IF(D463="","",D463-N(K463))</f>
        <v/>
      </c>
      <c r="M463" s="35" t="str">
        <f aca="true">IF(D463="","",IF(L463&lt;=0.004,"bezahlt",IF(TODAY()&gt;F463,"ÜBERFÄLLIG",IF(AND(I463&lt;&gt;"",TODAY()&lt;=I463),"Skonto nutzen bis "&amp;TEXT(I463,"DD.MM."),"fällig in "&amp;(F463-TODAY())&amp;" Tagen"))))</f>
        <v/>
      </c>
    </row>
    <row r="464" customFormat="false" ht="15" hidden="false" customHeight="false" outlineLevel="0" collapsed="false">
      <c r="A464" s="32"/>
      <c r="B464" s="32"/>
      <c r="C464" s="33"/>
      <c r="D464" s="30"/>
      <c r="E464" s="32"/>
      <c r="F464" s="44" t="str">
        <f aca="false">IF(C464="","",C464+IF(E464="",30,E464))</f>
        <v/>
      </c>
      <c r="G464" s="45"/>
      <c r="H464" s="32"/>
      <c r="I464" s="44" t="str">
        <f aca="false">IF(OR(C464="",G464=""),"",C464+H464)</f>
        <v/>
      </c>
      <c r="J464" s="33"/>
      <c r="K464" s="30"/>
      <c r="L464" s="31" t="str">
        <f aca="false">IF(D464="","",D464-N(K464))</f>
        <v/>
      </c>
      <c r="M464" s="35" t="str">
        <f aca="true">IF(D464="","",IF(L464&lt;=0.004,"bezahlt",IF(TODAY()&gt;F464,"ÜBERFÄLLIG",IF(AND(I464&lt;&gt;"",TODAY()&lt;=I464),"Skonto nutzen bis "&amp;TEXT(I464,"DD.MM."),"fällig in "&amp;(F464-TODAY())&amp;" Tagen"))))</f>
        <v/>
      </c>
    </row>
    <row r="465" customFormat="false" ht="15" hidden="false" customHeight="false" outlineLevel="0" collapsed="false">
      <c r="A465" s="32"/>
      <c r="B465" s="32"/>
      <c r="C465" s="33"/>
      <c r="D465" s="30"/>
      <c r="E465" s="32"/>
      <c r="F465" s="44" t="str">
        <f aca="false">IF(C465="","",C465+IF(E465="",30,E465))</f>
        <v/>
      </c>
      <c r="G465" s="45"/>
      <c r="H465" s="32"/>
      <c r="I465" s="44" t="str">
        <f aca="false">IF(OR(C465="",G465=""),"",C465+H465)</f>
        <v/>
      </c>
      <c r="J465" s="33"/>
      <c r="K465" s="30"/>
      <c r="L465" s="31" t="str">
        <f aca="false">IF(D465="","",D465-N(K465))</f>
        <v/>
      </c>
      <c r="M465" s="35" t="str">
        <f aca="true">IF(D465="","",IF(L465&lt;=0.004,"bezahlt",IF(TODAY()&gt;F465,"ÜBERFÄLLIG",IF(AND(I465&lt;&gt;"",TODAY()&lt;=I465),"Skonto nutzen bis "&amp;TEXT(I465,"DD.MM."),"fällig in "&amp;(F465-TODAY())&amp;" Tagen"))))</f>
        <v/>
      </c>
    </row>
    <row r="466" customFormat="false" ht="15" hidden="false" customHeight="false" outlineLevel="0" collapsed="false">
      <c r="A466" s="32"/>
      <c r="B466" s="32"/>
      <c r="C466" s="33"/>
      <c r="D466" s="30"/>
      <c r="E466" s="32"/>
      <c r="F466" s="44" t="str">
        <f aca="false">IF(C466="","",C466+IF(E466="",30,E466))</f>
        <v/>
      </c>
      <c r="G466" s="45"/>
      <c r="H466" s="32"/>
      <c r="I466" s="44" t="str">
        <f aca="false">IF(OR(C466="",G466=""),"",C466+H466)</f>
        <v/>
      </c>
      <c r="J466" s="33"/>
      <c r="K466" s="30"/>
      <c r="L466" s="31" t="str">
        <f aca="false">IF(D466="","",D466-N(K466))</f>
        <v/>
      </c>
      <c r="M466" s="35" t="str">
        <f aca="true">IF(D466="","",IF(L466&lt;=0.004,"bezahlt",IF(TODAY()&gt;F466,"ÜBERFÄLLIG",IF(AND(I466&lt;&gt;"",TODAY()&lt;=I466),"Skonto nutzen bis "&amp;TEXT(I466,"DD.MM."),"fällig in "&amp;(F466-TODAY())&amp;" Tagen"))))</f>
        <v/>
      </c>
    </row>
    <row r="467" customFormat="false" ht="15" hidden="false" customHeight="false" outlineLevel="0" collapsed="false">
      <c r="A467" s="32"/>
      <c r="B467" s="32"/>
      <c r="C467" s="33"/>
      <c r="D467" s="30"/>
      <c r="E467" s="32"/>
      <c r="F467" s="44" t="str">
        <f aca="false">IF(C467="","",C467+IF(E467="",30,E467))</f>
        <v/>
      </c>
      <c r="G467" s="45"/>
      <c r="H467" s="32"/>
      <c r="I467" s="44" t="str">
        <f aca="false">IF(OR(C467="",G467=""),"",C467+H467)</f>
        <v/>
      </c>
      <c r="J467" s="33"/>
      <c r="K467" s="30"/>
      <c r="L467" s="31" t="str">
        <f aca="false">IF(D467="","",D467-N(K467))</f>
        <v/>
      </c>
      <c r="M467" s="35" t="str">
        <f aca="true">IF(D467="","",IF(L467&lt;=0.004,"bezahlt",IF(TODAY()&gt;F467,"ÜBERFÄLLIG",IF(AND(I467&lt;&gt;"",TODAY()&lt;=I467),"Skonto nutzen bis "&amp;TEXT(I467,"DD.MM."),"fällig in "&amp;(F467-TODAY())&amp;" Tagen"))))</f>
        <v/>
      </c>
    </row>
    <row r="468" customFormat="false" ht="15" hidden="false" customHeight="false" outlineLevel="0" collapsed="false">
      <c r="A468" s="32"/>
      <c r="B468" s="32"/>
      <c r="C468" s="33"/>
      <c r="D468" s="30"/>
      <c r="E468" s="32"/>
      <c r="F468" s="44" t="str">
        <f aca="false">IF(C468="","",C468+IF(E468="",30,E468))</f>
        <v/>
      </c>
      <c r="G468" s="45"/>
      <c r="H468" s="32"/>
      <c r="I468" s="44" t="str">
        <f aca="false">IF(OR(C468="",G468=""),"",C468+H468)</f>
        <v/>
      </c>
      <c r="J468" s="33"/>
      <c r="K468" s="30"/>
      <c r="L468" s="31" t="str">
        <f aca="false">IF(D468="","",D468-N(K468))</f>
        <v/>
      </c>
      <c r="M468" s="35" t="str">
        <f aca="true">IF(D468="","",IF(L468&lt;=0.004,"bezahlt",IF(TODAY()&gt;F468,"ÜBERFÄLLIG",IF(AND(I468&lt;&gt;"",TODAY()&lt;=I468),"Skonto nutzen bis "&amp;TEXT(I468,"DD.MM."),"fällig in "&amp;(F468-TODAY())&amp;" Tagen"))))</f>
        <v/>
      </c>
    </row>
    <row r="469" customFormat="false" ht="15" hidden="false" customHeight="false" outlineLevel="0" collapsed="false">
      <c r="A469" s="32"/>
      <c r="B469" s="32"/>
      <c r="C469" s="33"/>
      <c r="D469" s="30"/>
      <c r="E469" s="32"/>
      <c r="F469" s="44" t="str">
        <f aca="false">IF(C469="","",C469+IF(E469="",30,E469))</f>
        <v/>
      </c>
      <c r="G469" s="45"/>
      <c r="H469" s="32"/>
      <c r="I469" s="44" t="str">
        <f aca="false">IF(OR(C469="",G469=""),"",C469+H469)</f>
        <v/>
      </c>
      <c r="J469" s="33"/>
      <c r="K469" s="30"/>
      <c r="L469" s="31" t="str">
        <f aca="false">IF(D469="","",D469-N(K469))</f>
        <v/>
      </c>
      <c r="M469" s="35" t="str">
        <f aca="true">IF(D469="","",IF(L469&lt;=0.004,"bezahlt",IF(TODAY()&gt;F469,"ÜBERFÄLLIG",IF(AND(I469&lt;&gt;"",TODAY()&lt;=I469),"Skonto nutzen bis "&amp;TEXT(I469,"DD.MM."),"fällig in "&amp;(F469-TODAY())&amp;" Tagen"))))</f>
        <v/>
      </c>
    </row>
    <row r="470" customFormat="false" ht="15" hidden="false" customHeight="false" outlineLevel="0" collapsed="false">
      <c r="A470" s="32"/>
      <c r="B470" s="32"/>
      <c r="C470" s="33"/>
      <c r="D470" s="30"/>
      <c r="E470" s="32"/>
      <c r="F470" s="44" t="str">
        <f aca="false">IF(C470="","",C470+IF(E470="",30,E470))</f>
        <v/>
      </c>
      <c r="G470" s="45"/>
      <c r="H470" s="32"/>
      <c r="I470" s="44" t="str">
        <f aca="false">IF(OR(C470="",G470=""),"",C470+H470)</f>
        <v/>
      </c>
      <c r="J470" s="33"/>
      <c r="K470" s="30"/>
      <c r="L470" s="31" t="str">
        <f aca="false">IF(D470="","",D470-N(K470))</f>
        <v/>
      </c>
      <c r="M470" s="35" t="str">
        <f aca="true">IF(D470="","",IF(L470&lt;=0.004,"bezahlt",IF(TODAY()&gt;F470,"ÜBERFÄLLIG",IF(AND(I470&lt;&gt;"",TODAY()&lt;=I470),"Skonto nutzen bis "&amp;TEXT(I470,"DD.MM."),"fällig in "&amp;(F470-TODAY())&amp;" Tagen"))))</f>
        <v/>
      </c>
    </row>
    <row r="471" customFormat="false" ht="15" hidden="false" customHeight="false" outlineLevel="0" collapsed="false">
      <c r="A471" s="32"/>
      <c r="B471" s="32"/>
      <c r="C471" s="33"/>
      <c r="D471" s="30"/>
      <c r="E471" s="32"/>
      <c r="F471" s="44" t="str">
        <f aca="false">IF(C471="","",C471+IF(E471="",30,E471))</f>
        <v/>
      </c>
      <c r="G471" s="45"/>
      <c r="H471" s="32"/>
      <c r="I471" s="44" t="str">
        <f aca="false">IF(OR(C471="",G471=""),"",C471+H471)</f>
        <v/>
      </c>
      <c r="J471" s="33"/>
      <c r="K471" s="30"/>
      <c r="L471" s="31" t="str">
        <f aca="false">IF(D471="","",D471-N(K471))</f>
        <v/>
      </c>
      <c r="M471" s="35" t="str">
        <f aca="true">IF(D471="","",IF(L471&lt;=0.004,"bezahlt",IF(TODAY()&gt;F471,"ÜBERFÄLLIG",IF(AND(I471&lt;&gt;"",TODAY()&lt;=I471),"Skonto nutzen bis "&amp;TEXT(I471,"DD.MM."),"fällig in "&amp;(F471-TODAY())&amp;" Tagen"))))</f>
        <v/>
      </c>
    </row>
    <row r="472" customFormat="false" ht="15" hidden="false" customHeight="false" outlineLevel="0" collapsed="false">
      <c r="A472" s="32"/>
      <c r="B472" s="32"/>
      <c r="C472" s="33"/>
      <c r="D472" s="30"/>
      <c r="E472" s="32"/>
      <c r="F472" s="44" t="str">
        <f aca="false">IF(C472="","",C472+IF(E472="",30,E472))</f>
        <v/>
      </c>
      <c r="G472" s="45"/>
      <c r="H472" s="32"/>
      <c r="I472" s="44" t="str">
        <f aca="false">IF(OR(C472="",G472=""),"",C472+H472)</f>
        <v/>
      </c>
      <c r="J472" s="33"/>
      <c r="K472" s="30"/>
      <c r="L472" s="31" t="str">
        <f aca="false">IF(D472="","",D472-N(K472))</f>
        <v/>
      </c>
      <c r="M472" s="35" t="str">
        <f aca="true">IF(D472="","",IF(L472&lt;=0.004,"bezahlt",IF(TODAY()&gt;F472,"ÜBERFÄLLIG",IF(AND(I472&lt;&gt;"",TODAY()&lt;=I472),"Skonto nutzen bis "&amp;TEXT(I472,"DD.MM."),"fällig in "&amp;(F472-TODAY())&amp;" Tagen"))))</f>
        <v/>
      </c>
    </row>
    <row r="473" customFormat="false" ht="15" hidden="false" customHeight="false" outlineLevel="0" collapsed="false">
      <c r="A473" s="32"/>
      <c r="B473" s="32"/>
      <c r="C473" s="33"/>
      <c r="D473" s="30"/>
      <c r="E473" s="32"/>
      <c r="F473" s="44" t="str">
        <f aca="false">IF(C473="","",C473+IF(E473="",30,E473))</f>
        <v/>
      </c>
      <c r="G473" s="45"/>
      <c r="H473" s="32"/>
      <c r="I473" s="44" t="str">
        <f aca="false">IF(OR(C473="",G473=""),"",C473+H473)</f>
        <v/>
      </c>
      <c r="J473" s="33"/>
      <c r="K473" s="30"/>
      <c r="L473" s="31" t="str">
        <f aca="false">IF(D473="","",D473-N(K473))</f>
        <v/>
      </c>
      <c r="M473" s="35" t="str">
        <f aca="true">IF(D473="","",IF(L473&lt;=0.004,"bezahlt",IF(TODAY()&gt;F473,"ÜBERFÄLLIG",IF(AND(I473&lt;&gt;"",TODAY()&lt;=I473),"Skonto nutzen bis "&amp;TEXT(I473,"DD.MM."),"fällig in "&amp;(F473-TODAY())&amp;" Tagen"))))</f>
        <v/>
      </c>
    </row>
    <row r="474" customFormat="false" ht="15" hidden="false" customHeight="false" outlineLevel="0" collapsed="false">
      <c r="A474" s="32"/>
      <c r="B474" s="32"/>
      <c r="C474" s="33"/>
      <c r="D474" s="30"/>
      <c r="E474" s="32"/>
      <c r="F474" s="44" t="str">
        <f aca="false">IF(C474="","",C474+IF(E474="",30,E474))</f>
        <v/>
      </c>
      <c r="G474" s="45"/>
      <c r="H474" s="32"/>
      <c r="I474" s="44" t="str">
        <f aca="false">IF(OR(C474="",G474=""),"",C474+H474)</f>
        <v/>
      </c>
      <c r="J474" s="33"/>
      <c r="K474" s="30"/>
      <c r="L474" s="31" t="str">
        <f aca="false">IF(D474="","",D474-N(K474))</f>
        <v/>
      </c>
      <c r="M474" s="35" t="str">
        <f aca="true">IF(D474="","",IF(L474&lt;=0.004,"bezahlt",IF(TODAY()&gt;F474,"ÜBERFÄLLIG",IF(AND(I474&lt;&gt;"",TODAY()&lt;=I474),"Skonto nutzen bis "&amp;TEXT(I474,"DD.MM."),"fällig in "&amp;(F474-TODAY())&amp;" Tagen"))))</f>
        <v/>
      </c>
    </row>
    <row r="475" customFormat="false" ht="15" hidden="false" customHeight="false" outlineLevel="0" collapsed="false">
      <c r="A475" s="32"/>
      <c r="B475" s="32"/>
      <c r="C475" s="33"/>
      <c r="D475" s="30"/>
      <c r="E475" s="32"/>
      <c r="F475" s="44" t="str">
        <f aca="false">IF(C475="","",C475+IF(E475="",30,E475))</f>
        <v/>
      </c>
      <c r="G475" s="45"/>
      <c r="H475" s="32"/>
      <c r="I475" s="44" t="str">
        <f aca="false">IF(OR(C475="",G475=""),"",C475+H475)</f>
        <v/>
      </c>
      <c r="J475" s="33"/>
      <c r="K475" s="30"/>
      <c r="L475" s="31" t="str">
        <f aca="false">IF(D475="","",D475-N(K475))</f>
        <v/>
      </c>
      <c r="M475" s="35" t="str">
        <f aca="true">IF(D475="","",IF(L475&lt;=0.004,"bezahlt",IF(TODAY()&gt;F475,"ÜBERFÄLLIG",IF(AND(I475&lt;&gt;"",TODAY()&lt;=I475),"Skonto nutzen bis "&amp;TEXT(I475,"DD.MM."),"fällig in "&amp;(F475-TODAY())&amp;" Tagen"))))</f>
        <v/>
      </c>
    </row>
    <row r="476" customFormat="false" ht="15" hidden="false" customHeight="false" outlineLevel="0" collapsed="false">
      <c r="A476" s="32"/>
      <c r="B476" s="32"/>
      <c r="C476" s="33"/>
      <c r="D476" s="30"/>
      <c r="E476" s="32"/>
      <c r="F476" s="44" t="str">
        <f aca="false">IF(C476="","",C476+IF(E476="",30,E476))</f>
        <v/>
      </c>
      <c r="G476" s="45"/>
      <c r="H476" s="32"/>
      <c r="I476" s="44" t="str">
        <f aca="false">IF(OR(C476="",G476=""),"",C476+H476)</f>
        <v/>
      </c>
      <c r="J476" s="33"/>
      <c r="K476" s="30"/>
      <c r="L476" s="31" t="str">
        <f aca="false">IF(D476="","",D476-N(K476))</f>
        <v/>
      </c>
      <c r="M476" s="35" t="str">
        <f aca="true">IF(D476="","",IF(L476&lt;=0.004,"bezahlt",IF(TODAY()&gt;F476,"ÜBERFÄLLIG",IF(AND(I476&lt;&gt;"",TODAY()&lt;=I476),"Skonto nutzen bis "&amp;TEXT(I476,"DD.MM."),"fällig in "&amp;(F476-TODAY())&amp;" Tagen"))))</f>
        <v/>
      </c>
    </row>
    <row r="477" customFormat="false" ht="15" hidden="false" customHeight="false" outlineLevel="0" collapsed="false">
      <c r="A477" s="32"/>
      <c r="B477" s="32"/>
      <c r="C477" s="33"/>
      <c r="D477" s="30"/>
      <c r="E477" s="32"/>
      <c r="F477" s="44" t="str">
        <f aca="false">IF(C477="","",C477+IF(E477="",30,E477))</f>
        <v/>
      </c>
      <c r="G477" s="45"/>
      <c r="H477" s="32"/>
      <c r="I477" s="44" t="str">
        <f aca="false">IF(OR(C477="",G477=""),"",C477+H477)</f>
        <v/>
      </c>
      <c r="J477" s="33"/>
      <c r="K477" s="30"/>
      <c r="L477" s="31" t="str">
        <f aca="false">IF(D477="","",D477-N(K477))</f>
        <v/>
      </c>
      <c r="M477" s="35" t="str">
        <f aca="true">IF(D477="","",IF(L477&lt;=0.004,"bezahlt",IF(TODAY()&gt;F477,"ÜBERFÄLLIG",IF(AND(I477&lt;&gt;"",TODAY()&lt;=I477),"Skonto nutzen bis "&amp;TEXT(I477,"DD.MM."),"fällig in "&amp;(F477-TODAY())&amp;" Tagen"))))</f>
        <v/>
      </c>
    </row>
    <row r="478" customFormat="false" ht="15" hidden="false" customHeight="false" outlineLevel="0" collapsed="false">
      <c r="A478" s="32"/>
      <c r="B478" s="32"/>
      <c r="C478" s="33"/>
      <c r="D478" s="30"/>
      <c r="E478" s="32"/>
      <c r="F478" s="44" t="str">
        <f aca="false">IF(C478="","",C478+IF(E478="",30,E478))</f>
        <v/>
      </c>
      <c r="G478" s="45"/>
      <c r="H478" s="32"/>
      <c r="I478" s="44" t="str">
        <f aca="false">IF(OR(C478="",G478=""),"",C478+H478)</f>
        <v/>
      </c>
      <c r="J478" s="33"/>
      <c r="K478" s="30"/>
      <c r="L478" s="31" t="str">
        <f aca="false">IF(D478="","",D478-N(K478))</f>
        <v/>
      </c>
      <c r="M478" s="35" t="str">
        <f aca="true">IF(D478="","",IF(L478&lt;=0.004,"bezahlt",IF(TODAY()&gt;F478,"ÜBERFÄLLIG",IF(AND(I478&lt;&gt;"",TODAY()&lt;=I478),"Skonto nutzen bis "&amp;TEXT(I478,"DD.MM."),"fällig in "&amp;(F478-TODAY())&amp;" Tagen"))))</f>
        <v/>
      </c>
    </row>
    <row r="479" customFormat="false" ht="15" hidden="false" customHeight="false" outlineLevel="0" collapsed="false">
      <c r="A479" s="32"/>
      <c r="B479" s="32"/>
      <c r="C479" s="33"/>
      <c r="D479" s="30"/>
      <c r="E479" s="32"/>
      <c r="F479" s="44" t="str">
        <f aca="false">IF(C479="","",C479+IF(E479="",30,E479))</f>
        <v/>
      </c>
      <c r="G479" s="45"/>
      <c r="H479" s="32"/>
      <c r="I479" s="44" t="str">
        <f aca="false">IF(OR(C479="",G479=""),"",C479+H479)</f>
        <v/>
      </c>
      <c r="J479" s="33"/>
      <c r="K479" s="30"/>
      <c r="L479" s="31" t="str">
        <f aca="false">IF(D479="","",D479-N(K479))</f>
        <v/>
      </c>
      <c r="M479" s="35" t="str">
        <f aca="true">IF(D479="","",IF(L479&lt;=0.004,"bezahlt",IF(TODAY()&gt;F479,"ÜBERFÄLLIG",IF(AND(I479&lt;&gt;"",TODAY()&lt;=I479),"Skonto nutzen bis "&amp;TEXT(I479,"DD.MM."),"fällig in "&amp;(F479-TODAY())&amp;" Tagen"))))</f>
        <v/>
      </c>
    </row>
    <row r="480" customFormat="false" ht="15" hidden="false" customHeight="false" outlineLevel="0" collapsed="false">
      <c r="A480" s="32"/>
      <c r="B480" s="32"/>
      <c r="C480" s="33"/>
      <c r="D480" s="30"/>
      <c r="E480" s="32"/>
      <c r="F480" s="44" t="str">
        <f aca="false">IF(C480="","",C480+IF(E480="",30,E480))</f>
        <v/>
      </c>
      <c r="G480" s="45"/>
      <c r="H480" s="32"/>
      <c r="I480" s="44" t="str">
        <f aca="false">IF(OR(C480="",G480=""),"",C480+H480)</f>
        <v/>
      </c>
      <c r="J480" s="33"/>
      <c r="K480" s="30"/>
      <c r="L480" s="31" t="str">
        <f aca="false">IF(D480="","",D480-N(K480))</f>
        <v/>
      </c>
      <c r="M480" s="35" t="str">
        <f aca="true">IF(D480="","",IF(L480&lt;=0.004,"bezahlt",IF(TODAY()&gt;F480,"ÜBERFÄLLIG",IF(AND(I480&lt;&gt;"",TODAY()&lt;=I480),"Skonto nutzen bis "&amp;TEXT(I480,"DD.MM."),"fällig in "&amp;(F480-TODAY())&amp;" Tagen"))))</f>
        <v/>
      </c>
    </row>
    <row r="481" customFormat="false" ht="15" hidden="false" customHeight="false" outlineLevel="0" collapsed="false">
      <c r="A481" s="32"/>
      <c r="B481" s="32"/>
      <c r="C481" s="33"/>
      <c r="D481" s="30"/>
      <c r="E481" s="32"/>
      <c r="F481" s="44" t="str">
        <f aca="false">IF(C481="","",C481+IF(E481="",30,E481))</f>
        <v/>
      </c>
      <c r="G481" s="45"/>
      <c r="H481" s="32"/>
      <c r="I481" s="44" t="str">
        <f aca="false">IF(OR(C481="",G481=""),"",C481+H481)</f>
        <v/>
      </c>
      <c r="J481" s="33"/>
      <c r="K481" s="30"/>
      <c r="L481" s="31" t="str">
        <f aca="false">IF(D481="","",D481-N(K481))</f>
        <v/>
      </c>
      <c r="M481" s="35" t="str">
        <f aca="true">IF(D481="","",IF(L481&lt;=0.004,"bezahlt",IF(TODAY()&gt;F481,"ÜBERFÄLLIG",IF(AND(I481&lt;&gt;"",TODAY()&lt;=I481),"Skonto nutzen bis "&amp;TEXT(I481,"DD.MM."),"fällig in "&amp;(F481-TODAY())&amp;" Tagen"))))</f>
        <v/>
      </c>
    </row>
    <row r="482" customFormat="false" ht="15" hidden="false" customHeight="false" outlineLevel="0" collapsed="false">
      <c r="A482" s="32"/>
      <c r="B482" s="32"/>
      <c r="C482" s="33"/>
      <c r="D482" s="30"/>
      <c r="E482" s="32"/>
      <c r="F482" s="44" t="str">
        <f aca="false">IF(C482="","",C482+IF(E482="",30,E482))</f>
        <v/>
      </c>
      <c r="G482" s="45"/>
      <c r="H482" s="32"/>
      <c r="I482" s="44" t="str">
        <f aca="false">IF(OR(C482="",G482=""),"",C482+H482)</f>
        <v/>
      </c>
      <c r="J482" s="33"/>
      <c r="K482" s="30"/>
      <c r="L482" s="31" t="str">
        <f aca="false">IF(D482="","",D482-N(K482))</f>
        <v/>
      </c>
      <c r="M482" s="35" t="str">
        <f aca="true">IF(D482="","",IF(L482&lt;=0.004,"bezahlt",IF(TODAY()&gt;F482,"ÜBERFÄLLIG",IF(AND(I482&lt;&gt;"",TODAY()&lt;=I482),"Skonto nutzen bis "&amp;TEXT(I482,"DD.MM."),"fällig in "&amp;(F482-TODAY())&amp;" Tagen"))))</f>
        <v/>
      </c>
    </row>
    <row r="483" customFormat="false" ht="15" hidden="false" customHeight="false" outlineLevel="0" collapsed="false">
      <c r="A483" s="32"/>
      <c r="B483" s="32"/>
      <c r="C483" s="33"/>
      <c r="D483" s="30"/>
      <c r="E483" s="32"/>
      <c r="F483" s="44" t="str">
        <f aca="false">IF(C483="","",C483+IF(E483="",30,E483))</f>
        <v/>
      </c>
      <c r="G483" s="45"/>
      <c r="H483" s="32"/>
      <c r="I483" s="44" t="str">
        <f aca="false">IF(OR(C483="",G483=""),"",C483+H483)</f>
        <v/>
      </c>
      <c r="J483" s="33"/>
      <c r="K483" s="30"/>
      <c r="L483" s="31" t="str">
        <f aca="false">IF(D483="","",D483-N(K483))</f>
        <v/>
      </c>
      <c r="M483" s="35" t="str">
        <f aca="true">IF(D483="","",IF(L483&lt;=0.004,"bezahlt",IF(TODAY()&gt;F483,"ÜBERFÄLLIG",IF(AND(I483&lt;&gt;"",TODAY()&lt;=I483),"Skonto nutzen bis "&amp;TEXT(I483,"DD.MM."),"fällig in "&amp;(F483-TODAY())&amp;" Tagen"))))</f>
        <v/>
      </c>
    </row>
    <row r="484" customFormat="false" ht="15" hidden="false" customHeight="false" outlineLevel="0" collapsed="false">
      <c r="A484" s="32"/>
      <c r="B484" s="32"/>
      <c r="C484" s="33"/>
      <c r="D484" s="30"/>
      <c r="E484" s="32"/>
      <c r="F484" s="44" t="str">
        <f aca="false">IF(C484="","",C484+IF(E484="",30,E484))</f>
        <v/>
      </c>
      <c r="G484" s="45"/>
      <c r="H484" s="32"/>
      <c r="I484" s="44" t="str">
        <f aca="false">IF(OR(C484="",G484=""),"",C484+H484)</f>
        <v/>
      </c>
      <c r="J484" s="33"/>
      <c r="K484" s="30"/>
      <c r="L484" s="31" t="str">
        <f aca="false">IF(D484="","",D484-N(K484))</f>
        <v/>
      </c>
      <c r="M484" s="35" t="str">
        <f aca="true">IF(D484="","",IF(L484&lt;=0.004,"bezahlt",IF(TODAY()&gt;F484,"ÜBERFÄLLIG",IF(AND(I484&lt;&gt;"",TODAY()&lt;=I484),"Skonto nutzen bis "&amp;TEXT(I484,"DD.MM."),"fällig in "&amp;(F484-TODAY())&amp;" Tagen"))))</f>
        <v/>
      </c>
    </row>
    <row r="485" customFormat="false" ht="15" hidden="false" customHeight="false" outlineLevel="0" collapsed="false">
      <c r="A485" s="32"/>
      <c r="B485" s="32"/>
      <c r="C485" s="33"/>
      <c r="D485" s="30"/>
      <c r="E485" s="32"/>
      <c r="F485" s="44" t="str">
        <f aca="false">IF(C485="","",C485+IF(E485="",30,E485))</f>
        <v/>
      </c>
      <c r="G485" s="45"/>
      <c r="H485" s="32"/>
      <c r="I485" s="44" t="str">
        <f aca="false">IF(OR(C485="",G485=""),"",C485+H485)</f>
        <v/>
      </c>
      <c r="J485" s="33"/>
      <c r="K485" s="30"/>
      <c r="L485" s="31" t="str">
        <f aca="false">IF(D485="","",D485-N(K485))</f>
        <v/>
      </c>
      <c r="M485" s="35" t="str">
        <f aca="true">IF(D485="","",IF(L485&lt;=0.004,"bezahlt",IF(TODAY()&gt;F485,"ÜBERFÄLLIG",IF(AND(I485&lt;&gt;"",TODAY()&lt;=I485),"Skonto nutzen bis "&amp;TEXT(I485,"DD.MM."),"fällig in "&amp;(F485-TODAY())&amp;" Tagen"))))</f>
        <v/>
      </c>
    </row>
    <row r="486" customFormat="false" ht="15" hidden="false" customHeight="false" outlineLevel="0" collapsed="false">
      <c r="A486" s="32"/>
      <c r="B486" s="32"/>
      <c r="C486" s="33"/>
      <c r="D486" s="30"/>
      <c r="E486" s="32"/>
      <c r="F486" s="44" t="str">
        <f aca="false">IF(C486="","",C486+IF(E486="",30,E486))</f>
        <v/>
      </c>
      <c r="G486" s="45"/>
      <c r="H486" s="32"/>
      <c r="I486" s="44" t="str">
        <f aca="false">IF(OR(C486="",G486=""),"",C486+H486)</f>
        <v/>
      </c>
      <c r="J486" s="33"/>
      <c r="K486" s="30"/>
      <c r="L486" s="31" t="str">
        <f aca="false">IF(D486="","",D486-N(K486))</f>
        <v/>
      </c>
      <c r="M486" s="35" t="str">
        <f aca="true">IF(D486="","",IF(L486&lt;=0.004,"bezahlt",IF(TODAY()&gt;F486,"ÜBERFÄLLIG",IF(AND(I486&lt;&gt;"",TODAY()&lt;=I486),"Skonto nutzen bis "&amp;TEXT(I486,"DD.MM."),"fällig in "&amp;(F486-TODAY())&amp;" Tagen"))))</f>
        <v/>
      </c>
    </row>
    <row r="487" customFormat="false" ht="15" hidden="false" customHeight="false" outlineLevel="0" collapsed="false">
      <c r="A487" s="32"/>
      <c r="B487" s="32"/>
      <c r="C487" s="33"/>
      <c r="D487" s="30"/>
      <c r="E487" s="32"/>
      <c r="F487" s="44" t="str">
        <f aca="false">IF(C487="","",C487+IF(E487="",30,E487))</f>
        <v/>
      </c>
      <c r="G487" s="45"/>
      <c r="H487" s="32"/>
      <c r="I487" s="44" t="str">
        <f aca="false">IF(OR(C487="",G487=""),"",C487+H487)</f>
        <v/>
      </c>
      <c r="J487" s="33"/>
      <c r="K487" s="30"/>
      <c r="L487" s="31" t="str">
        <f aca="false">IF(D487="","",D487-N(K487))</f>
        <v/>
      </c>
      <c r="M487" s="35" t="str">
        <f aca="true">IF(D487="","",IF(L487&lt;=0.004,"bezahlt",IF(TODAY()&gt;F487,"ÜBERFÄLLIG",IF(AND(I487&lt;&gt;"",TODAY()&lt;=I487),"Skonto nutzen bis "&amp;TEXT(I487,"DD.MM."),"fällig in "&amp;(F487-TODAY())&amp;" Tagen"))))</f>
        <v/>
      </c>
    </row>
    <row r="488" customFormat="false" ht="15" hidden="false" customHeight="false" outlineLevel="0" collapsed="false">
      <c r="A488" s="32"/>
      <c r="B488" s="32"/>
      <c r="C488" s="33"/>
      <c r="D488" s="30"/>
      <c r="E488" s="32"/>
      <c r="F488" s="44" t="str">
        <f aca="false">IF(C488="","",C488+IF(E488="",30,E488))</f>
        <v/>
      </c>
      <c r="G488" s="45"/>
      <c r="H488" s="32"/>
      <c r="I488" s="44" t="str">
        <f aca="false">IF(OR(C488="",G488=""),"",C488+H488)</f>
        <v/>
      </c>
      <c r="J488" s="33"/>
      <c r="K488" s="30"/>
      <c r="L488" s="31" t="str">
        <f aca="false">IF(D488="","",D488-N(K488))</f>
        <v/>
      </c>
      <c r="M488" s="35" t="str">
        <f aca="true">IF(D488="","",IF(L488&lt;=0.004,"bezahlt",IF(TODAY()&gt;F488,"ÜBERFÄLLIG",IF(AND(I488&lt;&gt;"",TODAY()&lt;=I488),"Skonto nutzen bis "&amp;TEXT(I488,"DD.MM."),"fällig in "&amp;(F488-TODAY())&amp;" Tagen"))))</f>
        <v/>
      </c>
    </row>
    <row r="489" customFormat="false" ht="15" hidden="false" customHeight="false" outlineLevel="0" collapsed="false">
      <c r="A489" s="32"/>
      <c r="B489" s="32"/>
      <c r="C489" s="33"/>
      <c r="D489" s="30"/>
      <c r="E489" s="32"/>
      <c r="F489" s="44" t="str">
        <f aca="false">IF(C489="","",C489+IF(E489="",30,E489))</f>
        <v/>
      </c>
      <c r="G489" s="45"/>
      <c r="H489" s="32"/>
      <c r="I489" s="44" t="str">
        <f aca="false">IF(OR(C489="",G489=""),"",C489+H489)</f>
        <v/>
      </c>
      <c r="J489" s="33"/>
      <c r="K489" s="30"/>
      <c r="L489" s="31" t="str">
        <f aca="false">IF(D489="","",D489-N(K489))</f>
        <v/>
      </c>
      <c r="M489" s="35" t="str">
        <f aca="true">IF(D489="","",IF(L489&lt;=0.004,"bezahlt",IF(TODAY()&gt;F489,"ÜBERFÄLLIG",IF(AND(I489&lt;&gt;"",TODAY()&lt;=I489),"Skonto nutzen bis "&amp;TEXT(I489,"DD.MM."),"fällig in "&amp;(F489-TODAY())&amp;" Tagen"))))</f>
        <v/>
      </c>
    </row>
    <row r="490" customFormat="false" ht="15" hidden="false" customHeight="false" outlineLevel="0" collapsed="false">
      <c r="A490" s="32"/>
      <c r="B490" s="32"/>
      <c r="C490" s="33"/>
      <c r="D490" s="30"/>
      <c r="E490" s="32"/>
      <c r="F490" s="44" t="str">
        <f aca="false">IF(C490="","",C490+IF(E490="",30,E490))</f>
        <v/>
      </c>
      <c r="G490" s="45"/>
      <c r="H490" s="32"/>
      <c r="I490" s="44" t="str">
        <f aca="false">IF(OR(C490="",G490=""),"",C490+H490)</f>
        <v/>
      </c>
      <c r="J490" s="33"/>
      <c r="K490" s="30"/>
      <c r="L490" s="31" t="str">
        <f aca="false">IF(D490="","",D490-N(K490))</f>
        <v/>
      </c>
      <c r="M490" s="35" t="str">
        <f aca="true">IF(D490="","",IF(L490&lt;=0.004,"bezahlt",IF(TODAY()&gt;F490,"ÜBERFÄLLIG",IF(AND(I490&lt;&gt;"",TODAY()&lt;=I490),"Skonto nutzen bis "&amp;TEXT(I490,"DD.MM."),"fällig in "&amp;(F490-TODAY())&amp;" Tagen"))))</f>
        <v/>
      </c>
    </row>
    <row r="491" customFormat="false" ht="15" hidden="false" customHeight="false" outlineLevel="0" collapsed="false">
      <c r="A491" s="32"/>
      <c r="B491" s="32"/>
      <c r="C491" s="33"/>
      <c r="D491" s="30"/>
      <c r="E491" s="32"/>
      <c r="F491" s="44" t="str">
        <f aca="false">IF(C491="","",C491+IF(E491="",30,E491))</f>
        <v/>
      </c>
      <c r="G491" s="45"/>
      <c r="H491" s="32"/>
      <c r="I491" s="44" t="str">
        <f aca="false">IF(OR(C491="",G491=""),"",C491+H491)</f>
        <v/>
      </c>
      <c r="J491" s="33"/>
      <c r="K491" s="30"/>
      <c r="L491" s="31" t="str">
        <f aca="false">IF(D491="","",D491-N(K491))</f>
        <v/>
      </c>
      <c r="M491" s="35" t="str">
        <f aca="true">IF(D491="","",IF(L491&lt;=0.004,"bezahlt",IF(TODAY()&gt;F491,"ÜBERFÄLLIG",IF(AND(I491&lt;&gt;"",TODAY()&lt;=I491),"Skonto nutzen bis "&amp;TEXT(I491,"DD.MM."),"fällig in "&amp;(F491-TODAY())&amp;" Tagen"))))</f>
        <v/>
      </c>
    </row>
    <row r="492" customFormat="false" ht="15" hidden="false" customHeight="false" outlineLevel="0" collapsed="false">
      <c r="A492" s="32"/>
      <c r="B492" s="32"/>
      <c r="C492" s="33"/>
      <c r="D492" s="30"/>
      <c r="E492" s="32"/>
      <c r="F492" s="44" t="str">
        <f aca="false">IF(C492="","",C492+IF(E492="",30,E492))</f>
        <v/>
      </c>
      <c r="G492" s="45"/>
      <c r="H492" s="32"/>
      <c r="I492" s="44" t="str">
        <f aca="false">IF(OR(C492="",G492=""),"",C492+H492)</f>
        <v/>
      </c>
      <c r="J492" s="33"/>
      <c r="K492" s="30"/>
      <c r="L492" s="31" t="str">
        <f aca="false">IF(D492="","",D492-N(K492))</f>
        <v/>
      </c>
      <c r="M492" s="35" t="str">
        <f aca="true">IF(D492="","",IF(L492&lt;=0.004,"bezahlt",IF(TODAY()&gt;F492,"ÜBERFÄLLIG",IF(AND(I492&lt;&gt;"",TODAY()&lt;=I492),"Skonto nutzen bis "&amp;TEXT(I492,"DD.MM."),"fällig in "&amp;(F492-TODAY())&amp;" Tagen"))))</f>
        <v/>
      </c>
    </row>
    <row r="493" customFormat="false" ht="15" hidden="false" customHeight="false" outlineLevel="0" collapsed="false">
      <c r="A493" s="32"/>
      <c r="B493" s="32"/>
      <c r="C493" s="33"/>
      <c r="D493" s="30"/>
      <c r="E493" s="32"/>
      <c r="F493" s="44" t="str">
        <f aca="false">IF(C493="","",C493+IF(E493="",30,E493))</f>
        <v/>
      </c>
      <c r="G493" s="45"/>
      <c r="H493" s="32"/>
      <c r="I493" s="44" t="str">
        <f aca="false">IF(OR(C493="",G493=""),"",C493+H493)</f>
        <v/>
      </c>
      <c r="J493" s="33"/>
      <c r="K493" s="30"/>
      <c r="L493" s="31" t="str">
        <f aca="false">IF(D493="","",D493-N(K493))</f>
        <v/>
      </c>
      <c r="M493" s="35" t="str">
        <f aca="true">IF(D493="","",IF(L493&lt;=0.004,"bezahlt",IF(TODAY()&gt;F493,"ÜBERFÄLLIG",IF(AND(I493&lt;&gt;"",TODAY()&lt;=I493),"Skonto nutzen bis "&amp;TEXT(I493,"DD.MM."),"fällig in "&amp;(F493-TODAY())&amp;" Tagen"))))</f>
        <v/>
      </c>
    </row>
    <row r="494" customFormat="false" ht="15" hidden="false" customHeight="false" outlineLevel="0" collapsed="false">
      <c r="A494" s="32"/>
      <c r="B494" s="32"/>
      <c r="C494" s="33"/>
      <c r="D494" s="30"/>
      <c r="E494" s="32"/>
      <c r="F494" s="44" t="str">
        <f aca="false">IF(C494="","",C494+IF(E494="",30,E494))</f>
        <v/>
      </c>
      <c r="G494" s="45"/>
      <c r="H494" s="32"/>
      <c r="I494" s="44" t="str">
        <f aca="false">IF(OR(C494="",G494=""),"",C494+H494)</f>
        <v/>
      </c>
      <c r="J494" s="33"/>
      <c r="K494" s="30"/>
      <c r="L494" s="31" t="str">
        <f aca="false">IF(D494="","",D494-N(K494))</f>
        <v/>
      </c>
      <c r="M494" s="35" t="str">
        <f aca="true">IF(D494="","",IF(L494&lt;=0.004,"bezahlt",IF(TODAY()&gt;F494,"ÜBERFÄLLIG",IF(AND(I494&lt;&gt;"",TODAY()&lt;=I494),"Skonto nutzen bis "&amp;TEXT(I494,"DD.MM."),"fällig in "&amp;(F494-TODAY())&amp;" Tagen"))))</f>
        <v/>
      </c>
    </row>
    <row r="495" customFormat="false" ht="15" hidden="false" customHeight="false" outlineLevel="0" collapsed="false">
      <c r="A495" s="32"/>
      <c r="B495" s="32"/>
      <c r="C495" s="33"/>
      <c r="D495" s="30"/>
      <c r="E495" s="32"/>
      <c r="F495" s="44" t="str">
        <f aca="false">IF(C495="","",C495+IF(E495="",30,E495))</f>
        <v/>
      </c>
      <c r="G495" s="45"/>
      <c r="H495" s="32"/>
      <c r="I495" s="44" t="str">
        <f aca="false">IF(OR(C495="",G495=""),"",C495+H495)</f>
        <v/>
      </c>
      <c r="J495" s="33"/>
      <c r="K495" s="30"/>
      <c r="L495" s="31" t="str">
        <f aca="false">IF(D495="","",D495-N(K495))</f>
        <v/>
      </c>
      <c r="M495" s="35" t="str">
        <f aca="true">IF(D495="","",IF(L495&lt;=0.004,"bezahlt",IF(TODAY()&gt;F495,"ÜBERFÄLLIG",IF(AND(I495&lt;&gt;"",TODAY()&lt;=I495),"Skonto nutzen bis "&amp;TEXT(I495,"DD.MM."),"fällig in "&amp;(F495-TODAY())&amp;" Tagen"))))</f>
        <v/>
      </c>
    </row>
    <row r="496" customFormat="false" ht="15" hidden="false" customHeight="false" outlineLevel="0" collapsed="false">
      <c r="A496" s="32"/>
      <c r="B496" s="32"/>
      <c r="C496" s="33"/>
      <c r="D496" s="30"/>
      <c r="E496" s="32"/>
      <c r="F496" s="44" t="str">
        <f aca="false">IF(C496="","",C496+IF(E496="",30,E496))</f>
        <v/>
      </c>
      <c r="G496" s="45"/>
      <c r="H496" s="32"/>
      <c r="I496" s="44" t="str">
        <f aca="false">IF(OR(C496="",G496=""),"",C496+H496)</f>
        <v/>
      </c>
      <c r="J496" s="33"/>
      <c r="K496" s="30"/>
      <c r="L496" s="31" t="str">
        <f aca="false">IF(D496="","",D496-N(K496))</f>
        <v/>
      </c>
      <c r="M496" s="35" t="str">
        <f aca="true">IF(D496="","",IF(L496&lt;=0.004,"bezahlt",IF(TODAY()&gt;F496,"ÜBERFÄLLIG",IF(AND(I496&lt;&gt;"",TODAY()&lt;=I496),"Skonto nutzen bis "&amp;TEXT(I496,"DD.MM."),"fällig in "&amp;(F496-TODAY())&amp;" Tagen"))))</f>
        <v/>
      </c>
    </row>
    <row r="497" customFormat="false" ht="15" hidden="false" customHeight="false" outlineLevel="0" collapsed="false">
      <c r="A497" s="32"/>
      <c r="B497" s="32"/>
      <c r="C497" s="33"/>
      <c r="D497" s="30"/>
      <c r="E497" s="32"/>
      <c r="F497" s="44" t="str">
        <f aca="false">IF(C497="","",C497+IF(E497="",30,E497))</f>
        <v/>
      </c>
      <c r="G497" s="45"/>
      <c r="H497" s="32"/>
      <c r="I497" s="44" t="str">
        <f aca="false">IF(OR(C497="",G497=""),"",C497+H497)</f>
        <v/>
      </c>
      <c r="J497" s="33"/>
      <c r="K497" s="30"/>
      <c r="L497" s="31" t="str">
        <f aca="false">IF(D497="","",D497-N(K497))</f>
        <v/>
      </c>
      <c r="M497" s="35" t="str">
        <f aca="true">IF(D497="","",IF(L497&lt;=0.004,"bezahlt",IF(TODAY()&gt;F497,"ÜBERFÄLLIG",IF(AND(I497&lt;&gt;"",TODAY()&lt;=I497),"Skonto nutzen bis "&amp;TEXT(I497,"DD.MM."),"fällig in "&amp;(F497-TODAY())&amp;" Tagen"))))</f>
        <v/>
      </c>
    </row>
    <row r="498" customFormat="false" ht="15" hidden="false" customHeight="false" outlineLevel="0" collapsed="false">
      <c r="A498" s="32"/>
      <c r="B498" s="32"/>
      <c r="C498" s="33"/>
      <c r="D498" s="30"/>
      <c r="E498" s="32"/>
      <c r="F498" s="44" t="str">
        <f aca="false">IF(C498="","",C498+IF(E498="",30,E498))</f>
        <v/>
      </c>
      <c r="G498" s="45"/>
      <c r="H498" s="32"/>
      <c r="I498" s="44" t="str">
        <f aca="false">IF(OR(C498="",G498=""),"",C498+H498)</f>
        <v/>
      </c>
      <c r="J498" s="33"/>
      <c r="K498" s="30"/>
      <c r="L498" s="31" t="str">
        <f aca="false">IF(D498="","",D498-N(K498))</f>
        <v/>
      </c>
      <c r="M498" s="35" t="str">
        <f aca="true">IF(D498="","",IF(L498&lt;=0.004,"bezahlt",IF(TODAY()&gt;F498,"ÜBERFÄLLIG",IF(AND(I498&lt;&gt;"",TODAY()&lt;=I498),"Skonto nutzen bis "&amp;TEXT(I498,"DD.MM."),"fällig in "&amp;(F498-TODAY())&amp;" Tagen"))))</f>
        <v/>
      </c>
    </row>
    <row r="499" customFormat="false" ht="15" hidden="false" customHeight="false" outlineLevel="0" collapsed="false">
      <c r="A499" s="32"/>
      <c r="B499" s="32"/>
      <c r="C499" s="33"/>
      <c r="D499" s="30"/>
      <c r="E499" s="32"/>
      <c r="F499" s="44" t="str">
        <f aca="false">IF(C499="","",C499+IF(E499="",30,E499))</f>
        <v/>
      </c>
      <c r="G499" s="45"/>
      <c r="H499" s="32"/>
      <c r="I499" s="44" t="str">
        <f aca="false">IF(OR(C499="",G499=""),"",C499+H499)</f>
        <v/>
      </c>
      <c r="J499" s="33"/>
      <c r="K499" s="30"/>
      <c r="L499" s="31" t="str">
        <f aca="false">IF(D499="","",D499-N(K499))</f>
        <v/>
      </c>
      <c r="M499" s="35" t="str">
        <f aca="true">IF(D499="","",IF(L499&lt;=0.004,"bezahlt",IF(TODAY()&gt;F499,"ÜBERFÄLLIG",IF(AND(I499&lt;&gt;"",TODAY()&lt;=I499),"Skonto nutzen bis "&amp;TEXT(I499,"DD.MM."),"fällig in "&amp;(F499-TODAY())&amp;" Tagen"))))</f>
        <v/>
      </c>
    </row>
    <row r="500" customFormat="false" ht="15" hidden="false" customHeight="false" outlineLevel="0" collapsed="false">
      <c r="A500" s="32"/>
      <c r="B500" s="32"/>
      <c r="C500" s="33"/>
      <c r="D500" s="30"/>
      <c r="E500" s="32"/>
      <c r="F500" s="44" t="str">
        <f aca="false">IF(C500="","",C500+IF(E500="",30,E500))</f>
        <v/>
      </c>
      <c r="G500" s="45"/>
      <c r="H500" s="32"/>
      <c r="I500" s="44" t="str">
        <f aca="false">IF(OR(C500="",G500=""),"",C500+H500)</f>
        <v/>
      </c>
      <c r="J500" s="33"/>
      <c r="K500" s="30"/>
      <c r="L500" s="31" t="str">
        <f aca="false">IF(D500="","",D500-N(K500))</f>
        <v/>
      </c>
      <c r="M500" s="35" t="str">
        <f aca="true">IF(D500="","",IF(L500&lt;=0.004,"bezahlt",IF(TODAY()&gt;F500,"ÜBERFÄLLIG",IF(AND(I500&lt;&gt;"",TODAY()&lt;=I500),"Skonto nutzen bis "&amp;TEXT(I500,"DD.MM."),"fällig in "&amp;(F500-TODAY())&amp;" Tagen"))))</f>
        <v/>
      </c>
    </row>
    <row r="501" customFormat="false" ht="15" hidden="false" customHeight="false" outlineLevel="0" collapsed="false">
      <c r="A501" s="32"/>
      <c r="B501" s="32"/>
      <c r="C501" s="33"/>
      <c r="D501" s="30"/>
      <c r="E501" s="32"/>
      <c r="F501" s="44" t="str">
        <f aca="false">IF(C501="","",C501+IF(E501="",30,E501))</f>
        <v/>
      </c>
      <c r="G501" s="45"/>
      <c r="H501" s="32"/>
      <c r="I501" s="44" t="str">
        <f aca="false">IF(OR(C501="",G501=""),"",C501+H501)</f>
        <v/>
      </c>
      <c r="J501" s="33"/>
      <c r="K501" s="30"/>
      <c r="L501" s="31" t="str">
        <f aca="false">IF(D501="","",D501-N(K501))</f>
        <v/>
      </c>
      <c r="M501" s="35" t="str">
        <f aca="true">IF(D501="","",IF(L501&lt;=0.004,"bezahlt",IF(TODAY()&gt;F501,"ÜBERFÄLLIG",IF(AND(I501&lt;&gt;"",TODAY()&lt;=I501),"Skonto nutzen bis "&amp;TEXT(I501,"DD.MM."),"fällig in "&amp;(F501-TODAY())&amp;" Tagen"))))</f>
        <v/>
      </c>
    </row>
    <row r="502" customFormat="false" ht="15" hidden="false" customHeight="false" outlineLevel="0" collapsed="false">
      <c r="A502" s="32"/>
      <c r="B502" s="32"/>
      <c r="C502" s="33"/>
      <c r="D502" s="30"/>
      <c r="E502" s="32"/>
      <c r="F502" s="44" t="str">
        <f aca="false">IF(C502="","",C502+IF(E502="",30,E502))</f>
        <v/>
      </c>
      <c r="G502" s="45"/>
      <c r="H502" s="32"/>
      <c r="I502" s="44" t="str">
        <f aca="false">IF(OR(C502="",G502=""),"",C502+H502)</f>
        <v/>
      </c>
      <c r="J502" s="33"/>
      <c r="K502" s="30"/>
      <c r="L502" s="31" t="str">
        <f aca="false">IF(D502="","",D502-N(K502))</f>
        <v/>
      </c>
      <c r="M502" s="35" t="str">
        <f aca="true">IF(D502="","",IF(L502&lt;=0.004,"bezahlt",IF(TODAY()&gt;F502,"ÜBERFÄLLIG",IF(AND(I502&lt;&gt;"",TODAY()&lt;=I502),"Skonto nutzen bis "&amp;TEXT(I502,"DD.MM."),"fällig in "&amp;(F502-TODAY())&amp;" Tagen"))))</f>
        <v/>
      </c>
    </row>
    <row r="503" customFormat="false" ht="15" hidden="false" customHeight="false" outlineLevel="0" collapsed="false">
      <c r="A503" s="32"/>
      <c r="B503" s="32"/>
      <c r="C503" s="33"/>
      <c r="D503" s="30"/>
      <c r="E503" s="32"/>
      <c r="F503" s="44" t="str">
        <f aca="false">IF(C503="","",C503+IF(E503="",30,E503))</f>
        <v/>
      </c>
      <c r="G503" s="45"/>
      <c r="H503" s="32"/>
      <c r="I503" s="44" t="str">
        <f aca="false">IF(OR(C503="",G503=""),"",C503+H503)</f>
        <v/>
      </c>
      <c r="J503" s="33"/>
      <c r="K503" s="30"/>
      <c r="L503" s="31" t="str">
        <f aca="false">IF(D503="","",D503-N(K503))</f>
        <v/>
      </c>
      <c r="M503" s="35" t="str">
        <f aca="true">IF(D503="","",IF(L503&lt;=0.004,"bezahlt",IF(TODAY()&gt;F503,"ÜBERFÄLLIG",IF(AND(I503&lt;&gt;"",TODAY()&lt;=I503),"Skonto nutzen bis "&amp;TEXT(I503,"DD.MM."),"fällig in "&amp;(F503-TODAY())&amp;" Tagen"))))</f>
        <v/>
      </c>
    </row>
    <row r="504" customFormat="false" ht="15" hidden="false" customHeight="false" outlineLevel="0" collapsed="false">
      <c r="A504" s="32"/>
      <c r="B504" s="32"/>
      <c r="C504" s="33"/>
      <c r="D504" s="30"/>
      <c r="E504" s="32"/>
      <c r="F504" s="44" t="str">
        <f aca="false">IF(C504="","",C504+IF(E504="",30,E504))</f>
        <v/>
      </c>
      <c r="G504" s="45"/>
      <c r="H504" s="32"/>
      <c r="I504" s="44" t="str">
        <f aca="false">IF(OR(C504="",G504=""),"",C504+H504)</f>
        <v/>
      </c>
      <c r="J504" s="33"/>
      <c r="K504" s="30"/>
      <c r="L504" s="31" t="str">
        <f aca="false">IF(D504="","",D504-N(K504))</f>
        <v/>
      </c>
      <c r="M504" s="35" t="str">
        <f aca="true">IF(D504="","",IF(L504&lt;=0.004,"bezahlt",IF(TODAY()&gt;F504,"ÜBERFÄLLIG",IF(AND(I504&lt;&gt;"",TODAY()&lt;=I504),"Skonto nutzen bis "&amp;TEXT(I504,"DD.MM."),"fällig in "&amp;(F504-TODAY())&amp;" Tagen"))))</f>
        <v/>
      </c>
    </row>
    <row r="505" customFormat="false" ht="15" hidden="false" customHeight="false" outlineLevel="0" collapsed="false">
      <c r="A505" s="32"/>
      <c r="B505" s="32"/>
      <c r="C505" s="33"/>
      <c r="D505" s="30"/>
      <c r="E505" s="32"/>
      <c r="F505" s="44" t="str">
        <f aca="false">IF(C505="","",C505+IF(E505="",30,E505))</f>
        <v/>
      </c>
      <c r="G505" s="45"/>
      <c r="H505" s="32"/>
      <c r="I505" s="44" t="str">
        <f aca="false">IF(OR(C505="",G505=""),"",C505+H505)</f>
        <v/>
      </c>
      <c r="J505" s="33"/>
      <c r="K505" s="30"/>
      <c r="L505" s="31" t="str">
        <f aca="false">IF(D505="","",D505-N(K505))</f>
        <v/>
      </c>
      <c r="M505" s="35" t="str">
        <f aca="true">IF(D505="","",IF(L505&lt;=0.004,"bezahlt",IF(TODAY()&gt;F505,"ÜBERFÄLLIG",IF(AND(I505&lt;&gt;"",TODAY()&lt;=I505),"Skonto nutzen bis "&amp;TEXT(I505,"DD.MM."),"fällig in "&amp;(F505-TODAY())&amp;" Tagen"))))</f>
        <v/>
      </c>
    </row>
    <row r="506" customFormat="false" ht="15" hidden="false" customHeight="false" outlineLevel="0" collapsed="false">
      <c r="A506" s="32"/>
      <c r="B506" s="32"/>
      <c r="C506" s="33"/>
      <c r="D506" s="30"/>
      <c r="E506" s="32"/>
      <c r="F506" s="44" t="str">
        <f aca="false">IF(C506="","",C506+IF(E506="",30,E506))</f>
        <v/>
      </c>
      <c r="G506" s="45"/>
      <c r="H506" s="32"/>
      <c r="I506" s="44" t="str">
        <f aca="false">IF(OR(C506="",G506=""),"",C506+H506)</f>
        <v/>
      </c>
      <c r="J506" s="33"/>
      <c r="K506" s="30"/>
      <c r="L506" s="31" t="str">
        <f aca="false">IF(D506="","",D506-N(K506))</f>
        <v/>
      </c>
      <c r="M506" s="35" t="str">
        <f aca="true">IF(D506="","",IF(L506&lt;=0.004,"bezahlt",IF(TODAY()&gt;F506,"ÜBERFÄLLIG",IF(AND(I506&lt;&gt;"",TODAY()&lt;=I506),"Skonto nutzen bis "&amp;TEXT(I506,"DD.MM."),"fällig in "&amp;(F506-TODAY())&amp;" Tagen"))))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V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11"/>
    <col collapsed="false" customWidth="true" hidden="false" outlineLevel="0" max="22" min="4" style="0" width="12"/>
  </cols>
  <sheetData>
    <row r="1" customFormat="false" ht="19.7" hidden="false" customHeight="false" outlineLevel="0" collapsed="false">
      <c r="A1" s="1" t="s">
        <v>526</v>
      </c>
    </row>
    <row r="2" customFormat="false" ht="15" hidden="false" customHeight="false" outlineLevel="0" collapsed="false">
      <c r="A2" s="2" t="s">
        <v>527</v>
      </c>
    </row>
    <row r="6" customFormat="false" ht="31.5" hidden="false" customHeight="true" outlineLevel="0" collapsed="false">
      <c r="A6" s="10" t="s">
        <v>528</v>
      </c>
      <c r="B6" s="10" t="s">
        <v>529</v>
      </c>
      <c r="C6" s="10" t="s">
        <v>530</v>
      </c>
      <c r="D6" s="10" t="s">
        <v>531</v>
      </c>
      <c r="E6" s="10" t="s">
        <v>532</v>
      </c>
      <c r="F6" s="10" t="s">
        <v>533</v>
      </c>
      <c r="G6" s="10" t="s">
        <v>534</v>
      </c>
      <c r="H6" s="10" t="s">
        <v>535</v>
      </c>
      <c r="I6" s="10" t="s">
        <v>536</v>
      </c>
      <c r="J6" s="10" t="s">
        <v>537</v>
      </c>
      <c r="K6" s="10" t="s">
        <v>538</v>
      </c>
      <c r="L6" s="10" t="s">
        <v>539</v>
      </c>
      <c r="M6" s="10" t="s">
        <v>540</v>
      </c>
      <c r="N6" s="10" t="s">
        <v>541</v>
      </c>
      <c r="O6" s="10" t="s">
        <v>542</v>
      </c>
      <c r="P6" s="10" t="s">
        <v>543</v>
      </c>
      <c r="Q6" s="10" t="s">
        <v>544</v>
      </c>
      <c r="R6" s="10" t="s">
        <v>545</v>
      </c>
      <c r="S6" s="10" t="s">
        <v>546</v>
      </c>
      <c r="T6" s="10" t="s">
        <v>547</v>
      </c>
      <c r="U6" s="10" t="s">
        <v>548</v>
      </c>
      <c r="V6" s="10" t="s">
        <v>549</v>
      </c>
    </row>
    <row r="7" customFormat="false" ht="15" hidden="false" customHeight="false" outlineLevel="0" collapsed="false">
      <c r="A7" s="32" t="s">
        <v>550</v>
      </c>
      <c r="B7" s="32" t="s">
        <v>551</v>
      </c>
      <c r="C7" s="33" t="n">
        <v>45139</v>
      </c>
      <c r="D7" s="30" t="n">
        <v>5200</v>
      </c>
      <c r="E7" s="32" t="n">
        <v>13</v>
      </c>
      <c r="F7" s="12" t="n">
        <f aca="false">IF(D7="",0,D7*IF(E7="",12,E7))</f>
        <v>67600</v>
      </c>
      <c r="G7" s="31" t="n">
        <f aca="false">ROUND(F7*Einstellungen!$B$32,2)</f>
        <v>3582.8</v>
      </c>
      <c r="H7" s="31" t="n">
        <f aca="false">ROUND(MIN(F7,Einstellungen!$B$35)*Einstellungen!$B$34,2)</f>
        <v>743.6</v>
      </c>
      <c r="I7" s="31" t="n">
        <f aca="false">ROUND(F7*Einstellungen!$B$36,2)</f>
        <v>1014</v>
      </c>
      <c r="J7" s="31" t="n">
        <f aca="false">ROUND(F7*Einstellungen!$B$38,2)</f>
        <v>405.6</v>
      </c>
      <c r="K7" s="30" t="n">
        <v>250</v>
      </c>
      <c r="L7" s="31" t="n">
        <f aca="false">N(K7)*12</f>
        <v>3000</v>
      </c>
      <c r="M7" s="12" t="n">
        <f aca="false">F7-G7-H7-I7-J7-L7</f>
        <v>58854</v>
      </c>
      <c r="N7" s="31" t="n">
        <f aca="false">IF(F7=0,0,M7/IF(E7="",12,E7))</f>
        <v>4527.23076923077</v>
      </c>
      <c r="O7" s="31" t="n">
        <f aca="false">ROUND(F7*Einstellungen!$B$33,2)</f>
        <v>3582.8</v>
      </c>
      <c r="P7" s="31" t="n">
        <f aca="false">H7</f>
        <v>743.6</v>
      </c>
      <c r="Q7" s="31" t="n">
        <f aca="false">ROUND(F7*Einstellungen!$B$39,2)</f>
        <v>1081.6</v>
      </c>
      <c r="R7" s="31" t="n">
        <f aca="false">ROUND(F7*Einstellungen!$B$37,2)</f>
        <v>1352</v>
      </c>
      <c r="S7" s="31" t="n">
        <f aca="false">J7</f>
        <v>405.6</v>
      </c>
      <c r="T7" s="31" t="n">
        <f aca="false">L7</f>
        <v>3000</v>
      </c>
      <c r="U7" s="31" t="n">
        <f aca="false">SUM(O7:T7)</f>
        <v>10165.6</v>
      </c>
      <c r="V7" s="12" t="n">
        <f aca="false">F7+U7</f>
        <v>77765.6</v>
      </c>
    </row>
    <row r="8" customFormat="false" ht="15" hidden="false" customHeight="false" outlineLevel="0" collapsed="false">
      <c r="A8" s="32"/>
      <c r="B8" s="32"/>
      <c r="C8" s="33"/>
      <c r="D8" s="30"/>
      <c r="E8" s="32"/>
      <c r="F8" s="12" t="n">
        <f aca="false">IF(D8="",0,D8*IF(E8="",12,E8))</f>
        <v>0</v>
      </c>
      <c r="G8" s="31" t="n">
        <f aca="false">ROUND(F8*Einstellungen!$B$32,2)</f>
        <v>0</v>
      </c>
      <c r="H8" s="31" t="n">
        <f aca="false">ROUND(MIN(F8,Einstellungen!$B$35)*Einstellungen!$B$34,2)</f>
        <v>0</v>
      </c>
      <c r="I8" s="31" t="n">
        <f aca="false">ROUND(F8*Einstellungen!$B$36,2)</f>
        <v>0</v>
      </c>
      <c r="J8" s="31" t="n">
        <f aca="false">ROUND(F8*Einstellungen!$B$38,2)</f>
        <v>0</v>
      </c>
      <c r="K8" s="30"/>
      <c r="L8" s="31" t="n">
        <f aca="false">N(K8)*12</f>
        <v>0</v>
      </c>
      <c r="M8" s="12" t="n">
        <f aca="false">F8-G8-H8-I8-J8-L8</f>
        <v>0</v>
      </c>
      <c r="N8" s="31" t="n">
        <f aca="false">IF(F8=0,0,M8/IF(E8="",12,E8))</f>
        <v>0</v>
      </c>
      <c r="O8" s="31" t="n">
        <f aca="false">ROUND(F8*Einstellungen!$B$33,2)</f>
        <v>0</v>
      </c>
      <c r="P8" s="31" t="n">
        <f aca="false">H8</f>
        <v>0</v>
      </c>
      <c r="Q8" s="31" t="n">
        <f aca="false">ROUND(F8*Einstellungen!$B$39,2)</f>
        <v>0</v>
      </c>
      <c r="R8" s="31" t="n">
        <f aca="false">ROUND(F8*Einstellungen!$B$37,2)</f>
        <v>0</v>
      </c>
      <c r="S8" s="31" t="n">
        <f aca="false">J8</f>
        <v>0</v>
      </c>
      <c r="T8" s="31" t="n">
        <f aca="false">L8</f>
        <v>0</v>
      </c>
      <c r="U8" s="31" t="n">
        <f aca="false">SUM(O8:T8)</f>
        <v>0</v>
      </c>
      <c r="V8" s="12" t="n">
        <f aca="false">F8+U8</f>
        <v>0</v>
      </c>
    </row>
    <row r="9" customFormat="false" ht="15" hidden="false" customHeight="false" outlineLevel="0" collapsed="false">
      <c r="A9" s="32"/>
      <c r="B9" s="32"/>
      <c r="C9" s="33"/>
      <c r="D9" s="30"/>
      <c r="E9" s="32"/>
      <c r="F9" s="12" t="n">
        <f aca="false">IF(D9="",0,D9*IF(E9="",12,E9))</f>
        <v>0</v>
      </c>
      <c r="G9" s="31" t="n">
        <f aca="false">ROUND(F9*Einstellungen!$B$32,2)</f>
        <v>0</v>
      </c>
      <c r="H9" s="31" t="n">
        <f aca="false">ROUND(MIN(F9,Einstellungen!$B$35)*Einstellungen!$B$34,2)</f>
        <v>0</v>
      </c>
      <c r="I9" s="31" t="n">
        <f aca="false">ROUND(F9*Einstellungen!$B$36,2)</f>
        <v>0</v>
      </c>
      <c r="J9" s="31" t="n">
        <f aca="false">ROUND(F9*Einstellungen!$B$38,2)</f>
        <v>0</v>
      </c>
      <c r="K9" s="30"/>
      <c r="L9" s="31" t="n">
        <f aca="false">N(K9)*12</f>
        <v>0</v>
      </c>
      <c r="M9" s="12" t="n">
        <f aca="false">F9-G9-H9-I9-J9-L9</f>
        <v>0</v>
      </c>
      <c r="N9" s="31" t="n">
        <f aca="false">IF(F9=0,0,M9/IF(E9="",12,E9))</f>
        <v>0</v>
      </c>
      <c r="O9" s="31" t="n">
        <f aca="false">ROUND(F9*Einstellungen!$B$33,2)</f>
        <v>0</v>
      </c>
      <c r="P9" s="31" t="n">
        <f aca="false">H9</f>
        <v>0</v>
      </c>
      <c r="Q9" s="31" t="n">
        <f aca="false">ROUND(F9*Einstellungen!$B$39,2)</f>
        <v>0</v>
      </c>
      <c r="R9" s="31" t="n">
        <f aca="false">ROUND(F9*Einstellungen!$B$37,2)</f>
        <v>0</v>
      </c>
      <c r="S9" s="31" t="n">
        <f aca="false">J9</f>
        <v>0</v>
      </c>
      <c r="T9" s="31" t="n">
        <f aca="false">L9</f>
        <v>0</v>
      </c>
      <c r="U9" s="31" t="n">
        <f aca="false">SUM(O9:T9)</f>
        <v>0</v>
      </c>
      <c r="V9" s="12" t="n">
        <f aca="false">F9+U9</f>
        <v>0</v>
      </c>
    </row>
    <row r="10" customFormat="false" ht="15" hidden="false" customHeight="false" outlineLevel="0" collapsed="false">
      <c r="A10" s="32"/>
      <c r="B10" s="32"/>
      <c r="C10" s="33"/>
      <c r="D10" s="30"/>
      <c r="E10" s="32"/>
      <c r="F10" s="12" t="n">
        <f aca="false">IF(D10="",0,D10*IF(E10="",12,E10))</f>
        <v>0</v>
      </c>
      <c r="G10" s="31" t="n">
        <f aca="false">ROUND(F10*Einstellungen!$B$32,2)</f>
        <v>0</v>
      </c>
      <c r="H10" s="31" t="n">
        <f aca="false">ROUND(MIN(F10,Einstellungen!$B$35)*Einstellungen!$B$34,2)</f>
        <v>0</v>
      </c>
      <c r="I10" s="31" t="n">
        <f aca="false">ROUND(F10*Einstellungen!$B$36,2)</f>
        <v>0</v>
      </c>
      <c r="J10" s="31" t="n">
        <f aca="false">ROUND(F10*Einstellungen!$B$38,2)</f>
        <v>0</v>
      </c>
      <c r="K10" s="30"/>
      <c r="L10" s="31" t="n">
        <f aca="false">N(K10)*12</f>
        <v>0</v>
      </c>
      <c r="M10" s="12" t="n">
        <f aca="false">F10-G10-H10-I10-J10-L10</f>
        <v>0</v>
      </c>
      <c r="N10" s="31" t="n">
        <f aca="false">IF(F10=0,0,M10/IF(E10="",12,E10))</f>
        <v>0</v>
      </c>
      <c r="O10" s="31" t="n">
        <f aca="false">ROUND(F10*Einstellungen!$B$33,2)</f>
        <v>0</v>
      </c>
      <c r="P10" s="31" t="n">
        <f aca="false">H10</f>
        <v>0</v>
      </c>
      <c r="Q10" s="31" t="n">
        <f aca="false">ROUND(F10*Einstellungen!$B$39,2)</f>
        <v>0</v>
      </c>
      <c r="R10" s="31" t="n">
        <f aca="false">ROUND(F10*Einstellungen!$B$37,2)</f>
        <v>0</v>
      </c>
      <c r="S10" s="31" t="n">
        <f aca="false">J10</f>
        <v>0</v>
      </c>
      <c r="T10" s="31" t="n">
        <f aca="false">L10</f>
        <v>0</v>
      </c>
      <c r="U10" s="31" t="n">
        <f aca="false">SUM(O10:T10)</f>
        <v>0</v>
      </c>
      <c r="V10" s="12" t="n">
        <f aca="false">F10+U10</f>
        <v>0</v>
      </c>
    </row>
    <row r="11" customFormat="false" ht="15" hidden="false" customHeight="false" outlineLevel="0" collapsed="false">
      <c r="A11" s="32"/>
      <c r="B11" s="32"/>
      <c r="C11" s="33"/>
      <c r="D11" s="30"/>
      <c r="E11" s="32"/>
      <c r="F11" s="12" t="n">
        <f aca="false">IF(D11="",0,D11*IF(E11="",12,E11))</f>
        <v>0</v>
      </c>
      <c r="G11" s="31" t="n">
        <f aca="false">ROUND(F11*Einstellungen!$B$32,2)</f>
        <v>0</v>
      </c>
      <c r="H11" s="31" t="n">
        <f aca="false">ROUND(MIN(F11,Einstellungen!$B$35)*Einstellungen!$B$34,2)</f>
        <v>0</v>
      </c>
      <c r="I11" s="31" t="n">
        <f aca="false">ROUND(F11*Einstellungen!$B$36,2)</f>
        <v>0</v>
      </c>
      <c r="J11" s="31" t="n">
        <f aca="false">ROUND(F11*Einstellungen!$B$38,2)</f>
        <v>0</v>
      </c>
      <c r="K11" s="30"/>
      <c r="L11" s="31" t="n">
        <f aca="false">N(K11)*12</f>
        <v>0</v>
      </c>
      <c r="M11" s="12" t="n">
        <f aca="false">F11-G11-H11-I11-J11-L11</f>
        <v>0</v>
      </c>
      <c r="N11" s="31" t="n">
        <f aca="false">IF(F11=0,0,M11/IF(E11="",12,E11))</f>
        <v>0</v>
      </c>
      <c r="O11" s="31" t="n">
        <f aca="false">ROUND(F11*Einstellungen!$B$33,2)</f>
        <v>0</v>
      </c>
      <c r="P11" s="31" t="n">
        <f aca="false">H11</f>
        <v>0</v>
      </c>
      <c r="Q11" s="31" t="n">
        <f aca="false">ROUND(F11*Einstellungen!$B$39,2)</f>
        <v>0</v>
      </c>
      <c r="R11" s="31" t="n">
        <f aca="false">ROUND(F11*Einstellungen!$B$37,2)</f>
        <v>0</v>
      </c>
      <c r="S11" s="31" t="n">
        <f aca="false">J11</f>
        <v>0</v>
      </c>
      <c r="T11" s="31" t="n">
        <f aca="false">L11</f>
        <v>0</v>
      </c>
      <c r="U11" s="31" t="n">
        <f aca="false">SUM(O11:T11)</f>
        <v>0</v>
      </c>
      <c r="V11" s="12" t="n">
        <f aca="false">F11+U11</f>
        <v>0</v>
      </c>
    </row>
    <row r="12" customFormat="false" ht="15" hidden="false" customHeight="false" outlineLevel="0" collapsed="false">
      <c r="A12" s="32"/>
      <c r="B12" s="32"/>
      <c r="C12" s="33"/>
      <c r="D12" s="30"/>
      <c r="E12" s="32"/>
      <c r="F12" s="12" t="n">
        <f aca="false">IF(D12="",0,D12*IF(E12="",12,E12))</f>
        <v>0</v>
      </c>
      <c r="G12" s="31" t="n">
        <f aca="false">ROUND(F12*Einstellungen!$B$32,2)</f>
        <v>0</v>
      </c>
      <c r="H12" s="31" t="n">
        <f aca="false">ROUND(MIN(F12,Einstellungen!$B$35)*Einstellungen!$B$34,2)</f>
        <v>0</v>
      </c>
      <c r="I12" s="31" t="n">
        <f aca="false">ROUND(F12*Einstellungen!$B$36,2)</f>
        <v>0</v>
      </c>
      <c r="J12" s="31" t="n">
        <f aca="false">ROUND(F12*Einstellungen!$B$38,2)</f>
        <v>0</v>
      </c>
      <c r="K12" s="30"/>
      <c r="L12" s="31" t="n">
        <f aca="false">N(K12)*12</f>
        <v>0</v>
      </c>
      <c r="M12" s="12" t="n">
        <f aca="false">F12-G12-H12-I12-J12-L12</f>
        <v>0</v>
      </c>
      <c r="N12" s="31" t="n">
        <f aca="false">IF(F12=0,0,M12/IF(E12="",12,E12))</f>
        <v>0</v>
      </c>
      <c r="O12" s="31" t="n">
        <f aca="false">ROUND(F12*Einstellungen!$B$33,2)</f>
        <v>0</v>
      </c>
      <c r="P12" s="31" t="n">
        <f aca="false">H12</f>
        <v>0</v>
      </c>
      <c r="Q12" s="31" t="n">
        <f aca="false">ROUND(F12*Einstellungen!$B$39,2)</f>
        <v>0</v>
      </c>
      <c r="R12" s="31" t="n">
        <f aca="false">ROUND(F12*Einstellungen!$B$37,2)</f>
        <v>0</v>
      </c>
      <c r="S12" s="31" t="n">
        <f aca="false">J12</f>
        <v>0</v>
      </c>
      <c r="T12" s="31" t="n">
        <f aca="false">L12</f>
        <v>0</v>
      </c>
      <c r="U12" s="31" t="n">
        <f aca="false">SUM(O12:T12)</f>
        <v>0</v>
      </c>
      <c r="V12" s="12" t="n">
        <f aca="false">F12+U12</f>
        <v>0</v>
      </c>
    </row>
    <row r="13" customFormat="false" ht="15" hidden="false" customHeight="false" outlineLevel="0" collapsed="false">
      <c r="A13" s="32"/>
      <c r="B13" s="32"/>
      <c r="C13" s="33"/>
      <c r="D13" s="30"/>
      <c r="E13" s="32"/>
      <c r="F13" s="12" t="n">
        <f aca="false">IF(D13="",0,D13*IF(E13="",12,E13))</f>
        <v>0</v>
      </c>
      <c r="G13" s="31" t="n">
        <f aca="false">ROUND(F13*Einstellungen!$B$32,2)</f>
        <v>0</v>
      </c>
      <c r="H13" s="31" t="n">
        <f aca="false">ROUND(MIN(F13,Einstellungen!$B$35)*Einstellungen!$B$34,2)</f>
        <v>0</v>
      </c>
      <c r="I13" s="31" t="n">
        <f aca="false">ROUND(F13*Einstellungen!$B$36,2)</f>
        <v>0</v>
      </c>
      <c r="J13" s="31" t="n">
        <f aca="false">ROUND(F13*Einstellungen!$B$38,2)</f>
        <v>0</v>
      </c>
      <c r="K13" s="30"/>
      <c r="L13" s="31" t="n">
        <f aca="false">N(K13)*12</f>
        <v>0</v>
      </c>
      <c r="M13" s="12" t="n">
        <f aca="false">F13-G13-H13-I13-J13-L13</f>
        <v>0</v>
      </c>
      <c r="N13" s="31" t="n">
        <f aca="false">IF(F13=0,0,M13/IF(E13="",12,E13))</f>
        <v>0</v>
      </c>
      <c r="O13" s="31" t="n">
        <f aca="false">ROUND(F13*Einstellungen!$B$33,2)</f>
        <v>0</v>
      </c>
      <c r="P13" s="31" t="n">
        <f aca="false">H13</f>
        <v>0</v>
      </c>
      <c r="Q13" s="31" t="n">
        <f aca="false">ROUND(F13*Einstellungen!$B$39,2)</f>
        <v>0</v>
      </c>
      <c r="R13" s="31" t="n">
        <f aca="false">ROUND(F13*Einstellungen!$B$37,2)</f>
        <v>0</v>
      </c>
      <c r="S13" s="31" t="n">
        <f aca="false">J13</f>
        <v>0</v>
      </c>
      <c r="T13" s="31" t="n">
        <f aca="false">L13</f>
        <v>0</v>
      </c>
      <c r="U13" s="31" t="n">
        <f aca="false">SUM(O13:T13)</f>
        <v>0</v>
      </c>
      <c r="V13" s="12" t="n">
        <f aca="false">F13+U13</f>
        <v>0</v>
      </c>
    </row>
    <row r="14" customFormat="false" ht="15" hidden="false" customHeight="false" outlineLevel="0" collapsed="false">
      <c r="A14" s="32"/>
      <c r="B14" s="32"/>
      <c r="C14" s="33"/>
      <c r="D14" s="30"/>
      <c r="E14" s="32"/>
      <c r="F14" s="12" t="n">
        <f aca="false">IF(D14="",0,D14*IF(E14="",12,E14))</f>
        <v>0</v>
      </c>
      <c r="G14" s="31" t="n">
        <f aca="false">ROUND(F14*Einstellungen!$B$32,2)</f>
        <v>0</v>
      </c>
      <c r="H14" s="31" t="n">
        <f aca="false">ROUND(MIN(F14,Einstellungen!$B$35)*Einstellungen!$B$34,2)</f>
        <v>0</v>
      </c>
      <c r="I14" s="31" t="n">
        <f aca="false">ROUND(F14*Einstellungen!$B$36,2)</f>
        <v>0</v>
      </c>
      <c r="J14" s="31" t="n">
        <f aca="false">ROUND(F14*Einstellungen!$B$38,2)</f>
        <v>0</v>
      </c>
      <c r="K14" s="30"/>
      <c r="L14" s="31" t="n">
        <f aca="false">N(K14)*12</f>
        <v>0</v>
      </c>
      <c r="M14" s="12" t="n">
        <f aca="false">F14-G14-H14-I14-J14-L14</f>
        <v>0</v>
      </c>
      <c r="N14" s="31" t="n">
        <f aca="false">IF(F14=0,0,M14/IF(E14="",12,E14))</f>
        <v>0</v>
      </c>
      <c r="O14" s="31" t="n">
        <f aca="false">ROUND(F14*Einstellungen!$B$33,2)</f>
        <v>0</v>
      </c>
      <c r="P14" s="31" t="n">
        <f aca="false">H14</f>
        <v>0</v>
      </c>
      <c r="Q14" s="31" t="n">
        <f aca="false">ROUND(F14*Einstellungen!$B$39,2)</f>
        <v>0</v>
      </c>
      <c r="R14" s="31" t="n">
        <f aca="false">ROUND(F14*Einstellungen!$B$37,2)</f>
        <v>0</v>
      </c>
      <c r="S14" s="31" t="n">
        <f aca="false">J14</f>
        <v>0</v>
      </c>
      <c r="T14" s="31" t="n">
        <f aca="false">L14</f>
        <v>0</v>
      </c>
      <c r="U14" s="31" t="n">
        <f aca="false">SUM(O14:T14)</f>
        <v>0</v>
      </c>
      <c r="V14" s="12" t="n">
        <f aca="false">F14+U14</f>
        <v>0</v>
      </c>
    </row>
    <row r="15" customFormat="false" ht="15" hidden="false" customHeight="false" outlineLevel="0" collapsed="false">
      <c r="A15" s="32"/>
      <c r="B15" s="32"/>
      <c r="C15" s="33"/>
      <c r="D15" s="30"/>
      <c r="E15" s="32"/>
      <c r="F15" s="12" t="n">
        <f aca="false">IF(D15="",0,D15*IF(E15="",12,E15))</f>
        <v>0</v>
      </c>
      <c r="G15" s="31" t="n">
        <f aca="false">ROUND(F15*Einstellungen!$B$32,2)</f>
        <v>0</v>
      </c>
      <c r="H15" s="31" t="n">
        <f aca="false">ROUND(MIN(F15,Einstellungen!$B$35)*Einstellungen!$B$34,2)</f>
        <v>0</v>
      </c>
      <c r="I15" s="31" t="n">
        <f aca="false">ROUND(F15*Einstellungen!$B$36,2)</f>
        <v>0</v>
      </c>
      <c r="J15" s="31" t="n">
        <f aca="false">ROUND(F15*Einstellungen!$B$38,2)</f>
        <v>0</v>
      </c>
      <c r="K15" s="30"/>
      <c r="L15" s="31" t="n">
        <f aca="false">N(K15)*12</f>
        <v>0</v>
      </c>
      <c r="M15" s="12" t="n">
        <f aca="false">F15-G15-H15-I15-J15-L15</f>
        <v>0</v>
      </c>
      <c r="N15" s="31" t="n">
        <f aca="false">IF(F15=0,0,M15/IF(E15="",12,E15))</f>
        <v>0</v>
      </c>
      <c r="O15" s="31" t="n">
        <f aca="false">ROUND(F15*Einstellungen!$B$33,2)</f>
        <v>0</v>
      </c>
      <c r="P15" s="31" t="n">
        <f aca="false">H15</f>
        <v>0</v>
      </c>
      <c r="Q15" s="31" t="n">
        <f aca="false">ROUND(F15*Einstellungen!$B$39,2)</f>
        <v>0</v>
      </c>
      <c r="R15" s="31" t="n">
        <f aca="false">ROUND(F15*Einstellungen!$B$37,2)</f>
        <v>0</v>
      </c>
      <c r="S15" s="31" t="n">
        <f aca="false">J15</f>
        <v>0</v>
      </c>
      <c r="T15" s="31" t="n">
        <f aca="false">L15</f>
        <v>0</v>
      </c>
      <c r="U15" s="31" t="n">
        <f aca="false">SUM(O15:T15)</f>
        <v>0</v>
      </c>
      <c r="V15" s="12" t="n">
        <f aca="false">F15+U15</f>
        <v>0</v>
      </c>
    </row>
    <row r="16" customFormat="false" ht="15" hidden="false" customHeight="false" outlineLevel="0" collapsed="false">
      <c r="A16" s="32"/>
      <c r="B16" s="32"/>
      <c r="C16" s="33"/>
      <c r="D16" s="30"/>
      <c r="E16" s="32"/>
      <c r="F16" s="12" t="n">
        <f aca="false">IF(D16="",0,D16*IF(E16="",12,E16))</f>
        <v>0</v>
      </c>
      <c r="G16" s="31" t="n">
        <f aca="false">ROUND(F16*Einstellungen!$B$32,2)</f>
        <v>0</v>
      </c>
      <c r="H16" s="31" t="n">
        <f aca="false">ROUND(MIN(F16,Einstellungen!$B$35)*Einstellungen!$B$34,2)</f>
        <v>0</v>
      </c>
      <c r="I16" s="31" t="n">
        <f aca="false">ROUND(F16*Einstellungen!$B$36,2)</f>
        <v>0</v>
      </c>
      <c r="J16" s="31" t="n">
        <f aca="false">ROUND(F16*Einstellungen!$B$38,2)</f>
        <v>0</v>
      </c>
      <c r="K16" s="30"/>
      <c r="L16" s="31" t="n">
        <f aca="false">N(K16)*12</f>
        <v>0</v>
      </c>
      <c r="M16" s="12" t="n">
        <f aca="false">F16-G16-H16-I16-J16-L16</f>
        <v>0</v>
      </c>
      <c r="N16" s="31" t="n">
        <f aca="false">IF(F16=0,0,M16/IF(E16="",12,E16))</f>
        <v>0</v>
      </c>
      <c r="O16" s="31" t="n">
        <f aca="false">ROUND(F16*Einstellungen!$B$33,2)</f>
        <v>0</v>
      </c>
      <c r="P16" s="31" t="n">
        <f aca="false">H16</f>
        <v>0</v>
      </c>
      <c r="Q16" s="31" t="n">
        <f aca="false">ROUND(F16*Einstellungen!$B$39,2)</f>
        <v>0</v>
      </c>
      <c r="R16" s="31" t="n">
        <f aca="false">ROUND(F16*Einstellungen!$B$37,2)</f>
        <v>0</v>
      </c>
      <c r="S16" s="31" t="n">
        <f aca="false">J16</f>
        <v>0</v>
      </c>
      <c r="T16" s="31" t="n">
        <f aca="false">L16</f>
        <v>0</v>
      </c>
      <c r="U16" s="31" t="n">
        <f aca="false">SUM(O16:T16)</f>
        <v>0</v>
      </c>
      <c r="V16" s="12" t="n">
        <f aca="false">F16+U16</f>
        <v>0</v>
      </c>
    </row>
    <row r="17" customFormat="false" ht="15" hidden="false" customHeight="false" outlineLevel="0" collapsed="false">
      <c r="A17" s="32"/>
      <c r="B17" s="32"/>
      <c r="C17" s="33"/>
      <c r="D17" s="30"/>
      <c r="E17" s="32"/>
      <c r="F17" s="12" t="n">
        <f aca="false">IF(D17="",0,D17*IF(E17="",12,E17))</f>
        <v>0</v>
      </c>
      <c r="G17" s="31" t="n">
        <f aca="false">ROUND(F17*Einstellungen!$B$32,2)</f>
        <v>0</v>
      </c>
      <c r="H17" s="31" t="n">
        <f aca="false">ROUND(MIN(F17,Einstellungen!$B$35)*Einstellungen!$B$34,2)</f>
        <v>0</v>
      </c>
      <c r="I17" s="31" t="n">
        <f aca="false">ROUND(F17*Einstellungen!$B$36,2)</f>
        <v>0</v>
      </c>
      <c r="J17" s="31" t="n">
        <f aca="false">ROUND(F17*Einstellungen!$B$38,2)</f>
        <v>0</v>
      </c>
      <c r="K17" s="30"/>
      <c r="L17" s="31" t="n">
        <f aca="false">N(K17)*12</f>
        <v>0</v>
      </c>
      <c r="M17" s="12" t="n">
        <f aca="false">F17-G17-H17-I17-J17-L17</f>
        <v>0</v>
      </c>
      <c r="N17" s="31" t="n">
        <f aca="false">IF(F17=0,0,M17/IF(E17="",12,E17))</f>
        <v>0</v>
      </c>
      <c r="O17" s="31" t="n">
        <f aca="false">ROUND(F17*Einstellungen!$B$33,2)</f>
        <v>0</v>
      </c>
      <c r="P17" s="31" t="n">
        <f aca="false">H17</f>
        <v>0</v>
      </c>
      <c r="Q17" s="31" t="n">
        <f aca="false">ROUND(F17*Einstellungen!$B$39,2)</f>
        <v>0</v>
      </c>
      <c r="R17" s="31" t="n">
        <f aca="false">ROUND(F17*Einstellungen!$B$37,2)</f>
        <v>0</v>
      </c>
      <c r="S17" s="31" t="n">
        <f aca="false">J17</f>
        <v>0</v>
      </c>
      <c r="T17" s="31" t="n">
        <f aca="false">L17</f>
        <v>0</v>
      </c>
      <c r="U17" s="31" t="n">
        <f aca="false">SUM(O17:T17)</f>
        <v>0</v>
      </c>
      <c r="V17" s="12" t="n">
        <f aca="false">F17+U17</f>
        <v>0</v>
      </c>
    </row>
    <row r="18" customFormat="false" ht="15" hidden="false" customHeight="false" outlineLevel="0" collapsed="false">
      <c r="A18" s="32"/>
      <c r="B18" s="32"/>
      <c r="C18" s="33"/>
      <c r="D18" s="30"/>
      <c r="E18" s="32"/>
      <c r="F18" s="12" t="n">
        <f aca="false">IF(D18="",0,D18*IF(E18="",12,E18))</f>
        <v>0</v>
      </c>
      <c r="G18" s="31" t="n">
        <f aca="false">ROUND(F18*Einstellungen!$B$32,2)</f>
        <v>0</v>
      </c>
      <c r="H18" s="31" t="n">
        <f aca="false">ROUND(MIN(F18,Einstellungen!$B$35)*Einstellungen!$B$34,2)</f>
        <v>0</v>
      </c>
      <c r="I18" s="31" t="n">
        <f aca="false">ROUND(F18*Einstellungen!$B$36,2)</f>
        <v>0</v>
      </c>
      <c r="J18" s="31" t="n">
        <f aca="false">ROUND(F18*Einstellungen!$B$38,2)</f>
        <v>0</v>
      </c>
      <c r="K18" s="30"/>
      <c r="L18" s="31" t="n">
        <f aca="false">N(K18)*12</f>
        <v>0</v>
      </c>
      <c r="M18" s="12" t="n">
        <f aca="false">F18-G18-H18-I18-J18-L18</f>
        <v>0</v>
      </c>
      <c r="N18" s="31" t="n">
        <f aca="false">IF(F18=0,0,M18/IF(E18="",12,E18))</f>
        <v>0</v>
      </c>
      <c r="O18" s="31" t="n">
        <f aca="false">ROUND(F18*Einstellungen!$B$33,2)</f>
        <v>0</v>
      </c>
      <c r="P18" s="31" t="n">
        <f aca="false">H18</f>
        <v>0</v>
      </c>
      <c r="Q18" s="31" t="n">
        <f aca="false">ROUND(F18*Einstellungen!$B$39,2)</f>
        <v>0</v>
      </c>
      <c r="R18" s="31" t="n">
        <f aca="false">ROUND(F18*Einstellungen!$B$37,2)</f>
        <v>0</v>
      </c>
      <c r="S18" s="31" t="n">
        <f aca="false">J18</f>
        <v>0</v>
      </c>
      <c r="T18" s="31" t="n">
        <f aca="false">L18</f>
        <v>0</v>
      </c>
      <c r="U18" s="31" t="n">
        <f aca="false">SUM(O18:T18)</f>
        <v>0</v>
      </c>
      <c r="V18" s="12" t="n">
        <f aca="false">F18+U18</f>
        <v>0</v>
      </c>
    </row>
    <row r="19" customFormat="false" ht="15" hidden="false" customHeight="false" outlineLevel="0" collapsed="false">
      <c r="A19" s="32"/>
      <c r="B19" s="32"/>
      <c r="C19" s="33"/>
      <c r="D19" s="30"/>
      <c r="E19" s="32"/>
      <c r="F19" s="12" t="n">
        <f aca="false">IF(D19="",0,D19*IF(E19="",12,E19))</f>
        <v>0</v>
      </c>
      <c r="G19" s="31" t="n">
        <f aca="false">ROUND(F19*Einstellungen!$B$32,2)</f>
        <v>0</v>
      </c>
      <c r="H19" s="31" t="n">
        <f aca="false">ROUND(MIN(F19,Einstellungen!$B$35)*Einstellungen!$B$34,2)</f>
        <v>0</v>
      </c>
      <c r="I19" s="31" t="n">
        <f aca="false">ROUND(F19*Einstellungen!$B$36,2)</f>
        <v>0</v>
      </c>
      <c r="J19" s="31" t="n">
        <f aca="false">ROUND(F19*Einstellungen!$B$38,2)</f>
        <v>0</v>
      </c>
      <c r="K19" s="30"/>
      <c r="L19" s="31" t="n">
        <f aca="false">N(K19)*12</f>
        <v>0</v>
      </c>
      <c r="M19" s="12" t="n">
        <f aca="false">F19-G19-H19-I19-J19-L19</f>
        <v>0</v>
      </c>
      <c r="N19" s="31" t="n">
        <f aca="false">IF(F19=0,0,M19/IF(E19="",12,E19))</f>
        <v>0</v>
      </c>
      <c r="O19" s="31" t="n">
        <f aca="false">ROUND(F19*Einstellungen!$B$33,2)</f>
        <v>0</v>
      </c>
      <c r="P19" s="31" t="n">
        <f aca="false">H19</f>
        <v>0</v>
      </c>
      <c r="Q19" s="31" t="n">
        <f aca="false">ROUND(F19*Einstellungen!$B$39,2)</f>
        <v>0</v>
      </c>
      <c r="R19" s="31" t="n">
        <f aca="false">ROUND(F19*Einstellungen!$B$37,2)</f>
        <v>0</v>
      </c>
      <c r="S19" s="31" t="n">
        <f aca="false">J19</f>
        <v>0</v>
      </c>
      <c r="T19" s="31" t="n">
        <f aca="false">L19</f>
        <v>0</v>
      </c>
      <c r="U19" s="31" t="n">
        <f aca="false">SUM(O19:T19)</f>
        <v>0</v>
      </c>
      <c r="V19" s="12" t="n">
        <f aca="false">F19+U19</f>
        <v>0</v>
      </c>
    </row>
    <row r="20" customFormat="false" ht="15" hidden="false" customHeight="false" outlineLevel="0" collapsed="false">
      <c r="A20" s="32"/>
      <c r="B20" s="32"/>
      <c r="C20" s="33"/>
      <c r="D20" s="30"/>
      <c r="E20" s="32"/>
      <c r="F20" s="12" t="n">
        <f aca="false">IF(D20="",0,D20*IF(E20="",12,E20))</f>
        <v>0</v>
      </c>
      <c r="G20" s="31" t="n">
        <f aca="false">ROUND(F20*Einstellungen!$B$32,2)</f>
        <v>0</v>
      </c>
      <c r="H20" s="31" t="n">
        <f aca="false">ROUND(MIN(F20,Einstellungen!$B$35)*Einstellungen!$B$34,2)</f>
        <v>0</v>
      </c>
      <c r="I20" s="31" t="n">
        <f aca="false">ROUND(F20*Einstellungen!$B$36,2)</f>
        <v>0</v>
      </c>
      <c r="J20" s="31" t="n">
        <f aca="false">ROUND(F20*Einstellungen!$B$38,2)</f>
        <v>0</v>
      </c>
      <c r="K20" s="30"/>
      <c r="L20" s="31" t="n">
        <f aca="false">N(K20)*12</f>
        <v>0</v>
      </c>
      <c r="M20" s="12" t="n">
        <f aca="false">F20-G20-H20-I20-J20-L20</f>
        <v>0</v>
      </c>
      <c r="N20" s="31" t="n">
        <f aca="false">IF(F20=0,0,M20/IF(E20="",12,E20))</f>
        <v>0</v>
      </c>
      <c r="O20" s="31" t="n">
        <f aca="false">ROUND(F20*Einstellungen!$B$33,2)</f>
        <v>0</v>
      </c>
      <c r="P20" s="31" t="n">
        <f aca="false">H20</f>
        <v>0</v>
      </c>
      <c r="Q20" s="31" t="n">
        <f aca="false">ROUND(F20*Einstellungen!$B$39,2)</f>
        <v>0</v>
      </c>
      <c r="R20" s="31" t="n">
        <f aca="false">ROUND(F20*Einstellungen!$B$37,2)</f>
        <v>0</v>
      </c>
      <c r="S20" s="31" t="n">
        <f aca="false">J20</f>
        <v>0</v>
      </c>
      <c r="T20" s="31" t="n">
        <f aca="false">L20</f>
        <v>0</v>
      </c>
      <c r="U20" s="31" t="n">
        <f aca="false">SUM(O20:T20)</f>
        <v>0</v>
      </c>
      <c r="V20" s="12" t="n">
        <f aca="false">F20+U20</f>
        <v>0</v>
      </c>
    </row>
    <row r="21" customFormat="false" ht="15" hidden="false" customHeight="false" outlineLevel="0" collapsed="false">
      <c r="A21" s="32"/>
      <c r="B21" s="32"/>
      <c r="C21" s="33"/>
      <c r="D21" s="30"/>
      <c r="E21" s="32"/>
      <c r="F21" s="12" t="n">
        <f aca="false">IF(D21="",0,D21*IF(E21="",12,E21))</f>
        <v>0</v>
      </c>
      <c r="G21" s="31" t="n">
        <f aca="false">ROUND(F21*Einstellungen!$B$32,2)</f>
        <v>0</v>
      </c>
      <c r="H21" s="31" t="n">
        <f aca="false">ROUND(MIN(F21,Einstellungen!$B$35)*Einstellungen!$B$34,2)</f>
        <v>0</v>
      </c>
      <c r="I21" s="31" t="n">
        <f aca="false">ROUND(F21*Einstellungen!$B$36,2)</f>
        <v>0</v>
      </c>
      <c r="J21" s="31" t="n">
        <f aca="false">ROUND(F21*Einstellungen!$B$38,2)</f>
        <v>0</v>
      </c>
      <c r="K21" s="30"/>
      <c r="L21" s="31" t="n">
        <f aca="false">N(K21)*12</f>
        <v>0</v>
      </c>
      <c r="M21" s="12" t="n">
        <f aca="false">F21-G21-H21-I21-J21-L21</f>
        <v>0</v>
      </c>
      <c r="N21" s="31" t="n">
        <f aca="false">IF(F21=0,0,M21/IF(E21="",12,E21))</f>
        <v>0</v>
      </c>
      <c r="O21" s="31" t="n">
        <f aca="false">ROUND(F21*Einstellungen!$B$33,2)</f>
        <v>0</v>
      </c>
      <c r="P21" s="31" t="n">
        <f aca="false">H21</f>
        <v>0</v>
      </c>
      <c r="Q21" s="31" t="n">
        <f aca="false">ROUND(F21*Einstellungen!$B$39,2)</f>
        <v>0</v>
      </c>
      <c r="R21" s="31" t="n">
        <f aca="false">ROUND(F21*Einstellungen!$B$37,2)</f>
        <v>0</v>
      </c>
      <c r="S21" s="31" t="n">
        <f aca="false">J21</f>
        <v>0</v>
      </c>
      <c r="T21" s="31" t="n">
        <f aca="false">L21</f>
        <v>0</v>
      </c>
      <c r="U21" s="31" t="n">
        <f aca="false">SUM(O21:T21)</f>
        <v>0</v>
      </c>
      <c r="V21" s="12" t="n">
        <f aca="false">F21+U21</f>
        <v>0</v>
      </c>
    </row>
    <row r="22" customFormat="false" ht="15" hidden="false" customHeight="false" outlineLevel="0" collapsed="false">
      <c r="A22" s="4" t="s">
        <v>449</v>
      </c>
      <c r="F22" s="12" t="n">
        <f aca="false">SUM(F7:F21)</f>
        <v>67600</v>
      </c>
      <c r="G22" s="12" t="n">
        <f aca="false">SUM(G7:G21)</f>
        <v>3582.8</v>
      </c>
      <c r="H22" s="12" t="n">
        <f aca="false">SUM(H7:H21)</f>
        <v>743.6</v>
      </c>
      <c r="I22" s="12" t="n">
        <f aca="false">SUM(I7:I21)</f>
        <v>1014</v>
      </c>
      <c r="J22" s="12" t="n">
        <f aca="false">SUM(J7:J21)</f>
        <v>405.6</v>
      </c>
      <c r="L22" s="12" t="n">
        <f aca="false">SUM(L7:L21)</f>
        <v>3000</v>
      </c>
      <c r="M22" s="12" t="n">
        <f aca="false">SUM(M7:M21)</f>
        <v>58854</v>
      </c>
      <c r="N22" s="12" t="n">
        <f aca="false">SUM(N7:N21)</f>
        <v>4527.23076923077</v>
      </c>
      <c r="O22" s="12" t="n">
        <f aca="false">SUM(O7:O21)</f>
        <v>3582.8</v>
      </c>
      <c r="P22" s="12" t="n">
        <f aca="false">SUM(P7:P21)</f>
        <v>743.6</v>
      </c>
      <c r="Q22" s="12" t="n">
        <f aca="false">SUM(Q7:Q21)</f>
        <v>1081.6</v>
      </c>
      <c r="R22" s="12" t="n">
        <f aca="false">SUM(R7:R21)</f>
        <v>1352</v>
      </c>
      <c r="S22" s="12" t="n">
        <f aca="false">SUM(S7:S21)</f>
        <v>405.6</v>
      </c>
      <c r="T22" s="12" t="n">
        <f aca="false">SUM(T7:T21)</f>
        <v>3000</v>
      </c>
      <c r="U22" s="12" t="n">
        <f aca="false">SUM(U7:U21)</f>
        <v>10165.6</v>
      </c>
      <c r="V22" s="12" t="n">
        <f aca="false">SUM(V7:V21)</f>
        <v>77765.6</v>
      </c>
    </row>
    <row r="24" customFormat="false" ht="15" hidden="false" customHeight="false" outlineLevel="0" collapsed="false">
      <c r="A24" s="36" t="s">
        <v>552</v>
      </c>
    </row>
    <row r="25" customFormat="false" ht="15" hidden="false" customHeight="false" outlineLevel="0" collapsed="false">
      <c r="A25" s="0" t="s">
        <v>553</v>
      </c>
      <c r="D25" s="31" t="n">
        <f aca="false">SUMIF(Kontenplan!$A$5:$A$90,5000,Kontenplan!$K$5:$K$90)</f>
        <v>5200</v>
      </c>
    </row>
    <row r="26" customFormat="false" ht="15" hidden="false" customHeight="false" outlineLevel="0" collapsed="false">
      <c r="A26" s="0" t="s">
        <v>554</v>
      </c>
      <c r="D26" s="31" t="n">
        <f aca="false">SUMIF(Kontenplan!$A$5:$A$90,5700,Kontenplan!$K$5:$K$90)</f>
        <v>780</v>
      </c>
    </row>
    <row r="27" customFormat="false" ht="15" hidden="false" customHeight="false" outlineLevel="0" collapsed="false">
      <c r="A27" s="0" t="s">
        <v>555</v>
      </c>
      <c r="D27" s="31" t="n">
        <f aca="false">F22</f>
        <v>67600</v>
      </c>
    </row>
    <row r="28" customFormat="false" ht="15" hidden="false" customHeight="false" outlineLevel="0" collapsed="false">
      <c r="A28" s="0" t="s">
        <v>556</v>
      </c>
      <c r="D28" s="31" t="n">
        <f aca="false">U22</f>
        <v>10165.6</v>
      </c>
    </row>
    <row r="30" customFormat="false" ht="15" hidden="false" customHeight="false" outlineLevel="0" collapsed="false">
      <c r="A30" s="9" t="s">
        <v>557</v>
      </c>
    </row>
    <row r="31" customFormat="false" ht="15" hidden="false" customHeight="false" outlineLevel="0" collapsed="false">
      <c r="A31" s="9" t="s">
        <v>558</v>
      </c>
    </row>
    <row r="32" customFormat="false" ht="15" hidden="false" customHeight="false" outlineLevel="0" collapsed="false">
      <c r="A32" s="9" t="s">
        <v>559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J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16"/>
  </cols>
  <sheetData>
    <row r="1" customFormat="false" ht="19.7" hidden="false" customHeight="false" outlineLevel="0" collapsed="false">
      <c r="A1" s="1" t="s">
        <v>560</v>
      </c>
    </row>
    <row r="2" customFormat="false" ht="15" hidden="false" customHeight="false" outlineLevel="0" collapsed="false">
      <c r="A2" s="2" t="s">
        <v>561</v>
      </c>
    </row>
    <row r="3" customFormat="false" ht="15" hidden="false" customHeight="false" outlineLevel="0" collapsed="false">
      <c r="A3" s="0" t="s">
        <v>562</v>
      </c>
      <c r="C3" s="12" t="n">
        <f aca="false">SUM(H7:H506)</f>
        <v>2992</v>
      </c>
      <c r="E3" s="14" t="s">
        <v>563</v>
      </c>
      <c r="H3" s="12" t="n">
        <f aca="false">C3-C4</f>
        <v>-15008</v>
      </c>
      <c r="J3" s="9" t="s">
        <v>564</v>
      </c>
    </row>
    <row r="4" customFormat="false" ht="15" hidden="false" customHeight="false" outlineLevel="0" collapsed="false">
      <c r="A4" s="0" t="s">
        <v>565</v>
      </c>
      <c r="C4" s="12" t="n">
        <f aca="false">SUMIF(Kontenplan!$A$5:$A$90,1200,Kontenplan!$K$5:$K$90)</f>
        <v>18000</v>
      </c>
      <c r="E4" s="14" t="s">
        <v>566</v>
      </c>
      <c r="H4" s="46" t="str">
        <f aca="false">IF(ABS(H3)&lt;1,"keine",IF(H3&gt;0,"Soll 1200 / Haben 4000: CHF "&amp;TEXT(H3,"#,##0.00"),"Soll 4000 / Haben 1200: CHF "&amp;TEXT(-H3,"#,##0.00")))</f>
        <v>Soll 4000 / Haben 1200: CHF 15,008.00</v>
      </c>
    </row>
    <row r="6" customFormat="false" ht="31.5" hidden="false" customHeight="true" outlineLevel="0" collapsed="false">
      <c r="A6" s="10" t="s">
        <v>567</v>
      </c>
      <c r="B6" s="10" t="s">
        <v>251</v>
      </c>
      <c r="C6" s="10" t="s">
        <v>568</v>
      </c>
      <c r="D6" s="10" t="s">
        <v>520</v>
      </c>
      <c r="E6" s="10" t="s">
        <v>569</v>
      </c>
      <c r="F6" s="10" t="s">
        <v>570</v>
      </c>
      <c r="G6" s="10" t="s">
        <v>571</v>
      </c>
      <c r="H6" s="10" t="s">
        <v>572</v>
      </c>
      <c r="I6" s="10" t="s">
        <v>573</v>
      </c>
      <c r="J6" s="10" t="s">
        <v>574</v>
      </c>
    </row>
    <row r="7" customFormat="false" ht="15" hidden="false" customHeight="false" outlineLevel="0" collapsed="false">
      <c r="A7" s="32" t="s">
        <v>575</v>
      </c>
      <c r="B7" s="32" t="s">
        <v>576</v>
      </c>
      <c r="C7" s="32" t="s">
        <v>577</v>
      </c>
      <c r="D7" s="32" t="s">
        <v>578</v>
      </c>
      <c r="E7" s="32" t="n">
        <v>150</v>
      </c>
      <c r="F7" s="32" t="s">
        <v>579</v>
      </c>
      <c r="G7" s="30" t="n">
        <v>6.8</v>
      </c>
      <c r="H7" s="31" t="n">
        <f aca="false">IF(OR(E7="",G7=""),"",E7*G7)</f>
        <v>1020</v>
      </c>
      <c r="I7" s="32" t="n">
        <v>60</v>
      </c>
      <c r="J7" s="35" t="str">
        <f aca="false">IF(OR(E7="",I7=""),"",IF(E7&lt;=I7,"nachbestellen",""))</f>
        <v/>
      </c>
    </row>
    <row r="8" customFormat="false" ht="15" hidden="false" customHeight="false" outlineLevel="0" collapsed="false">
      <c r="A8" s="32" t="s">
        <v>580</v>
      </c>
      <c r="B8" s="32" t="s">
        <v>581</v>
      </c>
      <c r="C8" s="32" t="s">
        <v>582</v>
      </c>
      <c r="D8" s="32" t="s">
        <v>524</v>
      </c>
      <c r="E8" s="32" t="n">
        <v>8</v>
      </c>
      <c r="F8" s="32" t="s">
        <v>158</v>
      </c>
      <c r="G8" s="30" t="n">
        <v>42.5</v>
      </c>
      <c r="H8" s="31" t="n">
        <f aca="false">IF(OR(E8="",G8=""),"",E8*G8)</f>
        <v>340</v>
      </c>
      <c r="I8" s="32" t="n">
        <v>4</v>
      </c>
      <c r="J8" s="35" t="str">
        <f aca="false">IF(OR(E8="",I8=""),"",IF(E8&lt;=I8,"nachbestellen",""))</f>
        <v/>
      </c>
    </row>
    <row r="9" customFormat="false" ht="15" hidden="false" customHeight="false" outlineLevel="0" collapsed="false">
      <c r="A9" s="32" t="s">
        <v>583</v>
      </c>
      <c r="B9" s="32" t="s">
        <v>584</v>
      </c>
      <c r="C9" s="32" t="s">
        <v>585</v>
      </c>
      <c r="D9" s="32" t="s">
        <v>586</v>
      </c>
      <c r="E9" s="32" t="n">
        <v>24</v>
      </c>
      <c r="F9" s="32" t="s">
        <v>587</v>
      </c>
      <c r="G9" s="30" t="n">
        <v>68</v>
      </c>
      <c r="H9" s="31" t="n">
        <f aca="false">IF(OR(E9="",G9=""),"",E9*G9)</f>
        <v>1632</v>
      </c>
      <c r="I9" s="32" t="n">
        <v>8</v>
      </c>
      <c r="J9" s="35" t="str">
        <f aca="false">IF(OR(E9="",I9=""),"",IF(E9&lt;=I9,"nachbestellen",""))</f>
        <v/>
      </c>
    </row>
    <row r="10" customFormat="false" ht="15" hidden="false" customHeight="false" outlineLevel="0" collapsed="false">
      <c r="A10" s="32"/>
      <c r="B10" s="32"/>
      <c r="C10" s="32"/>
      <c r="D10" s="32"/>
      <c r="E10" s="32"/>
      <c r="F10" s="32"/>
      <c r="G10" s="30"/>
      <c r="H10" s="31" t="str">
        <f aca="false">IF(OR(E10="",G10=""),"",E10*G10)</f>
        <v/>
      </c>
      <c r="I10" s="32"/>
      <c r="J10" s="35" t="str">
        <f aca="false">IF(OR(E10="",I10=""),"",IF(E10&lt;=I10,"nachbestellen",""))</f>
        <v/>
      </c>
    </row>
    <row r="11" customFormat="false" ht="15" hidden="false" customHeight="false" outlineLevel="0" collapsed="false">
      <c r="A11" s="32"/>
      <c r="B11" s="32"/>
      <c r="C11" s="32"/>
      <c r="D11" s="32"/>
      <c r="E11" s="32"/>
      <c r="F11" s="32"/>
      <c r="G11" s="30"/>
      <c r="H11" s="31" t="str">
        <f aca="false">IF(OR(E11="",G11=""),"",E11*G11)</f>
        <v/>
      </c>
      <c r="I11" s="32"/>
      <c r="J11" s="35" t="str">
        <f aca="false">IF(OR(E11="",I11=""),"",IF(E11&lt;=I11,"nachbestellen",""))</f>
        <v/>
      </c>
    </row>
    <row r="12" customFormat="false" ht="15" hidden="false" customHeight="false" outlineLevel="0" collapsed="false">
      <c r="A12" s="32"/>
      <c r="B12" s="32"/>
      <c r="C12" s="32"/>
      <c r="D12" s="32"/>
      <c r="E12" s="32"/>
      <c r="F12" s="32"/>
      <c r="G12" s="30"/>
      <c r="H12" s="31" t="str">
        <f aca="false">IF(OR(E12="",G12=""),"",E12*G12)</f>
        <v/>
      </c>
      <c r="I12" s="32"/>
      <c r="J12" s="35" t="str">
        <f aca="false">IF(OR(E12="",I12=""),"",IF(E12&lt;=I12,"nachbestellen",""))</f>
        <v/>
      </c>
    </row>
    <row r="13" customFormat="false" ht="15" hidden="false" customHeight="false" outlineLevel="0" collapsed="false">
      <c r="A13" s="32"/>
      <c r="B13" s="32"/>
      <c r="C13" s="32"/>
      <c r="D13" s="32"/>
      <c r="E13" s="32"/>
      <c r="F13" s="32"/>
      <c r="G13" s="30"/>
      <c r="H13" s="31" t="str">
        <f aca="false">IF(OR(E13="",G13=""),"",E13*G13)</f>
        <v/>
      </c>
      <c r="I13" s="32"/>
      <c r="J13" s="35" t="str">
        <f aca="false">IF(OR(E13="",I13=""),"",IF(E13&lt;=I13,"nachbestellen",""))</f>
        <v/>
      </c>
    </row>
    <row r="14" customFormat="false" ht="15" hidden="false" customHeight="false" outlineLevel="0" collapsed="false">
      <c r="A14" s="32"/>
      <c r="B14" s="32"/>
      <c r="C14" s="32"/>
      <c r="D14" s="32"/>
      <c r="E14" s="32"/>
      <c r="F14" s="32"/>
      <c r="G14" s="30"/>
      <c r="H14" s="31" t="str">
        <f aca="false">IF(OR(E14="",G14=""),"",E14*G14)</f>
        <v/>
      </c>
      <c r="I14" s="32"/>
      <c r="J14" s="35" t="str">
        <f aca="false">IF(OR(E14="",I14=""),"",IF(E14&lt;=I14,"nachbestellen",""))</f>
        <v/>
      </c>
    </row>
    <row r="15" customFormat="false" ht="15" hidden="false" customHeight="false" outlineLevel="0" collapsed="false">
      <c r="A15" s="32"/>
      <c r="B15" s="32"/>
      <c r="C15" s="32"/>
      <c r="D15" s="32"/>
      <c r="E15" s="32"/>
      <c r="F15" s="32"/>
      <c r="G15" s="30"/>
      <c r="H15" s="31" t="str">
        <f aca="false">IF(OR(E15="",G15=""),"",E15*G15)</f>
        <v/>
      </c>
      <c r="I15" s="32"/>
      <c r="J15" s="35" t="str">
        <f aca="false">IF(OR(E15="",I15=""),"",IF(E15&lt;=I15,"nachbestellen",""))</f>
        <v/>
      </c>
    </row>
    <row r="16" customFormat="false" ht="15" hidden="false" customHeight="false" outlineLevel="0" collapsed="false">
      <c r="A16" s="32"/>
      <c r="B16" s="32"/>
      <c r="C16" s="32"/>
      <c r="D16" s="32"/>
      <c r="E16" s="32"/>
      <c r="F16" s="32"/>
      <c r="G16" s="30"/>
      <c r="H16" s="31" t="str">
        <f aca="false">IF(OR(E16="",G16=""),"",E16*G16)</f>
        <v/>
      </c>
      <c r="I16" s="32"/>
      <c r="J16" s="35" t="str">
        <f aca="false">IF(OR(E16="",I16=""),"",IF(E16&lt;=I16,"nachbestellen",""))</f>
        <v/>
      </c>
    </row>
    <row r="17" customFormat="false" ht="15" hidden="false" customHeight="false" outlineLevel="0" collapsed="false">
      <c r="A17" s="32"/>
      <c r="B17" s="32"/>
      <c r="C17" s="32"/>
      <c r="D17" s="32"/>
      <c r="E17" s="32"/>
      <c r="F17" s="32"/>
      <c r="G17" s="30"/>
      <c r="H17" s="31" t="str">
        <f aca="false">IF(OR(E17="",G17=""),"",E17*G17)</f>
        <v/>
      </c>
      <c r="I17" s="32"/>
      <c r="J17" s="35" t="str">
        <f aca="false">IF(OR(E17="",I17=""),"",IF(E17&lt;=I17,"nachbestellen",""))</f>
        <v/>
      </c>
    </row>
    <row r="18" customFormat="false" ht="15" hidden="false" customHeight="false" outlineLevel="0" collapsed="false">
      <c r="A18" s="32"/>
      <c r="B18" s="32"/>
      <c r="C18" s="32"/>
      <c r="D18" s="32"/>
      <c r="E18" s="32"/>
      <c r="F18" s="32"/>
      <c r="G18" s="30"/>
      <c r="H18" s="31" t="str">
        <f aca="false">IF(OR(E18="",G18=""),"",E18*G18)</f>
        <v/>
      </c>
      <c r="I18" s="32"/>
      <c r="J18" s="35" t="str">
        <f aca="false">IF(OR(E18="",I18=""),"",IF(E18&lt;=I18,"nachbestellen",""))</f>
        <v/>
      </c>
    </row>
    <row r="19" customFormat="false" ht="15" hidden="false" customHeight="false" outlineLevel="0" collapsed="false">
      <c r="A19" s="32"/>
      <c r="B19" s="32"/>
      <c r="C19" s="32"/>
      <c r="D19" s="32"/>
      <c r="E19" s="32"/>
      <c r="F19" s="32"/>
      <c r="G19" s="30"/>
      <c r="H19" s="31" t="str">
        <f aca="false">IF(OR(E19="",G19=""),"",E19*G19)</f>
        <v/>
      </c>
      <c r="I19" s="32"/>
      <c r="J19" s="35" t="str">
        <f aca="false">IF(OR(E19="",I19=""),"",IF(E19&lt;=I19,"nachbestellen",""))</f>
        <v/>
      </c>
    </row>
    <row r="20" customFormat="false" ht="15" hidden="false" customHeight="false" outlineLevel="0" collapsed="false">
      <c r="A20" s="32"/>
      <c r="B20" s="32"/>
      <c r="C20" s="32"/>
      <c r="D20" s="32"/>
      <c r="E20" s="32"/>
      <c r="F20" s="32"/>
      <c r="G20" s="30"/>
      <c r="H20" s="31" t="str">
        <f aca="false">IF(OR(E20="",G20=""),"",E20*G20)</f>
        <v/>
      </c>
      <c r="I20" s="32"/>
      <c r="J20" s="35" t="str">
        <f aca="false">IF(OR(E20="",I20=""),"",IF(E20&lt;=I20,"nachbestellen",""))</f>
        <v/>
      </c>
    </row>
    <row r="21" customFormat="false" ht="15" hidden="false" customHeight="false" outlineLevel="0" collapsed="false">
      <c r="A21" s="32"/>
      <c r="B21" s="32"/>
      <c r="C21" s="32"/>
      <c r="D21" s="32"/>
      <c r="E21" s="32"/>
      <c r="F21" s="32"/>
      <c r="G21" s="30"/>
      <c r="H21" s="31" t="str">
        <f aca="false">IF(OR(E21="",G21=""),"",E21*G21)</f>
        <v/>
      </c>
      <c r="I21" s="32"/>
      <c r="J21" s="35" t="str">
        <f aca="false">IF(OR(E21="",I21=""),"",IF(E21&lt;=I21,"nachbestellen",""))</f>
        <v/>
      </c>
    </row>
    <row r="22" customFormat="false" ht="15" hidden="false" customHeight="false" outlineLevel="0" collapsed="false">
      <c r="A22" s="32"/>
      <c r="B22" s="32"/>
      <c r="C22" s="32"/>
      <c r="D22" s="32"/>
      <c r="E22" s="32"/>
      <c r="F22" s="32"/>
      <c r="G22" s="30"/>
      <c r="H22" s="31" t="str">
        <f aca="false">IF(OR(E22="",G22=""),"",E22*G22)</f>
        <v/>
      </c>
      <c r="I22" s="32"/>
      <c r="J22" s="35" t="str">
        <f aca="false">IF(OR(E22="",I22=""),"",IF(E22&lt;=I22,"nachbestellen",""))</f>
        <v/>
      </c>
    </row>
    <row r="23" customFormat="false" ht="15" hidden="false" customHeight="false" outlineLevel="0" collapsed="false">
      <c r="A23" s="32"/>
      <c r="B23" s="32"/>
      <c r="C23" s="32"/>
      <c r="D23" s="32"/>
      <c r="E23" s="32"/>
      <c r="F23" s="32"/>
      <c r="G23" s="30"/>
      <c r="H23" s="31" t="str">
        <f aca="false">IF(OR(E23="",G23=""),"",E23*G23)</f>
        <v/>
      </c>
      <c r="I23" s="32"/>
      <c r="J23" s="35" t="str">
        <f aca="false">IF(OR(E23="",I23=""),"",IF(E23&lt;=I23,"nachbestellen",""))</f>
        <v/>
      </c>
    </row>
    <row r="24" customFormat="false" ht="15" hidden="false" customHeight="false" outlineLevel="0" collapsed="false">
      <c r="A24" s="32"/>
      <c r="B24" s="32"/>
      <c r="C24" s="32"/>
      <c r="D24" s="32"/>
      <c r="E24" s="32"/>
      <c r="F24" s="32"/>
      <c r="G24" s="30"/>
      <c r="H24" s="31" t="str">
        <f aca="false">IF(OR(E24="",G24=""),"",E24*G24)</f>
        <v/>
      </c>
      <c r="I24" s="32"/>
      <c r="J24" s="35" t="str">
        <f aca="false">IF(OR(E24="",I24=""),"",IF(E24&lt;=I24,"nachbestellen",""))</f>
        <v/>
      </c>
    </row>
    <row r="25" customFormat="false" ht="15" hidden="false" customHeight="false" outlineLevel="0" collapsed="false">
      <c r="A25" s="32"/>
      <c r="B25" s="32"/>
      <c r="C25" s="32"/>
      <c r="D25" s="32"/>
      <c r="E25" s="32"/>
      <c r="F25" s="32"/>
      <c r="G25" s="30"/>
      <c r="H25" s="31" t="str">
        <f aca="false">IF(OR(E25="",G25=""),"",E25*G25)</f>
        <v/>
      </c>
      <c r="I25" s="32"/>
      <c r="J25" s="35" t="str">
        <f aca="false">IF(OR(E25="",I25=""),"",IF(E25&lt;=I25,"nachbestellen",""))</f>
        <v/>
      </c>
    </row>
    <row r="26" customFormat="false" ht="15" hidden="false" customHeight="false" outlineLevel="0" collapsed="false">
      <c r="A26" s="32"/>
      <c r="B26" s="32"/>
      <c r="C26" s="32"/>
      <c r="D26" s="32"/>
      <c r="E26" s="32"/>
      <c r="F26" s="32"/>
      <c r="G26" s="30"/>
      <c r="H26" s="31" t="str">
        <f aca="false">IF(OR(E26="",G26=""),"",E26*G26)</f>
        <v/>
      </c>
      <c r="I26" s="32"/>
      <c r="J26" s="35" t="str">
        <f aca="false">IF(OR(E26="",I26=""),"",IF(E26&lt;=I26,"nachbestellen",""))</f>
        <v/>
      </c>
    </row>
    <row r="27" customFormat="false" ht="15" hidden="false" customHeight="false" outlineLevel="0" collapsed="false">
      <c r="A27" s="32"/>
      <c r="B27" s="32"/>
      <c r="C27" s="32"/>
      <c r="D27" s="32"/>
      <c r="E27" s="32"/>
      <c r="F27" s="32"/>
      <c r="G27" s="30"/>
      <c r="H27" s="31" t="str">
        <f aca="false">IF(OR(E27="",G27=""),"",E27*G27)</f>
        <v/>
      </c>
      <c r="I27" s="32"/>
      <c r="J27" s="35" t="str">
        <f aca="false">IF(OR(E27="",I27=""),"",IF(E27&lt;=I27,"nachbestellen",""))</f>
        <v/>
      </c>
    </row>
    <row r="28" customFormat="false" ht="15" hidden="false" customHeight="false" outlineLevel="0" collapsed="false">
      <c r="A28" s="32"/>
      <c r="B28" s="32"/>
      <c r="C28" s="32"/>
      <c r="D28" s="32"/>
      <c r="E28" s="32"/>
      <c r="F28" s="32"/>
      <c r="G28" s="30"/>
      <c r="H28" s="31" t="str">
        <f aca="false">IF(OR(E28="",G28=""),"",E28*G28)</f>
        <v/>
      </c>
      <c r="I28" s="32"/>
      <c r="J28" s="35" t="str">
        <f aca="false">IF(OR(E28="",I28=""),"",IF(E28&lt;=I28,"nachbestellen",""))</f>
        <v/>
      </c>
    </row>
    <row r="29" customFormat="false" ht="15" hidden="false" customHeight="false" outlineLevel="0" collapsed="false">
      <c r="A29" s="32"/>
      <c r="B29" s="32"/>
      <c r="C29" s="32"/>
      <c r="D29" s="32"/>
      <c r="E29" s="32"/>
      <c r="F29" s="32"/>
      <c r="G29" s="30"/>
      <c r="H29" s="31" t="str">
        <f aca="false">IF(OR(E29="",G29=""),"",E29*G29)</f>
        <v/>
      </c>
      <c r="I29" s="32"/>
      <c r="J29" s="35" t="str">
        <f aca="false">IF(OR(E29="",I29=""),"",IF(E29&lt;=I29,"nachbestellen",""))</f>
        <v/>
      </c>
    </row>
    <row r="30" customFormat="false" ht="15" hidden="false" customHeight="false" outlineLevel="0" collapsed="false">
      <c r="A30" s="32"/>
      <c r="B30" s="32"/>
      <c r="C30" s="32"/>
      <c r="D30" s="32"/>
      <c r="E30" s="32"/>
      <c r="F30" s="32"/>
      <c r="G30" s="30"/>
      <c r="H30" s="31" t="str">
        <f aca="false">IF(OR(E30="",G30=""),"",E30*G30)</f>
        <v/>
      </c>
      <c r="I30" s="32"/>
      <c r="J30" s="35" t="str">
        <f aca="false">IF(OR(E30="",I30=""),"",IF(E30&lt;=I30,"nachbestellen",""))</f>
        <v/>
      </c>
    </row>
    <row r="31" customFormat="false" ht="15" hidden="false" customHeight="false" outlineLevel="0" collapsed="false">
      <c r="A31" s="32"/>
      <c r="B31" s="32"/>
      <c r="C31" s="32"/>
      <c r="D31" s="32"/>
      <c r="E31" s="32"/>
      <c r="F31" s="32"/>
      <c r="G31" s="30"/>
      <c r="H31" s="31" t="str">
        <f aca="false">IF(OR(E31="",G31=""),"",E31*G31)</f>
        <v/>
      </c>
      <c r="I31" s="32"/>
      <c r="J31" s="35" t="str">
        <f aca="false">IF(OR(E31="",I31=""),"",IF(E31&lt;=I31,"nachbestellen",""))</f>
        <v/>
      </c>
    </row>
    <row r="32" customFormat="false" ht="15" hidden="false" customHeight="false" outlineLevel="0" collapsed="false">
      <c r="A32" s="32"/>
      <c r="B32" s="32"/>
      <c r="C32" s="32"/>
      <c r="D32" s="32"/>
      <c r="E32" s="32"/>
      <c r="F32" s="32"/>
      <c r="G32" s="30"/>
      <c r="H32" s="31" t="str">
        <f aca="false">IF(OR(E32="",G32=""),"",E32*G32)</f>
        <v/>
      </c>
      <c r="I32" s="32"/>
      <c r="J32" s="35" t="str">
        <f aca="false">IF(OR(E32="",I32=""),"",IF(E32&lt;=I32,"nachbestellen",""))</f>
        <v/>
      </c>
    </row>
    <row r="33" customFormat="false" ht="15" hidden="false" customHeight="false" outlineLevel="0" collapsed="false">
      <c r="A33" s="32"/>
      <c r="B33" s="32"/>
      <c r="C33" s="32"/>
      <c r="D33" s="32"/>
      <c r="E33" s="32"/>
      <c r="F33" s="32"/>
      <c r="G33" s="30"/>
      <c r="H33" s="31" t="str">
        <f aca="false">IF(OR(E33="",G33=""),"",E33*G33)</f>
        <v/>
      </c>
      <c r="I33" s="32"/>
      <c r="J33" s="35" t="str">
        <f aca="false">IF(OR(E33="",I33=""),"",IF(E33&lt;=I33,"nachbestellen",""))</f>
        <v/>
      </c>
    </row>
    <row r="34" customFormat="false" ht="15" hidden="false" customHeight="false" outlineLevel="0" collapsed="false">
      <c r="A34" s="32"/>
      <c r="B34" s="32"/>
      <c r="C34" s="32"/>
      <c r="D34" s="32"/>
      <c r="E34" s="32"/>
      <c r="F34" s="32"/>
      <c r="G34" s="30"/>
      <c r="H34" s="31" t="str">
        <f aca="false">IF(OR(E34="",G34=""),"",E34*G34)</f>
        <v/>
      </c>
      <c r="I34" s="32"/>
      <c r="J34" s="35" t="str">
        <f aca="false">IF(OR(E34="",I34=""),"",IF(E34&lt;=I34,"nachbestellen",""))</f>
        <v/>
      </c>
    </row>
    <row r="35" customFormat="false" ht="15" hidden="false" customHeight="false" outlineLevel="0" collapsed="false">
      <c r="A35" s="32"/>
      <c r="B35" s="32"/>
      <c r="C35" s="32"/>
      <c r="D35" s="32"/>
      <c r="E35" s="32"/>
      <c r="F35" s="32"/>
      <c r="G35" s="30"/>
      <c r="H35" s="31" t="str">
        <f aca="false">IF(OR(E35="",G35=""),"",E35*G35)</f>
        <v/>
      </c>
      <c r="I35" s="32"/>
      <c r="J35" s="35" t="str">
        <f aca="false">IF(OR(E35="",I35=""),"",IF(E35&lt;=I35,"nachbestellen",""))</f>
        <v/>
      </c>
    </row>
    <row r="36" customFormat="false" ht="15" hidden="false" customHeight="false" outlineLevel="0" collapsed="false">
      <c r="A36" s="32"/>
      <c r="B36" s="32"/>
      <c r="C36" s="32"/>
      <c r="D36" s="32"/>
      <c r="E36" s="32"/>
      <c r="F36" s="32"/>
      <c r="G36" s="30"/>
      <c r="H36" s="31" t="str">
        <f aca="false">IF(OR(E36="",G36=""),"",E36*G36)</f>
        <v/>
      </c>
      <c r="I36" s="32"/>
      <c r="J36" s="35" t="str">
        <f aca="false">IF(OR(E36="",I36=""),"",IF(E36&lt;=I36,"nachbestellen",""))</f>
        <v/>
      </c>
    </row>
    <row r="37" customFormat="false" ht="15" hidden="false" customHeight="false" outlineLevel="0" collapsed="false">
      <c r="A37" s="32"/>
      <c r="B37" s="32"/>
      <c r="C37" s="32"/>
      <c r="D37" s="32"/>
      <c r="E37" s="32"/>
      <c r="F37" s="32"/>
      <c r="G37" s="30"/>
      <c r="H37" s="31" t="str">
        <f aca="false">IF(OR(E37="",G37=""),"",E37*G37)</f>
        <v/>
      </c>
      <c r="I37" s="32"/>
      <c r="J37" s="35" t="str">
        <f aca="false">IF(OR(E37="",I37=""),"",IF(E37&lt;=I37,"nachbestellen",""))</f>
        <v/>
      </c>
    </row>
    <row r="38" customFormat="false" ht="15" hidden="false" customHeight="false" outlineLevel="0" collapsed="false">
      <c r="A38" s="32"/>
      <c r="B38" s="32"/>
      <c r="C38" s="32"/>
      <c r="D38" s="32"/>
      <c r="E38" s="32"/>
      <c r="F38" s="32"/>
      <c r="G38" s="30"/>
      <c r="H38" s="31" t="str">
        <f aca="false">IF(OR(E38="",G38=""),"",E38*G38)</f>
        <v/>
      </c>
      <c r="I38" s="32"/>
      <c r="J38" s="35" t="str">
        <f aca="false">IF(OR(E38="",I38=""),"",IF(E38&lt;=I38,"nachbestellen",""))</f>
        <v/>
      </c>
    </row>
    <row r="39" customFormat="false" ht="15" hidden="false" customHeight="false" outlineLevel="0" collapsed="false">
      <c r="A39" s="32"/>
      <c r="B39" s="32"/>
      <c r="C39" s="32"/>
      <c r="D39" s="32"/>
      <c r="E39" s="32"/>
      <c r="F39" s="32"/>
      <c r="G39" s="30"/>
      <c r="H39" s="31" t="str">
        <f aca="false">IF(OR(E39="",G39=""),"",E39*G39)</f>
        <v/>
      </c>
      <c r="I39" s="32"/>
      <c r="J39" s="35" t="str">
        <f aca="false">IF(OR(E39="",I39=""),"",IF(E39&lt;=I39,"nachbestellen",""))</f>
        <v/>
      </c>
    </row>
    <row r="40" customFormat="false" ht="15" hidden="false" customHeight="false" outlineLevel="0" collapsed="false">
      <c r="A40" s="32"/>
      <c r="B40" s="32"/>
      <c r="C40" s="32"/>
      <c r="D40" s="32"/>
      <c r="E40" s="32"/>
      <c r="F40" s="32"/>
      <c r="G40" s="30"/>
      <c r="H40" s="31" t="str">
        <f aca="false">IF(OR(E40="",G40=""),"",E40*G40)</f>
        <v/>
      </c>
      <c r="I40" s="32"/>
      <c r="J40" s="35" t="str">
        <f aca="false">IF(OR(E40="",I40=""),"",IF(E40&lt;=I40,"nachbestellen",""))</f>
        <v/>
      </c>
    </row>
    <row r="41" customFormat="false" ht="15" hidden="false" customHeight="false" outlineLevel="0" collapsed="false">
      <c r="A41" s="32"/>
      <c r="B41" s="32"/>
      <c r="C41" s="32"/>
      <c r="D41" s="32"/>
      <c r="E41" s="32"/>
      <c r="F41" s="32"/>
      <c r="G41" s="30"/>
      <c r="H41" s="31" t="str">
        <f aca="false">IF(OR(E41="",G41=""),"",E41*G41)</f>
        <v/>
      </c>
      <c r="I41" s="32"/>
      <c r="J41" s="35" t="str">
        <f aca="false">IF(OR(E41="",I41=""),"",IF(E41&lt;=I41,"nachbestellen",""))</f>
        <v/>
      </c>
    </row>
    <row r="42" customFormat="false" ht="15" hidden="false" customHeight="false" outlineLevel="0" collapsed="false">
      <c r="A42" s="32"/>
      <c r="B42" s="32"/>
      <c r="C42" s="32"/>
      <c r="D42" s="32"/>
      <c r="E42" s="32"/>
      <c r="F42" s="32"/>
      <c r="G42" s="30"/>
      <c r="H42" s="31" t="str">
        <f aca="false">IF(OR(E42="",G42=""),"",E42*G42)</f>
        <v/>
      </c>
      <c r="I42" s="32"/>
      <c r="J42" s="35" t="str">
        <f aca="false">IF(OR(E42="",I42=""),"",IF(E42&lt;=I42,"nachbestellen",""))</f>
        <v/>
      </c>
    </row>
    <row r="43" customFormat="false" ht="15" hidden="false" customHeight="false" outlineLevel="0" collapsed="false">
      <c r="A43" s="32"/>
      <c r="B43" s="32"/>
      <c r="C43" s="32"/>
      <c r="D43" s="32"/>
      <c r="E43" s="32"/>
      <c r="F43" s="32"/>
      <c r="G43" s="30"/>
      <c r="H43" s="31" t="str">
        <f aca="false">IF(OR(E43="",G43=""),"",E43*G43)</f>
        <v/>
      </c>
      <c r="I43" s="32"/>
      <c r="J43" s="35" t="str">
        <f aca="false">IF(OR(E43="",I43=""),"",IF(E43&lt;=I43,"nachbestellen",""))</f>
        <v/>
      </c>
    </row>
    <row r="44" customFormat="false" ht="15" hidden="false" customHeight="false" outlineLevel="0" collapsed="false">
      <c r="A44" s="32"/>
      <c r="B44" s="32"/>
      <c r="C44" s="32"/>
      <c r="D44" s="32"/>
      <c r="E44" s="32"/>
      <c r="F44" s="32"/>
      <c r="G44" s="30"/>
      <c r="H44" s="31" t="str">
        <f aca="false">IF(OR(E44="",G44=""),"",E44*G44)</f>
        <v/>
      </c>
      <c r="I44" s="32"/>
      <c r="J44" s="35" t="str">
        <f aca="false">IF(OR(E44="",I44=""),"",IF(E44&lt;=I44,"nachbestellen",""))</f>
        <v/>
      </c>
    </row>
    <row r="45" customFormat="false" ht="15" hidden="false" customHeight="false" outlineLevel="0" collapsed="false">
      <c r="A45" s="32"/>
      <c r="B45" s="32"/>
      <c r="C45" s="32"/>
      <c r="D45" s="32"/>
      <c r="E45" s="32"/>
      <c r="F45" s="32"/>
      <c r="G45" s="30"/>
      <c r="H45" s="31" t="str">
        <f aca="false">IF(OR(E45="",G45=""),"",E45*G45)</f>
        <v/>
      </c>
      <c r="I45" s="32"/>
      <c r="J45" s="35" t="str">
        <f aca="false">IF(OR(E45="",I45=""),"",IF(E45&lt;=I45,"nachbestellen",""))</f>
        <v/>
      </c>
    </row>
    <row r="46" customFormat="false" ht="15" hidden="false" customHeight="false" outlineLevel="0" collapsed="false">
      <c r="A46" s="32"/>
      <c r="B46" s="32"/>
      <c r="C46" s="32"/>
      <c r="D46" s="32"/>
      <c r="E46" s="32"/>
      <c r="F46" s="32"/>
      <c r="G46" s="30"/>
      <c r="H46" s="31" t="str">
        <f aca="false">IF(OR(E46="",G46=""),"",E46*G46)</f>
        <v/>
      </c>
      <c r="I46" s="32"/>
      <c r="J46" s="35" t="str">
        <f aca="false">IF(OR(E46="",I46=""),"",IF(E46&lt;=I46,"nachbestellen",""))</f>
        <v/>
      </c>
    </row>
    <row r="47" customFormat="false" ht="15" hidden="false" customHeight="false" outlineLevel="0" collapsed="false">
      <c r="A47" s="32"/>
      <c r="B47" s="32"/>
      <c r="C47" s="32"/>
      <c r="D47" s="32"/>
      <c r="E47" s="32"/>
      <c r="F47" s="32"/>
      <c r="G47" s="30"/>
      <c r="H47" s="31" t="str">
        <f aca="false">IF(OR(E47="",G47=""),"",E47*G47)</f>
        <v/>
      </c>
      <c r="I47" s="32"/>
      <c r="J47" s="35" t="str">
        <f aca="false">IF(OR(E47="",I47=""),"",IF(E47&lt;=I47,"nachbestellen",""))</f>
        <v/>
      </c>
    </row>
    <row r="48" customFormat="false" ht="15" hidden="false" customHeight="false" outlineLevel="0" collapsed="false">
      <c r="A48" s="32"/>
      <c r="B48" s="32"/>
      <c r="C48" s="32"/>
      <c r="D48" s="32"/>
      <c r="E48" s="32"/>
      <c r="F48" s="32"/>
      <c r="G48" s="30"/>
      <c r="H48" s="31" t="str">
        <f aca="false">IF(OR(E48="",G48=""),"",E48*G48)</f>
        <v/>
      </c>
      <c r="I48" s="32"/>
      <c r="J48" s="35" t="str">
        <f aca="false">IF(OR(E48="",I48=""),"",IF(E48&lt;=I48,"nachbestellen",""))</f>
        <v/>
      </c>
    </row>
    <row r="49" customFormat="false" ht="15" hidden="false" customHeight="false" outlineLevel="0" collapsed="false">
      <c r="A49" s="32"/>
      <c r="B49" s="32"/>
      <c r="C49" s="32"/>
      <c r="D49" s="32"/>
      <c r="E49" s="32"/>
      <c r="F49" s="32"/>
      <c r="G49" s="30"/>
      <c r="H49" s="31" t="str">
        <f aca="false">IF(OR(E49="",G49=""),"",E49*G49)</f>
        <v/>
      </c>
      <c r="I49" s="32"/>
      <c r="J49" s="35" t="str">
        <f aca="false">IF(OR(E49="",I49=""),"",IF(E49&lt;=I49,"nachbestellen",""))</f>
        <v/>
      </c>
    </row>
    <row r="50" customFormat="false" ht="15" hidden="false" customHeight="false" outlineLevel="0" collapsed="false">
      <c r="A50" s="32"/>
      <c r="B50" s="32"/>
      <c r="C50" s="32"/>
      <c r="D50" s="32"/>
      <c r="E50" s="32"/>
      <c r="F50" s="32"/>
      <c r="G50" s="30"/>
      <c r="H50" s="31" t="str">
        <f aca="false">IF(OR(E50="",G50=""),"",E50*G50)</f>
        <v/>
      </c>
      <c r="I50" s="32"/>
      <c r="J50" s="35" t="str">
        <f aca="false">IF(OR(E50="",I50=""),"",IF(E50&lt;=I50,"nachbestellen",""))</f>
        <v/>
      </c>
    </row>
    <row r="51" customFormat="false" ht="15" hidden="false" customHeight="false" outlineLevel="0" collapsed="false">
      <c r="A51" s="32"/>
      <c r="B51" s="32"/>
      <c r="C51" s="32"/>
      <c r="D51" s="32"/>
      <c r="E51" s="32"/>
      <c r="F51" s="32"/>
      <c r="G51" s="30"/>
      <c r="H51" s="31" t="str">
        <f aca="false">IF(OR(E51="",G51=""),"",E51*G51)</f>
        <v/>
      </c>
      <c r="I51" s="32"/>
      <c r="J51" s="35" t="str">
        <f aca="false">IF(OR(E51="",I51=""),"",IF(E51&lt;=I51,"nachbestellen",""))</f>
        <v/>
      </c>
    </row>
    <row r="52" customFormat="false" ht="15" hidden="false" customHeight="false" outlineLevel="0" collapsed="false">
      <c r="A52" s="32"/>
      <c r="B52" s="32"/>
      <c r="C52" s="32"/>
      <c r="D52" s="32"/>
      <c r="E52" s="32"/>
      <c r="F52" s="32"/>
      <c r="G52" s="30"/>
      <c r="H52" s="31" t="str">
        <f aca="false">IF(OR(E52="",G52=""),"",E52*G52)</f>
        <v/>
      </c>
      <c r="I52" s="32"/>
      <c r="J52" s="35" t="str">
        <f aca="false">IF(OR(E52="",I52=""),"",IF(E52&lt;=I52,"nachbestellen",""))</f>
        <v/>
      </c>
    </row>
    <row r="53" customFormat="false" ht="15" hidden="false" customHeight="false" outlineLevel="0" collapsed="false">
      <c r="A53" s="32"/>
      <c r="B53" s="32"/>
      <c r="C53" s="32"/>
      <c r="D53" s="32"/>
      <c r="E53" s="32"/>
      <c r="F53" s="32"/>
      <c r="G53" s="30"/>
      <c r="H53" s="31" t="str">
        <f aca="false">IF(OR(E53="",G53=""),"",E53*G53)</f>
        <v/>
      </c>
      <c r="I53" s="32"/>
      <c r="J53" s="35" t="str">
        <f aca="false">IF(OR(E53="",I53=""),"",IF(E53&lt;=I53,"nachbestellen",""))</f>
        <v/>
      </c>
    </row>
    <row r="54" customFormat="false" ht="15" hidden="false" customHeight="false" outlineLevel="0" collapsed="false">
      <c r="A54" s="32"/>
      <c r="B54" s="32"/>
      <c r="C54" s="32"/>
      <c r="D54" s="32"/>
      <c r="E54" s="32"/>
      <c r="F54" s="32"/>
      <c r="G54" s="30"/>
      <c r="H54" s="31" t="str">
        <f aca="false">IF(OR(E54="",G54=""),"",E54*G54)</f>
        <v/>
      </c>
      <c r="I54" s="32"/>
      <c r="J54" s="35" t="str">
        <f aca="false">IF(OR(E54="",I54=""),"",IF(E54&lt;=I54,"nachbestellen",""))</f>
        <v/>
      </c>
    </row>
    <row r="55" customFormat="false" ht="15" hidden="false" customHeight="false" outlineLevel="0" collapsed="false">
      <c r="A55" s="32"/>
      <c r="B55" s="32"/>
      <c r="C55" s="32"/>
      <c r="D55" s="32"/>
      <c r="E55" s="32"/>
      <c r="F55" s="32"/>
      <c r="G55" s="30"/>
      <c r="H55" s="31" t="str">
        <f aca="false">IF(OR(E55="",G55=""),"",E55*G55)</f>
        <v/>
      </c>
      <c r="I55" s="32"/>
      <c r="J55" s="35" t="str">
        <f aca="false">IF(OR(E55="",I55=""),"",IF(E55&lt;=I55,"nachbestellen",""))</f>
        <v/>
      </c>
    </row>
    <row r="56" customFormat="false" ht="15" hidden="false" customHeight="false" outlineLevel="0" collapsed="false">
      <c r="A56" s="32"/>
      <c r="B56" s="32"/>
      <c r="C56" s="32"/>
      <c r="D56" s="32"/>
      <c r="E56" s="32"/>
      <c r="F56" s="32"/>
      <c r="G56" s="30"/>
      <c r="H56" s="31" t="str">
        <f aca="false">IF(OR(E56="",G56=""),"",E56*G56)</f>
        <v/>
      </c>
      <c r="I56" s="32"/>
      <c r="J56" s="35" t="str">
        <f aca="false">IF(OR(E56="",I56=""),"",IF(E56&lt;=I56,"nachbestellen",""))</f>
        <v/>
      </c>
    </row>
    <row r="57" customFormat="false" ht="15" hidden="false" customHeight="false" outlineLevel="0" collapsed="false">
      <c r="A57" s="32"/>
      <c r="B57" s="32"/>
      <c r="C57" s="32"/>
      <c r="D57" s="32"/>
      <c r="E57" s="32"/>
      <c r="F57" s="32"/>
      <c r="G57" s="30"/>
      <c r="H57" s="31" t="str">
        <f aca="false">IF(OR(E57="",G57=""),"",E57*G57)</f>
        <v/>
      </c>
      <c r="I57" s="32"/>
      <c r="J57" s="35" t="str">
        <f aca="false">IF(OR(E57="",I57=""),"",IF(E57&lt;=I57,"nachbestellen",""))</f>
        <v/>
      </c>
    </row>
    <row r="58" customFormat="false" ht="15" hidden="false" customHeight="false" outlineLevel="0" collapsed="false">
      <c r="A58" s="32"/>
      <c r="B58" s="32"/>
      <c r="C58" s="32"/>
      <c r="D58" s="32"/>
      <c r="E58" s="32"/>
      <c r="F58" s="32"/>
      <c r="G58" s="30"/>
      <c r="H58" s="31" t="str">
        <f aca="false">IF(OR(E58="",G58=""),"",E58*G58)</f>
        <v/>
      </c>
      <c r="I58" s="32"/>
      <c r="J58" s="35" t="str">
        <f aca="false">IF(OR(E58="",I58=""),"",IF(E58&lt;=I58,"nachbestellen",""))</f>
        <v/>
      </c>
    </row>
    <row r="59" customFormat="false" ht="15" hidden="false" customHeight="false" outlineLevel="0" collapsed="false">
      <c r="A59" s="32"/>
      <c r="B59" s="32"/>
      <c r="C59" s="32"/>
      <c r="D59" s="32"/>
      <c r="E59" s="32"/>
      <c r="F59" s="32"/>
      <c r="G59" s="30"/>
      <c r="H59" s="31" t="str">
        <f aca="false">IF(OR(E59="",G59=""),"",E59*G59)</f>
        <v/>
      </c>
      <c r="I59" s="32"/>
      <c r="J59" s="35" t="str">
        <f aca="false">IF(OR(E59="",I59=""),"",IF(E59&lt;=I59,"nachbestellen",""))</f>
        <v/>
      </c>
    </row>
    <row r="60" customFormat="false" ht="15" hidden="false" customHeight="false" outlineLevel="0" collapsed="false">
      <c r="A60" s="32"/>
      <c r="B60" s="32"/>
      <c r="C60" s="32"/>
      <c r="D60" s="32"/>
      <c r="E60" s="32"/>
      <c r="F60" s="32"/>
      <c r="G60" s="30"/>
      <c r="H60" s="31" t="str">
        <f aca="false">IF(OR(E60="",G60=""),"",E60*G60)</f>
        <v/>
      </c>
      <c r="I60" s="32"/>
      <c r="J60" s="35" t="str">
        <f aca="false">IF(OR(E60="",I60=""),"",IF(E60&lt;=I60,"nachbestellen",""))</f>
        <v/>
      </c>
    </row>
    <row r="61" customFormat="false" ht="15" hidden="false" customHeight="false" outlineLevel="0" collapsed="false">
      <c r="A61" s="32"/>
      <c r="B61" s="32"/>
      <c r="C61" s="32"/>
      <c r="D61" s="32"/>
      <c r="E61" s="32"/>
      <c r="F61" s="32"/>
      <c r="G61" s="30"/>
      <c r="H61" s="31" t="str">
        <f aca="false">IF(OR(E61="",G61=""),"",E61*G61)</f>
        <v/>
      </c>
      <c r="I61" s="32"/>
      <c r="J61" s="35" t="str">
        <f aca="false">IF(OR(E61="",I61=""),"",IF(E61&lt;=I61,"nachbestellen",""))</f>
        <v/>
      </c>
    </row>
    <row r="62" customFormat="false" ht="15" hidden="false" customHeight="false" outlineLevel="0" collapsed="false">
      <c r="A62" s="32"/>
      <c r="B62" s="32"/>
      <c r="C62" s="32"/>
      <c r="D62" s="32"/>
      <c r="E62" s="32"/>
      <c r="F62" s="32"/>
      <c r="G62" s="30"/>
      <c r="H62" s="31" t="str">
        <f aca="false">IF(OR(E62="",G62=""),"",E62*G62)</f>
        <v/>
      </c>
      <c r="I62" s="32"/>
      <c r="J62" s="35" t="str">
        <f aca="false">IF(OR(E62="",I62=""),"",IF(E62&lt;=I62,"nachbestellen",""))</f>
        <v/>
      </c>
    </row>
    <row r="63" customFormat="false" ht="15" hidden="false" customHeight="false" outlineLevel="0" collapsed="false">
      <c r="A63" s="32"/>
      <c r="B63" s="32"/>
      <c r="C63" s="32"/>
      <c r="D63" s="32"/>
      <c r="E63" s="32"/>
      <c r="F63" s="32"/>
      <c r="G63" s="30"/>
      <c r="H63" s="31" t="str">
        <f aca="false">IF(OR(E63="",G63=""),"",E63*G63)</f>
        <v/>
      </c>
      <c r="I63" s="32"/>
      <c r="J63" s="35" t="str">
        <f aca="false">IF(OR(E63="",I63=""),"",IF(E63&lt;=I63,"nachbestellen",""))</f>
        <v/>
      </c>
    </row>
    <row r="64" customFormat="false" ht="15" hidden="false" customHeight="false" outlineLevel="0" collapsed="false">
      <c r="A64" s="32"/>
      <c r="B64" s="32"/>
      <c r="C64" s="32"/>
      <c r="D64" s="32"/>
      <c r="E64" s="32"/>
      <c r="F64" s="32"/>
      <c r="G64" s="30"/>
      <c r="H64" s="31" t="str">
        <f aca="false">IF(OR(E64="",G64=""),"",E64*G64)</f>
        <v/>
      </c>
      <c r="I64" s="32"/>
      <c r="J64" s="35" t="str">
        <f aca="false">IF(OR(E64="",I64=""),"",IF(E64&lt;=I64,"nachbestellen",""))</f>
        <v/>
      </c>
    </row>
    <row r="65" customFormat="false" ht="15" hidden="false" customHeight="false" outlineLevel="0" collapsed="false">
      <c r="A65" s="32"/>
      <c r="B65" s="32"/>
      <c r="C65" s="32"/>
      <c r="D65" s="32"/>
      <c r="E65" s="32"/>
      <c r="F65" s="32"/>
      <c r="G65" s="30"/>
      <c r="H65" s="31" t="str">
        <f aca="false">IF(OR(E65="",G65=""),"",E65*G65)</f>
        <v/>
      </c>
      <c r="I65" s="32"/>
      <c r="J65" s="35" t="str">
        <f aca="false">IF(OR(E65="",I65=""),"",IF(E65&lt;=I65,"nachbestellen",""))</f>
        <v/>
      </c>
    </row>
    <row r="66" customFormat="false" ht="15" hidden="false" customHeight="false" outlineLevel="0" collapsed="false">
      <c r="A66" s="32"/>
      <c r="B66" s="32"/>
      <c r="C66" s="32"/>
      <c r="D66" s="32"/>
      <c r="E66" s="32"/>
      <c r="F66" s="32"/>
      <c r="G66" s="30"/>
      <c r="H66" s="31" t="str">
        <f aca="false">IF(OR(E66="",G66=""),"",E66*G66)</f>
        <v/>
      </c>
      <c r="I66" s="32"/>
      <c r="J66" s="35" t="str">
        <f aca="false">IF(OR(E66="",I66=""),"",IF(E66&lt;=I66,"nachbestellen",""))</f>
        <v/>
      </c>
    </row>
    <row r="67" customFormat="false" ht="15" hidden="false" customHeight="false" outlineLevel="0" collapsed="false">
      <c r="A67" s="32"/>
      <c r="B67" s="32"/>
      <c r="C67" s="32"/>
      <c r="D67" s="32"/>
      <c r="E67" s="32"/>
      <c r="F67" s="32"/>
      <c r="G67" s="30"/>
      <c r="H67" s="31" t="str">
        <f aca="false">IF(OR(E67="",G67=""),"",E67*G67)</f>
        <v/>
      </c>
      <c r="I67" s="32"/>
      <c r="J67" s="35" t="str">
        <f aca="false">IF(OR(E67="",I67=""),"",IF(E67&lt;=I67,"nachbestellen",""))</f>
        <v/>
      </c>
    </row>
    <row r="68" customFormat="false" ht="15" hidden="false" customHeight="false" outlineLevel="0" collapsed="false">
      <c r="A68" s="32"/>
      <c r="B68" s="32"/>
      <c r="C68" s="32"/>
      <c r="D68" s="32"/>
      <c r="E68" s="32"/>
      <c r="F68" s="32"/>
      <c r="G68" s="30"/>
      <c r="H68" s="31" t="str">
        <f aca="false">IF(OR(E68="",G68=""),"",E68*G68)</f>
        <v/>
      </c>
      <c r="I68" s="32"/>
      <c r="J68" s="35" t="str">
        <f aca="false">IF(OR(E68="",I68=""),"",IF(E68&lt;=I68,"nachbestellen",""))</f>
        <v/>
      </c>
    </row>
    <row r="69" customFormat="false" ht="15" hidden="false" customHeight="false" outlineLevel="0" collapsed="false">
      <c r="A69" s="32"/>
      <c r="B69" s="32"/>
      <c r="C69" s="32"/>
      <c r="D69" s="32"/>
      <c r="E69" s="32"/>
      <c r="F69" s="32"/>
      <c r="G69" s="30"/>
      <c r="H69" s="31" t="str">
        <f aca="false">IF(OR(E69="",G69=""),"",E69*G69)</f>
        <v/>
      </c>
      <c r="I69" s="32"/>
      <c r="J69" s="35" t="str">
        <f aca="false">IF(OR(E69="",I69=""),"",IF(E69&lt;=I69,"nachbestellen",""))</f>
        <v/>
      </c>
    </row>
    <row r="70" customFormat="false" ht="15" hidden="false" customHeight="false" outlineLevel="0" collapsed="false">
      <c r="A70" s="32"/>
      <c r="B70" s="32"/>
      <c r="C70" s="32"/>
      <c r="D70" s="32"/>
      <c r="E70" s="32"/>
      <c r="F70" s="32"/>
      <c r="G70" s="30"/>
      <c r="H70" s="31" t="str">
        <f aca="false">IF(OR(E70="",G70=""),"",E70*G70)</f>
        <v/>
      </c>
      <c r="I70" s="32"/>
      <c r="J70" s="35" t="str">
        <f aca="false">IF(OR(E70="",I70=""),"",IF(E70&lt;=I70,"nachbestellen",""))</f>
        <v/>
      </c>
    </row>
    <row r="71" customFormat="false" ht="15" hidden="false" customHeight="false" outlineLevel="0" collapsed="false">
      <c r="A71" s="32"/>
      <c r="B71" s="32"/>
      <c r="C71" s="32"/>
      <c r="D71" s="32"/>
      <c r="E71" s="32"/>
      <c r="F71" s="32"/>
      <c r="G71" s="30"/>
      <c r="H71" s="31" t="str">
        <f aca="false">IF(OR(E71="",G71=""),"",E71*G71)</f>
        <v/>
      </c>
      <c r="I71" s="32"/>
      <c r="J71" s="35" t="str">
        <f aca="false">IF(OR(E71="",I71=""),"",IF(E71&lt;=I71,"nachbestellen",""))</f>
        <v/>
      </c>
    </row>
    <row r="72" customFormat="false" ht="15" hidden="false" customHeight="false" outlineLevel="0" collapsed="false">
      <c r="A72" s="32"/>
      <c r="B72" s="32"/>
      <c r="C72" s="32"/>
      <c r="D72" s="32"/>
      <c r="E72" s="32"/>
      <c r="F72" s="32"/>
      <c r="G72" s="30"/>
      <c r="H72" s="31" t="str">
        <f aca="false">IF(OR(E72="",G72=""),"",E72*G72)</f>
        <v/>
      </c>
      <c r="I72" s="32"/>
      <c r="J72" s="35" t="str">
        <f aca="false">IF(OR(E72="",I72=""),"",IF(E72&lt;=I72,"nachbestellen",""))</f>
        <v/>
      </c>
    </row>
    <row r="73" customFormat="false" ht="15" hidden="false" customHeight="false" outlineLevel="0" collapsed="false">
      <c r="A73" s="32"/>
      <c r="B73" s="32"/>
      <c r="C73" s="32"/>
      <c r="D73" s="32"/>
      <c r="E73" s="32"/>
      <c r="F73" s="32"/>
      <c r="G73" s="30"/>
      <c r="H73" s="31" t="str">
        <f aca="false">IF(OR(E73="",G73=""),"",E73*G73)</f>
        <v/>
      </c>
      <c r="I73" s="32"/>
      <c r="J73" s="35" t="str">
        <f aca="false">IF(OR(E73="",I73=""),"",IF(E73&lt;=I73,"nachbestellen",""))</f>
        <v/>
      </c>
    </row>
    <row r="74" customFormat="false" ht="15" hidden="false" customHeight="false" outlineLevel="0" collapsed="false">
      <c r="A74" s="32"/>
      <c r="B74" s="32"/>
      <c r="C74" s="32"/>
      <c r="D74" s="32"/>
      <c r="E74" s="32"/>
      <c r="F74" s="32"/>
      <c r="G74" s="30"/>
      <c r="H74" s="31" t="str">
        <f aca="false">IF(OR(E74="",G74=""),"",E74*G74)</f>
        <v/>
      </c>
      <c r="I74" s="32"/>
      <c r="J74" s="35" t="str">
        <f aca="false">IF(OR(E74="",I74=""),"",IF(E74&lt;=I74,"nachbestellen",""))</f>
        <v/>
      </c>
    </row>
    <row r="75" customFormat="false" ht="15" hidden="false" customHeight="false" outlineLevel="0" collapsed="false">
      <c r="A75" s="32"/>
      <c r="B75" s="32"/>
      <c r="C75" s="32"/>
      <c r="D75" s="32"/>
      <c r="E75" s="32"/>
      <c r="F75" s="32"/>
      <c r="G75" s="30"/>
      <c r="H75" s="31" t="str">
        <f aca="false">IF(OR(E75="",G75=""),"",E75*G75)</f>
        <v/>
      </c>
      <c r="I75" s="32"/>
      <c r="J75" s="35" t="str">
        <f aca="false">IF(OR(E75="",I75=""),"",IF(E75&lt;=I75,"nachbestellen",""))</f>
        <v/>
      </c>
    </row>
    <row r="76" customFormat="false" ht="15" hidden="false" customHeight="false" outlineLevel="0" collapsed="false">
      <c r="A76" s="32"/>
      <c r="B76" s="32"/>
      <c r="C76" s="32"/>
      <c r="D76" s="32"/>
      <c r="E76" s="32"/>
      <c r="F76" s="32"/>
      <c r="G76" s="30"/>
      <c r="H76" s="31" t="str">
        <f aca="false">IF(OR(E76="",G76=""),"",E76*G76)</f>
        <v/>
      </c>
      <c r="I76" s="32"/>
      <c r="J76" s="35" t="str">
        <f aca="false">IF(OR(E76="",I76=""),"",IF(E76&lt;=I76,"nachbestellen",""))</f>
        <v/>
      </c>
    </row>
    <row r="77" customFormat="false" ht="15" hidden="false" customHeight="false" outlineLevel="0" collapsed="false">
      <c r="A77" s="32"/>
      <c r="B77" s="32"/>
      <c r="C77" s="32"/>
      <c r="D77" s="32"/>
      <c r="E77" s="32"/>
      <c r="F77" s="32"/>
      <c r="G77" s="30"/>
      <c r="H77" s="31" t="str">
        <f aca="false">IF(OR(E77="",G77=""),"",E77*G77)</f>
        <v/>
      </c>
      <c r="I77" s="32"/>
      <c r="J77" s="35" t="str">
        <f aca="false">IF(OR(E77="",I77=""),"",IF(E77&lt;=I77,"nachbestellen",""))</f>
        <v/>
      </c>
    </row>
    <row r="78" customFormat="false" ht="15" hidden="false" customHeight="false" outlineLevel="0" collapsed="false">
      <c r="A78" s="32"/>
      <c r="B78" s="32"/>
      <c r="C78" s="32"/>
      <c r="D78" s="32"/>
      <c r="E78" s="32"/>
      <c r="F78" s="32"/>
      <c r="G78" s="30"/>
      <c r="H78" s="31" t="str">
        <f aca="false">IF(OR(E78="",G78=""),"",E78*G78)</f>
        <v/>
      </c>
      <c r="I78" s="32"/>
      <c r="J78" s="35" t="str">
        <f aca="false">IF(OR(E78="",I78=""),"",IF(E78&lt;=I78,"nachbestellen",""))</f>
        <v/>
      </c>
    </row>
    <row r="79" customFormat="false" ht="15" hidden="false" customHeight="false" outlineLevel="0" collapsed="false">
      <c r="A79" s="32"/>
      <c r="B79" s="32"/>
      <c r="C79" s="32"/>
      <c r="D79" s="32"/>
      <c r="E79" s="32"/>
      <c r="F79" s="32"/>
      <c r="G79" s="30"/>
      <c r="H79" s="31" t="str">
        <f aca="false">IF(OR(E79="",G79=""),"",E79*G79)</f>
        <v/>
      </c>
      <c r="I79" s="32"/>
      <c r="J79" s="35" t="str">
        <f aca="false">IF(OR(E79="",I79=""),"",IF(E79&lt;=I79,"nachbestellen",""))</f>
        <v/>
      </c>
    </row>
    <row r="80" customFormat="false" ht="15" hidden="false" customHeight="false" outlineLevel="0" collapsed="false">
      <c r="A80" s="32"/>
      <c r="B80" s="32"/>
      <c r="C80" s="32"/>
      <c r="D80" s="32"/>
      <c r="E80" s="32"/>
      <c r="F80" s="32"/>
      <c r="G80" s="30"/>
      <c r="H80" s="31" t="str">
        <f aca="false">IF(OR(E80="",G80=""),"",E80*G80)</f>
        <v/>
      </c>
      <c r="I80" s="32"/>
      <c r="J80" s="35" t="str">
        <f aca="false">IF(OR(E80="",I80=""),"",IF(E80&lt;=I80,"nachbestellen",""))</f>
        <v/>
      </c>
    </row>
    <row r="81" customFormat="false" ht="15" hidden="false" customHeight="false" outlineLevel="0" collapsed="false">
      <c r="A81" s="32"/>
      <c r="B81" s="32"/>
      <c r="C81" s="32"/>
      <c r="D81" s="32"/>
      <c r="E81" s="32"/>
      <c r="F81" s="32"/>
      <c r="G81" s="30"/>
      <c r="H81" s="31" t="str">
        <f aca="false">IF(OR(E81="",G81=""),"",E81*G81)</f>
        <v/>
      </c>
      <c r="I81" s="32"/>
      <c r="J81" s="35" t="str">
        <f aca="false">IF(OR(E81="",I81=""),"",IF(E81&lt;=I81,"nachbestellen",""))</f>
        <v/>
      </c>
    </row>
    <row r="82" customFormat="false" ht="15" hidden="false" customHeight="false" outlineLevel="0" collapsed="false">
      <c r="A82" s="32"/>
      <c r="B82" s="32"/>
      <c r="C82" s="32"/>
      <c r="D82" s="32"/>
      <c r="E82" s="32"/>
      <c r="F82" s="32"/>
      <c r="G82" s="30"/>
      <c r="H82" s="31" t="str">
        <f aca="false">IF(OR(E82="",G82=""),"",E82*G82)</f>
        <v/>
      </c>
      <c r="I82" s="32"/>
      <c r="J82" s="35" t="str">
        <f aca="false">IF(OR(E82="",I82=""),"",IF(E82&lt;=I82,"nachbestellen",""))</f>
        <v/>
      </c>
    </row>
    <row r="83" customFormat="false" ht="15" hidden="false" customHeight="false" outlineLevel="0" collapsed="false">
      <c r="A83" s="32"/>
      <c r="B83" s="32"/>
      <c r="C83" s="32"/>
      <c r="D83" s="32"/>
      <c r="E83" s="32"/>
      <c r="F83" s="32"/>
      <c r="G83" s="30"/>
      <c r="H83" s="31" t="str">
        <f aca="false">IF(OR(E83="",G83=""),"",E83*G83)</f>
        <v/>
      </c>
      <c r="I83" s="32"/>
      <c r="J83" s="35" t="str">
        <f aca="false">IF(OR(E83="",I83=""),"",IF(E83&lt;=I83,"nachbestellen",""))</f>
        <v/>
      </c>
    </row>
    <row r="84" customFormat="false" ht="15" hidden="false" customHeight="false" outlineLevel="0" collapsed="false">
      <c r="A84" s="32"/>
      <c r="B84" s="32"/>
      <c r="C84" s="32"/>
      <c r="D84" s="32"/>
      <c r="E84" s="32"/>
      <c r="F84" s="32"/>
      <c r="G84" s="30"/>
      <c r="H84" s="31" t="str">
        <f aca="false">IF(OR(E84="",G84=""),"",E84*G84)</f>
        <v/>
      </c>
      <c r="I84" s="32"/>
      <c r="J84" s="35" t="str">
        <f aca="false">IF(OR(E84="",I84=""),"",IF(E84&lt;=I84,"nachbestellen",""))</f>
        <v/>
      </c>
    </row>
    <row r="85" customFormat="false" ht="15" hidden="false" customHeight="false" outlineLevel="0" collapsed="false">
      <c r="A85" s="32"/>
      <c r="B85" s="32"/>
      <c r="C85" s="32"/>
      <c r="D85" s="32"/>
      <c r="E85" s="32"/>
      <c r="F85" s="32"/>
      <c r="G85" s="30"/>
      <c r="H85" s="31" t="str">
        <f aca="false">IF(OR(E85="",G85=""),"",E85*G85)</f>
        <v/>
      </c>
      <c r="I85" s="32"/>
      <c r="J85" s="35" t="str">
        <f aca="false">IF(OR(E85="",I85=""),"",IF(E85&lt;=I85,"nachbestellen",""))</f>
        <v/>
      </c>
    </row>
    <row r="86" customFormat="false" ht="15" hidden="false" customHeight="false" outlineLevel="0" collapsed="false">
      <c r="A86" s="32"/>
      <c r="B86" s="32"/>
      <c r="C86" s="32"/>
      <c r="D86" s="32"/>
      <c r="E86" s="32"/>
      <c r="F86" s="32"/>
      <c r="G86" s="30"/>
      <c r="H86" s="31" t="str">
        <f aca="false">IF(OR(E86="",G86=""),"",E86*G86)</f>
        <v/>
      </c>
      <c r="I86" s="32"/>
      <c r="J86" s="35" t="str">
        <f aca="false">IF(OR(E86="",I86=""),"",IF(E86&lt;=I86,"nachbestellen",""))</f>
        <v/>
      </c>
    </row>
    <row r="87" customFormat="false" ht="15" hidden="false" customHeight="false" outlineLevel="0" collapsed="false">
      <c r="A87" s="32"/>
      <c r="B87" s="32"/>
      <c r="C87" s="32"/>
      <c r="D87" s="32"/>
      <c r="E87" s="32"/>
      <c r="F87" s="32"/>
      <c r="G87" s="30"/>
      <c r="H87" s="31" t="str">
        <f aca="false">IF(OR(E87="",G87=""),"",E87*G87)</f>
        <v/>
      </c>
      <c r="I87" s="32"/>
      <c r="J87" s="35" t="str">
        <f aca="false">IF(OR(E87="",I87=""),"",IF(E87&lt;=I87,"nachbestellen",""))</f>
        <v/>
      </c>
    </row>
    <row r="88" customFormat="false" ht="15" hidden="false" customHeight="false" outlineLevel="0" collapsed="false">
      <c r="A88" s="32"/>
      <c r="B88" s="32"/>
      <c r="C88" s="32"/>
      <c r="D88" s="32"/>
      <c r="E88" s="32"/>
      <c r="F88" s="32"/>
      <c r="G88" s="30"/>
      <c r="H88" s="31" t="str">
        <f aca="false">IF(OR(E88="",G88=""),"",E88*G88)</f>
        <v/>
      </c>
      <c r="I88" s="32"/>
      <c r="J88" s="35" t="str">
        <f aca="false">IF(OR(E88="",I88=""),"",IF(E88&lt;=I88,"nachbestellen",""))</f>
        <v/>
      </c>
    </row>
    <row r="89" customFormat="false" ht="15" hidden="false" customHeight="false" outlineLevel="0" collapsed="false">
      <c r="A89" s="32"/>
      <c r="B89" s="32"/>
      <c r="C89" s="32"/>
      <c r="D89" s="32"/>
      <c r="E89" s="32"/>
      <c r="F89" s="32"/>
      <c r="G89" s="30"/>
      <c r="H89" s="31" t="str">
        <f aca="false">IF(OR(E89="",G89=""),"",E89*G89)</f>
        <v/>
      </c>
      <c r="I89" s="32"/>
      <c r="J89" s="35" t="str">
        <f aca="false">IF(OR(E89="",I89=""),"",IF(E89&lt;=I89,"nachbestellen",""))</f>
        <v/>
      </c>
    </row>
    <row r="90" customFormat="false" ht="15" hidden="false" customHeight="false" outlineLevel="0" collapsed="false">
      <c r="A90" s="32"/>
      <c r="B90" s="32"/>
      <c r="C90" s="32"/>
      <c r="D90" s="32"/>
      <c r="E90" s="32"/>
      <c r="F90" s="32"/>
      <c r="G90" s="30"/>
      <c r="H90" s="31" t="str">
        <f aca="false">IF(OR(E90="",G90=""),"",E90*G90)</f>
        <v/>
      </c>
      <c r="I90" s="32"/>
      <c r="J90" s="35" t="str">
        <f aca="false">IF(OR(E90="",I90=""),"",IF(E90&lt;=I90,"nachbestellen",""))</f>
        <v/>
      </c>
    </row>
    <row r="91" customFormat="false" ht="15" hidden="false" customHeight="false" outlineLevel="0" collapsed="false">
      <c r="A91" s="32"/>
      <c r="B91" s="32"/>
      <c r="C91" s="32"/>
      <c r="D91" s="32"/>
      <c r="E91" s="32"/>
      <c r="F91" s="32"/>
      <c r="G91" s="30"/>
      <c r="H91" s="31" t="str">
        <f aca="false">IF(OR(E91="",G91=""),"",E91*G91)</f>
        <v/>
      </c>
      <c r="I91" s="32"/>
      <c r="J91" s="35" t="str">
        <f aca="false">IF(OR(E91="",I91=""),"",IF(E91&lt;=I91,"nachbestellen",""))</f>
        <v/>
      </c>
    </row>
    <row r="92" customFormat="false" ht="15" hidden="false" customHeight="false" outlineLevel="0" collapsed="false">
      <c r="A92" s="32"/>
      <c r="B92" s="32"/>
      <c r="C92" s="32"/>
      <c r="D92" s="32"/>
      <c r="E92" s="32"/>
      <c r="F92" s="32"/>
      <c r="G92" s="30"/>
      <c r="H92" s="31" t="str">
        <f aca="false">IF(OR(E92="",G92=""),"",E92*G92)</f>
        <v/>
      </c>
      <c r="I92" s="32"/>
      <c r="J92" s="35" t="str">
        <f aca="false">IF(OR(E92="",I92=""),"",IF(E92&lt;=I92,"nachbestellen",""))</f>
        <v/>
      </c>
    </row>
    <row r="93" customFormat="false" ht="15" hidden="false" customHeight="false" outlineLevel="0" collapsed="false">
      <c r="A93" s="32"/>
      <c r="B93" s="32"/>
      <c r="C93" s="32"/>
      <c r="D93" s="32"/>
      <c r="E93" s="32"/>
      <c r="F93" s="32"/>
      <c r="G93" s="30"/>
      <c r="H93" s="31" t="str">
        <f aca="false">IF(OR(E93="",G93=""),"",E93*G93)</f>
        <v/>
      </c>
      <c r="I93" s="32"/>
      <c r="J93" s="35" t="str">
        <f aca="false">IF(OR(E93="",I93=""),"",IF(E93&lt;=I93,"nachbestellen",""))</f>
        <v/>
      </c>
    </row>
    <row r="94" customFormat="false" ht="15" hidden="false" customHeight="false" outlineLevel="0" collapsed="false">
      <c r="A94" s="32"/>
      <c r="B94" s="32"/>
      <c r="C94" s="32"/>
      <c r="D94" s="32"/>
      <c r="E94" s="32"/>
      <c r="F94" s="32"/>
      <c r="G94" s="30"/>
      <c r="H94" s="31" t="str">
        <f aca="false">IF(OR(E94="",G94=""),"",E94*G94)</f>
        <v/>
      </c>
      <c r="I94" s="32"/>
      <c r="J94" s="35" t="str">
        <f aca="false">IF(OR(E94="",I94=""),"",IF(E94&lt;=I94,"nachbestellen",""))</f>
        <v/>
      </c>
    </row>
    <row r="95" customFormat="false" ht="15" hidden="false" customHeight="false" outlineLevel="0" collapsed="false">
      <c r="A95" s="32"/>
      <c r="B95" s="32"/>
      <c r="C95" s="32"/>
      <c r="D95" s="32"/>
      <c r="E95" s="32"/>
      <c r="F95" s="32"/>
      <c r="G95" s="30"/>
      <c r="H95" s="31" t="str">
        <f aca="false">IF(OR(E95="",G95=""),"",E95*G95)</f>
        <v/>
      </c>
      <c r="I95" s="32"/>
      <c r="J95" s="35" t="str">
        <f aca="false">IF(OR(E95="",I95=""),"",IF(E95&lt;=I95,"nachbestellen",""))</f>
        <v/>
      </c>
    </row>
    <row r="96" customFormat="false" ht="15" hidden="false" customHeight="false" outlineLevel="0" collapsed="false">
      <c r="A96" s="32"/>
      <c r="B96" s="32"/>
      <c r="C96" s="32"/>
      <c r="D96" s="32"/>
      <c r="E96" s="32"/>
      <c r="F96" s="32"/>
      <c r="G96" s="30"/>
      <c r="H96" s="31" t="str">
        <f aca="false">IF(OR(E96="",G96=""),"",E96*G96)</f>
        <v/>
      </c>
      <c r="I96" s="32"/>
      <c r="J96" s="35" t="str">
        <f aca="false">IF(OR(E96="",I96=""),"",IF(E96&lt;=I96,"nachbestellen",""))</f>
        <v/>
      </c>
    </row>
    <row r="97" customFormat="false" ht="15" hidden="false" customHeight="false" outlineLevel="0" collapsed="false">
      <c r="A97" s="32"/>
      <c r="B97" s="32"/>
      <c r="C97" s="32"/>
      <c r="D97" s="32"/>
      <c r="E97" s="32"/>
      <c r="F97" s="32"/>
      <c r="G97" s="30"/>
      <c r="H97" s="31" t="str">
        <f aca="false">IF(OR(E97="",G97=""),"",E97*G97)</f>
        <v/>
      </c>
      <c r="I97" s="32"/>
      <c r="J97" s="35" t="str">
        <f aca="false">IF(OR(E97="",I97=""),"",IF(E97&lt;=I97,"nachbestellen",""))</f>
        <v/>
      </c>
    </row>
    <row r="98" customFormat="false" ht="15" hidden="false" customHeight="false" outlineLevel="0" collapsed="false">
      <c r="A98" s="32"/>
      <c r="B98" s="32"/>
      <c r="C98" s="32"/>
      <c r="D98" s="32"/>
      <c r="E98" s="32"/>
      <c r="F98" s="32"/>
      <c r="G98" s="30"/>
      <c r="H98" s="31" t="str">
        <f aca="false">IF(OR(E98="",G98=""),"",E98*G98)</f>
        <v/>
      </c>
      <c r="I98" s="32"/>
      <c r="J98" s="35" t="str">
        <f aca="false">IF(OR(E98="",I98=""),"",IF(E98&lt;=I98,"nachbestellen",""))</f>
        <v/>
      </c>
    </row>
    <row r="99" customFormat="false" ht="15" hidden="false" customHeight="false" outlineLevel="0" collapsed="false">
      <c r="A99" s="32"/>
      <c r="B99" s="32"/>
      <c r="C99" s="32"/>
      <c r="D99" s="32"/>
      <c r="E99" s="32"/>
      <c r="F99" s="32"/>
      <c r="G99" s="30"/>
      <c r="H99" s="31" t="str">
        <f aca="false">IF(OR(E99="",G99=""),"",E99*G99)</f>
        <v/>
      </c>
      <c r="I99" s="32"/>
      <c r="J99" s="35" t="str">
        <f aca="false">IF(OR(E99="",I99=""),"",IF(E99&lt;=I99,"nachbestellen",""))</f>
        <v/>
      </c>
    </row>
    <row r="100" customFormat="false" ht="15" hidden="false" customHeight="false" outlineLevel="0" collapsed="false">
      <c r="A100" s="32"/>
      <c r="B100" s="32"/>
      <c r="C100" s="32"/>
      <c r="D100" s="32"/>
      <c r="E100" s="32"/>
      <c r="F100" s="32"/>
      <c r="G100" s="30"/>
      <c r="H100" s="31" t="str">
        <f aca="false">IF(OR(E100="",G100=""),"",E100*G100)</f>
        <v/>
      </c>
      <c r="I100" s="32"/>
      <c r="J100" s="35" t="str">
        <f aca="false">IF(OR(E100="",I100=""),"",IF(E100&lt;=I100,"nachbestellen",""))</f>
        <v/>
      </c>
    </row>
    <row r="101" customFormat="false" ht="15" hidden="false" customHeight="false" outlineLevel="0" collapsed="false">
      <c r="A101" s="32"/>
      <c r="B101" s="32"/>
      <c r="C101" s="32"/>
      <c r="D101" s="32"/>
      <c r="E101" s="32"/>
      <c r="F101" s="32"/>
      <c r="G101" s="30"/>
      <c r="H101" s="31" t="str">
        <f aca="false">IF(OR(E101="",G101=""),"",E101*G101)</f>
        <v/>
      </c>
      <c r="I101" s="32"/>
      <c r="J101" s="35" t="str">
        <f aca="false">IF(OR(E101="",I101=""),"",IF(E101&lt;=I101,"nachbestellen",""))</f>
        <v/>
      </c>
    </row>
    <row r="102" customFormat="false" ht="15" hidden="false" customHeight="false" outlineLevel="0" collapsed="false">
      <c r="A102" s="32"/>
      <c r="B102" s="32"/>
      <c r="C102" s="32"/>
      <c r="D102" s="32"/>
      <c r="E102" s="32"/>
      <c r="F102" s="32"/>
      <c r="G102" s="30"/>
      <c r="H102" s="31" t="str">
        <f aca="false">IF(OR(E102="",G102=""),"",E102*G102)</f>
        <v/>
      </c>
      <c r="I102" s="32"/>
      <c r="J102" s="35" t="str">
        <f aca="false">IF(OR(E102="",I102=""),"",IF(E102&lt;=I102,"nachbestellen",""))</f>
        <v/>
      </c>
    </row>
    <row r="103" customFormat="false" ht="15" hidden="false" customHeight="false" outlineLevel="0" collapsed="false">
      <c r="A103" s="32"/>
      <c r="B103" s="32"/>
      <c r="C103" s="32"/>
      <c r="D103" s="32"/>
      <c r="E103" s="32"/>
      <c r="F103" s="32"/>
      <c r="G103" s="30"/>
      <c r="H103" s="31" t="str">
        <f aca="false">IF(OR(E103="",G103=""),"",E103*G103)</f>
        <v/>
      </c>
      <c r="I103" s="32"/>
      <c r="J103" s="35" t="str">
        <f aca="false">IF(OR(E103="",I103=""),"",IF(E103&lt;=I103,"nachbestellen",""))</f>
        <v/>
      </c>
    </row>
    <row r="104" customFormat="false" ht="15" hidden="false" customHeight="false" outlineLevel="0" collapsed="false">
      <c r="A104" s="32"/>
      <c r="B104" s="32"/>
      <c r="C104" s="32"/>
      <c r="D104" s="32"/>
      <c r="E104" s="32"/>
      <c r="F104" s="32"/>
      <c r="G104" s="30"/>
      <c r="H104" s="31" t="str">
        <f aca="false">IF(OR(E104="",G104=""),"",E104*G104)</f>
        <v/>
      </c>
      <c r="I104" s="32"/>
      <c r="J104" s="35" t="str">
        <f aca="false">IF(OR(E104="",I104=""),"",IF(E104&lt;=I104,"nachbestellen",""))</f>
        <v/>
      </c>
    </row>
    <row r="105" customFormat="false" ht="15" hidden="false" customHeight="false" outlineLevel="0" collapsed="false">
      <c r="A105" s="32"/>
      <c r="B105" s="32"/>
      <c r="C105" s="32"/>
      <c r="D105" s="32"/>
      <c r="E105" s="32"/>
      <c r="F105" s="32"/>
      <c r="G105" s="30"/>
      <c r="H105" s="31" t="str">
        <f aca="false">IF(OR(E105="",G105=""),"",E105*G105)</f>
        <v/>
      </c>
      <c r="I105" s="32"/>
      <c r="J105" s="35" t="str">
        <f aca="false">IF(OR(E105="",I105=""),"",IF(E105&lt;=I105,"nachbestellen",""))</f>
        <v/>
      </c>
    </row>
    <row r="106" customFormat="false" ht="15" hidden="false" customHeight="false" outlineLevel="0" collapsed="false">
      <c r="A106" s="32"/>
      <c r="B106" s="32"/>
      <c r="C106" s="32"/>
      <c r="D106" s="32"/>
      <c r="E106" s="32"/>
      <c r="F106" s="32"/>
      <c r="G106" s="30"/>
      <c r="H106" s="31" t="str">
        <f aca="false">IF(OR(E106="",G106=""),"",E106*G106)</f>
        <v/>
      </c>
      <c r="I106" s="32"/>
      <c r="J106" s="35" t="str">
        <f aca="false">IF(OR(E106="",I106=""),"",IF(E106&lt;=I106,"nachbestellen",""))</f>
        <v/>
      </c>
    </row>
    <row r="107" customFormat="false" ht="15" hidden="false" customHeight="false" outlineLevel="0" collapsed="false">
      <c r="A107" s="32"/>
      <c r="B107" s="32"/>
      <c r="C107" s="32"/>
      <c r="D107" s="32"/>
      <c r="E107" s="32"/>
      <c r="F107" s="32"/>
      <c r="G107" s="30"/>
      <c r="H107" s="31" t="str">
        <f aca="false">IF(OR(E107="",G107=""),"",E107*G107)</f>
        <v/>
      </c>
      <c r="I107" s="32"/>
      <c r="J107" s="35" t="str">
        <f aca="false">IF(OR(E107="",I107=""),"",IF(E107&lt;=I107,"nachbestellen",""))</f>
        <v/>
      </c>
    </row>
    <row r="108" customFormat="false" ht="15" hidden="false" customHeight="false" outlineLevel="0" collapsed="false">
      <c r="A108" s="32"/>
      <c r="B108" s="32"/>
      <c r="C108" s="32"/>
      <c r="D108" s="32"/>
      <c r="E108" s="32"/>
      <c r="F108" s="32"/>
      <c r="G108" s="30"/>
      <c r="H108" s="31" t="str">
        <f aca="false">IF(OR(E108="",G108=""),"",E108*G108)</f>
        <v/>
      </c>
      <c r="I108" s="32"/>
      <c r="J108" s="35" t="str">
        <f aca="false">IF(OR(E108="",I108=""),"",IF(E108&lt;=I108,"nachbestellen",""))</f>
        <v/>
      </c>
    </row>
    <row r="109" customFormat="false" ht="15" hidden="false" customHeight="false" outlineLevel="0" collapsed="false">
      <c r="A109" s="32"/>
      <c r="B109" s="32"/>
      <c r="C109" s="32"/>
      <c r="D109" s="32"/>
      <c r="E109" s="32"/>
      <c r="F109" s="32"/>
      <c r="G109" s="30"/>
      <c r="H109" s="31" t="str">
        <f aca="false">IF(OR(E109="",G109=""),"",E109*G109)</f>
        <v/>
      </c>
      <c r="I109" s="32"/>
      <c r="J109" s="35" t="str">
        <f aca="false">IF(OR(E109="",I109=""),"",IF(E109&lt;=I109,"nachbestellen",""))</f>
        <v/>
      </c>
    </row>
    <row r="110" customFormat="false" ht="15" hidden="false" customHeight="false" outlineLevel="0" collapsed="false">
      <c r="A110" s="32"/>
      <c r="B110" s="32"/>
      <c r="C110" s="32"/>
      <c r="D110" s="32"/>
      <c r="E110" s="32"/>
      <c r="F110" s="32"/>
      <c r="G110" s="30"/>
      <c r="H110" s="31" t="str">
        <f aca="false">IF(OR(E110="",G110=""),"",E110*G110)</f>
        <v/>
      </c>
      <c r="I110" s="32"/>
      <c r="J110" s="35" t="str">
        <f aca="false">IF(OR(E110="",I110=""),"",IF(E110&lt;=I110,"nachbestellen",""))</f>
        <v/>
      </c>
    </row>
    <row r="111" customFormat="false" ht="15" hidden="false" customHeight="false" outlineLevel="0" collapsed="false">
      <c r="A111" s="32"/>
      <c r="B111" s="32"/>
      <c r="C111" s="32"/>
      <c r="D111" s="32"/>
      <c r="E111" s="32"/>
      <c r="F111" s="32"/>
      <c r="G111" s="30"/>
      <c r="H111" s="31" t="str">
        <f aca="false">IF(OR(E111="",G111=""),"",E111*G111)</f>
        <v/>
      </c>
      <c r="I111" s="32"/>
      <c r="J111" s="35" t="str">
        <f aca="false">IF(OR(E111="",I111=""),"",IF(E111&lt;=I111,"nachbestellen",""))</f>
        <v/>
      </c>
    </row>
    <row r="112" customFormat="false" ht="15" hidden="false" customHeight="false" outlineLevel="0" collapsed="false">
      <c r="A112" s="32"/>
      <c r="B112" s="32"/>
      <c r="C112" s="32"/>
      <c r="D112" s="32"/>
      <c r="E112" s="32"/>
      <c r="F112" s="32"/>
      <c r="G112" s="30"/>
      <c r="H112" s="31" t="str">
        <f aca="false">IF(OR(E112="",G112=""),"",E112*G112)</f>
        <v/>
      </c>
      <c r="I112" s="32"/>
      <c r="J112" s="35" t="str">
        <f aca="false">IF(OR(E112="",I112=""),"",IF(E112&lt;=I112,"nachbestellen",""))</f>
        <v/>
      </c>
    </row>
    <row r="113" customFormat="false" ht="15" hidden="false" customHeight="false" outlineLevel="0" collapsed="false">
      <c r="A113" s="32"/>
      <c r="B113" s="32"/>
      <c r="C113" s="32"/>
      <c r="D113" s="32"/>
      <c r="E113" s="32"/>
      <c r="F113" s="32"/>
      <c r="G113" s="30"/>
      <c r="H113" s="31" t="str">
        <f aca="false">IF(OR(E113="",G113=""),"",E113*G113)</f>
        <v/>
      </c>
      <c r="I113" s="32"/>
      <c r="J113" s="35" t="str">
        <f aca="false">IF(OR(E113="",I113=""),"",IF(E113&lt;=I113,"nachbestellen",""))</f>
        <v/>
      </c>
    </row>
    <row r="114" customFormat="false" ht="15" hidden="false" customHeight="false" outlineLevel="0" collapsed="false">
      <c r="A114" s="32"/>
      <c r="B114" s="32"/>
      <c r="C114" s="32"/>
      <c r="D114" s="32"/>
      <c r="E114" s="32"/>
      <c r="F114" s="32"/>
      <c r="G114" s="30"/>
      <c r="H114" s="31" t="str">
        <f aca="false">IF(OR(E114="",G114=""),"",E114*G114)</f>
        <v/>
      </c>
      <c r="I114" s="32"/>
      <c r="J114" s="35" t="str">
        <f aca="false">IF(OR(E114="",I114=""),"",IF(E114&lt;=I114,"nachbestellen",""))</f>
        <v/>
      </c>
    </row>
    <row r="115" customFormat="false" ht="15" hidden="false" customHeight="false" outlineLevel="0" collapsed="false">
      <c r="A115" s="32"/>
      <c r="B115" s="32"/>
      <c r="C115" s="32"/>
      <c r="D115" s="32"/>
      <c r="E115" s="32"/>
      <c r="F115" s="32"/>
      <c r="G115" s="30"/>
      <c r="H115" s="31" t="str">
        <f aca="false">IF(OR(E115="",G115=""),"",E115*G115)</f>
        <v/>
      </c>
      <c r="I115" s="32"/>
      <c r="J115" s="35" t="str">
        <f aca="false">IF(OR(E115="",I115=""),"",IF(E115&lt;=I115,"nachbestellen",""))</f>
        <v/>
      </c>
    </row>
    <row r="116" customFormat="false" ht="15" hidden="false" customHeight="false" outlineLevel="0" collapsed="false">
      <c r="A116" s="32"/>
      <c r="B116" s="32"/>
      <c r="C116" s="32"/>
      <c r="D116" s="32"/>
      <c r="E116" s="32"/>
      <c r="F116" s="32"/>
      <c r="G116" s="30"/>
      <c r="H116" s="31" t="str">
        <f aca="false">IF(OR(E116="",G116=""),"",E116*G116)</f>
        <v/>
      </c>
      <c r="I116" s="32"/>
      <c r="J116" s="35" t="str">
        <f aca="false">IF(OR(E116="",I116=""),"",IF(E116&lt;=I116,"nachbestellen",""))</f>
        <v/>
      </c>
    </row>
    <row r="117" customFormat="false" ht="15" hidden="false" customHeight="false" outlineLevel="0" collapsed="false">
      <c r="A117" s="32"/>
      <c r="B117" s="32"/>
      <c r="C117" s="32"/>
      <c r="D117" s="32"/>
      <c r="E117" s="32"/>
      <c r="F117" s="32"/>
      <c r="G117" s="30"/>
      <c r="H117" s="31" t="str">
        <f aca="false">IF(OR(E117="",G117=""),"",E117*G117)</f>
        <v/>
      </c>
      <c r="I117" s="32"/>
      <c r="J117" s="35" t="str">
        <f aca="false">IF(OR(E117="",I117=""),"",IF(E117&lt;=I117,"nachbestellen",""))</f>
        <v/>
      </c>
    </row>
    <row r="118" customFormat="false" ht="15" hidden="false" customHeight="false" outlineLevel="0" collapsed="false">
      <c r="A118" s="32"/>
      <c r="B118" s="32"/>
      <c r="C118" s="32"/>
      <c r="D118" s="32"/>
      <c r="E118" s="32"/>
      <c r="F118" s="32"/>
      <c r="G118" s="30"/>
      <c r="H118" s="31" t="str">
        <f aca="false">IF(OR(E118="",G118=""),"",E118*G118)</f>
        <v/>
      </c>
      <c r="I118" s="32"/>
      <c r="J118" s="35" t="str">
        <f aca="false">IF(OR(E118="",I118=""),"",IF(E118&lt;=I118,"nachbestellen",""))</f>
        <v/>
      </c>
    </row>
    <row r="119" customFormat="false" ht="15" hidden="false" customHeight="false" outlineLevel="0" collapsed="false">
      <c r="A119" s="32"/>
      <c r="B119" s="32"/>
      <c r="C119" s="32"/>
      <c r="D119" s="32"/>
      <c r="E119" s="32"/>
      <c r="F119" s="32"/>
      <c r="G119" s="30"/>
      <c r="H119" s="31" t="str">
        <f aca="false">IF(OR(E119="",G119=""),"",E119*G119)</f>
        <v/>
      </c>
      <c r="I119" s="32"/>
      <c r="J119" s="35" t="str">
        <f aca="false">IF(OR(E119="",I119=""),"",IF(E119&lt;=I119,"nachbestellen",""))</f>
        <v/>
      </c>
    </row>
    <row r="120" customFormat="false" ht="15" hidden="false" customHeight="false" outlineLevel="0" collapsed="false">
      <c r="A120" s="32"/>
      <c r="B120" s="32"/>
      <c r="C120" s="32"/>
      <c r="D120" s="32"/>
      <c r="E120" s="32"/>
      <c r="F120" s="32"/>
      <c r="G120" s="30"/>
      <c r="H120" s="31" t="str">
        <f aca="false">IF(OR(E120="",G120=""),"",E120*G120)</f>
        <v/>
      </c>
      <c r="I120" s="32"/>
      <c r="J120" s="35" t="str">
        <f aca="false">IF(OR(E120="",I120=""),"",IF(E120&lt;=I120,"nachbestellen",""))</f>
        <v/>
      </c>
    </row>
    <row r="121" customFormat="false" ht="15" hidden="false" customHeight="false" outlineLevel="0" collapsed="false">
      <c r="A121" s="32"/>
      <c r="B121" s="32"/>
      <c r="C121" s="32"/>
      <c r="D121" s="32"/>
      <c r="E121" s="32"/>
      <c r="F121" s="32"/>
      <c r="G121" s="30"/>
      <c r="H121" s="31" t="str">
        <f aca="false">IF(OR(E121="",G121=""),"",E121*G121)</f>
        <v/>
      </c>
      <c r="I121" s="32"/>
      <c r="J121" s="35" t="str">
        <f aca="false">IF(OR(E121="",I121=""),"",IF(E121&lt;=I121,"nachbestellen",""))</f>
        <v/>
      </c>
    </row>
    <row r="122" customFormat="false" ht="15" hidden="false" customHeight="false" outlineLevel="0" collapsed="false">
      <c r="A122" s="32"/>
      <c r="B122" s="32"/>
      <c r="C122" s="32"/>
      <c r="D122" s="32"/>
      <c r="E122" s="32"/>
      <c r="F122" s="32"/>
      <c r="G122" s="30"/>
      <c r="H122" s="31" t="str">
        <f aca="false">IF(OR(E122="",G122=""),"",E122*G122)</f>
        <v/>
      </c>
      <c r="I122" s="32"/>
      <c r="J122" s="35" t="str">
        <f aca="false">IF(OR(E122="",I122=""),"",IF(E122&lt;=I122,"nachbestellen",""))</f>
        <v/>
      </c>
    </row>
    <row r="123" customFormat="false" ht="15" hidden="false" customHeight="false" outlineLevel="0" collapsed="false">
      <c r="A123" s="32"/>
      <c r="B123" s="32"/>
      <c r="C123" s="32"/>
      <c r="D123" s="32"/>
      <c r="E123" s="32"/>
      <c r="F123" s="32"/>
      <c r="G123" s="30"/>
      <c r="H123" s="31" t="str">
        <f aca="false">IF(OR(E123="",G123=""),"",E123*G123)</f>
        <v/>
      </c>
      <c r="I123" s="32"/>
      <c r="J123" s="35" t="str">
        <f aca="false">IF(OR(E123="",I123=""),"",IF(E123&lt;=I123,"nachbestellen",""))</f>
        <v/>
      </c>
    </row>
    <row r="124" customFormat="false" ht="15" hidden="false" customHeight="false" outlineLevel="0" collapsed="false">
      <c r="A124" s="32"/>
      <c r="B124" s="32"/>
      <c r="C124" s="32"/>
      <c r="D124" s="32"/>
      <c r="E124" s="32"/>
      <c r="F124" s="32"/>
      <c r="G124" s="30"/>
      <c r="H124" s="31" t="str">
        <f aca="false">IF(OR(E124="",G124=""),"",E124*G124)</f>
        <v/>
      </c>
      <c r="I124" s="32"/>
      <c r="J124" s="35" t="str">
        <f aca="false">IF(OR(E124="",I124=""),"",IF(E124&lt;=I124,"nachbestellen",""))</f>
        <v/>
      </c>
    </row>
    <row r="125" customFormat="false" ht="15" hidden="false" customHeight="false" outlineLevel="0" collapsed="false">
      <c r="A125" s="32"/>
      <c r="B125" s="32"/>
      <c r="C125" s="32"/>
      <c r="D125" s="32"/>
      <c r="E125" s="32"/>
      <c r="F125" s="32"/>
      <c r="G125" s="30"/>
      <c r="H125" s="31" t="str">
        <f aca="false">IF(OR(E125="",G125=""),"",E125*G125)</f>
        <v/>
      </c>
      <c r="I125" s="32"/>
      <c r="J125" s="35" t="str">
        <f aca="false">IF(OR(E125="",I125=""),"",IF(E125&lt;=I125,"nachbestellen",""))</f>
        <v/>
      </c>
    </row>
    <row r="126" customFormat="false" ht="15" hidden="false" customHeight="false" outlineLevel="0" collapsed="false">
      <c r="A126" s="32"/>
      <c r="B126" s="32"/>
      <c r="C126" s="32"/>
      <c r="D126" s="32"/>
      <c r="E126" s="32"/>
      <c r="F126" s="32"/>
      <c r="G126" s="30"/>
      <c r="H126" s="31" t="str">
        <f aca="false">IF(OR(E126="",G126=""),"",E126*G126)</f>
        <v/>
      </c>
      <c r="I126" s="32"/>
      <c r="J126" s="35" t="str">
        <f aca="false">IF(OR(E126="",I126=""),"",IF(E126&lt;=I126,"nachbestellen",""))</f>
        <v/>
      </c>
    </row>
    <row r="127" customFormat="false" ht="15" hidden="false" customHeight="false" outlineLevel="0" collapsed="false">
      <c r="A127" s="32"/>
      <c r="B127" s="32"/>
      <c r="C127" s="32"/>
      <c r="D127" s="32"/>
      <c r="E127" s="32"/>
      <c r="F127" s="32"/>
      <c r="G127" s="30"/>
      <c r="H127" s="31" t="str">
        <f aca="false">IF(OR(E127="",G127=""),"",E127*G127)</f>
        <v/>
      </c>
      <c r="I127" s="32"/>
      <c r="J127" s="35" t="str">
        <f aca="false">IF(OR(E127="",I127=""),"",IF(E127&lt;=I127,"nachbestellen",""))</f>
        <v/>
      </c>
    </row>
    <row r="128" customFormat="false" ht="15" hidden="false" customHeight="false" outlineLevel="0" collapsed="false">
      <c r="A128" s="32"/>
      <c r="B128" s="32"/>
      <c r="C128" s="32"/>
      <c r="D128" s="32"/>
      <c r="E128" s="32"/>
      <c r="F128" s="32"/>
      <c r="G128" s="30"/>
      <c r="H128" s="31" t="str">
        <f aca="false">IF(OR(E128="",G128=""),"",E128*G128)</f>
        <v/>
      </c>
      <c r="I128" s="32"/>
      <c r="J128" s="35" t="str">
        <f aca="false">IF(OR(E128="",I128=""),"",IF(E128&lt;=I128,"nachbestellen",""))</f>
        <v/>
      </c>
    </row>
    <row r="129" customFormat="false" ht="15" hidden="false" customHeight="false" outlineLevel="0" collapsed="false">
      <c r="A129" s="32"/>
      <c r="B129" s="32"/>
      <c r="C129" s="32"/>
      <c r="D129" s="32"/>
      <c r="E129" s="32"/>
      <c r="F129" s="32"/>
      <c r="G129" s="30"/>
      <c r="H129" s="31" t="str">
        <f aca="false">IF(OR(E129="",G129=""),"",E129*G129)</f>
        <v/>
      </c>
      <c r="I129" s="32"/>
      <c r="J129" s="35" t="str">
        <f aca="false">IF(OR(E129="",I129=""),"",IF(E129&lt;=I129,"nachbestellen",""))</f>
        <v/>
      </c>
    </row>
    <row r="130" customFormat="false" ht="15" hidden="false" customHeight="false" outlineLevel="0" collapsed="false">
      <c r="A130" s="32"/>
      <c r="B130" s="32"/>
      <c r="C130" s="32"/>
      <c r="D130" s="32"/>
      <c r="E130" s="32"/>
      <c r="F130" s="32"/>
      <c r="G130" s="30"/>
      <c r="H130" s="31" t="str">
        <f aca="false">IF(OR(E130="",G130=""),"",E130*G130)</f>
        <v/>
      </c>
      <c r="I130" s="32"/>
      <c r="J130" s="35" t="str">
        <f aca="false">IF(OR(E130="",I130=""),"",IF(E130&lt;=I130,"nachbestellen",""))</f>
        <v/>
      </c>
    </row>
    <row r="131" customFormat="false" ht="15" hidden="false" customHeight="false" outlineLevel="0" collapsed="false">
      <c r="A131" s="32"/>
      <c r="B131" s="32"/>
      <c r="C131" s="32"/>
      <c r="D131" s="32"/>
      <c r="E131" s="32"/>
      <c r="F131" s="32"/>
      <c r="G131" s="30"/>
      <c r="H131" s="31" t="str">
        <f aca="false">IF(OR(E131="",G131=""),"",E131*G131)</f>
        <v/>
      </c>
      <c r="I131" s="32"/>
      <c r="J131" s="35" t="str">
        <f aca="false">IF(OR(E131="",I131=""),"",IF(E131&lt;=I131,"nachbestellen",""))</f>
        <v/>
      </c>
    </row>
    <row r="132" customFormat="false" ht="15" hidden="false" customHeight="false" outlineLevel="0" collapsed="false">
      <c r="A132" s="32"/>
      <c r="B132" s="32"/>
      <c r="C132" s="32"/>
      <c r="D132" s="32"/>
      <c r="E132" s="32"/>
      <c r="F132" s="32"/>
      <c r="G132" s="30"/>
      <c r="H132" s="31" t="str">
        <f aca="false">IF(OR(E132="",G132=""),"",E132*G132)</f>
        <v/>
      </c>
      <c r="I132" s="32"/>
      <c r="J132" s="35" t="str">
        <f aca="false">IF(OR(E132="",I132=""),"",IF(E132&lt;=I132,"nachbestellen",""))</f>
        <v/>
      </c>
    </row>
    <row r="133" customFormat="false" ht="15" hidden="false" customHeight="false" outlineLevel="0" collapsed="false">
      <c r="A133" s="32"/>
      <c r="B133" s="32"/>
      <c r="C133" s="32"/>
      <c r="D133" s="32"/>
      <c r="E133" s="32"/>
      <c r="F133" s="32"/>
      <c r="G133" s="30"/>
      <c r="H133" s="31" t="str">
        <f aca="false">IF(OR(E133="",G133=""),"",E133*G133)</f>
        <v/>
      </c>
      <c r="I133" s="32"/>
      <c r="J133" s="35" t="str">
        <f aca="false">IF(OR(E133="",I133=""),"",IF(E133&lt;=I133,"nachbestellen",""))</f>
        <v/>
      </c>
    </row>
    <row r="134" customFormat="false" ht="15" hidden="false" customHeight="false" outlineLevel="0" collapsed="false">
      <c r="A134" s="32"/>
      <c r="B134" s="32"/>
      <c r="C134" s="32"/>
      <c r="D134" s="32"/>
      <c r="E134" s="32"/>
      <c r="F134" s="32"/>
      <c r="G134" s="30"/>
      <c r="H134" s="31" t="str">
        <f aca="false">IF(OR(E134="",G134=""),"",E134*G134)</f>
        <v/>
      </c>
      <c r="I134" s="32"/>
      <c r="J134" s="35" t="str">
        <f aca="false">IF(OR(E134="",I134=""),"",IF(E134&lt;=I134,"nachbestellen",""))</f>
        <v/>
      </c>
    </row>
    <row r="135" customFormat="false" ht="15" hidden="false" customHeight="false" outlineLevel="0" collapsed="false">
      <c r="A135" s="32"/>
      <c r="B135" s="32"/>
      <c r="C135" s="32"/>
      <c r="D135" s="32"/>
      <c r="E135" s="32"/>
      <c r="F135" s="32"/>
      <c r="G135" s="30"/>
      <c r="H135" s="31" t="str">
        <f aca="false">IF(OR(E135="",G135=""),"",E135*G135)</f>
        <v/>
      </c>
      <c r="I135" s="32"/>
      <c r="J135" s="35" t="str">
        <f aca="false">IF(OR(E135="",I135=""),"",IF(E135&lt;=I135,"nachbestellen",""))</f>
        <v/>
      </c>
    </row>
    <row r="136" customFormat="false" ht="15" hidden="false" customHeight="false" outlineLevel="0" collapsed="false">
      <c r="A136" s="32"/>
      <c r="B136" s="32"/>
      <c r="C136" s="32"/>
      <c r="D136" s="32"/>
      <c r="E136" s="32"/>
      <c r="F136" s="32"/>
      <c r="G136" s="30"/>
      <c r="H136" s="31" t="str">
        <f aca="false">IF(OR(E136="",G136=""),"",E136*G136)</f>
        <v/>
      </c>
      <c r="I136" s="32"/>
      <c r="J136" s="35" t="str">
        <f aca="false">IF(OR(E136="",I136=""),"",IF(E136&lt;=I136,"nachbestellen",""))</f>
        <v/>
      </c>
    </row>
    <row r="137" customFormat="false" ht="15" hidden="false" customHeight="false" outlineLevel="0" collapsed="false">
      <c r="A137" s="32"/>
      <c r="B137" s="32"/>
      <c r="C137" s="32"/>
      <c r="D137" s="32"/>
      <c r="E137" s="32"/>
      <c r="F137" s="32"/>
      <c r="G137" s="30"/>
      <c r="H137" s="31" t="str">
        <f aca="false">IF(OR(E137="",G137=""),"",E137*G137)</f>
        <v/>
      </c>
      <c r="I137" s="32"/>
      <c r="J137" s="35" t="str">
        <f aca="false">IF(OR(E137="",I137=""),"",IF(E137&lt;=I137,"nachbestellen",""))</f>
        <v/>
      </c>
    </row>
    <row r="138" customFormat="false" ht="15" hidden="false" customHeight="false" outlineLevel="0" collapsed="false">
      <c r="A138" s="32"/>
      <c r="B138" s="32"/>
      <c r="C138" s="32"/>
      <c r="D138" s="32"/>
      <c r="E138" s="32"/>
      <c r="F138" s="32"/>
      <c r="G138" s="30"/>
      <c r="H138" s="31" t="str">
        <f aca="false">IF(OR(E138="",G138=""),"",E138*G138)</f>
        <v/>
      </c>
      <c r="I138" s="32"/>
      <c r="J138" s="35" t="str">
        <f aca="false">IF(OR(E138="",I138=""),"",IF(E138&lt;=I138,"nachbestellen",""))</f>
        <v/>
      </c>
    </row>
    <row r="139" customFormat="false" ht="15" hidden="false" customHeight="false" outlineLevel="0" collapsed="false">
      <c r="A139" s="32"/>
      <c r="B139" s="32"/>
      <c r="C139" s="32"/>
      <c r="D139" s="32"/>
      <c r="E139" s="32"/>
      <c r="F139" s="32"/>
      <c r="G139" s="30"/>
      <c r="H139" s="31" t="str">
        <f aca="false">IF(OR(E139="",G139=""),"",E139*G139)</f>
        <v/>
      </c>
      <c r="I139" s="32"/>
      <c r="J139" s="35" t="str">
        <f aca="false">IF(OR(E139="",I139=""),"",IF(E139&lt;=I139,"nachbestellen",""))</f>
        <v/>
      </c>
    </row>
    <row r="140" customFormat="false" ht="15" hidden="false" customHeight="false" outlineLevel="0" collapsed="false">
      <c r="A140" s="32"/>
      <c r="B140" s="32"/>
      <c r="C140" s="32"/>
      <c r="D140" s="32"/>
      <c r="E140" s="32"/>
      <c r="F140" s="32"/>
      <c r="G140" s="30"/>
      <c r="H140" s="31" t="str">
        <f aca="false">IF(OR(E140="",G140=""),"",E140*G140)</f>
        <v/>
      </c>
      <c r="I140" s="32"/>
      <c r="J140" s="35" t="str">
        <f aca="false">IF(OR(E140="",I140=""),"",IF(E140&lt;=I140,"nachbestellen",""))</f>
        <v/>
      </c>
    </row>
    <row r="141" customFormat="false" ht="15" hidden="false" customHeight="false" outlineLevel="0" collapsed="false">
      <c r="A141" s="32"/>
      <c r="B141" s="32"/>
      <c r="C141" s="32"/>
      <c r="D141" s="32"/>
      <c r="E141" s="32"/>
      <c r="F141" s="32"/>
      <c r="G141" s="30"/>
      <c r="H141" s="31" t="str">
        <f aca="false">IF(OR(E141="",G141=""),"",E141*G141)</f>
        <v/>
      </c>
      <c r="I141" s="32"/>
      <c r="J141" s="35" t="str">
        <f aca="false">IF(OR(E141="",I141=""),"",IF(E141&lt;=I141,"nachbestellen",""))</f>
        <v/>
      </c>
    </row>
    <row r="142" customFormat="false" ht="15" hidden="false" customHeight="false" outlineLevel="0" collapsed="false">
      <c r="A142" s="32"/>
      <c r="B142" s="32"/>
      <c r="C142" s="32"/>
      <c r="D142" s="32"/>
      <c r="E142" s="32"/>
      <c r="F142" s="32"/>
      <c r="G142" s="30"/>
      <c r="H142" s="31" t="str">
        <f aca="false">IF(OR(E142="",G142=""),"",E142*G142)</f>
        <v/>
      </c>
      <c r="I142" s="32"/>
      <c r="J142" s="35" t="str">
        <f aca="false">IF(OR(E142="",I142=""),"",IF(E142&lt;=I142,"nachbestellen",""))</f>
        <v/>
      </c>
    </row>
    <row r="143" customFormat="false" ht="15" hidden="false" customHeight="false" outlineLevel="0" collapsed="false">
      <c r="A143" s="32"/>
      <c r="B143" s="32"/>
      <c r="C143" s="32"/>
      <c r="D143" s="32"/>
      <c r="E143" s="32"/>
      <c r="F143" s="32"/>
      <c r="G143" s="30"/>
      <c r="H143" s="31" t="str">
        <f aca="false">IF(OR(E143="",G143=""),"",E143*G143)</f>
        <v/>
      </c>
      <c r="I143" s="32"/>
      <c r="J143" s="35" t="str">
        <f aca="false">IF(OR(E143="",I143=""),"",IF(E143&lt;=I143,"nachbestellen",""))</f>
        <v/>
      </c>
    </row>
    <row r="144" customFormat="false" ht="15" hidden="false" customHeight="false" outlineLevel="0" collapsed="false">
      <c r="A144" s="32"/>
      <c r="B144" s="32"/>
      <c r="C144" s="32"/>
      <c r="D144" s="32"/>
      <c r="E144" s="32"/>
      <c r="F144" s="32"/>
      <c r="G144" s="30"/>
      <c r="H144" s="31" t="str">
        <f aca="false">IF(OR(E144="",G144=""),"",E144*G144)</f>
        <v/>
      </c>
      <c r="I144" s="32"/>
      <c r="J144" s="35" t="str">
        <f aca="false">IF(OR(E144="",I144=""),"",IF(E144&lt;=I144,"nachbestellen",""))</f>
        <v/>
      </c>
    </row>
    <row r="145" customFormat="false" ht="15" hidden="false" customHeight="false" outlineLevel="0" collapsed="false">
      <c r="A145" s="32"/>
      <c r="B145" s="32"/>
      <c r="C145" s="32"/>
      <c r="D145" s="32"/>
      <c r="E145" s="32"/>
      <c r="F145" s="32"/>
      <c r="G145" s="30"/>
      <c r="H145" s="31" t="str">
        <f aca="false">IF(OR(E145="",G145=""),"",E145*G145)</f>
        <v/>
      </c>
      <c r="I145" s="32"/>
      <c r="J145" s="35" t="str">
        <f aca="false">IF(OR(E145="",I145=""),"",IF(E145&lt;=I145,"nachbestellen",""))</f>
        <v/>
      </c>
    </row>
    <row r="146" customFormat="false" ht="15" hidden="false" customHeight="false" outlineLevel="0" collapsed="false">
      <c r="A146" s="32"/>
      <c r="B146" s="32"/>
      <c r="C146" s="32"/>
      <c r="D146" s="32"/>
      <c r="E146" s="32"/>
      <c r="F146" s="32"/>
      <c r="G146" s="30"/>
      <c r="H146" s="31" t="str">
        <f aca="false">IF(OR(E146="",G146=""),"",E146*G146)</f>
        <v/>
      </c>
      <c r="I146" s="32"/>
      <c r="J146" s="35" t="str">
        <f aca="false">IF(OR(E146="",I146=""),"",IF(E146&lt;=I146,"nachbestellen",""))</f>
        <v/>
      </c>
    </row>
    <row r="147" customFormat="false" ht="15" hidden="false" customHeight="false" outlineLevel="0" collapsed="false">
      <c r="A147" s="32"/>
      <c r="B147" s="32"/>
      <c r="C147" s="32"/>
      <c r="D147" s="32"/>
      <c r="E147" s="32"/>
      <c r="F147" s="32"/>
      <c r="G147" s="30"/>
      <c r="H147" s="31" t="str">
        <f aca="false">IF(OR(E147="",G147=""),"",E147*G147)</f>
        <v/>
      </c>
      <c r="I147" s="32"/>
      <c r="J147" s="35" t="str">
        <f aca="false">IF(OR(E147="",I147=""),"",IF(E147&lt;=I147,"nachbestellen",""))</f>
        <v/>
      </c>
    </row>
    <row r="148" customFormat="false" ht="15" hidden="false" customHeight="false" outlineLevel="0" collapsed="false">
      <c r="A148" s="32"/>
      <c r="B148" s="32"/>
      <c r="C148" s="32"/>
      <c r="D148" s="32"/>
      <c r="E148" s="32"/>
      <c r="F148" s="32"/>
      <c r="G148" s="30"/>
      <c r="H148" s="31" t="str">
        <f aca="false">IF(OR(E148="",G148=""),"",E148*G148)</f>
        <v/>
      </c>
      <c r="I148" s="32"/>
      <c r="J148" s="35" t="str">
        <f aca="false">IF(OR(E148="",I148=""),"",IF(E148&lt;=I148,"nachbestellen",""))</f>
        <v/>
      </c>
    </row>
    <row r="149" customFormat="false" ht="15" hidden="false" customHeight="false" outlineLevel="0" collapsed="false">
      <c r="A149" s="32"/>
      <c r="B149" s="32"/>
      <c r="C149" s="32"/>
      <c r="D149" s="32"/>
      <c r="E149" s="32"/>
      <c r="F149" s="32"/>
      <c r="G149" s="30"/>
      <c r="H149" s="31" t="str">
        <f aca="false">IF(OR(E149="",G149=""),"",E149*G149)</f>
        <v/>
      </c>
      <c r="I149" s="32"/>
      <c r="J149" s="35" t="str">
        <f aca="false">IF(OR(E149="",I149=""),"",IF(E149&lt;=I149,"nachbestellen",""))</f>
        <v/>
      </c>
    </row>
    <row r="150" customFormat="false" ht="15" hidden="false" customHeight="false" outlineLevel="0" collapsed="false">
      <c r="A150" s="32"/>
      <c r="B150" s="32"/>
      <c r="C150" s="32"/>
      <c r="D150" s="32"/>
      <c r="E150" s="32"/>
      <c r="F150" s="32"/>
      <c r="G150" s="30"/>
      <c r="H150" s="31" t="str">
        <f aca="false">IF(OR(E150="",G150=""),"",E150*G150)</f>
        <v/>
      </c>
      <c r="I150" s="32"/>
      <c r="J150" s="35" t="str">
        <f aca="false">IF(OR(E150="",I150=""),"",IF(E150&lt;=I150,"nachbestellen",""))</f>
        <v/>
      </c>
    </row>
    <row r="151" customFormat="false" ht="15" hidden="false" customHeight="false" outlineLevel="0" collapsed="false">
      <c r="A151" s="32"/>
      <c r="B151" s="32"/>
      <c r="C151" s="32"/>
      <c r="D151" s="32"/>
      <c r="E151" s="32"/>
      <c r="F151" s="32"/>
      <c r="G151" s="30"/>
      <c r="H151" s="31" t="str">
        <f aca="false">IF(OR(E151="",G151=""),"",E151*G151)</f>
        <v/>
      </c>
      <c r="I151" s="32"/>
      <c r="J151" s="35" t="str">
        <f aca="false">IF(OR(E151="",I151=""),"",IF(E151&lt;=I151,"nachbestellen",""))</f>
        <v/>
      </c>
    </row>
    <row r="152" customFormat="false" ht="15" hidden="false" customHeight="false" outlineLevel="0" collapsed="false">
      <c r="A152" s="32"/>
      <c r="B152" s="32"/>
      <c r="C152" s="32"/>
      <c r="D152" s="32"/>
      <c r="E152" s="32"/>
      <c r="F152" s="32"/>
      <c r="G152" s="30"/>
      <c r="H152" s="31" t="str">
        <f aca="false">IF(OR(E152="",G152=""),"",E152*G152)</f>
        <v/>
      </c>
      <c r="I152" s="32"/>
      <c r="J152" s="35" t="str">
        <f aca="false">IF(OR(E152="",I152=""),"",IF(E152&lt;=I152,"nachbestellen",""))</f>
        <v/>
      </c>
    </row>
    <row r="153" customFormat="false" ht="15" hidden="false" customHeight="false" outlineLevel="0" collapsed="false">
      <c r="A153" s="32"/>
      <c r="B153" s="32"/>
      <c r="C153" s="32"/>
      <c r="D153" s="32"/>
      <c r="E153" s="32"/>
      <c r="F153" s="32"/>
      <c r="G153" s="30"/>
      <c r="H153" s="31" t="str">
        <f aca="false">IF(OR(E153="",G153=""),"",E153*G153)</f>
        <v/>
      </c>
      <c r="I153" s="32"/>
      <c r="J153" s="35" t="str">
        <f aca="false">IF(OR(E153="",I153=""),"",IF(E153&lt;=I153,"nachbestellen",""))</f>
        <v/>
      </c>
    </row>
    <row r="154" customFormat="false" ht="15" hidden="false" customHeight="false" outlineLevel="0" collapsed="false">
      <c r="A154" s="32"/>
      <c r="B154" s="32"/>
      <c r="C154" s="32"/>
      <c r="D154" s="32"/>
      <c r="E154" s="32"/>
      <c r="F154" s="32"/>
      <c r="G154" s="30"/>
      <c r="H154" s="31" t="str">
        <f aca="false">IF(OR(E154="",G154=""),"",E154*G154)</f>
        <v/>
      </c>
      <c r="I154" s="32"/>
      <c r="J154" s="35" t="str">
        <f aca="false">IF(OR(E154="",I154=""),"",IF(E154&lt;=I154,"nachbestellen",""))</f>
        <v/>
      </c>
    </row>
    <row r="155" customFormat="false" ht="15" hidden="false" customHeight="false" outlineLevel="0" collapsed="false">
      <c r="A155" s="32"/>
      <c r="B155" s="32"/>
      <c r="C155" s="32"/>
      <c r="D155" s="32"/>
      <c r="E155" s="32"/>
      <c r="F155" s="32"/>
      <c r="G155" s="30"/>
      <c r="H155" s="31" t="str">
        <f aca="false">IF(OR(E155="",G155=""),"",E155*G155)</f>
        <v/>
      </c>
      <c r="I155" s="32"/>
      <c r="J155" s="35" t="str">
        <f aca="false">IF(OR(E155="",I155=""),"",IF(E155&lt;=I155,"nachbestellen",""))</f>
        <v/>
      </c>
    </row>
    <row r="156" customFormat="false" ht="15" hidden="false" customHeight="false" outlineLevel="0" collapsed="false">
      <c r="A156" s="32"/>
      <c r="B156" s="32"/>
      <c r="C156" s="32"/>
      <c r="D156" s="32"/>
      <c r="E156" s="32"/>
      <c r="F156" s="32"/>
      <c r="G156" s="30"/>
      <c r="H156" s="31" t="str">
        <f aca="false">IF(OR(E156="",G156=""),"",E156*G156)</f>
        <v/>
      </c>
      <c r="I156" s="32"/>
      <c r="J156" s="35" t="str">
        <f aca="false">IF(OR(E156="",I156=""),"",IF(E156&lt;=I156,"nachbestellen",""))</f>
        <v/>
      </c>
    </row>
    <row r="157" customFormat="false" ht="15" hidden="false" customHeight="false" outlineLevel="0" collapsed="false">
      <c r="A157" s="32"/>
      <c r="B157" s="32"/>
      <c r="C157" s="32"/>
      <c r="D157" s="32"/>
      <c r="E157" s="32"/>
      <c r="F157" s="32"/>
      <c r="G157" s="30"/>
      <c r="H157" s="31" t="str">
        <f aca="false">IF(OR(E157="",G157=""),"",E157*G157)</f>
        <v/>
      </c>
      <c r="I157" s="32"/>
      <c r="J157" s="35" t="str">
        <f aca="false">IF(OR(E157="",I157=""),"",IF(E157&lt;=I157,"nachbestellen",""))</f>
        <v/>
      </c>
    </row>
    <row r="158" customFormat="false" ht="15" hidden="false" customHeight="false" outlineLevel="0" collapsed="false">
      <c r="A158" s="32"/>
      <c r="B158" s="32"/>
      <c r="C158" s="32"/>
      <c r="D158" s="32"/>
      <c r="E158" s="32"/>
      <c r="F158" s="32"/>
      <c r="G158" s="30"/>
      <c r="H158" s="31" t="str">
        <f aca="false">IF(OR(E158="",G158=""),"",E158*G158)</f>
        <v/>
      </c>
      <c r="I158" s="32"/>
      <c r="J158" s="35" t="str">
        <f aca="false">IF(OR(E158="",I158=""),"",IF(E158&lt;=I158,"nachbestellen",""))</f>
        <v/>
      </c>
    </row>
    <row r="159" customFormat="false" ht="15" hidden="false" customHeight="false" outlineLevel="0" collapsed="false">
      <c r="A159" s="32"/>
      <c r="B159" s="32"/>
      <c r="C159" s="32"/>
      <c r="D159" s="32"/>
      <c r="E159" s="32"/>
      <c r="F159" s="32"/>
      <c r="G159" s="30"/>
      <c r="H159" s="31" t="str">
        <f aca="false">IF(OR(E159="",G159=""),"",E159*G159)</f>
        <v/>
      </c>
      <c r="I159" s="32"/>
      <c r="J159" s="35" t="str">
        <f aca="false">IF(OR(E159="",I159=""),"",IF(E159&lt;=I159,"nachbestellen",""))</f>
        <v/>
      </c>
    </row>
    <row r="160" customFormat="false" ht="15" hidden="false" customHeight="false" outlineLevel="0" collapsed="false">
      <c r="A160" s="32"/>
      <c r="B160" s="32"/>
      <c r="C160" s="32"/>
      <c r="D160" s="32"/>
      <c r="E160" s="32"/>
      <c r="F160" s="32"/>
      <c r="G160" s="30"/>
      <c r="H160" s="31" t="str">
        <f aca="false">IF(OR(E160="",G160=""),"",E160*G160)</f>
        <v/>
      </c>
      <c r="I160" s="32"/>
      <c r="J160" s="35" t="str">
        <f aca="false">IF(OR(E160="",I160=""),"",IF(E160&lt;=I160,"nachbestellen",""))</f>
        <v/>
      </c>
    </row>
    <row r="161" customFormat="false" ht="15" hidden="false" customHeight="false" outlineLevel="0" collapsed="false">
      <c r="A161" s="32"/>
      <c r="B161" s="32"/>
      <c r="C161" s="32"/>
      <c r="D161" s="32"/>
      <c r="E161" s="32"/>
      <c r="F161" s="32"/>
      <c r="G161" s="30"/>
      <c r="H161" s="31" t="str">
        <f aca="false">IF(OR(E161="",G161=""),"",E161*G161)</f>
        <v/>
      </c>
      <c r="I161" s="32"/>
      <c r="J161" s="35" t="str">
        <f aca="false">IF(OR(E161="",I161=""),"",IF(E161&lt;=I161,"nachbestellen",""))</f>
        <v/>
      </c>
    </row>
    <row r="162" customFormat="false" ht="15" hidden="false" customHeight="false" outlineLevel="0" collapsed="false">
      <c r="A162" s="32"/>
      <c r="B162" s="32"/>
      <c r="C162" s="32"/>
      <c r="D162" s="32"/>
      <c r="E162" s="32"/>
      <c r="F162" s="32"/>
      <c r="G162" s="30"/>
      <c r="H162" s="31" t="str">
        <f aca="false">IF(OR(E162="",G162=""),"",E162*G162)</f>
        <v/>
      </c>
      <c r="I162" s="32"/>
      <c r="J162" s="35" t="str">
        <f aca="false">IF(OR(E162="",I162=""),"",IF(E162&lt;=I162,"nachbestellen",""))</f>
        <v/>
      </c>
    </row>
    <row r="163" customFormat="false" ht="15" hidden="false" customHeight="false" outlineLevel="0" collapsed="false">
      <c r="A163" s="32"/>
      <c r="B163" s="32"/>
      <c r="C163" s="32"/>
      <c r="D163" s="32"/>
      <c r="E163" s="32"/>
      <c r="F163" s="32"/>
      <c r="G163" s="30"/>
      <c r="H163" s="31" t="str">
        <f aca="false">IF(OR(E163="",G163=""),"",E163*G163)</f>
        <v/>
      </c>
      <c r="I163" s="32"/>
      <c r="J163" s="35" t="str">
        <f aca="false">IF(OR(E163="",I163=""),"",IF(E163&lt;=I163,"nachbestellen",""))</f>
        <v/>
      </c>
    </row>
    <row r="164" customFormat="false" ht="15" hidden="false" customHeight="false" outlineLevel="0" collapsed="false">
      <c r="A164" s="32"/>
      <c r="B164" s="32"/>
      <c r="C164" s="32"/>
      <c r="D164" s="32"/>
      <c r="E164" s="32"/>
      <c r="F164" s="32"/>
      <c r="G164" s="30"/>
      <c r="H164" s="31" t="str">
        <f aca="false">IF(OR(E164="",G164=""),"",E164*G164)</f>
        <v/>
      </c>
      <c r="I164" s="32"/>
      <c r="J164" s="35" t="str">
        <f aca="false">IF(OR(E164="",I164=""),"",IF(E164&lt;=I164,"nachbestellen",""))</f>
        <v/>
      </c>
    </row>
    <row r="165" customFormat="false" ht="15" hidden="false" customHeight="false" outlineLevel="0" collapsed="false">
      <c r="A165" s="32"/>
      <c r="B165" s="32"/>
      <c r="C165" s="32"/>
      <c r="D165" s="32"/>
      <c r="E165" s="32"/>
      <c r="F165" s="32"/>
      <c r="G165" s="30"/>
      <c r="H165" s="31" t="str">
        <f aca="false">IF(OR(E165="",G165=""),"",E165*G165)</f>
        <v/>
      </c>
      <c r="I165" s="32"/>
      <c r="J165" s="35" t="str">
        <f aca="false">IF(OR(E165="",I165=""),"",IF(E165&lt;=I165,"nachbestellen",""))</f>
        <v/>
      </c>
    </row>
    <row r="166" customFormat="false" ht="15" hidden="false" customHeight="false" outlineLevel="0" collapsed="false">
      <c r="A166" s="32"/>
      <c r="B166" s="32"/>
      <c r="C166" s="32"/>
      <c r="D166" s="32"/>
      <c r="E166" s="32"/>
      <c r="F166" s="32"/>
      <c r="G166" s="30"/>
      <c r="H166" s="31" t="str">
        <f aca="false">IF(OR(E166="",G166=""),"",E166*G166)</f>
        <v/>
      </c>
      <c r="I166" s="32"/>
      <c r="J166" s="35" t="str">
        <f aca="false">IF(OR(E166="",I166=""),"",IF(E166&lt;=I166,"nachbestellen",""))</f>
        <v/>
      </c>
    </row>
    <row r="167" customFormat="false" ht="15" hidden="false" customHeight="false" outlineLevel="0" collapsed="false">
      <c r="A167" s="32"/>
      <c r="B167" s="32"/>
      <c r="C167" s="32"/>
      <c r="D167" s="32"/>
      <c r="E167" s="32"/>
      <c r="F167" s="32"/>
      <c r="G167" s="30"/>
      <c r="H167" s="31" t="str">
        <f aca="false">IF(OR(E167="",G167=""),"",E167*G167)</f>
        <v/>
      </c>
      <c r="I167" s="32"/>
      <c r="J167" s="35" t="str">
        <f aca="false">IF(OR(E167="",I167=""),"",IF(E167&lt;=I167,"nachbestellen",""))</f>
        <v/>
      </c>
    </row>
    <row r="168" customFormat="false" ht="15" hidden="false" customHeight="false" outlineLevel="0" collapsed="false">
      <c r="A168" s="32"/>
      <c r="B168" s="32"/>
      <c r="C168" s="32"/>
      <c r="D168" s="32"/>
      <c r="E168" s="32"/>
      <c r="F168" s="32"/>
      <c r="G168" s="30"/>
      <c r="H168" s="31" t="str">
        <f aca="false">IF(OR(E168="",G168=""),"",E168*G168)</f>
        <v/>
      </c>
      <c r="I168" s="32"/>
      <c r="J168" s="35" t="str">
        <f aca="false">IF(OR(E168="",I168=""),"",IF(E168&lt;=I168,"nachbestellen",""))</f>
        <v/>
      </c>
    </row>
    <row r="169" customFormat="false" ht="15" hidden="false" customHeight="false" outlineLevel="0" collapsed="false">
      <c r="A169" s="32"/>
      <c r="B169" s="32"/>
      <c r="C169" s="32"/>
      <c r="D169" s="32"/>
      <c r="E169" s="32"/>
      <c r="F169" s="32"/>
      <c r="G169" s="30"/>
      <c r="H169" s="31" t="str">
        <f aca="false">IF(OR(E169="",G169=""),"",E169*G169)</f>
        <v/>
      </c>
      <c r="I169" s="32"/>
      <c r="J169" s="35" t="str">
        <f aca="false">IF(OR(E169="",I169=""),"",IF(E169&lt;=I169,"nachbestellen",""))</f>
        <v/>
      </c>
    </row>
    <row r="170" customFormat="false" ht="15" hidden="false" customHeight="false" outlineLevel="0" collapsed="false">
      <c r="A170" s="32"/>
      <c r="B170" s="32"/>
      <c r="C170" s="32"/>
      <c r="D170" s="32"/>
      <c r="E170" s="32"/>
      <c r="F170" s="32"/>
      <c r="G170" s="30"/>
      <c r="H170" s="31" t="str">
        <f aca="false">IF(OR(E170="",G170=""),"",E170*G170)</f>
        <v/>
      </c>
      <c r="I170" s="32"/>
      <c r="J170" s="35" t="str">
        <f aca="false">IF(OR(E170="",I170=""),"",IF(E170&lt;=I170,"nachbestellen",""))</f>
        <v/>
      </c>
    </row>
    <row r="171" customFormat="false" ht="15" hidden="false" customHeight="false" outlineLevel="0" collapsed="false">
      <c r="A171" s="32"/>
      <c r="B171" s="32"/>
      <c r="C171" s="32"/>
      <c r="D171" s="32"/>
      <c r="E171" s="32"/>
      <c r="F171" s="32"/>
      <c r="G171" s="30"/>
      <c r="H171" s="31" t="str">
        <f aca="false">IF(OR(E171="",G171=""),"",E171*G171)</f>
        <v/>
      </c>
      <c r="I171" s="32"/>
      <c r="J171" s="35" t="str">
        <f aca="false">IF(OR(E171="",I171=""),"",IF(E171&lt;=I171,"nachbestellen",""))</f>
        <v/>
      </c>
    </row>
    <row r="172" customFormat="false" ht="15" hidden="false" customHeight="false" outlineLevel="0" collapsed="false">
      <c r="A172" s="32"/>
      <c r="B172" s="32"/>
      <c r="C172" s="32"/>
      <c r="D172" s="32"/>
      <c r="E172" s="32"/>
      <c r="F172" s="32"/>
      <c r="G172" s="30"/>
      <c r="H172" s="31" t="str">
        <f aca="false">IF(OR(E172="",G172=""),"",E172*G172)</f>
        <v/>
      </c>
      <c r="I172" s="32"/>
      <c r="J172" s="35" t="str">
        <f aca="false">IF(OR(E172="",I172=""),"",IF(E172&lt;=I172,"nachbestellen",""))</f>
        <v/>
      </c>
    </row>
    <row r="173" customFormat="false" ht="15" hidden="false" customHeight="false" outlineLevel="0" collapsed="false">
      <c r="A173" s="32"/>
      <c r="B173" s="32"/>
      <c r="C173" s="32"/>
      <c r="D173" s="32"/>
      <c r="E173" s="32"/>
      <c r="F173" s="32"/>
      <c r="G173" s="30"/>
      <c r="H173" s="31" t="str">
        <f aca="false">IF(OR(E173="",G173=""),"",E173*G173)</f>
        <v/>
      </c>
      <c r="I173" s="32"/>
      <c r="J173" s="35" t="str">
        <f aca="false">IF(OR(E173="",I173=""),"",IF(E173&lt;=I173,"nachbestellen",""))</f>
        <v/>
      </c>
    </row>
    <row r="174" customFormat="false" ht="15" hidden="false" customHeight="false" outlineLevel="0" collapsed="false">
      <c r="A174" s="32"/>
      <c r="B174" s="32"/>
      <c r="C174" s="32"/>
      <c r="D174" s="32"/>
      <c r="E174" s="32"/>
      <c r="F174" s="32"/>
      <c r="G174" s="30"/>
      <c r="H174" s="31" t="str">
        <f aca="false">IF(OR(E174="",G174=""),"",E174*G174)</f>
        <v/>
      </c>
      <c r="I174" s="32"/>
      <c r="J174" s="35" t="str">
        <f aca="false">IF(OR(E174="",I174=""),"",IF(E174&lt;=I174,"nachbestellen",""))</f>
        <v/>
      </c>
    </row>
    <row r="175" customFormat="false" ht="15" hidden="false" customHeight="false" outlineLevel="0" collapsed="false">
      <c r="A175" s="32"/>
      <c r="B175" s="32"/>
      <c r="C175" s="32"/>
      <c r="D175" s="32"/>
      <c r="E175" s="32"/>
      <c r="F175" s="32"/>
      <c r="G175" s="30"/>
      <c r="H175" s="31" t="str">
        <f aca="false">IF(OR(E175="",G175=""),"",E175*G175)</f>
        <v/>
      </c>
      <c r="I175" s="32"/>
      <c r="J175" s="35" t="str">
        <f aca="false">IF(OR(E175="",I175=""),"",IF(E175&lt;=I175,"nachbestellen",""))</f>
        <v/>
      </c>
    </row>
    <row r="176" customFormat="false" ht="15" hidden="false" customHeight="false" outlineLevel="0" collapsed="false">
      <c r="A176" s="32"/>
      <c r="B176" s="32"/>
      <c r="C176" s="32"/>
      <c r="D176" s="32"/>
      <c r="E176" s="32"/>
      <c r="F176" s="32"/>
      <c r="G176" s="30"/>
      <c r="H176" s="31" t="str">
        <f aca="false">IF(OR(E176="",G176=""),"",E176*G176)</f>
        <v/>
      </c>
      <c r="I176" s="32"/>
      <c r="J176" s="35" t="str">
        <f aca="false">IF(OR(E176="",I176=""),"",IF(E176&lt;=I176,"nachbestellen",""))</f>
        <v/>
      </c>
    </row>
    <row r="177" customFormat="false" ht="15" hidden="false" customHeight="false" outlineLevel="0" collapsed="false">
      <c r="A177" s="32"/>
      <c r="B177" s="32"/>
      <c r="C177" s="32"/>
      <c r="D177" s="32"/>
      <c r="E177" s="32"/>
      <c r="F177" s="32"/>
      <c r="G177" s="30"/>
      <c r="H177" s="31" t="str">
        <f aca="false">IF(OR(E177="",G177=""),"",E177*G177)</f>
        <v/>
      </c>
      <c r="I177" s="32"/>
      <c r="J177" s="35" t="str">
        <f aca="false">IF(OR(E177="",I177=""),"",IF(E177&lt;=I177,"nachbestellen",""))</f>
        <v/>
      </c>
    </row>
    <row r="178" customFormat="false" ht="15" hidden="false" customHeight="false" outlineLevel="0" collapsed="false">
      <c r="A178" s="32"/>
      <c r="B178" s="32"/>
      <c r="C178" s="32"/>
      <c r="D178" s="32"/>
      <c r="E178" s="32"/>
      <c r="F178" s="32"/>
      <c r="G178" s="30"/>
      <c r="H178" s="31" t="str">
        <f aca="false">IF(OR(E178="",G178=""),"",E178*G178)</f>
        <v/>
      </c>
      <c r="I178" s="32"/>
      <c r="J178" s="35" t="str">
        <f aca="false">IF(OR(E178="",I178=""),"",IF(E178&lt;=I178,"nachbestellen",""))</f>
        <v/>
      </c>
    </row>
    <row r="179" customFormat="false" ht="15" hidden="false" customHeight="false" outlineLevel="0" collapsed="false">
      <c r="A179" s="32"/>
      <c r="B179" s="32"/>
      <c r="C179" s="32"/>
      <c r="D179" s="32"/>
      <c r="E179" s="32"/>
      <c r="F179" s="32"/>
      <c r="G179" s="30"/>
      <c r="H179" s="31" t="str">
        <f aca="false">IF(OR(E179="",G179=""),"",E179*G179)</f>
        <v/>
      </c>
      <c r="I179" s="32"/>
      <c r="J179" s="35" t="str">
        <f aca="false">IF(OR(E179="",I179=""),"",IF(E179&lt;=I179,"nachbestellen",""))</f>
        <v/>
      </c>
    </row>
    <row r="180" customFormat="false" ht="15" hidden="false" customHeight="false" outlineLevel="0" collapsed="false">
      <c r="A180" s="32"/>
      <c r="B180" s="32"/>
      <c r="C180" s="32"/>
      <c r="D180" s="32"/>
      <c r="E180" s="32"/>
      <c r="F180" s="32"/>
      <c r="G180" s="30"/>
      <c r="H180" s="31" t="str">
        <f aca="false">IF(OR(E180="",G180=""),"",E180*G180)</f>
        <v/>
      </c>
      <c r="I180" s="32"/>
      <c r="J180" s="35" t="str">
        <f aca="false">IF(OR(E180="",I180=""),"",IF(E180&lt;=I180,"nachbestellen",""))</f>
        <v/>
      </c>
    </row>
    <row r="181" customFormat="false" ht="15" hidden="false" customHeight="false" outlineLevel="0" collapsed="false">
      <c r="A181" s="32"/>
      <c r="B181" s="32"/>
      <c r="C181" s="32"/>
      <c r="D181" s="32"/>
      <c r="E181" s="32"/>
      <c r="F181" s="32"/>
      <c r="G181" s="30"/>
      <c r="H181" s="31" t="str">
        <f aca="false">IF(OR(E181="",G181=""),"",E181*G181)</f>
        <v/>
      </c>
      <c r="I181" s="32"/>
      <c r="J181" s="35" t="str">
        <f aca="false">IF(OR(E181="",I181=""),"",IF(E181&lt;=I181,"nachbestellen",""))</f>
        <v/>
      </c>
    </row>
    <row r="182" customFormat="false" ht="15" hidden="false" customHeight="false" outlineLevel="0" collapsed="false">
      <c r="A182" s="32"/>
      <c r="B182" s="32"/>
      <c r="C182" s="32"/>
      <c r="D182" s="32"/>
      <c r="E182" s="32"/>
      <c r="F182" s="32"/>
      <c r="G182" s="30"/>
      <c r="H182" s="31" t="str">
        <f aca="false">IF(OR(E182="",G182=""),"",E182*G182)</f>
        <v/>
      </c>
      <c r="I182" s="32"/>
      <c r="J182" s="35" t="str">
        <f aca="false">IF(OR(E182="",I182=""),"",IF(E182&lt;=I182,"nachbestellen",""))</f>
        <v/>
      </c>
    </row>
    <row r="183" customFormat="false" ht="15" hidden="false" customHeight="false" outlineLevel="0" collapsed="false">
      <c r="A183" s="32"/>
      <c r="B183" s="32"/>
      <c r="C183" s="32"/>
      <c r="D183" s="32"/>
      <c r="E183" s="32"/>
      <c r="F183" s="32"/>
      <c r="G183" s="30"/>
      <c r="H183" s="31" t="str">
        <f aca="false">IF(OR(E183="",G183=""),"",E183*G183)</f>
        <v/>
      </c>
      <c r="I183" s="32"/>
      <c r="J183" s="35" t="str">
        <f aca="false">IF(OR(E183="",I183=""),"",IF(E183&lt;=I183,"nachbestellen",""))</f>
        <v/>
      </c>
    </row>
    <row r="184" customFormat="false" ht="15" hidden="false" customHeight="false" outlineLevel="0" collapsed="false">
      <c r="A184" s="32"/>
      <c r="B184" s="32"/>
      <c r="C184" s="32"/>
      <c r="D184" s="32"/>
      <c r="E184" s="32"/>
      <c r="F184" s="32"/>
      <c r="G184" s="30"/>
      <c r="H184" s="31" t="str">
        <f aca="false">IF(OR(E184="",G184=""),"",E184*G184)</f>
        <v/>
      </c>
      <c r="I184" s="32"/>
      <c r="J184" s="35" t="str">
        <f aca="false">IF(OR(E184="",I184=""),"",IF(E184&lt;=I184,"nachbestellen",""))</f>
        <v/>
      </c>
    </row>
    <row r="185" customFormat="false" ht="15" hidden="false" customHeight="false" outlineLevel="0" collapsed="false">
      <c r="A185" s="32"/>
      <c r="B185" s="32"/>
      <c r="C185" s="32"/>
      <c r="D185" s="32"/>
      <c r="E185" s="32"/>
      <c r="F185" s="32"/>
      <c r="G185" s="30"/>
      <c r="H185" s="31" t="str">
        <f aca="false">IF(OR(E185="",G185=""),"",E185*G185)</f>
        <v/>
      </c>
      <c r="I185" s="32"/>
      <c r="J185" s="35" t="str">
        <f aca="false">IF(OR(E185="",I185=""),"",IF(E185&lt;=I185,"nachbestellen",""))</f>
        <v/>
      </c>
    </row>
    <row r="186" customFormat="false" ht="15" hidden="false" customHeight="false" outlineLevel="0" collapsed="false">
      <c r="A186" s="32"/>
      <c r="B186" s="32"/>
      <c r="C186" s="32"/>
      <c r="D186" s="32"/>
      <c r="E186" s="32"/>
      <c r="F186" s="32"/>
      <c r="G186" s="30"/>
      <c r="H186" s="31" t="str">
        <f aca="false">IF(OR(E186="",G186=""),"",E186*G186)</f>
        <v/>
      </c>
      <c r="I186" s="32"/>
      <c r="J186" s="35" t="str">
        <f aca="false">IF(OR(E186="",I186=""),"",IF(E186&lt;=I186,"nachbestellen",""))</f>
        <v/>
      </c>
    </row>
    <row r="187" customFormat="false" ht="15" hidden="false" customHeight="false" outlineLevel="0" collapsed="false">
      <c r="A187" s="32"/>
      <c r="B187" s="32"/>
      <c r="C187" s="32"/>
      <c r="D187" s="32"/>
      <c r="E187" s="32"/>
      <c r="F187" s="32"/>
      <c r="G187" s="30"/>
      <c r="H187" s="31" t="str">
        <f aca="false">IF(OR(E187="",G187=""),"",E187*G187)</f>
        <v/>
      </c>
      <c r="I187" s="32"/>
      <c r="J187" s="35" t="str">
        <f aca="false">IF(OR(E187="",I187=""),"",IF(E187&lt;=I187,"nachbestellen",""))</f>
        <v/>
      </c>
    </row>
    <row r="188" customFormat="false" ht="15" hidden="false" customHeight="false" outlineLevel="0" collapsed="false">
      <c r="A188" s="32"/>
      <c r="B188" s="32"/>
      <c r="C188" s="32"/>
      <c r="D188" s="32"/>
      <c r="E188" s="32"/>
      <c r="F188" s="32"/>
      <c r="G188" s="30"/>
      <c r="H188" s="31" t="str">
        <f aca="false">IF(OR(E188="",G188=""),"",E188*G188)</f>
        <v/>
      </c>
      <c r="I188" s="32"/>
      <c r="J188" s="35" t="str">
        <f aca="false">IF(OR(E188="",I188=""),"",IF(E188&lt;=I188,"nachbestellen",""))</f>
        <v/>
      </c>
    </row>
    <row r="189" customFormat="false" ht="15" hidden="false" customHeight="false" outlineLevel="0" collapsed="false">
      <c r="A189" s="32"/>
      <c r="B189" s="32"/>
      <c r="C189" s="32"/>
      <c r="D189" s="32"/>
      <c r="E189" s="32"/>
      <c r="F189" s="32"/>
      <c r="G189" s="30"/>
      <c r="H189" s="31" t="str">
        <f aca="false">IF(OR(E189="",G189=""),"",E189*G189)</f>
        <v/>
      </c>
      <c r="I189" s="32"/>
      <c r="J189" s="35" t="str">
        <f aca="false">IF(OR(E189="",I189=""),"",IF(E189&lt;=I189,"nachbestellen",""))</f>
        <v/>
      </c>
    </row>
    <row r="190" customFormat="false" ht="15" hidden="false" customHeight="false" outlineLevel="0" collapsed="false">
      <c r="A190" s="32"/>
      <c r="B190" s="32"/>
      <c r="C190" s="32"/>
      <c r="D190" s="32"/>
      <c r="E190" s="32"/>
      <c r="F190" s="32"/>
      <c r="G190" s="30"/>
      <c r="H190" s="31" t="str">
        <f aca="false">IF(OR(E190="",G190=""),"",E190*G190)</f>
        <v/>
      </c>
      <c r="I190" s="32"/>
      <c r="J190" s="35" t="str">
        <f aca="false">IF(OR(E190="",I190=""),"",IF(E190&lt;=I190,"nachbestellen",""))</f>
        <v/>
      </c>
    </row>
    <row r="191" customFormat="false" ht="15" hidden="false" customHeight="false" outlineLevel="0" collapsed="false">
      <c r="A191" s="32"/>
      <c r="B191" s="32"/>
      <c r="C191" s="32"/>
      <c r="D191" s="32"/>
      <c r="E191" s="32"/>
      <c r="F191" s="32"/>
      <c r="G191" s="30"/>
      <c r="H191" s="31" t="str">
        <f aca="false">IF(OR(E191="",G191=""),"",E191*G191)</f>
        <v/>
      </c>
      <c r="I191" s="32"/>
      <c r="J191" s="35" t="str">
        <f aca="false">IF(OR(E191="",I191=""),"",IF(E191&lt;=I191,"nachbestellen",""))</f>
        <v/>
      </c>
    </row>
    <row r="192" customFormat="false" ht="15" hidden="false" customHeight="false" outlineLevel="0" collapsed="false">
      <c r="A192" s="32"/>
      <c r="B192" s="32"/>
      <c r="C192" s="32"/>
      <c r="D192" s="32"/>
      <c r="E192" s="32"/>
      <c r="F192" s="32"/>
      <c r="G192" s="30"/>
      <c r="H192" s="31" t="str">
        <f aca="false">IF(OR(E192="",G192=""),"",E192*G192)</f>
        <v/>
      </c>
      <c r="I192" s="32"/>
      <c r="J192" s="35" t="str">
        <f aca="false">IF(OR(E192="",I192=""),"",IF(E192&lt;=I192,"nachbestellen",""))</f>
        <v/>
      </c>
    </row>
    <row r="193" customFormat="false" ht="15" hidden="false" customHeight="false" outlineLevel="0" collapsed="false">
      <c r="A193" s="32"/>
      <c r="B193" s="32"/>
      <c r="C193" s="32"/>
      <c r="D193" s="32"/>
      <c r="E193" s="32"/>
      <c r="F193" s="32"/>
      <c r="G193" s="30"/>
      <c r="H193" s="31" t="str">
        <f aca="false">IF(OR(E193="",G193=""),"",E193*G193)</f>
        <v/>
      </c>
      <c r="I193" s="32"/>
      <c r="J193" s="35" t="str">
        <f aca="false">IF(OR(E193="",I193=""),"",IF(E193&lt;=I193,"nachbestellen",""))</f>
        <v/>
      </c>
    </row>
    <row r="194" customFormat="false" ht="15" hidden="false" customHeight="false" outlineLevel="0" collapsed="false">
      <c r="A194" s="32"/>
      <c r="B194" s="32"/>
      <c r="C194" s="32"/>
      <c r="D194" s="32"/>
      <c r="E194" s="32"/>
      <c r="F194" s="32"/>
      <c r="G194" s="30"/>
      <c r="H194" s="31" t="str">
        <f aca="false">IF(OR(E194="",G194=""),"",E194*G194)</f>
        <v/>
      </c>
      <c r="I194" s="32"/>
      <c r="J194" s="35" t="str">
        <f aca="false">IF(OR(E194="",I194=""),"",IF(E194&lt;=I194,"nachbestellen",""))</f>
        <v/>
      </c>
    </row>
    <row r="195" customFormat="false" ht="15" hidden="false" customHeight="false" outlineLevel="0" collapsed="false">
      <c r="A195" s="32"/>
      <c r="B195" s="32"/>
      <c r="C195" s="32"/>
      <c r="D195" s="32"/>
      <c r="E195" s="32"/>
      <c r="F195" s="32"/>
      <c r="G195" s="30"/>
      <c r="H195" s="31" t="str">
        <f aca="false">IF(OR(E195="",G195=""),"",E195*G195)</f>
        <v/>
      </c>
      <c r="I195" s="32"/>
      <c r="J195" s="35" t="str">
        <f aca="false">IF(OR(E195="",I195=""),"",IF(E195&lt;=I195,"nachbestellen",""))</f>
        <v/>
      </c>
    </row>
    <row r="196" customFormat="false" ht="15" hidden="false" customHeight="false" outlineLevel="0" collapsed="false">
      <c r="A196" s="32"/>
      <c r="B196" s="32"/>
      <c r="C196" s="32"/>
      <c r="D196" s="32"/>
      <c r="E196" s="32"/>
      <c r="F196" s="32"/>
      <c r="G196" s="30"/>
      <c r="H196" s="31" t="str">
        <f aca="false">IF(OR(E196="",G196=""),"",E196*G196)</f>
        <v/>
      </c>
      <c r="I196" s="32"/>
      <c r="J196" s="35" t="str">
        <f aca="false">IF(OR(E196="",I196=""),"",IF(E196&lt;=I196,"nachbestellen",""))</f>
        <v/>
      </c>
    </row>
    <row r="197" customFormat="false" ht="15" hidden="false" customHeight="false" outlineLevel="0" collapsed="false">
      <c r="A197" s="32"/>
      <c r="B197" s="32"/>
      <c r="C197" s="32"/>
      <c r="D197" s="32"/>
      <c r="E197" s="32"/>
      <c r="F197" s="32"/>
      <c r="G197" s="30"/>
      <c r="H197" s="31" t="str">
        <f aca="false">IF(OR(E197="",G197=""),"",E197*G197)</f>
        <v/>
      </c>
      <c r="I197" s="32"/>
      <c r="J197" s="35" t="str">
        <f aca="false">IF(OR(E197="",I197=""),"",IF(E197&lt;=I197,"nachbestellen",""))</f>
        <v/>
      </c>
    </row>
    <row r="198" customFormat="false" ht="15" hidden="false" customHeight="false" outlineLevel="0" collapsed="false">
      <c r="A198" s="32"/>
      <c r="B198" s="32"/>
      <c r="C198" s="32"/>
      <c r="D198" s="32"/>
      <c r="E198" s="32"/>
      <c r="F198" s="32"/>
      <c r="G198" s="30"/>
      <c r="H198" s="31" t="str">
        <f aca="false">IF(OR(E198="",G198=""),"",E198*G198)</f>
        <v/>
      </c>
      <c r="I198" s="32"/>
      <c r="J198" s="35" t="str">
        <f aca="false">IF(OR(E198="",I198=""),"",IF(E198&lt;=I198,"nachbestellen",""))</f>
        <v/>
      </c>
    </row>
    <row r="199" customFormat="false" ht="15" hidden="false" customHeight="false" outlineLevel="0" collapsed="false">
      <c r="A199" s="32"/>
      <c r="B199" s="32"/>
      <c r="C199" s="32"/>
      <c r="D199" s="32"/>
      <c r="E199" s="32"/>
      <c r="F199" s="32"/>
      <c r="G199" s="30"/>
      <c r="H199" s="31" t="str">
        <f aca="false">IF(OR(E199="",G199=""),"",E199*G199)</f>
        <v/>
      </c>
      <c r="I199" s="32"/>
      <c r="J199" s="35" t="str">
        <f aca="false">IF(OR(E199="",I199=""),"",IF(E199&lt;=I199,"nachbestellen",""))</f>
        <v/>
      </c>
    </row>
    <row r="200" customFormat="false" ht="15" hidden="false" customHeight="false" outlineLevel="0" collapsed="false">
      <c r="A200" s="32"/>
      <c r="B200" s="32"/>
      <c r="C200" s="32"/>
      <c r="D200" s="32"/>
      <c r="E200" s="32"/>
      <c r="F200" s="32"/>
      <c r="G200" s="30"/>
      <c r="H200" s="31" t="str">
        <f aca="false">IF(OR(E200="",G200=""),"",E200*G200)</f>
        <v/>
      </c>
      <c r="I200" s="32"/>
      <c r="J200" s="35" t="str">
        <f aca="false">IF(OR(E200="",I200=""),"",IF(E200&lt;=I200,"nachbestellen",""))</f>
        <v/>
      </c>
    </row>
    <row r="201" customFormat="false" ht="15" hidden="false" customHeight="false" outlineLevel="0" collapsed="false">
      <c r="A201" s="32"/>
      <c r="B201" s="32"/>
      <c r="C201" s="32"/>
      <c r="D201" s="32"/>
      <c r="E201" s="32"/>
      <c r="F201" s="32"/>
      <c r="G201" s="30"/>
      <c r="H201" s="31" t="str">
        <f aca="false">IF(OR(E201="",G201=""),"",E201*G201)</f>
        <v/>
      </c>
      <c r="I201" s="32"/>
      <c r="J201" s="35" t="str">
        <f aca="false">IF(OR(E201="",I201=""),"",IF(E201&lt;=I201,"nachbestellen",""))</f>
        <v/>
      </c>
    </row>
    <row r="202" customFormat="false" ht="15" hidden="false" customHeight="false" outlineLevel="0" collapsed="false">
      <c r="A202" s="32"/>
      <c r="B202" s="32"/>
      <c r="C202" s="32"/>
      <c r="D202" s="32"/>
      <c r="E202" s="32"/>
      <c r="F202" s="32"/>
      <c r="G202" s="30"/>
      <c r="H202" s="31" t="str">
        <f aca="false">IF(OR(E202="",G202=""),"",E202*G202)</f>
        <v/>
      </c>
      <c r="I202" s="32"/>
      <c r="J202" s="35" t="str">
        <f aca="false">IF(OR(E202="",I202=""),"",IF(E202&lt;=I202,"nachbestellen",""))</f>
        <v/>
      </c>
    </row>
    <row r="203" customFormat="false" ht="15" hidden="false" customHeight="false" outlineLevel="0" collapsed="false">
      <c r="A203" s="32"/>
      <c r="B203" s="32"/>
      <c r="C203" s="32"/>
      <c r="D203" s="32"/>
      <c r="E203" s="32"/>
      <c r="F203" s="32"/>
      <c r="G203" s="30"/>
      <c r="H203" s="31" t="str">
        <f aca="false">IF(OR(E203="",G203=""),"",E203*G203)</f>
        <v/>
      </c>
      <c r="I203" s="32"/>
      <c r="J203" s="35" t="str">
        <f aca="false">IF(OR(E203="",I203=""),"",IF(E203&lt;=I203,"nachbestellen",""))</f>
        <v/>
      </c>
    </row>
    <row r="204" customFormat="false" ht="15" hidden="false" customHeight="false" outlineLevel="0" collapsed="false">
      <c r="A204" s="32"/>
      <c r="B204" s="32"/>
      <c r="C204" s="32"/>
      <c r="D204" s="32"/>
      <c r="E204" s="32"/>
      <c r="F204" s="32"/>
      <c r="G204" s="30"/>
      <c r="H204" s="31" t="str">
        <f aca="false">IF(OR(E204="",G204=""),"",E204*G204)</f>
        <v/>
      </c>
      <c r="I204" s="32"/>
      <c r="J204" s="35" t="str">
        <f aca="false">IF(OR(E204="",I204=""),"",IF(E204&lt;=I204,"nachbestellen",""))</f>
        <v/>
      </c>
    </row>
    <row r="205" customFormat="false" ht="15" hidden="false" customHeight="false" outlineLevel="0" collapsed="false">
      <c r="A205" s="32"/>
      <c r="B205" s="32"/>
      <c r="C205" s="32"/>
      <c r="D205" s="32"/>
      <c r="E205" s="32"/>
      <c r="F205" s="32"/>
      <c r="G205" s="30"/>
      <c r="H205" s="31" t="str">
        <f aca="false">IF(OR(E205="",G205=""),"",E205*G205)</f>
        <v/>
      </c>
      <c r="I205" s="32"/>
      <c r="J205" s="35" t="str">
        <f aca="false">IF(OR(E205="",I205=""),"",IF(E205&lt;=I205,"nachbestellen",""))</f>
        <v/>
      </c>
    </row>
    <row r="206" customFormat="false" ht="15" hidden="false" customHeight="false" outlineLevel="0" collapsed="false">
      <c r="A206" s="32"/>
      <c r="B206" s="32"/>
      <c r="C206" s="32"/>
      <c r="D206" s="32"/>
      <c r="E206" s="32"/>
      <c r="F206" s="32"/>
      <c r="G206" s="30"/>
      <c r="H206" s="31" t="str">
        <f aca="false">IF(OR(E206="",G206=""),"",E206*G206)</f>
        <v/>
      </c>
      <c r="I206" s="32"/>
      <c r="J206" s="35" t="str">
        <f aca="false">IF(OR(E206="",I206=""),"",IF(E206&lt;=I206,"nachbestellen",""))</f>
        <v/>
      </c>
    </row>
    <row r="207" customFormat="false" ht="15" hidden="false" customHeight="false" outlineLevel="0" collapsed="false">
      <c r="A207" s="32"/>
      <c r="B207" s="32"/>
      <c r="C207" s="32"/>
      <c r="D207" s="32"/>
      <c r="E207" s="32"/>
      <c r="F207" s="32"/>
      <c r="G207" s="30"/>
      <c r="H207" s="31" t="str">
        <f aca="false">IF(OR(E207="",G207=""),"",E207*G207)</f>
        <v/>
      </c>
      <c r="I207" s="32"/>
      <c r="J207" s="35" t="str">
        <f aca="false">IF(OR(E207="",I207=""),"",IF(E207&lt;=I207,"nachbestellen",""))</f>
        <v/>
      </c>
    </row>
    <row r="208" customFormat="false" ht="15" hidden="false" customHeight="false" outlineLevel="0" collapsed="false">
      <c r="A208" s="32"/>
      <c r="B208" s="32"/>
      <c r="C208" s="32"/>
      <c r="D208" s="32"/>
      <c r="E208" s="32"/>
      <c r="F208" s="32"/>
      <c r="G208" s="30"/>
      <c r="H208" s="31" t="str">
        <f aca="false">IF(OR(E208="",G208=""),"",E208*G208)</f>
        <v/>
      </c>
      <c r="I208" s="32"/>
      <c r="J208" s="35" t="str">
        <f aca="false">IF(OR(E208="",I208=""),"",IF(E208&lt;=I208,"nachbestellen",""))</f>
        <v/>
      </c>
    </row>
    <row r="209" customFormat="false" ht="15" hidden="false" customHeight="false" outlineLevel="0" collapsed="false">
      <c r="A209" s="32"/>
      <c r="B209" s="32"/>
      <c r="C209" s="32"/>
      <c r="D209" s="32"/>
      <c r="E209" s="32"/>
      <c r="F209" s="32"/>
      <c r="G209" s="30"/>
      <c r="H209" s="31" t="str">
        <f aca="false">IF(OR(E209="",G209=""),"",E209*G209)</f>
        <v/>
      </c>
      <c r="I209" s="32"/>
      <c r="J209" s="35" t="str">
        <f aca="false">IF(OR(E209="",I209=""),"",IF(E209&lt;=I209,"nachbestellen",""))</f>
        <v/>
      </c>
    </row>
    <row r="210" customFormat="false" ht="15" hidden="false" customHeight="false" outlineLevel="0" collapsed="false">
      <c r="A210" s="32"/>
      <c r="B210" s="32"/>
      <c r="C210" s="32"/>
      <c r="D210" s="32"/>
      <c r="E210" s="32"/>
      <c r="F210" s="32"/>
      <c r="G210" s="30"/>
      <c r="H210" s="31" t="str">
        <f aca="false">IF(OR(E210="",G210=""),"",E210*G210)</f>
        <v/>
      </c>
      <c r="I210" s="32"/>
      <c r="J210" s="35" t="str">
        <f aca="false">IF(OR(E210="",I210=""),"",IF(E210&lt;=I210,"nachbestellen",""))</f>
        <v/>
      </c>
    </row>
    <row r="211" customFormat="false" ht="15" hidden="false" customHeight="false" outlineLevel="0" collapsed="false">
      <c r="A211" s="32"/>
      <c r="B211" s="32"/>
      <c r="C211" s="32"/>
      <c r="D211" s="32"/>
      <c r="E211" s="32"/>
      <c r="F211" s="32"/>
      <c r="G211" s="30"/>
      <c r="H211" s="31" t="str">
        <f aca="false">IF(OR(E211="",G211=""),"",E211*G211)</f>
        <v/>
      </c>
      <c r="I211" s="32"/>
      <c r="J211" s="35" t="str">
        <f aca="false">IF(OR(E211="",I211=""),"",IF(E211&lt;=I211,"nachbestellen",""))</f>
        <v/>
      </c>
    </row>
    <row r="212" customFormat="false" ht="15" hidden="false" customHeight="false" outlineLevel="0" collapsed="false">
      <c r="A212" s="32"/>
      <c r="B212" s="32"/>
      <c r="C212" s="32"/>
      <c r="D212" s="32"/>
      <c r="E212" s="32"/>
      <c r="F212" s="32"/>
      <c r="G212" s="30"/>
      <c r="H212" s="31" t="str">
        <f aca="false">IF(OR(E212="",G212=""),"",E212*G212)</f>
        <v/>
      </c>
      <c r="I212" s="32"/>
      <c r="J212" s="35" t="str">
        <f aca="false">IF(OR(E212="",I212=""),"",IF(E212&lt;=I212,"nachbestellen",""))</f>
        <v/>
      </c>
    </row>
    <row r="213" customFormat="false" ht="15" hidden="false" customHeight="false" outlineLevel="0" collapsed="false">
      <c r="A213" s="32"/>
      <c r="B213" s="32"/>
      <c r="C213" s="32"/>
      <c r="D213" s="32"/>
      <c r="E213" s="32"/>
      <c r="F213" s="32"/>
      <c r="G213" s="30"/>
      <c r="H213" s="31" t="str">
        <f aca="false">IF(OR(E213="",G213=""),"",E213*G213)</f>
        <v/>
      </c>
      <c r="I213" s="32"/>
      <c r="J213" s="35" t="str">
        <f aca="false">IF(OR(E213="",I213=""),"",IF(E213&lt;=I213,"nachbestellen",""))</f>
        <v/>
      </c>
    </row>
    <row r="214" customFormat="false" ht="15" hidden="false" customHeight="false" outlineLevel="0" collapsed="false">
      <c r="A214" s="32"/>
      <c r="B214" s="32"/>
      <c r="C214" s="32"/>
      <c r="D214" s="32"/>
      <c r="E214" s="32"/>
      <c r="F214" s="32"/>
      <c r="G214" s="30"/>
      <c r="H214" s="31" t="str">
        <f aca="false">IF(OR(E214="",G214=""),"",E214*G214)</f>
        <v/>
      </c>
      <c r="I214" s="32"/>
      <c r="J214" s="35" t="str">
        <f aca="false">IF(OR(E214="",I214=""),"",IF(E214&lt;=I214,"nachbestellen",""))</f>
        <v/>
      </c>
    </row>
    <row r="215" customFormat="false" ht="15" hidden="false" customHeight="false" outlineLevel="0" collapsed="false">
      <c r="A215" s="32"/>
      <c r="B215" s="32"/>
      <c r="C215" s="32"/>
      <c r="D215" s="32"/>
      <c r="E215" s="32"/>
      <c r="F215" s="32"/>
      <c r="G215" s="30"/>
      <c r="H215" s="31" t="str">
        <f aca="false">IF(OR(E215="",G215=""),"",E215*G215)</f>
        <v/>
      </c>
      <c r="I215" s="32"/>
      <c r="J215" s="35" t="str">
        <f aca="false">IF(OR(E215="",I215=""),"",IF(E215&lt;=I215,"nachbestellen",""))</f>
        <v/>
      </c>
    </row>
    <row r="216" customFormat="false" ht="15" hidden="false" customHeight="false" outlineLevel="0" collapsed="false">
      <c r="A216" s="32"/>
      <c r="B216" s="32"/>
      <c r="C216" s="32"/>
      <c r="D216" s="32"/>
      <c r="E216" s="32"/>
      <c r="F216" s="32"/>
      <c r="G216" s="30"/>
      <c r="H216" s="31" t="str">
        <f aca="false">IF(OR(E216="",G216=""),"",E216*G216)</f>
        <v/>
      </c>
      <c r="I216" s="32"/>
      <c r="J216" s="35" t="str">
        <f aca="false">IF(OR(E216="",I216=""),"",IF(E216&lt;=I216,"nachbestellen",""))</f>
        <v/>
      </c>
    </row>
    <row r="217" customFormat="false" ht="15" hidden="false" customHeight="false" outlineLevel="0" collapsed="false">
      <c r="A217" s="32"/>
      <c r="B217" s="32"/>
      <c r="C217" s="32"/>
      <c r="D217" s="32"/>
      <c r="E217" s="32"/>
      <c r="F217" s="32"/>
      <c r="G217" s="30"/>
      <c r="H217" s="31" t="str">
        <f aca="false">IF(OR(E217="",G217=""),"",E217*G217)</f>
        <v/>
      </c>
      <c r="I217" s="32"/>
      <c r="J217" s="35" t="str">
        <f aca="false">IF(OR(E217="",I217=""),"",IF(E217&lt;=I217,"nachbestellen",""))</f>
        <v/>
      </c>
    </row>
    <row r="218" customFormat="false" ht="15" hidden="false" customHeight="false" outlineLevel="0" collapsed="false">
      <c r="A218" s="32"/>
      <c r="B218" s="32"/>
      <c r="C218" s="32"/>
      <c r="D218" s="32"/>
      <c r="E218" s="32"/>
      <c r="F218" s="32"/>
      <c r="G218" s="30"/>
      <c r="H218" s="31" t="str">
        <f aca="false">IF(OR(E218="",G218=""),"",E218*G218)</f>
        <v/>
      </c>
      <c r="I218" s="32"/>
      <c r="J218" s="35" t="str">
        <f aca="false">IF(OR(E218="",I218=""),"",IF(E218&lt;=I218,"nachbestellen",""))</f>
        <v/>
      </c>
    </row>
    <row r="219" customFormat="false" ht="15" hidden="false" customHeight="false" outlineLevel="0" collapsed="false">
      <c r="A219" s="32"/>
      <c r="B219" s="32"/>
      <c r="C219" s="32"/>
      <c r="D219" s="32"/>
      <c r="E219" s="32"/>
      <c r="F219" s="32"/>
      <c r="G219" s="30"/>
      <c r="H219" s="31" t="str">
        <f aca="false">IF(OR(E219="",G219=""),"",E219*G219)</f>
        <v/>
      </c>
      <c r="I219" s="32"/>
      <c r="J219" s="35" t="str">
        <f aca="false">IF(OR(E219="",I219=""),"",IF(E219&lt;=I219,"nachbestellen",""))</f>
        <v/>
      </c>
    </row>
    <row r="220" customFormat="false" ht="15" hidden="false" customHeight="false" outlineLevel="0" collapsed="false">
      <c r="A220" s="32"/>
      <c r="B220" s="32"/>
      <c r="C220" s="32"/>
      <c r="D220" s="32"/>
      <c r="E220" s="32"/>
      <c r="F220" s="32"/>
      <c r="G220" s="30"/>
      <c r="H220" s="31" t="str">
        <f aca="false">IF(OR(E220="",G220=""),"",E220*G220)</f>
        <v/>
      </c>
      <c r="I220" s="32"/>
      <c r="J220" s="35" t="str">
        <f aca="false">IF(OR(E220="",I220=""),"",IF(E220&lt;=I220,"nachbestellen",""))</f>
        <v/>
      </c>
    </row>
    <row r="221" customFormat="false" ht="15" hidden="false" customHeight="false" outlineLevel="0" collapsed="false">
      <c r="A221" s="32"/>
      <c r="B221" s="32"/>
      <c r="C221" s="32"/>
      <c r="D221" s="32"/>
      <c r="E221" s="32"/>
      <c r="F221" s="32"/>
      <c r="G221" s="30"/>
      <c r="H221" s="31" t="str">
        <f aca="false">IF(OR(E221="",G221=""),"",E221*G221)</f>
        <v/>
      </c>
      <c r="I221" s="32"/>
      <c r="J221" s="35" t="str">
        <f aca="false">IF(OR(E221="",I221=""),"",IF(E221&lt;=I221,"nachbestellen",""))</f>
        <v/>
      </c>
    </row>
    <row r="222" customFormat="false" ht="15" hidden="false" customHeight="false" outlineLevel="0" collapsed="false">
      <c r="A222" s="32"/>
      <c r="B222" s="32"/>
      <c r="C222" s="32"/>
      <c r="D222" s="32"/>
      <c r="E222" s="32"/>
      <c r="F222" s="32"/>
      <c r="G222" s="30"/>
      <c r="H222" s="31" t="str">
        <f aca="false">IF(OR(E222="",G222=""),"",E222*G222)</f>
        <v/>
      </c>
      <c r="I222" s="32"/>
      <c r="J222" s="35" t="str">
        <f aca="false">IF(OR(E222="",I222=""),"",IF(E222&lt;=I222,"nachbestellen",""))</f>
        <v/>
      </c>
    </row>
    <row r="223" customFormat="false" ht="15" hidden="false" customHeight="false" outlineLevel="0" collapsed="false">
      <c r="A223" s="32"/>
      <c r="B223" s="32"/>
      <c r="C223" s="32"/>
      <c r="D223" s="32"/>
      <c r="E223" s="32"/>
      <c r="F223" s="32"/>
      <c r="G223" s="30"/>
      <c r="H223" s="31" t="str">
        <f aca="false">IF(OR(E223="",G223=""),"",E223*G223)</f>
        <v/>
      </c>
      <c r="I223" s="32"/>
      <c r="J223" s="35" t="str">
        <f aca="false">IF(OR(E223="",I223=""),"",IF(E223&lt;=I223,"nachbestellen",""))</f>
        <v/>
      </c>
    </row>
    <row r="224" customFormat="false" ht="15" hidden="false" customHeight="false" outlineLevel="0" collapsed="false">
      <c r="A224" s="32"/>
      <c r="B224" s="32"/>
      <c r="C224" s="32"/>
      <c r="D224" s="32"/>
      <c r="E224" s="32"/>
      <c r="F224" s="32"/>
      <c r="G224" s="30"/>
      <c r="H224" s="31" t="str">
        <f aca="false">IF(OR(E224="",G224=""),"",E224*G224)</f>
        <v/>
      </c>
      <c r="I224" s="32"/>
      <c r="J224" s="35" t="str">
        <f aca="false">IF(OR(E224="",I224=""),"",IF(E224&lt;=I224,"nachbestellen",""))</f>
        <v/>
      </c>
    </row>
    <row r="225" customFormat="false" ht="15" hidden="false" customHeight="false" outlineLevel="0" collapsed="false">
      <c r="A225" s="32"/>
      <c r="B225" s="32"/>
      <c r="C225" s="32"/>
      <c r="D225" s="32"/>
      <c r="E225" s="32"/>
      <c r="F225" s="32"/>
      <c r="G225" s="30"/>
      <c r="H225" s="31" t="str">
        <f aca="false">IF(OR(E225="",G225=""),"",E225*G225)</f>
        <v/>
      </c>
      <c r="I225" s="32"/>
      <c r="J225" s="35" t="str">
        <f aca="false">IF(OR(E225="",I225=""),"",IF(E225&lt;=I225,"nachbestellen",""))</f>
        <v/>
      </c>
    </row>
    <row r="226" customFormat="false" ht="15" hidden="false" customHeight="false" outlineLevel="0" collapsed="false">
      <c r="A226" s="32"/>
      <c r="B226" s="32"/>
      <c r="C226" s="32"/>
      <c r="D226" s="32"/>
      <c r="E226" s="32"/>
      <c r="F226" s="32"/>
      <c r="G226" s="30"/>
      <c r="H226" s="31" t="str">
        <f aca="false">IF(OR(E226="",G226=""),"",E226*G226)</f>
        <v/>
      </c>
      <c r="I226" s="32"/>
      <c r="J226" s="35" t="str">
        <f aca="false">IF(OR(E226="",I226=""),"",IF(E226&lt;=I226,"nachbestellen",""))</f>
        <v/>
      </c>
    </row>
    <row r="227" customFormat="false" ht="15" hidden="false" customHeight="false" outlineLevel="0" collapsed="false">
      <c r="A227" s="32"/>
      <c r="B227" s="32"/>
      <c r="C227" s="32"/>
      <c r="D227" s="32"/>
      <c r="E227" s="32"/>
      <c r="F227" s="32"/>
      <c r="G227" s="30"/>
      <c r="H227" s="31" t="str">
        <f aca="false">IF(OR(E227="",G227=""),"",E227*G227)</f>
        <v/>
      </c>
      <c r="I227" s="32"/>
      <c r="J227" s="35" t="str">
        <f aca="false">IF(OR(E227="",I227=""),"",IF(E227&lt;=I227,"nachbestellen",""))</f>
        <v/>
      </c>
    </row>
    <row r="228" customFormat="false" ht="15" hidden="false" customHeight="false" outlineLevel="0" collapsed="false">
      <c r="A228" s="32"/>
      <c r="B228" s="32"/>
      <c r="C228" s="32"/>
      <c r="D228" s="32"/>
      <c r="E228" s="32"/>
      <c r="F228" s="32"/>
      <c r="G228" s="30"/>
      <c r="H228" s="31" t="str">
        <f aca="false">IF(OR(E228="",G228=""),"",E228*G228)</f>
        <v/>
      </c>
      <c r="I228" s="32"/>
      <c r="J228" s="35" t="str">
        <f aca="false">IF(OR(E228="",I228=""),"",IF(E228&lt;=I228,"nachbestellen",""))</f>
        <v/>
      </c>
    </row>
    <row r="229" customFormat="false" ht="15" hidden="false" customHeight="false" outlineLevel="0" collapsed="false">
      <c r="A229" s="32"/>
      <c r="B229" s="32"/>
      <c r="C229" s="32"/>
      <c r="D229" s="32"/>
      <c r="E229" s="32"/>
      <c r="F229" s="32"/>
      <c r="G229" s="30"/>
      <c r="H229" s="31" t="str">
        <f aca="false">IF(OR(E229="",G229=""),"",E229*G229)</f>
        <v/>
      </c>
      <c r="I229" s="32"/>
      <c r="J229" s="35" t="str">
        <f aca="false">IF(OR(E229="",I229=""),"",IF(E229&lt;=I229,"nachbestellen",""))</f>
        <v/>
      </c>
    </row>
    <row r="230" customFormat="false" ht="15" hidden="false" customHeight="false" outlineLevel="0" collapsed="false">
      <c r="A230" s="32"/>
      <c r="B230" s="32"/>
      <c r="C230" s="32"/>
      <c r="D230" s="32"/>
      <c r="E230" s="32"/>
      <c r="F230" s="32"/>
      <c r="G230" s="30"/>
      <c r="H230" s="31" t="str">
        <f aca="false">IF(OR(E230="",G230=""),"",E230*G230)</f>
        <v/>
      </c>
      <c r="I230" s="32"/>
      <c r="J230" s="35" t="str">
        <f aca="false">IF(OR(E230="",I230=""),"",IF(E230&lt;=I230,"nachbestellen",""))</f>
        <v/>
      </c>
    </row>
    <row r="231" customFormat="false" ht="15" hidden="false" customHeight="false" outlineLevel="0" collapsed="false">
      <c r="A231" s="32"/>
      <c r="B231" s="32"/>
      <c r="C231" s="32"/>
      <c r="D231" s="32"/>
      <c r="E231" s="32"/>
      <c r="F231" s="32"/>
      <c r="G231" s="30"/>
      <c r="H231" s="31" t="str">
        <f aca="false">IF(OR(E231="",G231=""),"",E231*G231)</f>
        <v/>
      </c>
      <c r="I231" s="32"/>
      <c r="J231" s="35" t="str">
        <f aca="false">IF(OR(E231="",I231=""),"",IF(E231&lt;=I231,"nachbestellen",""))</f>
        <v/>
      </c>
    </row>
    <row r="232" customFormat="false" ht="15" hidden="false" customHeight="false" outlineLevel="0" collapsed="false">
      <c r="A232" s="32"/>
      <c r="B232" s="32"/>
      <c r="C232" s="32"/>
      <c r="D232" s="32"/>
      <c r="E232" s="32"/>
      <c r="F232" s="32"/>
      <c r="G232" s="30"/>
      <c r="H232" s="31" t="str">
        <f aca="false">IF(OR(E232="",G232=""),"",E232*G232)</f>
        <v/>
      </c>
      <c r="I232" s="32"/>
      <c r="J232" s="35" t="str">
        <f aca="false">IF(OR(E232="",I232=""),"",IF(E232&lt;=I232,"nachbestellen",""))</f>
        <v/>
      </c>
    </row>
    <row r="233" customFormat="false" ht="15" hidden="false" customHeight="false" outlineLevel="0" collapsed="false">
      <c r="A233" s="32"/>
      <c r="B233" s="32"/>
      <c r="C233" s="32"/>
      <c r="D233" s="32"/>
      <c r="E233" s="32"/>
      <c r="F233" s="32"/>
      <c r="G233" s="30"/>
      <c r="H233" s="31" t="str">
        <f aca="false">IF(OR(E233="",G233=""),"",E233*G233)</f>
        <v/>
      </c>
      <c r="I233" s="32"/>
      <c r="J233" s="35" t="str">
        <f aca="false">IF(OR(E233="",I233=""),"",IF(E233&lt;=I233,"nachbestellen",""))</f>
        <v/>
      </c>
    </row>
    <row r="234" customFormat="false" ht="15" hidden="false" customHeight="false" outlineLevel="0" collapsed="false">
      <c r="A234" s="32"/>
      <c r="B234" s="32"/>
      <c r="C234" s="32"/>
      <c r="D234" s="32"/>
      <c r="E234" s="32"/>
      <c r="F234" s="32"/>
      <c r="G234" s="30"/>
      <c r="H234" s="31" t="str">
        <f aca="false">IF(OR(E234="",G234=""),"",E234*G234)</f>
        <v/>
      </c>
      <c r="I234" s="32"/>
      <c r="J234" s="35" t="str">
        <f aca="false">IF(OR(E234="",I234=""),"",IF(E234&lt;=I234,"nachbestellen",""))</f>
        <v/>
      </c>
    </row>
    <row r="235" customFormat="false" ht="15" hidden="false" customHeight="false" outlineLevel="0" collapsed="false">
      <c r="A235" s="32"/>
      <c r="B235" s="32"/>
      <c r="C235" s="32"/>
      <c r="D235" s="32"/>
      <c r="E235" s="32"/>
      <c r="F235" s="32"/>
      <c r="G235" s="30"/>
      <c r="H235" s="31" t="str">
        <f aca="false">IF(OR(E235="",G235=""),"",E235*G235)</f>
        <v/>
      </c>
      <c r="I235" s="32"/>
      <c r="J235" s="35" t="str">
        <f aca="false">IF(OR(E235="",I235=""),"",IF(E235&lt;=I235,"nachbestellen",""))</f>
        <v/>
      </c>
    </row>
    <row r="236" customFormat="false" ht="15" hidden="false" customHeight="false" outlineLevel="0" collapsed="false">
      <c r="A236" s="32"/>
      <c r="B236" s="32"/>
      <c r="C236" s="32"/>
      <c r="D236" s="32"/>
      <c r="E236" s="32"/>
      <c r="F236" s="32"/>
      <c r="G236" s="30"/>
      <c r="H236" s="31" t="str">
        <f aca="false">IF(OR(E236="",G236=""),"",E236*G236)</f>
        <v/>
      </c>
      <c r="I236" s="32"/>
      <c r="J236" s="35" t="str">
        <f aca="false">IF(OR(E236="",I236=""),"",IF(E236&lt;=I236,"nachbestellen",""))</f>
        <v/>
      </c>
    </row>
    <row r="237" customFormat="false" ht="15" hidden="false" customHeight="false" outlineLevel="0" collapsed="false">
      <c r="A237" s="32"/>
      <c r="B237" s="32"/>
      <c r="C237" s="32"/>
      <c r="D237" s="32"/>
      <c r="E237" s="32"/>
      <c r="F237" s="32"/>
      <c r="G237" s="30"/>
      <c r="H237" s="31" t="str">
        <f aca="false">IF(OR(E237="",G237=""),"",E237*G237)</f>
        <v/>
      </c>
      <c r="I237" s="32"/>
      <c r="J237" s="35" t="str">
        <f aca="false">IF(OR(E237="",I237=""),"",IF(E237&lt;=I237,"nachbestellen",""))</f>
        <v/>
      </c>
    </row>
    <row r="238" customFormat="false" ht="15" hidden="false" customHeight="false" outlineLevel="0" collapsed="false">
      <c r="A238" s="32"/>
      <c r="B238" s="32"/>
      <c r="C238" s="32"/>
      <c r="D238" s="32"/>
      <c r="E238" s="32"/>
      <c r="F238" s="32"/>
      <c r="G238" s="30"/>
      <c r="H238" s="31" t="str">
        <f aca="false">IF(OR(E238="",G238=""),"",E238*G238)</f>
        <v/>
      </c>
      <c r="I238" s="32"/>
      <c r="J238" s="35" t="str">
        <f aca="false">IF(OR(E238="",I238=""),"",IF(E238&lt;=I238,"nachbestellen",""))</f>
        <v/>
      </c>
    </row>
    <row r="239" customFormat="false" ht="15" hidden="false" customHeight="false" outlineLevel="0" collapsed="false">
      <c r="A239" s="32"/>
      <c r="B239" s="32"/>
      <c r="C239" s="32"/>
      <c r="D239" s="32"/>
      <c r="E239" s="32"/>
      <c r="F239" s="32"/>
      <c r="G239" s="30"/>
      <c r="H239" s="31" t="str">
        <f aca="false">IF(OR(E239="",G239=""),"",E239*G239)</f>
        <v/>
      </c>
      <c r="I239" s="32"/>
      <c r="J239" s="35" t="str">
        <f aca="false">IF(OR(E239="",I239=""),"",IF(E239&lt;=I239,"nachbestellen",""))</f>
        <v/>
      </c>
    </row>
    <row r="240" customFormat="false" ht="15" hidden="false" customHeight="false" outlineLevel="0" collapsed="false">
      <c r="A240" s="32"/>
      <c r="B240" s="32"/>
      <c r="C240" s="32"/>
      <c r="D240" s="32"/>
      <c r="E240" s="32"/>
      <c r="F240" s="32"/>
      <c r="G240" s="30"/>
      <c r="H240" s="31" t="str">
        <f aca="false">IF(OR(E240="",G240=""),"",E240*G240)</f>
        <v/>
      </c>
      <c r="I240" s="32"/>
      <c r="J240" s="35" t="str">
        <f aca="false">IF(OR(E240="",I240=""),"",IF(E240&lt;=I240,"nachbestellen",""))</f>
        <v/>
      </c>
    </row>
    <row r="241" customFormat="false" ht="15" hidden="false" customHeight="false" outlineLevel="0" collapsed="false">
      <c r="A241" s="32"/>
      <c r="B241" s="32"/>
      <c r="C241" s="32"/>
      <c r="D241" s="32"/>
      <c r="E241" s="32"/>
      <c r="F241" s="32"/>
      <c r="G241" s="30"/>
      <c r="H241" s="31" t="str">
        <f aca="false">IF(OR(E241="",G241=""),"",E241*G241)</f>
        <v/>
      </c>
      <c r="I241" s="32"/>
      <c r="J241" s="35" t="str">
        <f aca="false">IF(OR(E241="",I241=""),"",IF(E241&lt;=I241,"nachbestellen",""))</f>
        <v/>
      </c>
    </row>
    <row r="242" customFormat="false" ht="15" hidden="false" customHeight="false" outlineLevel="0" collapsed="false">
      <c r="A242" s="32"/>
      <c r="B242" s="32"/>
      <c r="C242" s="32"/>
      <c r="D242" s="32"/>
      <c r="E242" s="32"/>
      <c r="F242" s="32"/>
      <c r="G242" s="30"/>
      <c r="H242" s="31" t="str">
        <f aca="false">IF(OR(E242="",G242=""),"",E242*G242)</f>
        <v/>
      </c>
      <c r="I242" s="32"/>
      <c r="J242" s="35" t="str">
        <f aca="false">IF(OR(E242="",I242=""),"",IF(E242&lt;=I242,"nachbestellen",""))</f>
        <v/>
      </c>
    </row>
    <row r="243" customFormat="false" ht="15" hidden="false" customHeight="false" outlineLevel="0" collapsed="false">
      <c r="A243" s="32"/>
      <c r="B243" s="32"/>
      <c r="C243" s="32"/>
      <c r="D243" s="32"/>
      <c r="E243" s="32"/>
      <c r="F243" s="32"/>
      <c r="G243" s="30"/>
      <c r="H243" s="31" t="str">
        <f aca="false">IF(OR(E243="",G243=""),"",E243*G243)</f>
        <v/>
      </c>
      <c r="I243" s="32"/>
      <c r="J243" s="35" t="str">
        <f aca="false">IF(OR(E243="",I243=""),"",IF(E243&lt;=I243,"nachbestellen",""))</f>
        <v/>
      </c>
    </row>
    <row r="244" customFormat="false" ht="15" hidden="false" customHeight="false" outlineLevel="0" collapsed="false">
      <c r="A244" s="32"/>
      <c r="B244" s="32"/>
      <c r="C244" s="32"/>
      <c r="D244" s="32"/>
      <c r="E244" s="32"/>
      <c r="F244" s="32"/>
      <c r="G244" s="30"/>
      <c r="H244" s="31" t="str">
        <f aca="false">IF(OR(E244="",G244=""),"",E244*G244)</f>
        <v/>
      </c>
      <c r="I244" s="32"/>
      <c r="J244" s="35" t="str">
        <f aca="false">IF(OR(E244="",I244=""),"",IF(E244&lt;=I244,"nachbestellen",""))</f>
        <v/>
      </c>
    </row>
    <row r="245" customFormat="false" ht="15" hidden="false" customHeight="false" outlineLevel="0" collapsed="false">
      <c r="A245" s="32"/>
      <c r="B245" s="32"/>
      <c r="C245" s="32"/>
      <c r="D245" s="32"/>
      <c r="E245" s="32"/>
      <c r="F245" s="32"/>
      <c r="G245" s="30"/>
      <c r="H245" s="31" t="str">
        <f aca="false">IF(OR(E245="",G245=""),"",E245*G245)</f>
        <v/>
      </c>
      <c r="I245" s="32"/>
      <c r="J245" s="35" t="str">
        <f aca="false">IF(OR(E245="",I245=""),"",IF(E245&lt;=I245,"nachbestellen",""))</f>
        <v/>
      </c>
    </row>
    <row r="246" customFormat="false" ht="15" hidden="false" customHeight="false" outlineLevel="0" collapsed="false">
      <c r="A246" s="32"/>
      <c r="B246" s="32"/>
      <c r="C246" s="32"/>
      <c r="D246" s="32"/>
      <c r="E246" s="32"/>
      <c r="F246" s="32"/>
      <c r="G246" s="30"/>
      <c r="H246" s="31" t="str">
        <f aca="false">IF(OR(E246="",G246=""),"",E246*G246)</f>
        <v/>
      </c>
      <c r="I246" s="32"/>
      <c r="J246" s="35" t="str">
        <f aca="false">IF(OR(E246="",I246=""),"",IF(E246&lt;=I246,"nachbestellen",""))</f>
        <v/>
      </c>
    </row>
    <row r="247" customFormat="false" ht="15" hidden="false" customHeight="false" outlineLevel="0" collapsed="false">
      <c r="A247" s="32"/>
      <c r="B247" s="32"/>
      <c r="C247" s="32"/>
      <c r="D247" s="32"/>
      <c r="E247" s="32"/>
      <c r="F247" s="32"/>
      <c r="G247" s="30"/>
      <c r="H247" s="31" t="str">
        <f aca="false">IF(OR(E247="",G247=""),"",E247*G247)</f>
        <v/>
      </c>
      <c r="I247" s="32"/>
      <c r="J247" s="35" t="str">
        <f aca="false">IF(OR(E247="",I247=""),"",IF(E247&lt;=I247,"nachbestellen",""))</f>
        <v/>
      </c>
    </row>
    <row r="248" customFormat="false" ht="15" hidden="false" customHeight="false" outlineLevel="0" collapsed="false">
      <c r="A248" s="32"/>
      <c r="B248" s="32"/>
      <c r="C248" s="32"/>
      <c r="D248" s="32"/>
      <c r="E248" s="32"/>
      <c r="F248" s="32"/>
      <c r="G248" s="30"/>
      <c r="H248" s="31" t="str">
        <f aca="false">IF(OR(E248="",G248=""),"",E248*G248)</f>
        <v/>
      </c>
      <c r="I248" s="32"/>
      <c r="J248" s="35" t="str">
        <f aca="false">IF(OR(E248="",I248=""),"",IF(E248&lt;=I248,"nachbestellen",""))</f>
        <v/>
      </c>
    </row>
    <row r="249" customFormat="false" ht="15" hidden="false" customHeight="false" outlineLevel="0" collapsed="false">
      <c r="A249" s="32"/>
      <c r="B249" s="32"/>
      <c r="C249" s="32"/>
      <c r="D249" s="32"/>
      <c r="E249" s="32"/>
      <c r="F249" s="32"/>
      <c r="G249" s="30"/>
      <c r="H249" s="31" t="str">
        <f aca="false">IF(OR(E249="",G249=""),"",E249*G249)</f>
        <v/>
      </c>
      <c r="I249" s="32"/>
      <c r="J249" s="35" t="str">
        <f aca="false">IF(OR(E249="",I249=""),"",IF(E249&lt;=I249,"nachbestellen",""))</f>
        <v/>
      </c>
    </row>
    <row r="250" customFormat="false" ht="15" hidden="false" customHeight="false" outlineLevel="0" collapsed="false">
      <c r="A250" s="32"/>
      <c r="B250" s="32"/>
      <c r="C250" s="32"/>
      <c r="D250" s="32"/>
      <c r="E250" s="32"/>
      <c r="F250" s="32"/>
      <c r="G250" s="30"/>
      <c r="H250" s="31" t="str">
        <f aca="false">IF(OR(E250="",G250=""),"",E250*G250)</f>
        <v/>
      </c>
      <c r="I250" s="32"/>
      <c r="J250" s="35" t="str">
        <f aca="false">IF(OR(E250="",I250=""),"",IF(E250&lt;=I250,"nachbestellen",""))</f>
        <v/>
      </c>
    </row>
    <row r="251" customFormat="false" ht="15" hidden="false" customHeight="false" outlineLevel="0" collapsed="false">
      <c r="A251" s="32"/>
      <c r="B251" s="32"/>
      <c r="C251" s="32"/>
      <c r="D251" s="32"/>
      <c r="E251" s="32"/>
      <c r="F251" s="32"/>
      <c r="G251" s="30"/>
      <c r="H251" s="31" t="str">
        <f aca="false">IF(OR(E251="",G251=""),"",E251*G251)</f>
        <v/>
      </c>
      <c r="I251" s="32"/>
      <c r="J251" s="35" t="str">
        <f aca="false">IF(OR(E251="",I251=""),"",IF(E251&lt;=I251,"nachbestellen",""))</f>
        <v/>
      </c>
    </row>
    <row r="252" customFormat="false" ht="15" hidden="false" customHeight="false" outlineLevel="0" collapsed="false">
      <c r="A252" s="32"/>
      <c r="B252" s="32"/>
      <c r="C252" s="32"/>
      <c r="D252" s="32"/>
      <c r="E252" s="32"/>
      <c r="F252" s="32"/>
      <c r="G252" s="30"/>
      <c r="H252" s="31" t="str">
        <f aca="false">IF(OR(E252="",G252=""),"",E252*G252)</f>
        <v/>
      </c>
      <c r="I252" s="32"/>
      <c r="J252" s="35" t="str">
        <f aca="false">IF(OR(E252="",I252=""),"",IF(E252&lt;=I252,"nachbestellen",""))</f>
        <v/>
      </c>
    </row>
    <row r="253" customFormat="false" ht="15" hidden="false" customHeight="false" outlineLevel="0" collapsed="false">
      <c r="A253" s="32"/>
      <c r="B253" s="32"/>
      <c r="C253" s="32"/>
      <c r="D253" s="32"/>
      <c r="E253" s="32"/>
      <c r="F253" s="32"/>
      <c r="G253" s="30"/>
      <c r="H253" s="31" t="str">
        <f aca="false">IF(OR(E253="",G253=""),"",E253*G253)</f>
        <v/>
      </c>
      <c r="I253" s="32"/>
      <c r="J253" s="35" t="str">
        <f aca="false">IF(OR(E253="",I253=""),"",IF(E253&lt;=I253,"nachbestellen",""))</f>
        <v/>
      </c>
    </row>
    <row r="254" customFormat="false" ht="15" hidden="false" customHeight="false" outlineLevel="0" collapsed="false">
      <c r="A254" s="32"/>
      <c r="B254" s="32"/>
      <c r="C254" s="32"/>
      <c r="D254" s="32"/>
      <c r="E254" s="32"/>
      <c r="F254" s="32"/>
      <c r="G254" s="30"/>
      <c r="H254" s="31" t="str">
        <f aca="false">IF(OR(E254="",G254=""),"",E254*G254)</f>
        <v/>
      </c>
      <c r="I254" s="32"/>
      <c r="J254" s="35" t="str">
        <f aca="false">IF(OR(E254="",I254=""),"",IF(E254&lt;=I254,"nachbestellen",""))</f>
        <v/>
      </c>
    </row>
    <row r="255" customFormat="false" ht="15" hidden="false" customHeight="false" outlineLevel="0" collapsed="false">
      <c r="A255" s="32"/>
      <c r="B255" s="32"/>
      <c r="C255" s="32"/>
      <c r="D255" s="32"/>
      <c r="E255" s="32"/>
      <c r="F255" s="32"/>
      <c r="G255" s="30"/>
      <c r="H255" s="31" t="str">
        <f aca="false">IF(OR(E255="",G255=""),"",E255*G255)</f>
        <v/>
      </c>
      <c r="I255" s="32"/>
      <c r="J255" s="35" t="str">
        <f aca="false">IF(OR(E255="",I255=""),"",IF(E255&lt;=I255,"nachbestellen",""))</f>
        <v/>
      </c>
    </row>
    <row r="256" customFormat="false" ht="15" hidden="false" customHeight="false" outlineLevel="0" collapsed="false">
      <c r="A256" s="32"/>
      <c r="B256" s="32"/>
      <c r="C256" s="32"/>
      <c r="D256" s="32"/>
      <c r="E256" s="32"/>
      <c r="F256" s="32"/>
      <c r="G256" s="30"/>
      <c r="H256" s="31" t="str">
        <f aca="false">IF(OR(E256="",G256=""),"",E256*G256)</f>
        <v/>
      </c>
      <c r="I256" s="32"/>
      <c r="J256" s="35" t="str">
        <f aca="false">IF(OR(E256="",I256=""),"",IF(E256&lt;=I256,"nachbestellen",""))</f>
        <v/>
      </c>
    </row>
    <row r="257" customFormat="false" ht="15" hidden="false" customHeight="false" outlineLevel="0" collapsed="false">
      <c r="A257" s="32"/>
      <c r="B257" s="32"/>
      <c r="C257" s="32"/>
      <c r="D257" s="32"/>
      <c r="E257" s="32"/>
      <c r="F257" s="32"/>
      <c r="G257" s="30"/>
      <c r="H257" s="31" t="str">
        <f aca="false">IF(OR(E257="",G257=""),"",E257*G257)</f>
        <v/>
      </c>
      <c r="I257" s="32"/>
      <c r="J257" s="35" t="str">
        <f aca="false">IF(OR(E257="",I257=""),"",IF(E257&lt;=I257,"nachbestellen",""))</f>
        <v/>
      </c>
    </row>
    <row r="258" customFormat="false" ht="15" hidden="false" customHeight="false" outlineLevel="0" collapsed="false">
      <c r="A258" s="32"/>
      <c r="B258" s="32"/>
      <c r="C258" s="32"/>
      <c r="D258" s="32"/>
      <c r="E258" s="32"/>
      <c r="F258" s="32"/>
      <c r="G258" s="30"/>
      <c r="H258" s="31" t="str">
        <f aca="false">IF(OR(E258="",G258=""),"",E258*G258)</f>
        <v/>
      </c>
      <c r="I258" s="32"/>
      <c r="J258" s="35" t="str">
        <f aca="false">IF(OR(E258="",I258=""),"",IF(E258&lt;=I258,"nachbestellen",""))</f>
        <v/>
      </c>
    </row>
    <row r="259" customFormat="false" ht="15" hidden="false" customHeight="false" outlineLevel="0" collapsed="false">
      <c r="A259" s="32"/>
      <c r="B259" s="32"/>
      <c r="C259" s="32"/>
      <c r="D259" s="32"/>
      <c r="E259" s="32"/>
      <c r="F259" s="32"/>
      <c r="G259" s="30"/>
      <c r="H259" s="31" t="str">
        <f aca="false">IF(OR(E259="",G259=""),"",E259*G259)</f>
        <v/>
      </c>
      <c r="I259" s="32"/>
      <c r="J259" s="35" t="str">
        <f aca="false">IF(OR(E259="",I259=""),"",IF(E259&lt;=I259,"nachbestellen",""))</f>
        <v/>
      </c>
    </row>
    <row r="260" customFormat="false" ht="15" hidden="false" customHeight="false" outlineLevel="0" collapsed="false">
      <c r="A260" s="32"/>
      <c r="B260" s="32"/>
      <c r="C260" s="32"/>
      <c r="D260" s="32"/>
      <c r="E260" s="32"/>
      <c r="F260" s="32"/>
      <c r="G260" s="30"/>
      <c r="H260" s="31" t="str">
        <f aca="false">IF(OR(E260="",G260=""),"",E260*G260)</f>
        <v/>
      </c>
      <c r="I260" s="32"/>
      <c r="J260" s="35" t="str">
        <f aca="false">IF(OR(E260="",I260=""),"",IF(E260&lt;=I260,"nachbestellen",""))</f>
        <v/>
      </c>
    </row>
    <row r="261" customFormat="false" ht="15" hidden="false" customHeight="false" outlineLevel="0" collapsed="false">
      <c r="A261" s="32"/>
      <c r="B261" s="32"/>
      <c r="C261" s="32"/>
      <c r="D261" s="32"/>
      <c r="E261" s="32"/>
      <c r="F261" s="32"/>
      <c r="G261" s="30"/>
      <c r="H261" s="31" t="str">
        <f aca="false">IF(OR(E261="",G261=""),"",E261*G261)</f>
        <v/>
      </c>
      <c r="I261" s="32"/>
      <c r="J261" s="35" t="str">
        <f aca="false">IF(OR(E261="",I261=""),"",IF(E261&lt;=I261,"nachbestellen",""))</f>
        <v/>
      </c>
    </row>
    <row r="262" customFormat="false" ht="15" hidden="false" customHeight="false" outlineLevel="0" collapsed="false">
      <c r="A262" s="32"/>
      <c r="B262" s="32"/>
      <c r="C262" s="32"/>
      <c r="D262" s="32"/>
      <c r="E262" s="32"/>
      <c r="F262" s="32"/>
      <c r="G262" s="30"/>
      <c r="H262" s="31" t="str">
        <f aca="false">IF(OR(E262="",G262=""),"",E262*G262)</f>
        <v/>
      </c>
      <c r="I262" s="32"/>
      <c r="J262" s="35" t="str">
        <f aca="false">IF(OR(E262="",I262=""),"",IF(E262&lt;=I262,"nachbestellen",""))</f>
        <v/>
      </c>
    </row>
    <row r="263" customFormat="false" ht="15" hidden="false" customHeight="false" outlineLevel="0" collapsed="false">
      <c r="A263" s="32"/>
      <c r="B263" s="32"/>
      <c r="C263" s="32"/>
      <c r="D263" s="32"/>
      <c r="E263" s="32"/>
      <c r="F263" s="32"/>
      <c r="G263" s="30"/>
      <c r="H263" s="31" t="str">
        <f aca="false">IF(OR(E263="",G263=""),"",E263*G263)</f>
        <v/>
      </c>
      <c r="I263" s="32"/>
      <c r="J263" s="35" t="str">
        <f aca="false">IF(OR(E263="",I263=""),"",IF(E263&lt;=I263,"nachbestellen",""))</f>
        <v/>
      </c>
    </row>
    <row r="264" customFormat="false" ht="15" hidden="false" customHeight="false" outlineLevel="0" collapsed="false">
      <c r="A264" s="32"/>
      <c r="B264" s="32"/>
      <c r="C264" s="32"/>
      <c r="D264" s="32"/>
      <c r="E264" s="32"/>
      <c r="F264" s="32"/>
      <c r="G264" s="30"/>
      <c r="H264" s="31" t="str">
        <f aca="false">IF(OR(E264="",G264=""),"",E264*G264)</f>
        <v/>
      </c>
      <c r="I264" s="32"/>
      <c r="J264" s="35" t="str">
        <f aca="false">IF(OR(E264="",I264=""),"",IF(E264&lt;=I264,"nachbestellen",""))</f>
        <v/>
      </c>
    </row>
    <row r="265" customFormat="false" ht="15" hidden="false" customHeight="false" outlineLevel="0" collapsed="false">
      <c r="A265" s="32"/>
      <c r="B265" s="32"/>
      <c r="C265" s="32"/>
      <c r="D265" s="32"/>
      <c r="E265" s="32"/>
      <c r="F265" s="32"/>
      <c r="G265" s="30"/>
      <c r="H265" s="31" t="str">
        <f aca="false">IF(OR(E265="",G265=""),"",E265*G265)</f>
        <v/>
      </c>
      <c r="I265" s="32"/>
      <c r="J265" s="35" t="str">
        <f aca="false">IF(OR(E265="",I265=""),"",IF(E265&lt;=I265,"nachbestellen",""))</f>
        <v/>
      </c>
    </row>
    <row r="266" customFormat="false" ht="15" hidden="false" customHeight="false" outlineLevel="0" collapsed="false">
      <c r="A266" s="32"/>
      <c r="B266" s="32"/>
      <c r="C266" s="32"/>
      <c r="D266" s="32"/>
      <c r="E266" s="32"/>
      <c r="F266" s="32"/>
      <c r="G266" s="30"/>
      <c r="H266" s="31" t="str">
        <f aca="false">IF(OR(E266="",G266=""),"",E266*G266)</f>
        <v/>
      </c>
      <c r="I266" s="32"/>
      <c r="J266" s="35" t="str">
        <f aca="false">IF(OR(E266="",I266=""),"",IF(E266&lt;=I266,"nachbestellen",""))</f>
        <v/>
      </c>
    </row>
    <row r="267" customFormat="false" ht="15" hidden="false" customHeight="false" outlineLevel="0" collapsed="false">
      <c r="A267" s="32"/>
      <c r="B267" s="32"/>
      <c r="C267" s="32"/>
      <c r="D267" s="32"/>
      <c r="E267" s="32"/>
      <c r="F267" s="32"/>
      <c r="G267" s="30"/>
      <c r="H267" s="31" t="str">
        <f aca="false">IF(OR(E267="",G267=""),"",E267*G267)</f>
        <v/>
      </c>
      <c r="I267" s="32"/>
      <c r="J267" s="35" t="str">
        <f aca="false">IF(OR(E267="",I267=""),"",IF(E267&lt;=I267,"nachbestellen",""))</f>
        <v/>
      </c>
    </row>
    <row r="268" customFormat="false" ht="15" hidden="false" customHeight="false" outlineLevel="0" collapsed="false">
      <c r="A268" s="32"/>
      <c r="B268" s="32"/>
      <c r="C268" s="32"/>
      <c r="D268" s="32"/>
      <c r="E268" s="32"/>
      <c r="F268" s="32"/>
      <c r="G268" s="30"/>
      <c r="H268" s="31" t="str">
        <f aca="false">IF(OR(E268="",G268=""),"",E268*G268)</f>
        <v/>
      </c>
      <c r="I268" s="32"/>
      <c r="J268" s="35" t="str">
        <f aca="false">IF(OR(E268="",I268=""),"",IF(E268&lt;=I268,"nachbestellen",""))</f>
        <v/>
      </c>
    </row>
    <row r="269" customFormat="false" ht="15" hidden="false" customHeight="false" outlineLevel="0" collapsed="false">
      <c r="A269" s="32"/>
      <c r="B269" s="32"/>
      <c r="C269" s="32"/>
      <c r="D269" s="32"/>
      <c r="E269" s="32"/>
      <c r="F269" s="32"/>
      <c r="G269" s="30"/>
      <c r="H269" s="31" t="str">
        <f aca="false">IF(OR(E269="",G269=""),"",E269*G269)</f>
        <v/>
      </c>
      <c r="I269" s="32"/>
      <c r="J269" s="35" t="str">
        <f aca="false">IF(OR(E269="",I269=""),"",IF(E269&lt;=I269,"nachbestellen",""))</f>
        <v/>
      </c>
    </row>
    <row r="270" customFormat="false" ht="15" hidden="false" customHeight="false" outlineLevel="0" collapsed="false">
      <c r="A270" s="32"/>
      <c r="B270" s="32"/>
      <c r="C270" s="32"/>
      <c r="D270" s="32"/>
      <c r="E270" s="32"/>
      <c r="F270" s="32"/>
      <c r="G270" s="30"/>
      <c r="H270" s="31" t="str">
        <f aca="false">IF(OR(E270="",G270=""),"",E270*G270)</f>
        <v/>
      </c>
      <c r="I270" s="32"/>
      <c r="J270" s="35" t="str">
        <f aca="false">IF(OR(E270="",I270=""),"",IF(E270&lt;=I270,"nachbestellen",""))</f>
        <v/>
      </c>
    </row>
    <row r="271" customFormat="false" ht="15" hidden="false" customHeight="false" outlineLevel="0" collapsed="false">
      <c r="A271" s="32"/>
      <c r="B271" s="32"/>
      <c r="C271" s="32"/>
      <c r="D271" s="32"/>
      <c r="E271" s="32"/>
      <c r="F271" s="32"/>
      <c r="G271" s="30"/>
      <c r="H271" s="31" t="str">
        <f aca="false">IF(OR(E271="",G271=""),"",E271*G271)</f>
        <v/>
      </c>
      <c r="I271" s="32"/>
      <c r="J271" s="35" t="str">
        <f aca="false">IF(OR(E271="",I271=""),"",IF(E271&lt;=I271,"nachbestellen",""))</f>
        <v/>
      </c>
    </row>
    <row r="272" customFormat="false" ht="15" hidden="false" customHeight="false" outlineLevel="0" collapsed="false">
      <c r="A272" s="32"/>
      <c r="B272" s="32"/>
      <c r="C272" s="32"/>
      <c r="D272" s="32"/>
      <c r="E272" s="32"/>
      <c r="F272" s="32"/>
      <c r="G272" s="30"/>
      <c r="H272" s="31" t="str">
        <f aca="false">IF(OR(E272="",G272=""),"",E272*G272)</f>
        <v/>
      </c>
      <c r="I272" s="32"/>
      <c r="J272" s="35" t="str">
        <f aca="false">IF(OR(E272="",I272=""),"",IF(E272&lt;=I272,"nachbestellen",""))</f>
        <v/>
      </c>
    </row>
    <row r="273" customFormat="false" ht="15" hidden="false" customHeight="false" outlineLevel="0" collapsed="false">
      <c r="A273" s="32"/>
      <c r="B273" s="32"/>
      <c r="C273" s="32"/>
      <c r="D273" s="32"/>
      <c r="E273" s="32"/>
      <c r="F273" s="32"/>
      <c r="G273" s="30"/>
      <c r="H273" s="31" t="str">
        <f aca="false">IF(OR(E273="",G273=""),"",E273*G273)</f>
        <v/>
      </c>
      <c r="I273" s="32"/>
      <c r="J273" s="35" t="str">
        <f aca="false">IF(OR(E273="",I273=""),"",IF(E273&lt;=I273,"nachbestellen",""))</f>
        <v/>
      </c>
    </row>
    <row r="274" customFormat="false" ht="15" hidden="false" customHeight="false" outlineLevel="0" collapsed="false">
      <c r="A274" s="32"/>
      <c r="B274" s="32"/>
      <c r="C274" s="32"/>
      <c r="D274" s="32"/>
      <c r="E274" s="32"/>
      <c r="F274" s="32"/>
      <c r="G274" s="30"/>
      <c r="H274" s="31" t="str">
        <f aca="false">IF(OR(E274="",G274=""),"",E274*G274)</f>
        <v/>
      </c>
      <c r="I274" s="32"/>
      <c r="J274" s="35" t="str">
        <f aca="false">IF(OR(E274="",I274=""),"",IF(E274&lt;=I274,"nachbestellen",""))</f>
        <v/>
      </c>
    </row>
    <row r="275" customFormat="false" ht="15" hidden="false" customHeight="false" outlineLevel="0" collapsed="false">
      <c r="A275" s="32"/>
      <c r="B275" s="32"/>
      <c r="C275" s="32"/>
      <c r="D275" s="32"/>
      <c r="E275" s="32"/>
      <c r="F275" s="32"/>
      <c r="G275" s="30"/>
      <c r="H275" s="31" t="str">
        <f aca="false">IF(OR(E275="",G275=""),"",E275*G275)</f>
        <v/>
      </c>
      <c r="I275" s="32"/>
      <c r="J275" s="35" t="str">
        <f aca="false">IF(OR(E275="",I275=""),"",IF(E275&lt;=I275,"nachbestellen",""))</f>
        <v/>
      </c>
    </row>
    <row r="276" customFormat="false" ht="15" hidden="false" customHeight="false" outlineLevel="0" collapsed="false">
      <c r="A276" s="32"/>
      <c r="B276" s="32"/>
      <c r="C276" s="32"/>
      <c r="D276" s="32"/>
      <c r="E276" s="32"/>
      <c r="F276" s="32"/>
      <c r="G276" s="30"/>
      <c r="H276" s="31" t="str">
        <f aca="false">IF(OR(E276="",G276=""),"",E276*G276)</f>
        <v/>
      </c>
      <c r="I276" s="32"/>
      <c r="J276" s="35" t="str">
        <f aca="false">IF(OR(E276="",I276=""),"",IF(E276&lt;=I276,"nachbestellen",""))</f>
        <v/>
      </c>
    </row>
    <row r="277" customFormat="false" ht="15" hidden="false" customHeight="false" outlineLevel="0" collapsed="false">
      <c r="A277" s="32"/>
      <c r="B277" s="32"/>
      <c r="C277" s="32"/>
      <c r="D277" s="32"/>
      <c r="E277" s="32"/>
      <c r="F277" s="32"/>
      <c r="G277" s="30"/>
      <c r="H277" s="31" t="str">
        <f aca="false">IF(OR(E277="",G277=""),"",E277*G277)</f>
        <v/>
      </c>
      <c r="I277" s="32"/>
      <c r="J277" s="35" t="str">
        <f aca="false">IF(OR(E277="",I277=""),"",IF(E277&lt;=I277,"nachbestellen",""))</f>
        <v/>
      </c>
    </row>
    <row r="278" customFormat="false" ht="15" hidden="false" customHeight="false" outlineLevel="0" collapsed="false">
      <c r="A278" s="32"/>
      <c r="B278" s="32"/>
      <c r="C278" s="32"/>
      <c r="D278" s="32"/>
      <c r="E278" s="32"/>
      <c r="F278" s="32"/>
      <c r="G278" s="30"/>
      <c r="H278" s="31" t="str">
        <f aca="false">IF(OR(E278="",G278=""),"",E278*G278)</f>
        <v/>
      </c>
      <c r="I278" s="32"/>
      <c r="J278" s="35" t="str">
        <f aca="false">IF(OR(E278="",I278=""),"",IF(E278&lt;=I278,"nachbestellen",""))</f>
        <v/>
      </c>
    </row>
    <row r="279" customFormat="false" ht="15" hidden="false" customHeight="false" outlineLevel="0" collapsed="false">
      <c r="A279" s="32"/>
      <c r="B279" s="32"/>
      <c r="C279" s="32"/>
      <c r="D279" s="32"/>
      <c r="E279" s="32"/>
      <c r="F279" s="32"/>
      <c r="G279" s="30"/>
      <c r="H279" s="31" t="str">
        <f aca="false">IF(OR(E279="",G279=""),"",E279*G279)</f>
        <v/>
      </c>
      <c r="I279" s="32"/>
      <c r="J279" s="35" t="str">
        <f aca="false">IF(OR(E279="",I279=""),"",IF(E279&lt;=I279,"nachbestellen",""))</f>
        <v/>
      </c>
    </row>
    <row r="280" customFormat="false" ht="15" hidden="false" customHeight="false" outlineLevel="0" collapsed="false">
      <c r="A280" s="32"/>
      <c r="B280" s="32"/>
      <c r="C280" s="32"/>
      <c r="D280" s="32"/>
      <c r="E280" s="32"/>
      <c r="F280" s="32"/>
      <c r="G280" s="30"/>
      <c r="H280" s="31" t="str">
        <f aca="false">IF(OR(E280="",G280=""),"",E280*G280)</f>
        <v/>
      </c>
      <c r="I280" s="32"/>
      <c r="J280" s="35" t="str">
        <f aca="false">IF(OR(E280="",I280=""),"",IF(E280&lt;=I280,"nachbestellen",""))</f>
        <v/>
      </c>
    </row>
    <row r="281" customFormat="false" ht="15" hidden="false" customHeight="false" outlineLevel="0" collapsed="false">
      <c r="A281" s="32"/>
      <c r="B281" s="32"/>
      <c r="C281" s="32"/>
      <c r="D281" s="32"/>
      <c r="E281" s="32"/>
      <c r="F281" s="32"/>
      <c r="G281" s="30"/>
      <c r="H281" s="31" t="str">
        <f aca="false">IF(OR(E281="",G281=""),"",E281*G281)</f>
        <v/>
      </c>
      <c r="I281" s="32"/>
      <c r="J281" s="35" t="str">
        <f aca="false">IF(OR(E281="",I281=""),"",IF(E281&lt;=I281,"nachbestellen",""))</f>
        <v/>
      </c>
    </row>
    <row r="282" customFormat="false" ht="15" hidden="false" customHeight="false" outlineLevel="0" collapsed="false">
      <c r="A282" s="32"/>
      <c r="B282" s="32"/>
      <c r="C282" s="32"/>
      <c r="D282" s="32"/>
      <c r="E282" s="32"/>
      <c r="F282" s="32"/>
      <c r="G282" s="30"/>
      <c r="H282" s="31" t="str">
        <f aca="false">IF(OR(E282="",G282=""),"",E282*G282)</f>
        <v/>
      </c>
      <c r="I282" s="32"/>
      <c r="J282" s="35" t="str">
        <f aca="false">IF(OR(E282="",I282=""),"",IF(E282&lt;=I282,"nachbestellen",""))</f>
        <v/>
      </c>
    </row>
    <row r="283" customFormat="false" ht="15" hidden="false" customHeight="false" outlineLevel="0" collapsed="false">
      <c r="A283" s="32"/>
      <c r="B283" s="32"/>
      <c r="C283" s="32"/>
      <c r="D283" s="32"/>
      <c r="E283" s="32"/>
      <c r="F283" s="32"/>
      <c r="G283" s="30"/>
      <c r="H283" s="31" t="str">
        <f aca="false">IF(OR(E283="",G283=""),"",E283*G283)</f>
        <v/>
      </c>
      <c r="I283" s="32"/>
      <c r="J283" s="35" t="str">
        <f aca="false">IF(OR(E283="",I283=""),"",IF(E283&lt;=I283,"nachbestellen",""))</f>
        <v/>
      </c>
    </row>
    <row r="284" customFormat="false" ht="15" hidden="false" customHeight="false" outlineLevel="0" collapsed="false">
      <c r="A284" s="32"/>
      <c r="B284" s="32"/>
      <c r="C284" s="32"/>
      <c r="D284" s="32"/>
      <c r="E284" s="32"/>
      <c r="F284" s="32"/>
      <c r="G284" s="30"/>
      <c r="H284" s="31" t="str">
        <f aca="false">IF(OR(E284="",G284=""),"",E284*G284)</f>
        <v/>
      </c>
      <c r="I284" s="32"/>
      <c r="J284" s="35" t="str">
        <f aca="false">IF(OR(E284="",I284=""),"",IF(E284&lt;=I284,"nachbestellen",""))</f>
        <v/>
      </c>
    </row>
    <row r="285" customFormat="false" ht="15" hidden="false" customHeight="false" outlineLevel="0" collapsed="false">
      <c r="A285" s="32"/>
      <c r="B285" s="32"/>
      <c r="C285" s="32"/>
      <c r="D285" s="32"/>
      <c r="E285" s="32"/>
      <c r="F285" s="32"/>
      <c r="G285" s="30"/>
      <c r="H285" s="31" t="str">
        <f aca="false">IF(OR(E285="",G285=""),"",E285*G285)</f>
        <v/>
      </c>
      <c r="I285" s="32"/>
      <c r="J285" s="35" t="str">
        <f aca="false">IF(OR(E285="",I285=""),"",IF(E285&lt;=I285,"nachbestellen",""))</f>
        <v/>
      </c>
    </row>
    <row r="286" customFormat="false" ht="15" hidden="false" customHeight="false" outlineLevel="0" collapsed="false">
      <c r="A286" s="32"/>
      <c r="B286" s="32"/>
      <c r="C286" s="32"/>
      <c r="D286" s="32"/>
      <c r="E286" s="32"/>
      <c r="F286" s="32"/>
      <c r="G286" s="30"/>
      <c r="H286" s="31" t="str">
        <f aca="false">IF(OR(E286="",G286=""),"",E286*G286)</f>
        <v/>
      </c>
      <c r="I286" s="32"/>
      <c r="J286" s="35" t="str">
        <f aca="false">IF(OR(E286="",I286=""),"",IF(E286&lt;=I286,"nachbestellen",""))</f>
        <v/>
      </c>
    </row>
    <row r="287" customFormat="false" ht="15" hidden="false" customHeight="false" outlineLevel="0" collapsed="false">
      <c r="A287" s="32"/>
      <c r="B287" s="32"/>
      <c r="C287" s="32"/>
      <c r="D287" s="32"/>
      <c r="E287" s="32"/>
      <c r="F287" s="32"/>
      <c r="G287" s="30"/>
      <c r="H287" s="31" t="str">
        <f aca="false">IF(OR(E287="",G287=""),"",E287*G287)</f>
        <v/>
      </c>
      <c r="I287" s="32"/>
      <c r="J287" s="35" t="str">
        <f aca="false">IF(OR(E287="",I287=""),"",IF(E287&lt;=I287,"nachbestellen",""))</f>
        <v/>
      </c>
    </row>
    <row r="288" customFormat="false" ht="15" hidden="false" customHeight="false" outlineLevel="0" collapsed="false">
      <c r="A288" s="32"/>
      <c r="B288" s="32"/>
      <c r="C288" s="32"/>
      <c r="D288" s="32"/>
      <c r="E288" s="32"/>
      <c r="F288" s="32"/>
      <c r="G288" s="30"/>
      <c r="H288" s="31" t="str">
        <f aca="false">IF(OR(E288="",G288=""),"",E288*G288)</f>
        <v/>
      </c>
      <c r="I288" s="32"/>
      <c r="J288" s="35" t="str">
        <f aca="false">IF(OR(E288="",I288=""),"",IF(E288&lt;=I288,"nachbestellen",""))</f>
        <v/>
      </c>
    </row>
    <row r="289" customFormat="false" ht="15" hidden="false" customHeight="false" outlineLevel="0" collapsed="false">
      <c r="A289" s="32"/>
      <c r="B289" s="32"/>
      <c r="C289" s="32"/>
      <c r="D289" s="32"/>
      <c r="E289" s="32"/>
      <c r="F289" s="32"/>
      <c r="G289" s="30"/>
      <c r="H289" s="31" t="str">
        <f aca="false">IF(OR(E289="",G289=""),"",E289*G289)</f>
        <v/>
      </c>
      <c r="I289" s="32"/>
      <c r="J289" s="35" t="str">
        <f aca="false">IF(OR(E289="",I289=""),"",IF(E289&lt;=I289,"nachbestellen",""))</f>
        <v/>
      </c>
    </row>
    <row r="290" customFormat="false" ht="15" hidden="false" customHeight="false" outlineLevel="0" collapsed="false">
      <c r="A290" s="32"/>
      <c r="B290" s="32"/>
      <c r="C290" s="32"/>
      <c r="D290" s="32"/>
      <c r="E290" s="32"/>
      <c r="F290" s="32"/>
      <c r="G290" s="30"/>
      <c r="H290" s="31" t="str">
        <f aca="false">IF(OR(E290="",G290=""),"",E290*G290)</f>
        <v/>
      </c>
      <c r="I290" s="32"/>
      <c r="J290" s="35" t="str">
        <f aca="false">IF(OR(E290="",I290=""),"",IF(E290&lt;=I290,"nachbestellen",""))</f>
        <v/>
      </c>
    </row>
    <row r="291" customFormat="false" ht="15" hidden="false" customHeight="false" outlineLevel="0" collapsed="false">
      <c r="A291" s="32"/>
      <c r="B291" s="32"/>
      <c r="C291" s="32"/>
      <c r="D291" s="32"/>
      <c r="E291" s="32"/>
      <c r="F291" s="32"/>
      <c r="G291" s="30"/>
      <c r="H291" s="31" t="str">
        <f aca="false">IF(OR(E291="",G291=""),"",E291*G291)</f>
        <v/>
      </c>
      <c r="I291" s="32"/>
      <c r="J291" s="35" t="str">
        <f aca="false">IF(OR(E291="",I291=""),"",IF(E291&lt;=I291,"nachbestellen",""))</f>
        <v/>
      </c>
    </row>
    <row r="292" customFormat="false" ht="15" hidden="false" customHeight="false" outlineLevel="0" collapsed="false">
      <c r="A292" s="32"/>
      <c r="B292" s="32"/>
      <c r="C292" s="32"/>
      <c r="D292" s="32"/>
      <c r="E292" s="32"/>
      <c r="F292" s="32"/>
      <c r="G292" s="30"/>
      <c r="H292" s="31" t="str">
        <f aca="false">IF(OR(E292="",G292=""),"",E292*G292)</f>
        <v/>
      </c>
      <c r="I292" s="32"/>
      <c r="J292" s="35" t="str">
        <f aca="false">IF(OR(E292="",I292=""),"",IF(E292&lt;=I292,"nachbestellen",""))</f>
        <v/>
      </c>
    </row>
    <row r="293" customFormat="false" ht="15" hidden="false" customHeight="false" outlineLevel="0" collapsed="false">
      <c r="A293" s="32"/>
      <c r="B293" s="32"/>
      <c r="C293" s="32"/>
      <c r="D293" s="32"/>
      <c r="E293" s="32"/>
      <c r="F293" s="32"/>
      <c r="G293" s="30"/>
      <c r="H293" s="31" t="str">
        <f aca="false">IF(OR(E293="",G293=""),"",E293*G293)</f>
        <v/>
      </c>
      <c r="I293" s="32"/>
      <c r="J293" s="35" t="str">
        <f aca="false">IF(OR(E293="",I293=""),"",IF(E293&lt;=I293,"nachbestellen",""))</f>
        <v/>
      </c>
    </row>
    <row r="294" customFormat="false" ht="15" hidden="false" customHeight="false" outlineLevel="0" collapsed="false">
      <c r="A294" s="32"/>
      <c r="B294" s="32"/>
      <c r="C294" s="32"/>
      <c r="D294" s="32"/>
      <c r="E294" s="32"/>
      <c r="F294" s="32"/>
      <c r="G294" s="30"/>
      <c r="H294" s="31" t="str">
        <f aca="false">IF(OR(E294="",G294=""),"",E294*G294)</f>
        <v/>
      </c>
      <c r="I294" s="32"/>
      <c r="J294" s="35" t="str">
        <f aca="false">IF(OR(E294="",I294=""),"",IF(E294&lt;=I294,"nachbestellen",""))</f>
        <v/>
      </c>
    </row>
    <row r="295" customFormat="false" ht="15" hidden="false" customHeight="false" outlineLevel="0" collapsed="false">
      <c r="A295" s="32"/>
      <c r="B295" s="32"/>
      <c r="C295" s="32"/>
      <c r="D295" s="32"/>
      <c r="E295" s="32"/>
      <c r="F295" s="32"/>
      <c r="G295" s="30"/>
      <c r="H295" s="31" t="str">
        <f aca="false">IF(OR(E295="",G295=""),"",E295*G295)</f>
        <v/>
      </c>
      <c r="I295" s="32"/>
      <c r="J295" s="35" t="str">
        <f aca="false">IF(OR(E295="",I295=""),"",IF(E295&lt;=I295,"nachbestellen",""))</f>
        <v/>
      </c>
    </row>
    <row r="296" customFormat="false" ht="15" hidden="false" customHeight="false" outlineLevel="0" collapsed="false">
      <c r="A296" s="32"/>
      <c r="B296" s="32"/>
      <c r="C296" s="32"/>
      <c r="D296" s="32"/>
      <c r="E296" s="32"/>
      <c r="F296" s="32"/>
      <c r="G296" s="30"/>
      <c r="H296" s="31" t="str">
        <f aca="false">IF(OR(E296="",G296=""),"",E296*G296)</f>
        <v/>
      </c>
      <c r="I296" s="32"/>
      <c r="J296" s="35" t="str">
        <f aca="false">IF(OR(E296="",I296=""),"",IF(E296&lt;=I296,"nachbestellen",""))</f>
        <v/>
      </c>
    </row>
    <row r="297" customFormat="false" ht="15" hidden="false" customHeight="false" outlineLevel="0" collapsed="false">
      <c r="A297" s="32"/>
      <c r="B297" s="32"/>
      <c r="C297" s="32"/>
      <c r="D297" s="32"/>
      <c r="E297" s="32"/>
      <c r="F297" s="32"/>
      <c r="G297" s="30"/>
      <c r="H297" s="31" t="str">
        <f aca="false">IF(OR(E297="",G297=""),"",E297*G297)</f>
        <v/>
      </c>
      <c r="I297" s="32"/>
      <c r="J297" s="35" t="str">
        <f aca="false">IF(OR(E297="",I297=""),"",IF(E297&lt;=I297,"nachbestellen",""))</f>
        <v/>
      </c>
    </row>
    <row r="298" customFormat="false" ht="15" hidden="false" customHeight="false" outlineLevel="0" collapsed="false">
      <c r="A298" s="32"/>
      <c r="B298" s="32"/>
      <c r="C298" s="32"/>
      <c r="D298" s="32"/>
      <c r="E298" s="32"/>
      <c r="F298" s="32"/>
      <c r="G298" s="30"/>
      <c r="H298" s="31" t="str">
        <f aca="false">IF(OR(E298="",G298=""),"",E298*G298)</f>
        <v/>
      </c>
      <c r="I298" s="32"/>
      <c r="J298" s="35" t="str">
        <f aca="false">IF(OR(E298="",I298=""),"",IF(E298&lt;=I298,"nachbestellen",""))</f>
        <v/>
      </c>
    </row>
    <row r="299" customFormat="false" ht="15" hidden="false" customHeight="false" outlineLevel="0" collapsed="false">
      <c r="A299" s="32"/>
      <c r="B299" s="32"/>
      <c r="C299" s="32"/>
      <c r="D299" s="32"/>
      <c r="E299" s="32"/>
      <c r="F299" s="32"/>
      <c r="G299" s="30"/>
      <c r="H299" s="31" t="str">
        <f aca="false">IF(OR(E299="",G299=""),"",E299*G299)</f>
        <v/>
      </c>
      <c r="I299" s="32"/>
      <c r="J299" s="35" t="str">
        <f aca="false">IF(OR(E299="",I299=""),"",IF(E299&lt;=I299,"nachbestellen",""))</f>
        <v/>
      </c>
    </row>
    <row r="300" customFormat="false" ht="15" hidden="false" customHeight="false" outlineLevel="0" collapsed="false">
      <c r="A300" s="32"/>
      <c r="B300" s="32"/>
      <c r="C300" s="32"/>
      <c r="D300" s="32"/>
      <c r="E300" s="32"/>
      <c r="F300" s="32"/>
      <c r="G300" s="30"/>
      <c r="H300" s="31" t="str">
        <f aca="false">IF(OR(E300="",G300=""),"",E300*G300)</f>
        <v/>
      </c>
      <c r="I300" s="32"/>
      <c r="J300" s="35" t="str">
        <f aca="false">IF(OR(E300="",I300=""),"",IF(E300&lt;=I300,"nachbestellen",""))</f>
        <v/>
      </c>
    </row>
    <row r="301" customFormat="false" ht="15" hidden="false" customHeight="false" outlineLevel="0" collapsed="false">
      <c r="A301" s="32"/>
      <c r="B301" s="32"/>
      <c r="C301" s="32"/>
      <c r="D301" s="32"/>
      <c r="E301" s="32"/>
      <c r="F301" s="32"/>
      <c r="G301" s="30"/>
      <c r="H301" s="31" t="str">
        <f aca="false">IF(OR(E301="",G301=""),"",E301*G301)</f>
        <v/>
      </c>
      <c r="I301" s="32"/>
      <c r="J301" s="35" t="str">
        <f aca="false">IF(OR(E301="",I301=""),"",IF(E301&lt;=I301,"nachbestellen",""))</f>
        <v/>
      </c>
    </row>
    <row r="302" customFormat="false" ht="15" hidden="false" customHeight="false" outlineLevel="0" collapsed="false">
      <c r="A302" s="32"/>
      <c r="B302" s="32"/>
      <c r="C302" s="32"/>
      <c r="D302" s="32"/>
      <c r="E302" s="32"/>
      <c r="F302" s="32"/>
      <c r="G302" s="30"/>
      <c r="H302" s="31" t="str">
        <f aca="false">IF(OR(E302="",G302=""),"",E302*G302)</f>
        <v/>
      </c>
      <c r="I302" s="32"/>
      <c r="J302" s="35" t="str">
        <f aca="false">IF(OR(E302="",I302=""),"",IF(E302&lt;=I302,"nachbestellen",""))</f>
        <v/>
      </c>
    </row>
    <row r="303" customFormat="false" ht="15" hidden="false" customHeight="false" outlineLevel="0" collapsed="false">
      <c r="A303" s="32"/>
      <c r="B303" s="32"/>
      <c r="C303" s="32"/>
      <c r="D303" s="32"/>
      <c r="E303" s="32"/>
      <c r="F303" s="32"/>
      <c r="G303" s="30"/>
      <c r="H303" s="31" t="str">
        <f aca="false">IF(OR(E303="",G303=""),"",E303*G303)</f>
        <v/>
      </c>
      <c r="I303" s="32"/>
      <c r="J303" s="35" t="str">
        <f aca="false">IF(OR(E303="",I303=""),"",IF(E303&lt;=I303,"nachbestellen",""))</f>
        <v/>
      </c>
    </row>
    <row r="304" customFormat="false" ht="15" hidden="false" customHeight="false" outlineLevel="0" collapsed="false">
      <c r="A304" s="32"/>
      <c r="B304" s="32"/>
      <c r="C304" s="32"/>
      <c r="D304" s="32"/>
      <c r="E304" s="32"/>
      <c r="F304" s="32"/>
      <c r="G304" s="30"/>
      <c r="H304" s="31" t="str">
        <f aca="false">IF(OR(E304="",G304=""),"",E304*G304)</f>
        <v/>
      </c>
      <c r="I304" s="32"/>
      <c r="J304" s="35" t="str">
        <f aca="false">IF(OR(E304="",I304=""),"",IF(E304&lt;=I304,"nachbestellen",""))</f>
        <v/>
      </c>
    </row>
    <row r="305" customFormat="false" ht="15" hidden="false" customHeight="false" outlineLevel="0" collapsed="false">
      <c r="A305" s="32"/>
      <c r="B305" s="32"/>
      <c r="C305" s="32"/>
      <c r="D305" s="32"/>
      <c r="E305" s="32"/>
      <c r="F305" s="32"/>
      <c r="G305" s="30"/>
      <c r="H305" s="31" t="str">
        <f aca="false">IF(OR(E305="",G305=""),"",E305*G305)</f>
        <v/>
      </c>
      <c r="I305" s="32"/>
      <c r="J305" s="35" t="str">
        <f aca="false">IF(OR(E305="",I305=""),"",IF(E305&lt;=I305,"nachbestellen",""))</f>
        <v/>
      </c>
    </row>
    <row r="306" customFormat="false" ht="15" hidden="false" customHeight="false" outlineLevel="0" collapsed="false">
      <c r="A306" s="32"/>
      <c r="B306" s="32"/>
      <c r="C306" s="32"/>
      <c r="D306" s="32"/>
      <c r="E306" s="32"/>
      <c r="F306" s="32"/>
      <c r="G306" s="30"/>
      <c r="H306" s="31" t="str">
        <f aca="false">IF(OR(E306="",G306=""),"",E306*G306)</f>
        <v/>
      </c>
      <c r="I306" s="32"/>
      <c r="J306" s="35" t="str">
        <f aca="false">IF(OR(E306="",I306=""),"",IF(E306&lt;=I306,"nachbestellen",""))</f>
        <v/>
      </c>
    </row>
    <row r="307" customFormat="false" ht="15" hidden="false" customHeight="false" outlineLevel="0" collapsed="false">
      <c r="A307" s="32"/>
      <c r="B307" s="32"/>
      <c r="C307" s="32"/>
      <c r="D307" s="32"/>
      <c r="E307" s="32"/>
      <c r="F307" s="32"/>
      <c r="G307" s="30"/>
      <c r="H307" s="31" t="str">
        <f aca="false">IF(OR(E307="",G307=""),"",E307*G307)</f>
        <v/>
      </c>
      <c r="I307" s="32"/>
      <c r="J307" s="35" t="str">
        <f aca="false">IF(OR(E307="",I307=""),"",IF(E307&lt;=I307,"nachbestellen",""))</f>
        <v/>
      </c>
    </row>
    <row r="308" customFormat="false" ht="15" hidden="false" customHeight="false" outlineLevel="0" collapsed="false">
      <c r="A308" s="32"/>
      <c r="B308" s="32"/>
      <c r="C308" s="32"/>
      <c r="D308" s="32"/>
      <c r="E308" s="32"/>
      <c r="F308" s="32"/>
      <c r="G308" s="30"/>
      <c r="H308" s="31" t="str">
        <f aca="false">IF(OR(E308="",G308=""),"",E308*G308)</f>
        <v/>
      </c>
      <c r="I308" s="32"/>
      <c r="J308" s="35" t="str">
        <f aca="false">IF(OR(E308="",I308=""),"",IF(E308&lt;=I308,"nachbestellen",""))</f>
        <v/>
      </c>
    </row>
    <row r="309" customFormat="false" ht="15" hidden="false" customHeight="false" outlineLevel="0" collapsed="false">
      <c r="A309" s="32"/>
      <c r="B309" s="32"/>
      <c r="C309" s="32"/>
      <c r="D309" s="32"/>
      <c r="E309" s="32"/>
      <c r="F309" s="32"/>
      <c r="G309" s="30"/>
      <c r="H309" s="31" t="str">
        <f aca="false">IF(OR(E309="",G309=""),"",E309*G309)</f>
        <v/>
      </c>
      <c r="I309" s="32"/>
      <c r="J309" s="35" t="str">
        <f aca="false">IF(OR(E309="",I309=""),"",IF(E309&lt;=I309,"nachbestellen",""))</f>
        <v/>
      </c>
    </row>
    <row r="310" customFormat="false" ht="15" hidden="false" customHeight="false" outlineLevel="0" collapsed="false">
      <c r="A310" s="32"/>
      <c r="B310" s="32"/>
      <c r="C310" s="32"/>
      <c r="D310" s="32"/>
      <c r="E310" s="32"/>
      <c r="F310" s="32"/>
      <c r="G310" s="30"/>
      <c r="H310" s="31" t="str">
        <f aca="false">IF(OR(E310="",G310=""),"",E310*G310)</f>
        <v/>
      </c>
      <c r="I310" s="32"/>
      <c r="J310" s="35" t="str">
        <f aca="false">IF(OR(E310="",I310=""),"",IF(E310&lt;=I310,"nachbestellen",""))</f>
        <v/>
      </c>
    </row>
    <row r="311" customFormat="false" ht="15" hidden="false" customHeight="false" outlineLevel="0" collapsed="false">
      <c r="A311" s="32"/>
      <c r="B311" s="32"/>
      <c r="C311" s="32"/>
      <c r="D311" s="32"/>
      <c r="E311" s="32"/>
      <c r="F311" s="32"/>
      <c r="G311" s="30"/>
      <c r="H311" s="31" t="str">
        <f aca="false">IF(OR(E311="",G311=""),"",E311*G311)</f>
        <v/>
      </c>
      <c r="I311" s="32"/>
      <c r="J311" s="35" t="str">
        <f aca="false">IF(OR(E311="",I311=""),"",IF(E311&lt;=I311,"nachbestellen",""))</f>
        <v/>
      </c>
    </row>
    <row r="312" customFormat="false" ht="15" hidden="false" customHeight="false" outlineLevel="0" collapsed="false">
      <c r="A312" s="32"/>
      <c r="B312" s="32"/>
      <c r="C312" s="32"/>
      <c r="D312" s="32"/>
      <c r="E312" s="32"/>
      <c r="F312" s="32"/>
      <c r="G312" s="30"/>
      <c r="H312" s="31" t="str">
        <f aca="false">IF(OR(E312="",G312=""),"",E312*G312)</f>
        <v/>
      </c>
      <c r="I312" s="32"/>
      <c r="J312" s="35" t="str">
        <f aca="false">IF(OR(E312="",I312=""),"",IF(E312&lt;=I312,"nachbestellen",""))</f>
        <v/>
      </c>
    </row>
    <row r="313" customFormat="false" ht="15" hidden="false" customHeight="false" outlineLevel="0" collapsed="false">
      <c r="A313" s="32"/>
      <c r="B313" s="32"/>
      <c r="C313" s="32"/>
      <c r="D313" s="32"/>
      <c r="E313" s="32"/>
      <c r="F313" s="32"/>
      <c r="G313" s="30"/>
      <c r="H313" s="31" t="str">
        <f aca="false">IF(OR(E313="",G313=""),"",E313*G313)</f>
        <v/>
      </c>
      <c r="I313" s="32"/>
      <c r="J313" s="35" t="str">
        <f aca="false">IF(OR(E313="",I313=""),"",IF(E313&lt;=I313,"nachbestellen",""))</f>
        <v/>
      </c>
    </row>
    <row r="314" customFormat="false" ht="15" hidden="false" customHeight="false" outlineLevel="0" collapsed="false">
      <c r="A314" s="32"/>
      <c r="B314" s="32"/>
      <c r="C314" s="32"/>
      <c r="D314" s="32"/>
      <c r="E314" s="32"/>
      <c r="F314" s="32"/>
      <c r="G314" s="30"/>
      <c r="H314" s="31" t="str">
        <f aca="false">IF(OR(E314="",G314=""),"",E314*G314)</f>
        <v/>
      </c>
      <c r="I314" s="32"/>
      <c r="J314" s="35" t="str">
        <f aca="false">IF(OR(E314="",I314=""),"",IF(E314&lt;=I314,"nachbestellen",""))</f>
        <v/>
      </c>
    </row>
    <row r="315" customFormat="false" ht="15" hidden="false" customHeight="false" outlineLevel="0" collapsed="false">
      <c r="A315" s="32"/>
      <c r="B315" s="32"/>
      <c r="C315" s="32"/>
      <c r="D315" s="32"/>
      <c r="E315" s="32"/>
      <c r="F315" s="32"/>
      <c r="G315" s="30"/>
      <c r="H315" s="31" t="str">
        <f aca="false">IF(OR(E315="",G315=""),"",E315*G315)</f>
        <v/>
      </c>
      <c r="I315" s="32"/>
      <c r="J315" s="35" t="str">
        <f aca="false">IF(OR(E315="",I315=""),"",IF(E315&lt;=I315,"nachbestellen",""))</f>
        <v/>
      </c>
    </row>
    <row r="316" customFormat="false" ht="15" hidden="false" customHeight="false" outlineLevel="0" collapsed="false">
      <c r="A316" s="32"/>
      <c r="B316" s="32"/>
      <c r="C316" s="32"/>
      <c r="D316" s="32"/>
      <c r="E316" s="32"/>
      <c r="F316" s="32"/>
      <c r="G316" s="30"/>
      <c r="H316" s="31" t="str">
        <f aca="false">IF(OR(E316="",G316=""),"",E316*G316)</f>
        <v/>
      </c>
      <c r="I316" s="32"/>
      <c r="J316" s="35" t="str">
        <f aca="false">IF(OR(E316="",I316=""),"",IF(E316&lt;=I316,"nachbestellen",""))</f>
        <v/>
      </c>
    </row>
    <row r="317" customFormat="false" ht="15" hidden="false" customHeight="false" outlineLevel="0" collapsed="false">
      <c r="A317" s="32"/>
      <c r="B317" s="32"/>
      <c r="C317" s="32"/>
      <c r="D317" s="32"/>
      <c r="E317" s="32"/>
      <c r="F317" s="32"/>
      <c r="G317" s="30"/>
      <c r="H317" s="31" t="str">
        <f aca="false">IF(OR(E317="",G317=""),"",E317*G317)</f>
        <v/>
      </c>
      <c r="I317" s="32"/>
      <c r="J317" s="35" t="str">
        <f aca="false">IF(OR(E317="",I317=""),"",IF(E317&lt;=I317,"nachbestellen",""))</f>
        <v/>
      </c>
    </row>
    <row r="318" customFormat="false" ht="15" hidden="false" customHeight="false" outlineLevel="0" collapsed="false">
      <c r="A318" s="32"/>
      <c r="B318" s="32"/>
      <c r="C318" s="32"/>
      <c r="D318" s="32"/>
      <c r="E318" s="32"/>
      <c r="F318" s="32"/>
      <c r="G318" s="30"/>
      <c r="H318" s="31" t="str">
        <f aca="false">IF(OR(E318="",G318=""),"",E318*G318)</f>
        <v/>
      </c>
      <c r="I318" s="32"/>
      <c r="J318" s="35" t="str">
        <f aca="false">IF(OR(E318="",I318=""),"",IF(E318&lt;=I318,"nachbestellen",""))</f>
        <v/>
      </c>
    </row>
    <row r="319" customFormat="false" ht="15" hidden="false" customHeight="false" outlineLevel="0" collapsed="false">
      <c r="A319" s="32"/>
      <c r="B319" s="32"/>
      <c r="C319" s="32"/>
      <c r="D319" s="32"/>
      <c r="E319" s="32"/>
      <c r="F319" s="32"/>
      <c r="G319" s="30"/>
      <c r="H319" s="31" t="str">
        <f aca="false">IF(OR(E319="",G319=""),"",E319*G319)</f>
        <v/>
      </c>
      <c r="I319" s="32"/>
      <c r="J319" s="35" t="str">
        <f aca="false">IF(OR(E319="",I319=""),"",IF(E319&lt;=I319,"nachbestellen",""))</f>
        <v/>
      </c>
    </row>
    <row r="320" customFormat="false" ht="15" hidden="false" customHeight="false" outlineLevel="0" collapsed="false">
      <c r="A320" s="32"/>
      <c r="B320" s="32"/>
      <c r="C320" s="32"/>
      <c r="D320" s="32"/>
      <c r="E320" s="32"/>
      <c r="F320" s="32"/>
      <c r="G320" s="30"/>
      <c r="H320" s="31" t="str">
        <f aca="false">IF(OR(E320="",G320=""),"",E320*G320)</f>
        <v/>
      </c>
      <c r="I320" s="32"/>
      <c r="J320" s="35" t="str">
        <f aca="false">IF(OR(E320="",I320=""),"",IF(E320&lt;=I320,"nachbestellen",""))</f>
        <v/>
      </c>
    </row>
    <row r="321" customFormat="false" ht="15" hidden="false" customHeight="false" outlineLevel="0" collapsed="false">
      <c r="A321" s="32"/>
      <c r="B321" s="32"/>
      <c r="C321" s="32"/>
      <c r="D321" s="32"/>
      <c r="E321" s="32"/>
      <c r="F321" s="32"/>
      <c r="G321" s="30"/>
      <c r="H321" s="31" t="str">
        <f aca="false">IF(OR(E321="",G321=""),"",E321*G321)</f>
        <v/>
      </c>
      <c r="I321" s="32"/>
      <c r="J321" s="35" t="str">
        <f aca="false">IF(OR(E321="",I321=""),"",IF(E321&lt;=I321,"nachbestellen",""))</f>
        <v/>
      </c>
    </row>
    <row r="322" customFormat="false" ht="15" hidden="false" customHeight="false" outlineLevel="0" collapsed="false">
      <c r="A322" s="32"/>
      <c r="B322" s="32"/>
      <c r="C322" s="32"/>
      <c r="D322" s="32"/>
      <c r="E322" s="32"/>
      <c r="F322" s="32"/>
      <c r="G322" s="30"/>
      <c r="H322" s="31" t="str">
        <f aca="false">IF(OR(E322="",G322=""),"",E322*G322)</f>
        <v/>
      </c>
      <c r="I322" s="32"/>
      <c r="J322" s="35" t="str">
        <f aca="false">IF(OR(E322="",I322=""),"",IF(E322&lt;=I322,"nachbestellen",""))</f>
        <v/>
      </c>
    </row>
    <row r="323" customFormat="false" ht="15" hidden="false" customHeight="false" outlineLevel="0" collapsed="false">
      <c r="A323" s="32"/>
      <c r="B323" s="32"/>
      <c r="C323" s="32"/>
      <c r="D323" s="32"/>
      <c r="E323" s="32"/>
      <c r="F323" s="32"/>
      <c r="G323" s="30"/>
      <c r="H323" s="31" t="str">
        <f aca="false">IF(OR(E323="",G323=""),"",E323*G323)</f>
        <v/>
      </c>
      <c r="I323" s="32"/>
      <c r="J323" s="35" t="str">
        <f aca="false">IF(OR(E323="",I323=""),"",IF(E323&lt;=I323,"nachbestellen",""))</f>
        <v/>
      </c>
    </row>
    <row r="324" customFormat="false" ht="15" hidden="false" customHeight="false" outlineLevel="0" collapsed="false">
      <c r="A324" s="32"/>
      <c r="B324" s="32"/>
      <c r="C324" s="32"/>
      <c r="D324" s="32"/>
      <c r="E324" s="32"/>
      <c r="F324" s="32"/>
      <c r="G324" s="30"/>
      <c r="H324" s="31" t="str">
        <f aca="false">IF(OR(E324="",G324=""),"",E324*G324)</f>
        <v/>
      </c>
      <c r="I324" s="32"/>
      <c r="J324" s="35" t="str">
        <f aca="false">IF(OR(E324="",I324=""),"",IF(E324&lt;=I324,"nachbestellen",""))</f>
        <v/>
      </c>
    </row>
    <row r="325" customFormat="false" ht="15" hidden="false" customHeight="false" outlineLevel="0" collapsed="false">
      <c r="A325" s="32"/>
      <c r="B325" s="32"/>
      <c r="C325" s="32"/>
      <c r="D325" s="32"/>
      <c r="E325" s="32"/>
      <c r="F325" s="32"/>
      <c r="G325" s="30"/>
      <c r="H325" s="31" t="str">
        <f aca="false">IF(OR(E325="",G325=""),"",E325*G325)</f>
        <v/>
      </c>
      <c r="I325" s="32"/>
      <c r="J325" s="35" t="str">
        <f aca="false">IF(OR(E325="",I325=""),"",IF(E325&lt;=I325,"nachbestellen",""))</f>
        <v/>
      </c>
    </row>
    <row r="326" customFormat="false" ht="15" hidden="false" customHeight="false" outlineLevel="0" collapsed="false">
      <c r="A326" s="32"/>
      <c r="B326" s="32"/>
      <c r="C326" s="32"/>
      <c r="D326" s="32"/>
      <c r="E326" s="32"/>
      <c r="F326" s="32"/>
      <c r="G326" s="30"/>
      <c r="H326" s="31" t="str">
        <f aca="false">IF(OR(E326="",G326=""),"",E326*G326)</f>
        <v/>
      </c>
      <c r="I326" s="32"/>
      <c r="J326" s="35" t="str">
        <f aca="false">IF(OR(E326="",I326=""),"",IF(E326&lt;=I326,"nachbestellen",""))</f>
        <v/>
      </c>
    </row>
    <row r="327" customFormat="false" ht="15" hidden="false" customHeight="false" outlineLevel="0" collapsed="false">
      <c r="A327" s="32"/>
      <c r="B327" s="32"/>
      <c r="C327" s="32"/>
      <c r="D327" s="32"/>
      <c r="E327" s="32"/>
      <c r="F327" s="32"/>
      <c r="G327" s="30"/>
      <c r="H327" s="31" t="str">
        <f aca="false">IF(OR(E327="",G327=""),"",E327*G327)</f>
        <v/>
      </c>
      <c r="I327" s="32"/>
      <c r="J327" s="35" t="str">
        <f aca="false">IF(OR(E327="",I327=""),"",IF(E327&lt;=I327,"nachbestellen",""))</f>
        <v/>
      </c>
    </row>
    <row r="328" customFormat="false" ht="15" hidden="false" customHeight="false" outlineLevel="0" collapsed="false">
      <c r="A328" s="32"/>
      <c r="B328" s="32"/>
      <c r="C328" s="32"/>
      <c r="D328" s="32"/>
      <c r="E328" s="32"/>
      <c r="F328" s="32"/>
      <c r="G328" s="30"/>
      <c r="H328" s="31" t="str">
        <f aca="false">IF(OR(E328="",G328=""),"",E328*G328)</f>
        <v/>
      </c>
      <c r="I328" s="32"/>
      <c r="J328" s="35" t="str">
        <f aca="false">IF(OR(E328="",I328=""),"",IF(E328&lt;=I328,"nachbestellen",""))</f>
        <v/>
      </c>
    </row>
    <row r="329" customFormat="false" ht="15" hidden="false" customHeight="false" outlineLevel="0" collapsed="false">
      <c r="A329" s="32"/>
      <c r="B329" s="32"/>
      <c r="C329" s="32"/>
      <c r="D329" s="32"/>
      <c r="E329" s="32"/>
      <c r="F329" s="32"/>
      <c r="G329" s="30"/>
      <c r="H329" s="31" t="str">
        <f aca="false">IF(OR(E329="",G329=""),"",E329*G329)</f>
        <v/>
      </c>
      <c r="I329" s="32"/>
      <c r="J329" s="35" t="str">
        <f aca="false">IF(OR(E329="",I329=""),"",IF(E329&lt;=I329,"nachbestellen",""))</f>
        <v/>
      </c>
    </row>
    <row r="330" customFormat="false" ht="15" hidden="false" customHeight="false" outlineLevel="0" collapsed="false">
      <c r="A330" s="32"/>
      <c r="B330" s="32"/>
      <c r="C330" s="32"/>
      <c r="D330" s="32"/>
      <c r="E330" s="32"/>
      <c r="F330" s="32"/>
      <c r="G330" s="30"/>
      <c r="H330" s="31" t="str">
        <f aca="false">IF(OR(E330="",G330=""),"",E330*G330)</f>
        <v/>
      </c>
      <c r="I330" s="32"/>
      <c r="J330" s="35" t="str">
        <f aca="false">IF(OR(E330="",I330=""),"",IF(E330&lt;=I330,"nachbestellen",""))</f>
        <v/>
      </c>
    </row>
    <row r="331" customFormat="false" ht="15" hidden="false" customHeight="false" outlineLevel="0" collapsed="false">
      <c r="A331" s="32"/>
      <c r="B331" s="32"/>
      <c r="C331" s="32"/>
      <c r="D331" s="32"/>
      <c r="E331" s="32"/>
      <c r="F331" s="32"/>
      <c r="G331" s="30"/>
      <c r="H331" s="31" t="str">
        <f aca="false">IF(OR(E331="",G331=""),"",E331*G331)</f>
        <v/>
      </c>
      <c r="I331" s="32"/>
      <c r="J331" s="35" t="str">
        <f aca="false">IF(OR(E331="",I331=""),"",IF(E331&lt;=I331,"nachbestellen",""))</f>
        <v/>
      </c>
    </row>
    <row r="332" customFormat="false" ht="15" hidden="false" customHeight="false" outlineLevel="0" collapsed="false">
      <c r="A332" s="32"/>
      <c r="B332" s="32"/>
      <c r="C332" s="32"/>
      <c r="D332" s="32"/>
      <c r="E332" s="32"/>
      <c r="F332" s="32"/>
      <c r="G332" s="30"/>
      <c r="H332" s="31" t="str">
        <f aca="false">IF(OR(E332="",G332=""),"",E332*G332)</f>
        <v/>
      </c>
      <c r="I332" s="32"/>
      <c r="J332" s="35" t="str">
        <f aca="false">IF(OR(E332="",I332=""),"",IF(E332&lt;=I332,"nachbestellen",""))</f>
        <v/>
      </c>
    </row>
    <row r="333" customFormat="false" ht="15" hidden="false" customHeight="false" outlineLevel="0" collapsed="false">
      <c r="A333" s="32"/>
      <c r="B333" s="32"/>
      <c r="C333" s="32"/>
      <c r="D333" s="32"/>
      <c r="E333" s="32"/>
      <c r="F333" s="32"/>
      <c r="G333" s="30"/>
      <c r="H333" s="31" t="str">
        <f aca="false">IF(OR(E333="",G333=""),"",E333*G333)</f>
        <v/>
      </c>
      <c r="I333" s="32"/>
      <c r="J333" s="35" t="str">
        <f aca="false">IF(OR(E333="",I333=""),"",IF(E333&lt;=I333,"nachbestellen",""))</f>
        <v/>
      </c>
    </row>
    <row r="334" customFormat="false" ht="15" hidden="false" customHeight="false" outlineLevel="0" collapsed="false">
      <c r="A334" s="32"/>
      <c r="B334" s="32"/>
      <c r="C334" s="32"/>
      <c r="D334" s="32"/>
      <c r="E334" s="32"/>
      <c r="F334" s="32"/>
      <c r="G334" s="30"/>
      <c r="H334" s="31" t="str">
        <f aca="false">IF(OR(E334="",G334=""),"",E334*G334)</f>
        <v/>
      </c>
      <c r="I334" s="32"/>
      <c r="J334" s="35" t="str">
        <f aca="false">IF(OR(E334="",I334=""),"",IF(E334&lt;=I334,"nachbestellen",""))</f>
        <v/>
      </c>
    </row>
    <row r="335" customFormat="false" ht="15" hidden="false" customHeight="false" outlineLevel="0" collapsed="false">
      <c r="A335" s="32"/>
      <c r="B335" s="32"/>
      <c r="C335" s="32"/>
      <c r="D335" s="32"/>
      <c r="E335" s="32"/>
      <c r="F335" s="32"/>
      <c r="G335" s="30"/>
      <c r="H335" s="31" t="str">
        <f aca="false">IF(OR(E335="",G335=""),"",E335*G335)</f>
        <v/>
      </c>
      <c r="I335" s="32"/>
      <c r="J335" s="35" t="str">
        <f aca="false">IF(OR(E335="",I335=""),"",IF(E335&lt;=I335,"nachbestellen",""))</f>
        <v/>
      </c>
    </row>
    <row r="336" customFormat="false" ht="15" hidden="false" customHeight="false" outlineLevel="0" collapsed="false">
      <c r="A336" s="32"/>
      <c r="B336" s="32"/>
      <c r="C336" s="32"/>
      <c r="D336" s="32"/>
      <c r="E336" s="32"/>
      <c r="F336" s="32"/>
      <c r="G336" s="30"/>
      <c r="H336" s="31" t="str">
        <f aca="false">IF(OR(E336="",G336=""),"",E336*G336)</f>
        <v/>
      </c>
      <c r="I336" s="32"/>
      <c r="J336" s="35" t="str">
        <f aca="false">IF(OR(E336="",I336=""),"",IF(E336&lt;=I336,"nachbestellen",""))</f>
        <v/>
      </c>
    </row>
    <row r="337" customFormat="false" ht="15" hidden="false" customHeight="false" outlineLevel="0" collapsed="false">
      <c r="A337" s="32"/>
      <c r="B337" s="32"/>
      <c r="C337" s="32"/>
      <c r="D337" s="32"/>
      <c r="E337" s="32"/>
      <c r="F337" s="32"/>
      <c r="G337" s="30"/>
      <c r="H337" s="31" t="str">
        <f aca="false">IF(OR(E337="",G337=""),"",E337*G337)</f>
        <v/>
      </c>
      <c r="I337" s="32"/>
      <c r="J337" s="35" t="str">
        <f aca="false">IF(OR(E337="",I337=""),"",IF(E337&lt;=I337,"nachbestellen",""))</f>
        <v/>
      </c>
    </row>
    <row r="338" customFormat="false" ht="15" hidden="false" customHeight="false" outlineLevel="0" collapsed="false">
      <c r="A338" s="32"/>
      <c r="B338" s="32"/>
      <c r="C338" s="32"/>
      <c r="D338" s="32"/>
      <c r="E338" s="32"/>
      <c r="F338" s="32"/>
      <c r="G338" s="30"/>
      <c r="H338" s="31" t="str">
        <f aca="false">IF(OR(E338="",G338=""),"",E338*G338)</f>
        <v/>
      </c>
      <c r="I338" s="32"/>
      <c r="J338" s="35" t="str">
        <f aca="false">IF(OR(E338="",I338=""),"",IF(E338&lt;=I338,"nachbestellen",""))</f>
        <v/>
      </c>
    </row>
    <row r="339" customFormat="false" ht="15" hidden="false" customHeight="false" outlineLevel="0" collapsed="false">
      <c r="A339" s="32"/>
      <c r="B339" s="32"/>
      <c r="C339" s="32"/>
      <c r="D339" s="32"/>
      <c r="E339" s="32"/>
      <c r="F339" s="32"/>
      <c r="G339" s="30"/>
      <c r="H339" s="31" t="str">
        <f aca="false">IF(OR(E339="",G339=""),"",E339*G339)</f>
        <v/>
      </c>
      <c r="I339" s="32"/>
      <c r="J339" s="35" t="str">
        <f aca="false">IF(OR(E339="",I339=""),"",IF(E339&lt;=I339,"nachbestellen",""))</f>
        <v/>
      </c>
    </row>
    <row r="340" customFormat="false" ht="15" hidden="false" customHeight="false" outlineLevel="0" collapsed="false">
      <c r="A340" s="32"/>
      <c r="B340" s="32"/>
      <c r="C340" s="32"/>
      <c r="D340" s="32"/>
      <c r="E340" s="32"/>
      <c r="F340" s="32"/>
      <c r="G340" s="30"/>
      <c r="H340" s="31" t="str">
        <f aca="false">IF(OR(E340="",G340=""),"",E340*G340)</f>
        <v/>
      </c>
      <c r="I340" s="32"/>
      <c r="J340" s="35" t="str">
        <f aca="false">IF(OR(E340="",I340=""),"",IF(E340&lt;=I340,"nachbestellen",""))</f>
        <v/>
      </c>
    </row>
    <row r="341" customFormat="false" ht="15" hidden="false" customHeight="false" outlineLevel="0" collapsed="false">
      <c r="A341" s="32"/>
      <c r="B341" s="32"/>
      <c r="C341" s="32"/>
      <c r="D341" s="32"/>
      <c r="E341" s="32"/>
      <c r="F341" s="32"/>
      <c r="G341" s="30"/>
      <c r="H341" s="31" t="str">
        <f aca="false">IF(OR(E341="",G341=""),"",E341*G341)</f>
        <v/>
      </c>
      <c r="I341" s="32"/>
      <c r="J341" s="35" t="str">
        <f aca="false">IF(OR(E341="",I341=""),"",IF(E341&lt;=I341,"nachbestellen",""))</f>
        <v/>
      </c>
    </row>
    <row r="342" customFormat="false" ht="15" hidden="false" customHeight="false" outlineLevel="0" collapsed="false">
      <c r="A342" s="32"/>
      <c r="B342" s="32"/>
      <c r="C342" s="32"/>
      <c r="D342" s="32"/>
      <c r="E342" s="32"/>
      <c r="F342" s="32"/>
      <c r="G342" s="30"/>
      <c r="H342" s="31" t="str">
        <f aca="false">IF(OR(E342="",G342=""),"",E342*G342)</f>
        <v/>
      </c>
      <c r="I342" s="32"/>
      <c r="J342" s="35" t="str">
        <f aca="false">IF(OR(E342="",I342=""),"",IF(E342&lt;=I342,"nachbestellen",""))</f>
        <v/>
      </c>
    </row>
    <row r="343" customFormat="false" ht="15" hidden="false" customHeight="false" outlineLevel="0" collapsed="false">
      <c r="A343" s="32"/>
      <c r="B343" s="32"/>
      <c r="C343" s="32"/>
      <c r="D343" s="32"/>
      <c r="E343" s="32"/>
      <c r="F343" s="32"/>
      <c r="G343" s="30"/>
      <c r="H343" s="31" t="str">
        <f aca="false">IF(OR(E343="",G343=""),"",E343*G343)</f>
        <v/>
      </c>
      <c r="I343" s="32"/>
      <c r="J343" s="35" t="str">
        <f aca="false">IF(OR(E343="",I343=""),"",IF(E343&lt;=I343,"nachbestellen",""))</f>
        <v/>
      </c>
    </row>
    <row r="344" customFormat="false" ht="15" hidden="false" customHeight="false" outlineLevel="0" collapsed="false">
      <c r="A344" s="32"/>
      <c r="B344" s="32"/>
      <c r="C344" s="32"/>
      <c r="D344" s="32"/>
      <c r="E344" s="32"/>
      <c r="F344" s="32"/>
      <c r="G344" s="30"/>
      <c r="H344" s="31" t="str">
        <f aca="false">IF(OR(E344="",G344=""),"",E344*G344)</f>
        <v/>
      </c>
      <c r="I344" s="32"/>
      <c r="J344" s="35" t="str">
        <f aca="false">IF(OR(E344="",I344=""),"",IF(E344&lt;=I344,"nachbestellen",""))</f>
        <v/>
      </c>
    </row>
    <row r="345" customFormat="false" ht="15" hidden="false" customHeight="false" outlineLevel="0" collapsed="false">
      <c r="A345" s="32"/>
      <c r="B345" s="32"/>
      <c r="C345" s="32"/>
      <c r="D345" s="32"/>
      <c r="E345" s="32"/>
      <c r="F345" s="32"/>
      <c r="G345" s="30"/>
      <c r="H345" s="31" t="str">
        <f aca="false">IF(OR(E345="",G345=""),"",E345*G345)</f>
        <v/>
      </c>
      <c r="I345" s="32"/>
      <c r="J345" s="35" t="str">
        <f aca="false">IF(OR(E345="",I345=""),"",IF(E345&lt;=I345,"nachbestellen",""))</f>
        <v/>
      </c>
    </row>
    <row r="346" customFormat="false" ht="15" hidden="false" customHeight="false" outlineLevel="0" collapsed="false">
      <c r="A346" s="32"/>
      <c r="B346" s="32"/>
      <c r="C346" s="32"/>
      <c r="D346" s="32"/>
      <c r="E346" s="32"/>
      <c r="F346" s="32"/>
      <c r="G346" s="30"/>
      <c r="H346" s="31" t="str">
        <f aca="false">IF(OR(E346="",G346=""),"",E346*G346)</f>
        <v/>
      </c>
      <c r="I346" s="32"/>
      <c r="J346" s="35" t="str">
        <f aca="false">IF(OR(E346="",I346=""),"",IF(E346&lt;=I346,"nachbestellen",""))</f>
        <v/>
      </c>
    </row>
    <row r="347" customFormat="false" ht="15" hidden="false" customHeight="false" outlineLevel="0" collapsed="false">
      <c r="A347" s="32"/>
      <c r="B347" s="32"/>
      <c r="C347" s="32"/>
      <c r="D347" s="32"/>
      <c r="E347" s="32"/>
      <c r="F347" s="32"/>
      <c r="G347" s="30"/>
      <c r="H347" s="31" t="str">
        <f aca="false">IF(OR(E347="",G347=""),"",E347*G347)</f>
        <v/>
      </c>
      <c r="I347" s="32"/>
      <c r="J347" s="35" t="str">
        <f aca="false">IF(OR(E347="",I347=""),"",IF(E347&lt;=I347,"nachbestellen",""))</f>
        <v/>
      </c>
    </row>
    <row r="348" customFormat="false" ht="15" hidden="false" customHeight="false" outlineLevel="0" collapsed="false">
      <c r="A348" s="32"/>
      <c r="B348" s="32"/>
      <c r="C348" s="32"/>
      <c r="D348" s="32"/>
      <c r="E348" s="32"/>
      <c r="F348" s="32"/>
      <c r="G348" s="30"/>
      <c r="H348" s="31" t="str">
        <f aca="false">IF(OR(E348="",G348=""),"",E348*G348)</f>
        <v/>
      </c>
      <c r="I348" s="32"/>
      <c r="J348" s="35" t="str">
        <f aca="false">IF(OR(E348="",I348=""),"",IF(E348&lt;=I348,"nachbestellen",""))</f>
        <v/>
      </c>
    </row>
    <row r="349" customFormat="false" ht="15" hidden="false" customHeight="false" outlineLevel="0" collapsed="false">
      <c r="A349" s="32"/>
      <c r="B349" s="32"/>
      <c r="C349" s="32"/>
      <c r="D349" s="32"/>
      <c r="E349" s="32"/>
      <c r="F349" s="32"/>
      <c r="G349" s="30"/>
      <c r="H349" s="31" t="str">
        <f aca="false">IF(OR(E349="",G349=""),"",E349*G349)</f>
        <v/>
      </c>
      <c r="I349" s="32"/>
      <c r="J349" s="35" t="str">
        <f aca="false">IF(OR(E349="",I349=""),"",IF(E349&lt;=I349,"nachbestellen",""))</f>
        <v/>
      </c>
    </row>
    <row r="350" customFormat="false" ht="15" hidden="false" customHeight="false" outlineLevel="0" collapsed="false">
      <c r="A350" s="32"/>
      <c r="B350" s="32"/>
      <c r="C350" s="32"/>
      <c r="D350" s="32"/>
      <c r="E350" s="32"/>
      <c r="F350" s="32"/>
      <c r="G350" s="30"/>
      <c r="H350" s="31" t="str">
        <f aca="false">IF(OR(E350="",G350=""),"",E350*G350)</f>
        <v/>
      </c>
      <c r="I350" s="32"/>
      <c r="J350" s="35" t="str">
        <f aca="false">IF(OR(E350="",I350=""),"",IF(E350&lt;=I350,"nachbestellen",""))</f>
        <v/>
      </c>
    </row>
    <row r="351" customFormat="false" ht="15" hidden="false" customHeight="false" outlineLevel="0" collapsed="false">
      <c r="A351" s="32"/>
      <c r="B351" s="32"/>
      <c r="C351" s="32"/>
      <c r="D351" s="32"/>
      <c r="E351" s="32"/>
      <c r="F351" s="32"/>
      <c r="G351" s="30"/>
      <c r="H351" s="31" t="str">
        <f aca="false">IF(OR(E351="",G351=""),"",E351*G351)</f>
        <v/>
      </c>
      <c r="I351" s="32"/>
      <c r="J351" s="35" t="str">
        <f aca="false">IF(OR(E351="",I351=""),"",IF(E351&lt;=I351,"nachbestellen",""))</f>
        <v/>
      </c>
    </row>
    <row r="352" customFormat="false" ht="15" hidden="false" customHeight="false" outlineLevel="0" collapsed="false">
      <c r="A352" s="32"/>
      <c r="B352" s="32"/>
      <c r="C352" s="32"/>
      <c r="D352" s="32"/>
      <c r="E352" s="32"/>
      <c r="F352" s="32"/>
      <c r="G352" s="30"/>
      <c r="H352" s="31" t="str">
        <f aca="false">IF(OR(E352="",G352=""),"",E352*G352)</f>
        <v/>
      </c>
      <c r="I352" s="32"/>
      <c r="J352" s="35" t="str">
        <f aca="false">IF(OR(E352="",I352=""),"",IF(E352&lt;=I352,"nachbestellen",""))</f>
        <v/>
      </c>
    </row>
    <row r="353" customFormat="false" ht="15" hidden="false" customHeight="false" outlineLevel="0" collapsed="false">
      <c r="A353" s="32"/>
      <c r="B353" s="32"/>
      <c r="C353" s="32"/>
      <c r="D353" s="32"/>
      <c r="E353" s="32"/>
      <c r="F353" s="32"/>
      <c r="G353" s="30"/>
      <c r="H353" s="31" t="str">
        <f aca="false">IF(OR(E353="",G353=""),"",E353*G353)</f>
        <v/>
      </c>
      <c r="I353" s="32"/>
      <c r="J353" s="35" t="str">
        <f aca="false">IF(OR(E353="",I353=""),"",IF(E353&lt;=I353,"nachbestellen",""))</f>
        <v/>
      </c>
    </row>
    <row r="354" customFormat="false" ht="15" hidden="false" customHeight="false" outlineLevel="0" collapsed="false">
      <c r="A354" s="32"/>
      <c r="B354" s="32"/>
      <c r="C354" s="32"/>
      <c r="D354" s="32"/>
      <c r="E354" s="32"/>
      <c r="F354" s="32"/>
      <c r="G354" s="30"/>
      <c r="H354" s="31" t="str">
        <f aca="false">IF(OR(E354="",G354=""),"",E354*G354)</f>
        <v/>
      </c>
      <c r="I354" s="32"/>
      <c r="J354" s="35" t="str">
        <f aca="false">IF(OR(E354="",I354=""),"",IF(E354&lt;=I354,"nachbestellen",""))</f>
        <v/>
      </c>
    </row>
    <row r="355" customFormat="false" ht="15" hidden="false" customHeight="false" outlineLevel="0" collapsed="false">
      <c r="A355" s="32"/>
      <c r="B355" s="32"/>
      <c r="C355" s="32"/>
      <c r="D355" s="32"/>
      <c r="E355" s="32"/>
      <c r="F355" s="32"/>
      <c r="G355" s="30"/>
      <c r="H355" s="31" t="str">
        <f aca="false">IF(OR(E355="",G355=""),"",E355*G355)</f>
        <v/>
      </c>
      <c r="I355" s="32"/>
      <c r="J355" s="35" t="str">
        <f aca="false">IF(OR(E355="",I355=""),"",IF(E355&lt;=I355,"nachbestellen",""))</f>
        <v/>
      </c>
    </row>
    <row r="356" customFormat="false" ht="15" hidden="false" customHeight="false" outlineLevel="0" collapsed="false">
      <c r="A356" s="32"/>
      <c r="B356" s="32"/>
      <c r="C356" s="32"/>
      <c r="D356" s="32"/>
      <c r="E356" s="32"/>
      <c r="F356" s="32"/>
      <c r="G356" s="30"/>
      <c r="H356" s="31" t="str">
        <f aca="false">IF(OR(E356="",G356=""),"",E356*G356)</f>
        <v/>
      </c>
      <c r="I356" s="32"/>
      <c r="J356" s="35" t="str">
        <f aca="false">IF(OR(E356="",I356=""),"",IF(E356&lt;=I356,"nachbestellen",""))</f>
        <v/>
      </c>
    </row>
    <row r="357" customFormat="false" ht="15" hidden="false" customHeight="false" outlineLevel="0" collapsed="false">
      <c r="A357" s="32"/>
      <c r="B357" s="32"/>
      <c r="C357" s="32"/>
      <c r="D357" s="32"/>
      <c r="E357" s="32"/>
      <c r="F357" s="32"/>
      <c r="G357" s="30"/>
      <c r="H357" s="31" t="str">
        <f aca="false">IF(OR(E357="",G357=""),"",E357*G357)</f>
        <v/>
      </c>
      <c r="I357" s="32"/>
      <c r="J357" s="35" t="str">
        <f aca="false">IF(OR(E357="",I357=""),"",IF(E357&lt;=I357,"nachbestellen",""))</f>
        <v/>
      </c>
    </row>
    <row r="358" customFormat="false" ht="15" hidden="false" customHeight="false" outlineLevel="0" collapsed="false">
      <c r="A358" s="32"/>
      <c r="B358" s="32"/>
      <c r="C358" s="32"/>
      <c r="D358" s="32"/>
      <c r="E358" s="32"/>
      <c r="F358" s="32"/>
      <c r="G358" s="30"/>
      <c r="H358" s="31" t="str">
        <f aca="false">IF(OR(E358="",G358=""),"",E358*G358)</f>
        <v/>
      </c>
      <c r="I358" s="32"/>
      <c r="J358" s="35" t="str">
        <f aca="false">IF(OR(E358="",I358=""),"",IF(E358&lt;=I358,"nachbestellen",""))</f>
        <v/>
      </c>
    </row>
    <row r="359" customFormat="false" ht="15" hidden="false" customHeight="false" outlineLevel="0" collapsed="false">
      <c r="A359" s="32"/>
      <c r="B359" s="32"/>
      <c r="C359" s="32"/>
      <c r="D359" s="32"/>
      <c r="E359" s="32"/>
      <c r="F359" s="32"/>
      <c r="G359" s="30"/>
      <c r="H359" s="31" t="str">
        <f aca="false">IF(OR(E359="",G359=""),"",E359*G359)</f>
        <v/>
      </c>
      <c r="I359" s="32"/>
      <c r="J359" s="35" t="str">
        <f aca="false">IF(OR(E359="",I359=""),"",IF(E359&lt;=I359,"nachbestellen",""))</f>
        <v/>
      </c>
    </row>
    <row r="360" customFormat="false" ht="15" hidden="false" customHeight="false" outlineLevel="0" collapsed="false">
      <c r="A360" s="32"/>
      <c r="B360" s="32"/>
      <c r="C360" s="32"/>
      <c r="D360" s="32"/>
      <c r="E360" s="32"/>
      <c r="F360" s="32"/>
      <c r="G360" s="30"/>
      <c r="H360" s="31" t="str">
        <f aca="false">IF(OR(E360="",G360=""),"",E360*G360)</f>
        <v/>
      </c>
      <c r="I360" s="32"/>
      <c r="J360" s="35" t="str">
        <f aca="false">IF(OR(E360="",I360=""),"",IF(E360&lt;=I360,"nachbestellen",""))</f>
        <v/>
      </c>
    </row>
    <row r="361" customFormat="false" ht="15" hidden="false" customHeight="false" outlineLevel="0" collapsed="false">
      <c r="A361" s="32"/>
      <c r="B361" s="32"/>
      <c r="C361" s="32"/>
      <c r="D361" s="32"/>
      <c r="E361" s="32"/>
      <c r="F361" s="32"/>
      <c r="G361" s="30"/>
      <c r="H361" s="31" t="str">
        <f aca="false">IF(OR(E361="",G361=""),"",E361*G361)</f>
        <v/>
      </c>
      <c r="I361" s="32"/>
      <c r="J361" s="35" t="str">
        <f aca="false">IF(OR(E361="",I361=""),"",IF(E361&lt;=I361,"nachbestellen",""))</f>
        <v/>
      </c>
    </row>
    <row r="362" customFormat="false" ht="15" hidden="false" customHeight="false" outlineLevel="0" collapsed="false">
      <c r="A362" s="32"/>
      <c r="B362" s="32"/>
      <c r="C362" s="32"/>
      <c r="D362" s="32"/>
      <c r="E362" s="32"/>
      <c r="F362" s="32"/>
      <c r="G362" s="30"/>
      <c r="H362" s="31" t="str">
        <f aca="false">IF(OR(E362="",G362=""),"",E362*G362)</f>
        <v/>
      </c>
      <c r="I362" s="32"/>
      <c r="J362" s="35" t="str">
        <f aca="false">IF(OR(E362="",I362=""),"",IF(E362&lt;=I362,"nachbestellen",""))</f>
        <v/>
      </c>
    </row>
    <row r="363" customFormat="false" ht="15" hidden="false" customHeight="false" outlineLevel="0" collapsed="false">
      <c r="A363" s="32"/>
      <c r="B363" s="32"/>
      <c r="C363" s="32"/>
      <c r="D363" s="32"/>
      <c r="E363" s="32"/>
      <c r="F363" s="32"/>
      <c r="G363" s="30"/>
      <c r="H363" s="31" t="str">
        <f aca="false">IF(OR(E363="",G363=""),"",E363*G363)</f>
        <v/>
      </c>
      <c r="I363" s="32"/>
      <c r="J363" s="35" t="str">
        <f aca="false">IF(OR(E363="",I363=""),"",IF(E363&lt;=I363,"nachbestellen",""))</f>
        <v/>
      </c>
    </row>
    <row r="364" customFormat="false" ht="15" hidden="false" customHeight="false" outlineLevel="0" collapsed="false">
      <c r="A364" s="32"/>
      <c r="B364" s="32"/>
      <c r="C364" s="32"/>
      <c r="D364" s="32"/>
      <c r="E364" s="32"/>
      <c r="F364" s="32"/>
      <c r="G364" s="30"/>
      <c r="H364" s="31" t="str">
        <f aca="false">IF(OR(E364="",G364=""),"",E364*G364)</f>
        <v/>
      </c>
      <c r="I364" s="32"/>
      <c r="J364" s="35" t="str">
        <f aca="false">IF(OR(E364="",I364=""),"",IF(E364&lt;=I364,"nachbestellen",""))</f>
        <v/>
      </c>
    </row>
    <row r="365" customFormat="false" ht="15" hidden="false" customHeight="false" outlineLevel="0" collapsed="false">
      <c r="A365" s="32"/>
      <c r="B365" s="32"/>
      <c r="C365" s="32"/>
      <c r="D365" s="32"/>
      <c r="E365" s="32"/>
      <c r="F365" s="32"/>
      <c r="G365" s="30"/>
      <c r="H365" s="31" t="str">
        <f aca="false">IF(OR(E365="",G365=""),"",E365*G365)</f>
        <v/>
      </c>
      <c r="I365" s="32"/>
      <c r="J365" s="35" t="str">
        <f aca="false">IF(OR(E365="",I365=""),"",IF(E365&lt;=I365,"nachbestellen",""))</f>
        <v/>
      </c>
    </row>
    <row r="366" customFormat="false" ht="15" hidden="false" customHeight="false" outlineLevel="0" collapsed="false">
      <c r="A366" s="32"/>
      <c r="B366" s="32"/>
      <c r="C366" s="32"/>
      <c r="D366" s="32"/>
      <c r="E366" s="32"/>
      <c r="F366" s="32"/>
      <c r="G366" s="30"/>
      <c r="H366" s="31" t="str">
        <f aca="false">IF(OR(E366="",G366=""),"",E366*G366)</f>
        <v/>
      </c>
      <c r="I366" s="32"/>
      <c r="J366" s="35" t="str">
        <f aca="false">IF(OR(E366="",I366=""),"",IF(E366&lt;=I366,"nachbestellen",""))</f>
        <v/>
      </c>
    </row>
    <row r="367" customFormat="false" ht="15" hidden="false" customHeight="false" outlineLevel="0" collapsed="false">
      <c r="A367" s="32"/>
      <c r="B367" s="32"/>
      <c r="C367" s="32"/>
      <c r="D367" s="32"/>
      <c r="E367" s="32"/>
      <c r="F367" s="32"/>
      <c r="G367" s="30"/>
      <c r="H367" s="31" t="str">
        <f aca="false">IF(OR(E367="",G367=""),"",E367*G367)</f>
        <v/>
      </c>
      <c r="I367" s="32"/>
      <c r="J367" s="35" t="str">
        <f aca="false">IF(OR(E367="",I367=""),"",IF(E367&lt;=I367,"nachbestellen",""))</f>
        <v/>
      </c>
    </row>
    <row r="368" customFormat="false" ht="15" hidden="false" customHeight="false" outlineLevel="0" collapsed="false">
      <c r="A368" s="32"/>
      <c r="B368" s="32"/>
      <c r="C368" s="32"/>
      <c r="D368" s="32"/>
      <c r="E368" s="32"/>
      <c r="F368" s="32"/>
      <c r="G368" s="30"/>
      <c r="H368" s="31" t="str">
        <f aca="false">IF(OR(E368="",G368=""),"",E368*G368)</f>
        <v/>
      </c>
      <c r="I368" s="32"/>
      <c r="J368" s="35" t="str">
        <f aca="false">IF(OR(E368="",I368=""),"",IF(E368&lt;=I368,"nachbestellen",""))</f>
        <v/>
      </c>
    </row>
    <row r="369" customFormat="false" ht="15" hidden="false" customHeight="false" outlineLevel="0" collapsed="false">
      <c r="A369" s="32"/>
      <c r="B369" s="32"/>
      <c r="C369" s="32"/>
      <c r="D369" s="32"/>
      <c r="E369" s="32"/>
      <c r="F369" s="32"/>
      <c r="G369" s="30"/>
      <c r="H369" s="31" t="str">
        <f aca="false">IF(OR(E369="",G369=""),"",E369*G369)</f>
        <v/>
      </c>
      <c r="I369" s="32"/>
      <c r="J369" s="35" t="str">
        <f aca="false">IF(OR(E369="",I369=""),"",IF(E369&lt;=I369,"nachbestellen",""))</f>
        <v/>
      </c>
    </row>
    <row r="370" customFormat="false" ht="15" hidden="false" customHeight="false" outlineLevel="0" collapsed="false">
      <c r="A370" s="32"/>
      <c r="B370" s="32"/>
      <c r="C370" s="32"/>
      <c r="D370" s="32"/>
      <c r="E370" s="32"/>
      <c r="F370" s="32"/>
      <c r="G370" s="30"/>
      <c r="H370" s="31" t="str">
        <f aca="false">IF(OR(E370="",G370=""),"",E370*G370)</f>
        <v/>
      </c>
      <c r="I370" s="32"/>
      <c r="J370" s="35" t="str">
        <f aca="false">IF(OR(E370="",I370=""),"",IF(E370&lt;=I370,"nachbestellen",""))</f>
        <v/>
      </c>
    </row>
    <row r="371" customFormat="false" ht="15" hidden="false" customHeight="false" outlineLevel="0" collapsed="false">
      <c r="A371" s="32"/>
      <c r="B371" s="32"/>
      <c r="C371" s="32"/>
      <c r="D371" s="32"/>
      <c r="E371" s="32"/>
      <c r="F371" s="32"/>
      <c r="G371" s="30"/>
      <c r="H371" s="31" t="str">
        <f aca="false">IF(OR(E371="",G371=""),"",E371*G371)</f>
        <v/>
      </c>
      <c r="I371" s="32"/>
      <c r="J371" s="35" t="str">
        <f aca="false">IF(OR(E371="",I371=""),"",IF(E371&lt;=I371,"nachbestellen",""))</f>
        <v/>
      </c>
    </row>
    <row r="372" customFormat="false" ht="15" hidden="false" customHeight="false" outlineLevel="0" collapsed="false">
      <c r="A372" s="32"/>
      <c r="B372" s="32"/>
      <c r="C372" s="32"/>
      <c r="D372" s="32"/>
      <c r="E372" s="32"/>
      <c r="F372" s="32"/>
      <c r="G372" s="30"/>
      <c r="H372" s="31" t="str">
        <f aca="false">IF(OR(E372="",G372=""),"",E372*G372)</f>
        <v/>
      </c>
      <c r="I372" s="32"/>
      <c r="J372" s="35" t="str">
        <f aca="false">IF(OR(E372="",I372=""),"",IF(E372&lt;=I372,"nachbestellen",""))</f>
        <v/>
      </c>
    </row>
    <row r="373" customFormat="false" ht="15" hidden="false" customHeight="false" outlineLevel="0" collapsed="false">
      <c r="A373" s="32"/>
      <c r="B373" s="32"/>
      <c r="C373" s="32"/>
      <c r="D373" s="32"/>
      <c r="E373" s="32"/>
      <c r="F373" s="32"/>
      <c r="G373" s="30"/>
      <c r="H373" s="31" t="str">
        <f aca="false">IF(OR(E373="",G373=""),"",E373*G373)</f>
        <v/>
      </c>
      <c r="I373" s="32"/>
      <c r="J373" s="35" t="str">
        <f aca="false">IF(OR(E373="",I373=""),"",IF(E373&lt;=I373,"nachbestellen",""))</f>
        <v/>
      </c>
    </row>
    <row r="374" customFormat="false" ht="15" hidden="false" customHeight="false" outlineLevel="0" collapsed="false">
      <c r="A374" s="32"/>
      <c r="B374" s="32"/>
      <c r="C374" s="32"/>
      <c r="D374" s="32"/>
      <c r="E374" s="32"/>
      <c r="F374" s="32"/>
      <c r="G374" s="30"/>
      <c r="H374" s="31" t="str">
        <f aca="false">IF(OR(E374="",G374=""),"",E374*G374)</f>
        <v/>
      </c>
      <c r="I374" s="32"/>
      <c r="J374" s="35" t="str">
        <f aca="false">IF(OR(E374="",I374=""),"",IF(E374&lt;=I374,"nachbestellen",""))</f>
        <v/>
      </c>
    </row>
    <row r="375" customFormat="false" ht="15" hidden="false" customHeight="false" outlineLevel="0" collapsed="false">
      <c r="A375" s="32"/>
      <c r="B375" s="32"/>
      <c r="C375" s="32"/>
      <c r="D375" s="32"/>
      <c r="E375" s="32"/>
      <c r="F375" s="32"/>
      <c r="G375" s="30"/>
      <c r="H375" s="31" t="str">
        <f aca="false">IF(OR(E375="",G375=""),"",E375*G375)</f>
        <v/>
      </c>
      <c r="I375" s="32"/>
      <c r="J375" s="35" t="str">
        <f aca="false">IF(OR(E375="",I375=""),"",IF(E375&lt;=I375,"nachbestellen",""))</f>
        <v/>
      </c>
    </row>
    <row r="376" customFormat="false" ht="15" hidden="false" customHeight="false" outlineLevel="0" collapsed="false">
      <c r="A376" s="32"/>
      <c r="B376" s="32"/>
      <c r="C376" s="32"/>
      <c r="D376" s="32"/>
      <c r="E376" s="32"/>
      <c r="F376" s="32"/>
      <c r="G376" s="30"/>
      <c r="H376" s="31" t="str">
        <f aca="false">IF(OR(E376="",G376=""),"",E376*G376)</f>
        <v/>
      </c>
      <c r="I376" s="32"/>
      <c r="J376" s="35" t="str">
        <f aca="false">IF(OR(E376="",I376=""),"",IF(E376&lt;=I376,"nachbestellen",""))</f>
        <v/>
      </c>
    </row>
    <row r="377" customFormat="false" ht="15" hidden="false" customHeight="false" outlineLevel="0" collapsed="false">
      <c r="A377" s="32"/>
      <c r="B377" s="32"/>
      <c r="C377" s="32"/>
      <c r="D377" s="32"/>
      <c r="E377" s="32"/>
      <c r="F377" s="32"/>
      <c r="G377" s="30"/>
      <c r="H377" s="31" t="str">
        <f aca="false">IF(OR(E377="",G377=""),"",E377*G377)</f>
        <v/>
      </c>
      <c r="I377" s="32"/>
      <c r="J377" s="35" t="str">
        <f aca="false">IF(OR(E377="",I377=""),"",IF(E377&lt;=I377,"nachbestellen",""))</f>
        <v/>
      </c>
    </row>
    <row r="378" customFormat="false" ht="15" hidden="false" customHeight="false" outlineLevel="0" collapsed="false">
      <c r="A378" s="32"/>
      <c r="B378" s="32"/>
      <c r="C378" s="32"/>
      <c r="D378" s="32"/>
      <c r="E378" s="32"/>
      <c r="F378" s="32"/>
      <c r="G378" s="30"/>
      <c r="H378" s="31" t="str">
        <f aca="false">IF(OR(E378="",G378=""),"",E378*G378)</f>
        <v/>
      </c>
      <c r="I378" s="32"/>
      <c r="J378" s="35" t="str">
        <f aca="false">IF(OR(E378="",I378=""),"",IF(E378&lt;=I378,"nachbestellen",""))</f>
        <v/>
      </c>
    </row>
    <row r="379" customFormat="false" ht="15" hidden="false" customHeight="false" outlineLevel="0" collapsed="false">
      <c r="A379" s="32"/>
      <c r="B379" s="32"/>
      <c r="C379" s="32"/>
      <c r="D379" s="32"/>
      <c r="E379" s="32"/>
      <c r="F379" s="32"/>
      <c r="G379" s="30"/>
      <c r="H379" s="31" t="str">
        <f aca="false">IF(OR(E379="",G379=""),"",E379*G379)</f>
        <v/>
      </c>
      <c r="I379" s="32"/>
      <c r="J379" s="35" t="str">
        <f aca="false">IF(OR(E379="",I379=""),"",IF(E379&lt;=I379,"nachbestellen",""))</f>
        <v/>
      </c>
    </row>
    <row r="380" customFormat="false" ht="15" hidden="false" customHeight="false" outlineLevel="0" collapsed="false">
      <c r="A380" s="32"/>
      <c r="B380" s="32"/>
      <c r="C380" s="32"/>
      <c r="D380" s="32"/>
      <c r="E380" s="32"/>
      <c r="F380" s="32"/>
      <c r="G380" s="30"/>
      <c r="H380" s="31" t="str">
        <f aca="false">IF(OR(E380="",G380=""),"",E380*G380)</f>
        <v/>
      </c>
      <c r="I380" s="32"/>
      <c r="J380" s="35" t="str">
        <f aca="false">IF(OR(E380="",I380=""),"",IF(E380&lt;=I380,"nachbestellen",""))</f>
        <v/>
      </c>
    </row>
    <row r="381" customFormat="false" ht="15" hidden="false" customHeight="false" outlineLevel="0" collapsed="false">
      <c r="A381" s="32"/>
      <c r="B381" s="32"/>
      <c r="C381" s="32"/>
      <c r="D381" s="32"/>
      <c r="E381" s="32"/>
      <c r="F381" s="32"/>
      <c r="G381" s="30"/>
      <c r="H381" s="31" t="str">
        <f aca="false">IF(OR(E381="",G381=""),"",E381*G381)</f>
        <v/>
      </c>
      <c r="I381" s="32"/>
      <c r="J381" s="35" t="str">
        <f aca="false">IF(OR(E381="",I381=""),"",IF(E381&lt;=I381,"nachbestellen",""))</f>
        <v/>
      </c>
    </row>
    <row r="382" customFormat="false" ht="15" hidden="false" customHeight="false" outlineLevel="0" collapsed="false">
      <c r="A382" s="32"/>
      <c r="B382" s="32"/>
      <c r="C382" s="32"/>
      <c r="D382" s="32"/>
      <c r="E382" s="32"/>
      <c r="F382" s="32"/>
      <c r="G382" s="30"/>
      <c r="H382" s="31" t="str">
        <f aca="false">IF(OR(E382="",G382=""),"",E382*G382)</f>
        <v/>
      </c>
      <c r="I382" s="32"/>
      <c r="J382" s="35" t="str">
        <f aca="false">IF(OR(E382="",I382=""),"",IF(E382&lt;=I382,"nachbestellen",""))</f>
        <v/>
      </c>
    </row>
    <row r="383" customFormat="false" ht="15" hidden="false" customHeight="false" outlineLevel="0" collapsed="false">
      <c r="A383" s="32"/>
      <c r="B383" s="32"/>
      <c r="C383" s="32"/>
      <c r="D383" s="32"/>
      <c r="E383" s="32"/>
      <c r="F383" s="32"/>
      <c r="G383" s="30"/>
      <c r="H383" s="31" t="str">
        <f aca="false">IF(OR(E383="",G383=""),"",E383*G383)</f>
        <v/>
      </c>
      <c r="I383" s="32"/>
      <c r="J383" s="35" t="str">
        <f aca="false">IF(OR(E383="",I383=""),"",IF(E383&lt;=I383,"nachbestellen",""))</f>
        <v/>
      </c>
    </row>
    <row r="384" customFormat="false" ht="15" hidden="false" customHeight="false" outlineLevel="0" collapsed="false">
      <c r="A384" s="32"/>
      <c r="B384" s="32"/>
      <c r="C384" s="32"/>
      <c r="D384" s="32"/>
      <c r="E384" s="32"/>
      <c r="F384" s="32"/>
      <c r="G384" s="30"/>
      <c r="H384" s="31" t="str">
        <f aca="false">IF(OR(E384="",G384=""),"",E384*G384)</f>
        <v/>
      </c>
      <c r="I384" s="32"/>
      <c r="J384" s="35" t="str">
        <f aca="false">IF(OR(E384="",I384=""),"",IF(E384&lt;=I384,"nachbestellen",""))</f>
        <v/>
      </c>
    </row>
    <row r="385" customFormat="false" ht="15" hidden="false" customHeight="false" outlineLevel="0" collapsed="false">
      <c r="A385" s="32"/>
      <c r="B385" s="32"/>
      <c r="C385" s="32"/>
      <c r="D385" s="32"/>
      <c r="E385" s="32"/>
      <c r="F385" s="32"/>
      <c r="G385" s="30"/>
      <c r="H385" s="31" t="str">
        <f aca="false">IF(OR(E385="",G385=""),"",E385*G385)</f>
        <v/>
      </c>
      <c r="I385" s="32"/>
      <c r="J385" s="35" t="str">
        <f aca="false">IF(OR(E385="",I385=""),"",IF(E385&lt;=I385,"nachbestellen",""))</f>
        <v/>
      </c>
    </row>
    <row r="386" customFormat="false" ht="15" hidden="false" customHeight="false" outlineLevel="0" collapsed="false">
      <c r="A386" s="32"/>
      <c r="B386" s="32"/>
      <c r="C386" s="32"/>
      <c r="D386" s="32"/>
      <c r="E386" s="32"/>
      <c r="F386" s="32"/>
      <c r="G386" s="30"/>
      <c r="H386" s="31" t="str">
        <f aca="false">IF(OR(E386="",G386=""),"",E386*G386)</f>
        <v/>
      </c>
      <c r="I386" s="32"/>
      <c r="J386" s="35" t="str">
        <f aca="false">IF(OR(E386="",I386=""),"",IF(E386&lt;=I386,"nachbestellen",""))</f>
        <v/>
      </c>
    </row>
    <row r="387" customFormat="false" ht="15" hidden="false" customHeight="false" outlineLevel="0" collapsed="false">
      <c r="A387" s="32"/>
      <c r="B387" s="32"/>
      <c r="C387" s="32"/>
      <c r="D387" s="32"/>
      <c r="E387" s="32"/>
      <c r="F387" s="32"/>
      <c r="G387" s="30"/>
      <c r="H387" s="31" t="str">
        <f aca="false">IF(OR(E387="",G387=""),"",E387*G387)</f>
        <v/>
      </c>
      <c r="I387" s="32"/>
      <c r="J387" s="35" t="str">
        <f aca="false">IF(OR(E387="",I387=""),"",IF(E387&lt;=I387,"nachbestellen",""))</f>
        <v/>
      </c>
    </row>
    <row r="388" customFormat="false" ht="15" hidden="false" customHeight="false" outlineLevel="0" collapsed="false">
      <c r="A388" s="32"/>
      <c r="B388" s="32"/>
      <c r="C388" s="32"/>
      <c r="D388" s="32"/>
      <c r="E388" s="32"/>
      <c r="F388" s="32"/>
      <c r="G388" s="30"/>
      <c r="H388" s="31" t="str">
        <f aca="false">IF(OR(E388="",G388=""),"",E388*G388)</f>
        <v/>
      </c>
      <c r="I388" s="32"/>
      <c r="J388" s="35" t="str">
        <f aca="false">IF(OR(E388="",I388=""),"",IF(E388&lt;=I388,"nachbestellen",""))</f>
        <v/>
      </c>
    </row>
    <row r="389" customFormat="false" ht="15" hidden="false" customHeight="false" outlineLevel="0" collapsed="false">
      <c r="A389" s="32"/>
      <c r="B389" s="32"/>
      <c r="C389" s="32"/>
      <c r="D389" s="32"/>
      <c r="E389" s="32"/>
      <c r="F389" s="32"/>
      <c r="G389" s="30"/>
      <c r="H389" s="31" t="str">
        <f aca="false">IF(OR(E389="",G389=""),"",E389*G389)</f>
        <v/>
      </c>
      <c r="I389" s="32"/>
      <c r="J389" s="35" t="str">
        <f aca="false">IF(OR(E389="",I389=""),"",IF(E389&lt;=I389,"nachbestellen",""))</f>
        <v/>
      </c>
    </row>
    <row r="390" customFormat="false" ht="15" hidden="false" customHeight="false" outlineLevel="0" collapsed="false">
      <c r="A390" s="32"/>
      <c r="B390" s="32"/>
      <c r="C390" s="32"/>
      <c r="D390" s="32"/>
      <c r="E390" s="32"/>
      <c r="F390" s="32"/>
      <c r="G390" s="30"/>
      <c r="H390" s="31" t="str">
        <f aca="false">IF(OR(E390="",G390=""),"",E390*G390)</f>
        <v/>
      </c>
      <c r="I390" s="32"/>
      <c r="J390" s="35" t="str">
        <f aca="false">IF(OR(E390="",I390=""),"",IF(E390&lt;=I390,"nachbestellen",""))</f>
        <v/>
      </c>
    </row>
    <row r="391" customFormat="false" ht="15" hidden="false" customHeight="false" outlineLevel="0" collapsed="false">
      <c r="A391" s="32"/>
      <c r="B391" s="32"/>
      <c r="C391" s="32"/>
      <c r="D391" s="32"/>
      <c r="E391" s="32"/>
      <c r="F391" s="32"/>
      <c r="G391" s="30"/>
      <c r="H391" s="31" t="str">
        <f aca="false">IF(OR(E391="",G391=""),"",E391*G391)</f>
        <v/>
      </c>
      <c r="I391" s="32"/>
      <c r="J391" s="35" t="str">
        <f aca="false">IF(OR(E391="",I391=""),"",IF(E391&lt;=I391,"nachbestellen",""))</f>
        <v/>
      </c>
    </row>
    <row r="392" customFormat="false" ht="15" hidden="false" customHeight="false" outlineLevel="0" collapsed="false">
      <c r="A392" s="32"/>
      <c r="B392" s="32"/>
      <c r="C392" s="32"/>
      <c r="D392" s="32"/>
      <c r="E392" s="32"/>
      <c r="F392" s="32"/>
      <c r="G392" s="30"/>
      <c r="H392" s="31" t="str">
        <f aca="false">IF(OR(E392="",G392=""),"",E392*G392)</f>
        <v/>
      </c>
      <c r="I392" s="32"/>
      <c r="J392" s="35" t="str">
        <f aca="false">IF(OR(E392="",I392=""),"",IF(E392&lt;=I392,"nachbestellen",""))</f>
        <v/>
      </c>
    </row>
    <row r="393" customFormat="false" ht="15" hidden="false" customHeight="false" outlineLevel="0" collapsed="false">
      <c r="A393" s="32"/>
      <c r="B393" s="32"/>
      <c r="C393" s="32"/>
      <c r="D393" s="32"/>
      <c r="E393" s="32"/>
      <c r="F393" s="32"/>
      <c r="G393" s="30"/>
      <c r="H393" s="31" t="str">
        <f aca="false">IF(OR(E393="",G393=""),"",E393*G393)</f>
        <v/>
      </c>
      <c r="I393" s="32"/>
      <c r="J393" s="35" t="str">
        <f aca="false">IF(OR(E393="",I393=""),"",IF(E393&lt;=I393,"nachbestellen",""))</f>
        <v/>
      </c>
    </row>
    <row r="394" customFormat="false" ht="15" hidden="false" customHeight="false" outlineLevel="0" collapsed="false">
      <c r="A394" s="32"/>
      <c r="B394" s="32"/>
      <c r="C394" s="32"/>
      <c r="D394" s="32"/>
      <c r="E394" s="32"/>
      <c r="F394" s="32"/>
      <c r="G394" s="30"/>
      <c r="H394" s="31" t="str">
        <f aca="false">IF(OR(E394="",G394=""),"",E394*G394)</f>
        <v/>
      </c>
      <c r="I394" s="32"/>
      <c r="J394" s="35" t="str">
        <f aca="false">IF(OR(E394="",I394=""),"",IF(E394&lt;=I394,"nachbestellen",""))</f>
        <v/>
      </c>
    </row>
    <row r="395" customFormat="false" ht="15" hidden="false" customHeight="false" outlineLevel="0" collapsed="false">
      <c r="A395" s="32"/>
      <c r="B395" s="32"/>
      <c r="C395" s="32"/>
      <c r="D395" s="32"/>
      <c r="E395" s="32"/>
      <c r="F395" s="32"/>
      <c r="G395" s="30"/>
      <c r="H395" s="31" t="str">
        <f aca="false">IF(OR(E395="",G395=""),"",E395*G395)</f>
        <v/>
      </c>
      <c r="I395" s="32"/>
      <c r="J395" s="35" t="str">
        <f aca="false">IF(OR(E395="",I395=""),"",IF(E395&lt;=I395,"nachbestellen",""))</f>
        <v/>
      </c>
    </row>
    <row r="396" customFormat="false" ht="15" hidden="false" customHeight="false" outlineLevel="0" collapsed="false">
      <c r="A396" s="32"/>
      <c r="B396" s="32"/>
      <c r="C396" s="32"/>
      <c r="D396" s="32"/>
      <c r="E396" s="32"/>
      <c r="F396" s="32"/>
      <c r="G396" s="30"/>
      <c r="H396" s="31" t="str">
        <f aca="false">IF(OR(E396="",G396=""),"",E396*G396)</f>
        <v/>
      </c>
      <c r="I396" s="32"/>
      <c r="J396" s="35" t="str">
        <f aca="false">IF(OR(E396="",I396=""),"",IF(E396&lt;=I396,"nachbestellen",""))</f>
        <v/>
      </c>
    </row>
    <row r="397" customFormat="false" ht="15" hidden="false" customHeight="false" outlineLevel="0" collapsed="false">
      <c r="A397" s="32"/>
      <c r="B397" s="32"/>
      <c r="C397" s="32"/>
      <c r="D397" s="32"/>
      <c r="E397" s="32"/>
      <c r="F397" s="32"/>
      <c r="G397" s="30"/>
      <c r="H397" s="31" t="str">
        <f aca="false">IF(OR(E397="",G397=""),"",E397*G397)</f>
        <v/>
      </c>
      <c r="I397" s="32"/>
      <c r="J397" s="35" t="str">
        <f aca="false">IF(OR(E397="",I397=""),"",IF(E397&lt;=I397,"nachbestellen",""))</f>
        <v/>
      </c>
    </row>
    <row r="398" customFormat="false" ht="15" hidden="false" customHeight="false" outlineLevel="0" collapsed="false">
      <c r="A398" s="32"/>
      <c r="B398" s="32"/>
      <c r="C398" s="32"/>
      <c r="D398" s="32"/>
      <c r="E398" s="32"/>
      <c r="F398" s="32"/>
      <c r="G398" s="30"/>
      <c r="H398" s="31" t="str">
        <f aca="false">IF(OR(E398="",G398=""),"",E398*G398)</f>
        <v/>
      </c>
      <c r="I398" s="32"/>
      <c r="J398" s="35" t="str">
        <f aca="false">IF(OR(E398="",I398=""),"",IF(E398&lt;=I398,"nachbestellen",""))</f>
        <v/>
      </c>
    </row>
    <row r="399" customFormat="false" ht="15" hidden="false" customHeight="false" outlineLevel="0" collapsed="false">
      <c r="A399" s="32"/>
      <c r="B399" s="32"/>
      <c r="C399" s="32"/>
      <c r="D399" s="32"/>
      <c r="E399" s="32"/>
      <c r="F399" s="32"/>
      <c r="G399" s="30"/>
      <c r="H399" s="31" t="str">
        <f aca="false">IF(OR(E399="",G399=""),"",E399*G399)</f>
        <v/>
      </c>
      <c r="I399" s="32"/>
      <c r="J399" s="35" t="str">
        <f aca="false">IF(OR(E399="",I399=""),"",IF(E399&lt;=I399,"nachbestellen",""))</f>
        <v/>
      </c>
    </row>
    <row r="400" customFormat="false" ht="15" hidden="false" customHeight="false" outlineLevel="0" collapsed="false">
      <c r="A400" s="32"/>
      <c r="B400" s="32"/>
      <c r="C400" s="32"/>
      <c r="D400" s="32"/>
      <c r="E400" s="32"/>
      <c r="F400" s="32"/>
      <c r="G400" s="30"/>
      <c r="H400" s="31" t="str">
        <f aca="false">IF(OR(E400="",G400=""),"",E400*G400)</f>
        <v/>
      </c>
      <c r="I400" s="32"/>
      <c r="J400" s="35" t="str">
        <f aca="false">IF(OR(E400="",I400=""),"",IF(E400&lt;=I400,"nachbestellen",""))</f>
        <v/>
      </c>
    </row>
    <row r="401" customFormat="false" ht="15" hidden="false" customHeight="false" outlineLevel="0" collapsed="false">
      <c r="A401" s="32"/>
      <c r="B401" s="32"/>
      <c r="C401" s="32"/>
      <c r="D401" s="32"/>
      <c r="E401" s="32"/>
      <c r="F401" s="32"/>
      <c r="G401" s="30"/>
      <c r="H401" s="31" t="str">
        <f aca="false">IF(OR(E401="",G401=""),"",E401*G401)</f>
        <v/>
      </c>
      <c r="I401" s="32"/>
      <c r="J401" s="35" t="str">
        <f aca="false">IF(OR(E401="",I401=""),"",IF(E401&lt;=I401,"nachbestellen",""))</f>
        <v/>
      </c>
    </row>
    <row r="402" customFormat="false" ht="15" hidden="false" customHeight="false" outlineLevel="0" collapsed="false">
      <c r="A402" s="32"/>
      <c r="B402" s="32"/>
      <c r="C402" s="32"/>
      <c r="D402" s="32"/>
      <c r="E402" s="32"/>
      <c r="F402" s="32"/>
      <c r="G402" s="30"/>
      <c r="H402" s="31" t="str">
        <f aca="false">IF(OR(E402="",G402=""),"",E402*G402)</f>
        <v/>
      </c>
      <c r="I402" s="32"/>
      <c r="J402" s="35" t="str">
        <f aca="false">IF(OR(E402="",I402=""),"",IF(E402&lt;=I402,"nachbestellen",""))</f>
        <v/>
      </c>
    </row>
    <row r="403" customFormat="false" ht="15" hidden="false" customHeight="false" outlineLevel="0" collapsed="false">
      <c r="A403" s="32"/>
      <c r="B403" s="32"/>
      <c r="C403" s="32"/>
      <c r="D403" s="32"/>
      <c r="E403" s="32"/>
      <c r="F403" s="32"/>
      <c r="G403" s="30"/>
      <c r="H403" s="31" t="str">
        <f aca="false">IF(OR(E403="",G403=""),"",E403*G403)</f>
        <v/>
      </c>
      <c r="I403" s="32"/>
      <c r="J403" s="35" t="str">
        <f aca="false">IF(OR(E403="",I403=""),"",IF(E403&lt;=I403,"nachbestellen",""))</f>
        <v/>
      </c>
    </row>
    <row r="404" customFormat="false" ht="15" hidden="false" customHeight="false" outlineLevel="0" collapsed="false">
      <c r="A404" s="32"/>
      <c r="B404" s="32"/>
      <c r="C404" s="32"/>
      <c r="D404" s="32"/>
      <c r="E404" s="32"/>
      <c r="F404" s="32"/>
      <c r="G404" s="30"/>
      <c r="H404" s="31" t="str">
        <f aca="false">IF(OR(E404="",G404=""),"",E404*G404)</f>
        <v/>
      </c>
      <c r="I404" s="32"/>
      <c r="J404" s="35" t="str">
        <f aca="false">IF(OR(E404="",I404=""),"",IF(E404&lt;=I404,"nachbestellen",""))</f>
        <v/>
      </c>
    </row>
    <row r="405" customFormat="false" ht="15" hidden="false" customHeight="false" outlineLevel="0" collapsed="false">
      <c r="A405" s="32"/>
      <c r="B405" s="32"/>
      <c r="C405" s="32"/>
      <c r="D405" s="32"/>
      <c r="E405" s="32"/>
      <c r="F405" s="32"/>
      <c r="G405" s="30"/>
      <c r="H405" s="31" t="str">
        <f aca="false">IF(OR(E405="",G405=""),"",E405*G405)</f>
        <v/>
      </c>
      <c r="I405" s="32"/>
      <c r="J405" s="35" t="str">
        <f aca="false">IF(OR(E405="",I405=""),"",IF(E405&lt;=I405,"nachbestellen",""))</f>
        <v/>
      </c>
    </row>
    <row r="406" customFormat="false" ht="15" hidden="false" customHeight="false" outlineLevel="0" collapsed="false">
      <c r="A406" s="32"/>
      <c r="B406" s="32"/>
      <c r="C406" s="32"/>
      <c r="D406" s="32"/>
      <c r="E406" s="32"/>
      <c r="F406" s="32"/>
      <c r="G406" s="30"/>
      <c r="H406" s="31" t="str">
        <f aca="false">IF(OR(E406="",G406=""),"",E406*G406)</f>
        <v/>
      </c>
      <c r="I406" s="32"/>
      <c r="J406" s="35" t="str">
        <f aca="false">IF(OR(E406="",I406=""),"",IF(E406&lt;=I406,"nachbestellen",""))</f>
        <v/>
      </c>
    </row>
    <row r="407" customFormat="false" ht="15" hidden="false" customHeight="false" outlineLevel="0" collapsed="false">
      <c r="A407" s="32"/>
      <c r="B407" s="32"/>
      <c r="C407" s="32"/>
      <c r="D407" s="32"/>
      <c r="E407" s="32"/>
      <c r="F407" s="32"/>
      <c r="G407" s="30"/>
      <c r="H407" s="31" t="str">
        <f aca="false">IF(OR(E407="",G407=""),"",E407*G407)</f>
        <v/>
      </c>
      <c r="I407" s="32"/>
      <c r="J407" s="35" t="str">
        <f aca="false">IF(OR(E407="",I407=""),"",IF(E407&lt;=I407,"nachbestellen",""))</f>
        <v/>
      </c>
    </row>
    <row r="408" customFormat="false" ht="15" hidden="false" customHeight="false" outlineLevel="0" collapsed="false">
      <c r="A408" s="32"/>
      <c r="B408" s="32"/>
      <c r="C408" s="32"/>
      <c r="D408" s="32"/>
      <c r="E408" s="32"/>
      <c r="F408" s="32"/>
      <c r="G408" s="30"/>
      <c r="H408" s="31" t="str">
        <f aca="false">IF(OR(E408="",G408=""),"",E408*G408)</f>
        <v/>
      </c>
      <c r="I408" s="32"/>
      <c r="J408" s="35" t="str">
        <f aca="false">IF(OR(E408="",I408=""),"",IF(E408&lt;=I408,"nachbestellen",""))</f>
        <v/>
      </c>
    </row>
    <row r="409" customFormat="false" ht="15" hidden="false" customHeight="false" outlineLevel="0" collapsed="false">
      <c r="A409" s="32"/>
      <c r="B409" s="32"/>
      <c r="C409" s="32"/>
      <c r="D409" s="32"/>
      <c r="E409" s="32"/>
      <c r="F409" s="32"/>
      <c r="G409" s="30"/>
      <c r="H409" s="31" t="str">
        <f aca="false">IF(OR(E409="",G409=""),"",E409*G409)</f>
        <v/>
      </c>
      <c r="I409" s="32"/>
      <c r="J409" s="35" t="str">
        <f aca="false">IF(OR(E409="",I409=""),"",IF(E409&lt;=I409,"nachbestellen",""))</f>
        <v/>
      </c>
    </row>
    <row r="410" customFormat="false" ht="15" hidden="false" customHeight="false" outlineLevel="0" collapsed="false">
      <c r="A410" s="32"/>
      <c r="B410" s="32"/>
      <c r="C410" s="32"/>
      <c r="D410" s="32"/>
      <c r="E410" s="32"/>
      <c r="F410" s="32"/>
      <c r="G410" s="30"/>
      <c r="H410" s="31" t="str">
        <f aca="false">IF(OR(E410="",G410=""),"",E410*G410)</f>
        <v/>
      </c>
      <c r="I410" s="32"/>
      <c r="J410" s="35" t="str">
        <f aca="false">IF(OR(E410="",I410=""),"",IF(E410&lt;=I410,"nachbestellen",""))</f>
        <v/>
      </c>
    </row>
    <row r="411" customFormat="false" ht="15" hidden="false" customHeight="false" outlineLevel="0" collapsed="false">
      <c r="A411" s="32"/>
      <c r="B411" s="32"/>
      <c r="C411" s="32"/>
      <c r="D411" s="32"/>
      <c r="E411" s="32"/>
      <c r="F411" s="32"/>
      <c r="G411" s="30"/>
      <c r="H411" s="31" t="str">
        <f aca="false">IF(OR(E411="",G411=""),"",E411*G411)</f>
        <v/>
      </c>
      <c r="I411" s="32"/>
      <c r="J411" s="35" t="str">
        <f aca="false">IF(OR(E411="",I411=""),"",IF(E411&lt;=I411,"nachbestellen",""))</f>
        <v/>
      </c>
    </row>
    <row r="412" customFormat="false" ht="15" hidden="false" customHeight="false" outlineLevel="0" collapsed="false">
      <c r="A412" s="32"/>
      <c r="B412" s="32"/>
      <c r="C412" s="32"/>
      <c r="D412" s="32"/>
      <c r="E412" s="32"/>
      <c r="F412" s="32"/>
      <c r="G412" s="30"/>
      <c r="H412" s="31" t="str">
        <f aca="false">IF(OR(E412="",G412=""),"",E412*G412)</f>
        <v/>
      </c>
      <c r="I412" s="32"/>
      <c r="J412" s="35" t="str">
        <f aca="false">IF(OR(E412="",I412=""),"",IF(E412&lt;=I412,"nachbestellen",""))</f>
        <v/>
      </c>
    </row>
    <row r="413" customFormat="false" ht="15" hidden="false" customHeight="false" outlineLevel="0" collapsed="false">
      <c r="A413" s="32"/>
      <c r="B413" s="32"/>
      <c r="C413" s="32"/>
      <c r="D413" s="32"/>
      <c r="E413" s="32"/>
      <c r="F413" s="32"/>
      <c r="G413" s="30"/>
      <c r="H413" s="31" t="str">
        <f aca="false">IF(OR(E413="",G413=""),"",E413*G413)</f>
        <v/>
      </c>
      <c r="I413" s="32"/>
      <c r="J413" s="35" t="str">
        <f aca="false">IF(OR(E413="",I413=""),"",IF(E413&lt;=I413,"nachbestellen",""))</f>
        <v/>
      </c>
    </row>
    <row r="414" customFormat="false" ht="15" hidden="false" customHeight="false" outlineLevel="0" collapsed="false">
      <c r="A414" s="32"/>
      <c r="B414" s="32"/>
      <c r="C414" s="32"/>
      <c r="D414" s="32"/>
      <c r="E414" s="32"/>
      <c r="F414" s="32"/>
      <c r="G414" s="30"/>
      <c r="H414" s="31" t="str">
        <f aca="false">IF(OR(E414="",G414=""),"",E414*G414)</f>
        <v/>
      </c>
      <c r="I414" s="32"/>
      <c r="J414" s="35" t="str">
        <f aca="false">IF(OR(E414="",I414=""),"",IF(E414&lt;=I414,"nachbestellen",""))</f>
        <v/>
      </c>
    </row>
    <row r="415" customFormat="false" ht="15" hidden="false" customHeight="false" outlineLevel="0" collapsed="false">
      <c r="A415" s="32"/>
      <c r="B415" s="32"/>
      <c r="C415" s="32"/>
      <c r="D415" s="32"/>
      <c r="E415" s="32"/>
      <c r="F415" s="32"/>
      <c r="G415" s="30"/>
      <c r="H415" s="31" t="str">
        <f aca="false">IF(OR(E415="",G415=""),"",E415*G415)</f>
        <v/>
      </c>
      <c r="I415" s="32"/>
      <c r="J415" s="35" t="str">
        <f aca="false">IF(OR(E415="",I415=""),"",IF(E415&lt;=I415,"nachbestellen",""))</f>
        <v/>
      </c>
    </row>
    <row r="416" customFormat="false" ht="15" hidden="false" customHeight="false" outlineLevel="0" collapsed="false">
      <c r="A416" s="32"/>
      <c r="B416" s="32"/>
      <c r="C416" s="32"/>
      <c r="D416" s="32"/>
      <c r="E416" s="32"/>
      <c r="F416" s="32"/>
      <c r="G416" s="30"/>
      <c r="H416" s="31" t="str">
        <f aca="false">IF(OR(E416="",G416=""),"",E416*G416)</f>
        <v/>
      </c>
      <c r="I416" s="32"/>
      <c r="J416" s="35" t="str">
        <f aca="false">IF(OR(E416="",I416=""),"",IF(E416&lt;=I416,"nachbestellen",""))</f>
        <v/>
      </c>
    </row>
    <row r="417" customFormat="false" ht="15" hidden="false" customHeight="false" outlineLevel="0" collapsed="false">
      <c r="A417" s="32"/>
      <c r="B417" s="32"/>
      <c r="C417" s="32"/>
      <c r="D417" s="32"/>
      <c r="E417" s="32"/>
      <c r="F417" s="32"/>
      <c r="G417" s="30"/>
      <c r="H417" s="31" t="str">
        <f aca="false">IF(OR(E417="",G417=""),"",E417*G417)</f>
        <v/>
      </c>
      <c r="I417" s="32"/>
      <c r="J417" s="35" t="str">
        <f aca="false">IF(OR(E417="",I417=""),"",IF(E417&lt;=I417,"nachbestellen",""))</f>
        <v/>
      </c>
    </row>
    <row r="418" customFormat="false" ht="15" hidden="false" customHeight="false" outlineLevel="0" collapsed="false">
      <c r="A418" s="32"/>
      <c r="B418" s="32"/>
      <c r="C418" s="32"/>
      <c r="D418" s="32"/>
      <c r="E418" s="32"/>
      <c r="F418" s="32"/>
      <c r="G418" s="30"/>
      <c r="H418" s="31" t="str">
        <f aca="false">IF(OR(E418="",G418=""),"",E418*G418)</f>
        <v/>
      </c>
      <c r="I418" s="32"/>
      <c r="J418" s="35" t="str">
        <f aca="false">IF(OR(E418="",I418=""),"",IF(E418&lt;=I418,"nachbestellen",""))</f>
        <v/>
      </c>
    </row>
    <row r="419" customFormat="false" ht="15" hidden="false" customHeight="false" outlineLevel="0" collapsed="false">
      <c r="A419" s="32"/>
      <c r="B419" s="32"/>
      <c r="C419" s="32"/>
      <c r="D419" s="32"/>
      <c r="E419" s="32"/>
      <c r="F419" s="32"/>
      <c r="G419" s="30"/>
      <c r="H419" s="31" t="str">
        <f aca="false">IF(OR(E419="",G419=""),"",E419*G419)</f>
        <v/>
      </c>
      <c r="I419" s="32"/>
      <c r="J419" s="35" t="str">
        <f aca="false">IF(OR(E419="",I419=""),"",IF(E419&lt;=I419,"nachbestellen",""))</f>
        <v/>
      </c>
    </row>
    <row r="420" customFormat="false" ht="15" hidden="false" customHeight="false" outlineLevel="0" collapsed="false">
      <c r="A420" s="32"/>
      <c r="B420" s="32"/>
      <c r="C420" s="32"/>
      <c r="D420" s="32"/>
      <c r="E420" s="32"/>
      <c r="F420" s="32"/>
      <c r="G420" s="30"/>
      <c r="H420" s="31" t="str">
        <f aca="false">IF(OR(E420="",G420=""),"",E420*G420)</f>
        <v/>
      </c>
      <c r="I420" s="32"/>
      <c r="J420" s="35" t="str">
        <f aca="false">IF(OR(E420="",I420=""),"",IF(E420&lt;=I420,"nachbestellen",""))</f>
        <v/>
      </c>
    </row>
    <row r="421" customFormat="false" ht="15" hidden="false" customHeight="false" outlineLevel="0" collapsed="false">
      <c r="A421" s="32"/>
      <c r="B421" s="32"/>
      <c r="C421" s="32"/>
      <c r="D421" s="32"/>
      <c r="E421" s="32"/>
      <c r="F421" s="32"/>
      <c r="G421" s="30"/>
      <c r="H421" s="31" t="str">
        <f aca="false">IF(OR(E421="",G421=""),"",E421*G421)</f>
        <v/>
      </c>
      <c r="I421" s="32"/>
      <c r="J421" s="35" t="str">
        <f aca="false">IF(OR(E421="",I421=""),"",IF(E421&lt;=I421,"nachbestellen",""))</f>
        <v/>
      </c>
    </row>
    <row r="422" customFormat="false" ht="15" hidden="false" customHeight="false" outlineLevel="0" collapsed="false">
      <c r="A422" s="32"/>
      <c r="B422" s="32"/>
      <c r="C422" s="32"/>
      <c r="D422" s="32"/>
      <c r="E422" s="32"/>
      <c r="F422" s="32"/>
      <c r="G422" s="30"/>
      <c r="H422" s="31" t="str">
        <f aca="false">IF(OR(E422="",G422=""),"",E422*G422)</f>
        <v/>
      </c>
      <c r="I422" s="32"/>
      <c r="J422" s="35" t="str">
        <f aca="false">IF(OR(E422="",I422=""),"",IF(E422&lt;=I422,"nachbestellen",""))</f>
        <v/>
      </c>
    </row>
    <row r="423" customFormat="false" ht="15" hidden="false" customHeight="false" outlineLevel="0" collapsed="false">
      <c r="A423" s="32"/>
      <c r="B423" s="32"/>
      <c r="C423" s="32"/>
      <c r="D423" s="32"/>
      <c r="E423" s="32"/>
      <c r="F423" s="32"/>
      <c r="G423" s="30"/>
      <c r="H423" s="31" t="str">
        <f aca="false">IF(OR(E423="",G423=""),"",E423*G423)</f>
        <v/>
      </c>
      <c r="I423" s="32"/>
      <c r="J423" s="35" t="str">
        <f aca="false">IF(OR(E423="",I423=""),"",IF(E423&lt;=I423,"nachbestellen",""))</f>
        <v/>
      </c>
    </row>
    <row r="424" customFormat="false" ht="15" hidden="false" customHeight="false" outlineLevel="0" collapsed="false">
      <c r="A424" s="32"/>
      <c r="B424" s="32"/>
      <c r="C424" s="32"/>
      <c r="D424" s="32"/>
      <c r="E424" s="32"/>
      <c r="F424" s="32"/>
      <c r="G424" s="30"/>
      <c r="H424" s="31" t="str">
        <f aca="false">IF(OR(E424="",G424=""),"",E424*G424)</f>
        <v/>
      </c>
      <c r="I424" s="32"/>
      <c r="J424" s="35" t="str">
        <f aca="false">IF(OR(E424="",I424=""),"",IF(E424&lt;=I424,"nachbestellen",""))</f>
        <v/>
      </c>
    </row>
    <row r="425" customFormat="false" ht="15" hidden="false" customHeight="false" outlineLevel="0" collapsed="false">
      <c r="A425" s="32"/>
      <c r="B425" s="32"/>
      <c r="C425" s="32"/>
      <c r="D425" s="32"/>
      <c r="E425" s="32"/>
      <c r="F425" s="32"/>
      <c r="G425" s="30"/>
      <c r="H425" s="31" t="str">
        <f aca="false">IF(OR(E425="",G425=""),"",E425*G425)</f>
        <v/>
      </c>
      <c r="I425" s="32"/>
      <c r="J425" s="35" t="str">
        <f aca="false">IF(OR(E425="",I425=""),"",IF(E425&lt;=I425,"nachbestellen",""))</f>
        <v/>
      </c>
    </row>
    <row r="426" customFormat="false" ht="15" hidden="false" customHeight="false" outlineLevel="0" collapsed="false">
      <c r="A426" s="32"/>
      <c r="B426" s="32"/>
      <c r="C426" s="32"/>
      <c r="D426" s="32"/>
      <c r="E426" s="32"/>
      <c r="F426" s="32"/>
      <c r="G426" s="30"/>
      <c r="H426" s="31" t="str">
        <f aca="false">IF(OR(E426="",G426=""),"",E426*G426)</f>
        <v/>
      </c>
      <c r="I426" s="32"/>
      <c r="J426" s="35" t="str">
        <f aca="false">IF(OR(E426="",I426=""),"",IF(E426&lt;=I426,"nachbestellen",""))</f>
        <v/>
      </c>
    </row>
    <row r="427" customFormat="false" ht="15" hidden="false" customHeight="false" outlineLevel="0" collapsed="false">
      <c r="A427" s="32"/>
      <c r="B427" s="32"/>
      <c r="C427" s="32"/>
      <c r="D427" s="32"/>
      <c r="E427" s="32"/>
      <c r="F427" s="32"/>
      <c r="G427" s="30"/>
      <c r="H427" s="31" t="str">
        <f aca="false">IF(OR(E427="",G427=""),"",E427*G427)</f>
        <v/>
      </c>
      <c r="I427" s="32"/>
      <c r="J427" s="35" t="str">
        <f aca="false">IF(OR(E427="",I427=""),"",IF(E427&lt;=I427,"nachbestellen",""))</f>
        <v/>
      </c>
    </row>
    <row r="428" customFormat="false" ht="15" hidden="false" customHeight="false" outlineLevel="0" collapsed="false">
      <c r="A428" s="32"/>
      <c r="B428" s="32"/>
      <c r="C428" s="32"/>
      <c r="D428" s="32"/>
      <c r="E428" s="32"/>
      <c r="F428" s="32"/>
      <c r="G428" s="30"/>
      <c r="H428" s="31" t="str">
        <f aca="false">IF(OR(E428="",G428=""),"",E428*G428)</f>
        <v/>
      </c>
      <c r="I428" s="32"/>
      <c r="J428" s="35" t="str">
        <f aca="false">IF(OR(E428="",I428=""),"",IF(E428&lt;=I428,"nachbestellen",""))</f>
        <v/>
      </c>
    </row>
    <row r="429" customFormat="false" ht="15" hidden="false" customHeight="false" outlineLevel="0" collapsed="false">
      <c r="A429" s="32"/>
      <c r="B429" s="32"/>
      <c r="C429" s="32"/>
      <c r="D429" s="32"/>
      <c r="E429" s="32"/>
      <c r="F429" s="32"/>
      <c r="G429" s="30"/>
      <c r="H429" s="31" t="str">
        <f aca="false">IF(OR(E429="",G429=""),"",E429*G429)</f>
        <v/>
      </c>
      <c r="I429" s="32"/>
      <c r="J429" s="35" t="str">
        <f aca="false">IF(OR(E429="",I429=""),"",IF(E429&lt;=I429,"nachbestellen",""))</f>
        <v/>
      </c>
    </row>
    <row r="430" customFormat="false" ht="15" hidden="false" customHeight="false" outlineLevel="0" collapsed="false">
      <c r="A430" s="32"/>
      <c r="B430" s="32"/>
      <c r="C430" s="32"/>
      <c r="D430" s="32"/>
      <c r="E430" s="32"/>
      <c r="F430" s="32"/>
      <c r="G430" s="30"/>
      <c r="H430" s="31" t="str">
        <f aca="false">IF(OR(E430="",G430=""),"",E430*G430)</f>
        <v/>
      </c>
      <c r="I430" s="32"/>
      <c r="J430" s="35" t="str">
        <f aca="false">IF(OR(E430="",I430=""),"",IF(E430&lt;=I430,"nachbestellen",""))</f>
        <v/>
      </c>
    </row>
    <row r="431" customFormat="false" ht="15" hidden="false" customHeight="false" outlineLevel="0" collapsed="false">
      <c r="A431" s="32"/>
      <c r="B431" s="32"/>
      <c r="C431" s="32"/>
      <c r="D431" s="32"/>
      <c r="E431" s="32"/>
      <c r="F431" s="32"/>
      <c r="G431" s="30"/>
      <c r="H431" s="31" t="str">
        <f aca="false">IF(OR(E431="",G431=""),"",E431*G431)</f>
        <v/>
      </c>
      <c r="I431" s="32"/>
      <c r="J431" s="35" t="str">
        <f aca="false">IF(OR(E431="",I431=""),"",IF(E431&lt;=I431,"nachbestellen",""))</f>
        <v/>
      </c>
    </row>
    <row r="432" customFormat="false" ht="15" hidden="false" customHeight="false" outlineLevel="0" collapsed="false">
      <c r="A432" s="32"/>
      <c r="B432" s="32"/>
      <c r="C432" s="32"/>
      <c r="D432" s="32"/>
      <c r="E432" s="32"/>
      <c r="F432" s="32"/>
      <c r="G432" s="30"/>
      <c r="H432" s="31" t="str">
        <f aca="false">IF(OR(E432="",G432=""),"",E432*G432)</f>
        <v/>
      </c>
      <c r="I432" s="32"/>
      <c r="J432" s="35" t="str">
        <f aca="false">IF(OR(E432="",I432=""),"",IF(E432&lt;=I432,"nachbestellen",""))</f>
        <v/>
      </c>
    </row>
    <row r="433" customFormat="false" ht="15" hidden="false" customHeight="false" outlineLevel="0" collapsed="false">
      <c r="A433" s="32"/>
      <c r="B433" s="32"/>
      <c r="C433" s="32"/>
      <c r="D433" s="32"/>
      <c r="E433" s="32"/>
      <c r="F433" s="32"/>
      <c r="G433" s="30"/>
      <c r="H433" s="31" t="str">
        <f aca="false">IF(OR(E433="",G433=""),"",E433*G433)</f>
        <v/>
      </c>
      <c r="I433" s="32"/>
      <c r="J433" s="35" t="str">
        <f aca="false">IF(OR(E433="",I433=""),"",IF(E433&lt;=I433,"nachbestellen",""))</f>
        <v/>
      </c>
    </row>
    <row r="434" customFormat="false" ht="15" hidden="false" customHeight="false" outlineLevel="0" collapsed="false">
      <c r="A434" s="32"/>
      <c r="B434" s="32"/>
      <c r="C434" s="32"/>
      <c r="D434" s="32"/>
      <c r="E434" s="32"/>
      <c r="F434" s="32"/>
      <c r="G434" s="30"/>
      <c r="H434" s="31" t="str">
        <f aca="false">IF(OR(E434="",G434=""),"",E434*G434)</f>
        <v/>
      </c>
      <c r="I434" s="32"/>
      <c r="J434" s="35" t="str">
        <f aca="false">IF(OR(E434="",I434=""),"",IF(E434&lt;=I434,"nachbestellen",""))</f>
        <v/>
      </c>
    </row>
    <row r="435" customFormat="false" ht="15" hidden="false" customHeight="false" outlineLevel="0" collapsed="false">
      <c r="A435" s="32"/>
      <c r="B435" s="32"/>
      <c r="C435" s="32"/>
      <c r="D435" s="32"/>
      <c r="E435" s="32"/>
      <c r="F435" s="32"/>
      <c r="G435" s="30"/>
      <c r="H435" s="31" t="str">
        <f aca="false">IF(OR(E435="",G435=""),"",E435*G435)</f>
        <v/>
      </c>
      <c r="I435" s="32"/>
      <c r="J435" s="35" t="str">
        <f aca="false">IF(OR(E435="",I435=""),"",IF(E435&lt;=I435,"nachbestellen",""))</f>
        <v/>
      </c>
    </row>
    <row r="436" customFormat="false" ht="15" hidden="false" customHeight="false" outlineLevel="0" collapsed="false">
      <c r="A436" s="32"/>
      <c r="B436" s="32"/>
      <c r="C436" s="32"/>
      <c r="D436" s="32"/>
      <c r="E436" s="32"/>
      <c r="F436" s="32"/>
      <c r="G436" s="30"/>
      <c r="H436" s="31" t="str">
        <f aca="false">IF(OR(E436="",G436=""),"",E436*G436)</f>
        <v/>
      </c>
      <c r="I436" s="32"/>
      <c r="J436" s="35" t="str">
        <f aca="false">IF(OR(E436="",I436=""),"",IF(E436&lt;=I436,"nachbestellen",""))</f>
        <v/>
      </c>
    </row>
    <row r="437" customFormat="false" ht="15" hidden="false" customHeight="false" outlineLevel="0" collapsed="false">
      <c r="A437" s="32"/>
      <c r="B437" s="32"/>
      <c r="C437" s="32"/>
      <c r="D437" s="32"/>
      <c r="E437" s="32"/>
      <c r="F437" s="32"/>
      <c r="G437" s="30"/>
      <c r="H437" s="31" t="str">
        <f aca="false">IF(OR(E437="",G437=""),"",E437*G437)</f>
        <v/>
      </c>
      <c r="I437" s="32"/>
      <c r="J437" s="35" t="str">
        <f aca="false">IF(OR(E437="",I437=""),"",IF(E437&lt;=I437,"nachbestellen",""))</f>
        <v/>
      </c>
    </row>
    <row r="438" customFormat="false" ht="15" hidden="false" customHeight="false" outlineLevel="0" collapsed="false">
      <c r="A438" s="32"/>
      <c r="B438" s="32"/>
      <c r="C438" s="32"/>
      <c r="D438" s="32"/>
      <c r="E438" s="32"/>
      <c r="F438" s="32"/>
      <c r="G438" s="30"/>
      <c r="H438" s="31" t="str">
        <f aca="false">IF(OR(E438="",G438=""),"",E438*G438)</f>
        <v/>
      </c>
      <c r="I438" s="32"/>
      <c r="J438" s="35" t="str">
        <f aca="false">IF(OR(E438="",I438=""),"",IF(E438&lt;=I438,"nachbestellen",""))</f>
        <v/>
      </c>
    </row>
    <row r="439" customFormat="false" ht="15" hidden="false" customHeight="false" outlineLevel="0" collapsed="false">
      <c r="A439" s="32"/>
      <c r="B439" s="32"/>
      <c r="C439" s="32"/>
      <c r="D439" s="32"/>
      <c r="E439" s="32"/>
      <c r="F439" s="32"/>
      <c r="G439" s="30"/>
      <c r="H439" s="31" t="str">
        <f aca="false">IF(OR(E439="",G439=""),"",E439*G439)</f>
        <v/>
      </c>
      <c r="I439" s="32"/>
      <c r="J439" s="35" t="str">
        <f aca="false">IF(OR(E439="",I439=""),"",IF(E439&lt;=I439,"nachbestellen",""))</f>
        <v/>
      </c>
    </row>
    <row r="440" customFormat="false" ht="15" hidden="false" customHeight="false" outlineLevel="0" collapsed="false">
      <c r="A440" s="32"/>
      <c r="B440" s="32"/>
      <c r="C440" s="32"/>
      <c r="D440" s="32"/>
      <c r="E440" s="32"/>
      <c r="F440" s="32"/>
      <c r="G440" s="30"/>
      <c r="H440" s="31" t="str">
        <f aca="false">IF(OR(E440="",G440=""),"",E440*G440)</f>
        <v/>
      </c>
      <c r="I440" s="32"/>
      <c r="J440" s="35" t="str">
        <f aca="false">IF(OR(E440="",I440=""),"",IF(E440&lt;=I440,"nachbestellen",""))</f>
        <v/>
      </c>
    </row>
    <row r="441" customFormat="false" ht="15" hidden="false" customHeight="false" outlineLevel="0" collapsed="false">
      <c r="A441" s="32"/>
      <c r="B441" s="32"/>
      <c r="C441" s="32"/>
      <c r="D441" s="32"/>
      <c r="E441" s="32"/>
      <c r="F441" s="32"/>
      <c r="G441" s="30"/>
      <c r="H441" s="31" t="str">
        <f aca="false">IF(OR(E441="",G441=""),"",E441*G441)</f>
        <v/>
      </c>
      <c r="I441" s="32"/>
      <c r="J441" s="35" t="str">
        <f aca="false">IF(OR(E441="",I441=""),"",IF(E441&lt;=I441,"nachbestellen",""))</f>
        <v/>
      </c>
    </row>
    <row r="442" customFormat="false" ht="15" hidden="false" customHeight="false" outlineLevel="0" collapsed="false">
      <c r="A442" s="32"/>
      <c r="B442" s="32"/>
      <c r="C442" s="32"/>
      <c r="D442" s="32"/>
      <c r="E442" s="32"/>
      <c r="F442" s="32"/>
      <c r="G442" s="30"/>
      <c r="H442" s="31" t="str">
        <f aca="false">IF(OR(E442="",G442=""),"",E442*G442)</f>
        <v/>
      </c>
      <c r="I442" s="32"/>
      <c r="J442" s="35" t="str">
        <f aca="false">IF(OR(E442="",I442=""),"",IF(E442&lt;=I442,"nachbestellen",""))</f>
        <v/>
      </c>
    </row>
    <row r="443" customFormat="false" ht="15" hidden="false" customHeight="false" outlineLevel="0" collapsed="false">
      <c r="A443" s="32"/>
      <c r="B443" s="32"/>
      <c r="C443" s="32"/>
      <c r="D443" s="32"/>
      <c r="E443" s="32"/>
      <c r="F443" s="32"/>
      <c r="G443" s="30"/>
      <c r="H443" s="31" t="str">
        <f aca="false">IF(OR(E443="",G443=""),"",E443*G443)</f>
        <v/>
      </c>
      <c r="I443" s="32"/>
      <c r="J443" s="35" t="str">
        <f aca="false">IF(OR(E443="",I443=""),"",IF(E443&lt;=I443,"nachbestellen",""))</f>
        <v/>
      </c>
    </row>
    <row r="444" customFormat="false" ht="15" hidden="false" customHeight="false" outlineLevel="0" collapsed="false">
      <c r="A444" s="32"/>
      <c r="B444" s="32"/>
      <c r="C444" s="32"/>
      <c r="D444" s="32"/>
      <c r="E444" s="32"/>
      <c r="F444" s="32"/>
      <c r="G444" s="30"/>
      <c r="H444" s="31" t="str">
        <f aca="false">IF(OR(E444="",G444=""),"",E444*G444)</f>
        <v/>
      </c>
      <c r="I444" s="32"/>
      <c r="J444" s="35" t="str">
        <f aca="false">IF(OR(E444="",I444=""),"",IF(E444&lt;=I444,"nachbestellen",""))</f>
        <v/>
      </c>
    </row>
    <row r="445" customFormat="false" ht="15" hidden="false" customHeight="false" outlineLevel="0" collapsed="false">
      <c r="A445" s="32"/>
      <c r="B445" s="32"/>
      <c r="C445" s="32"/>
      <c r="D445" s="32"/>
      <c r="E445" s="32"/>
      <c r="F445" s="32"/>
      <c r="G445" s="30"/>
      <c r="H445" s="31" t="str">
        <f aca="false">IF(OR(E445="",G445=""),"",E445*G445)</f>
        <v/>
      </c>
      <c r="I445" s="32"/>
      <c r="J445" s="35" t="str">
        <f aca="false">IF(OR(E445="",I445=""),"",IF(E445&lt;=I445,"nachbestellen",""))</f>
        <v/>
      </c>
    </row>
    <row r="446" customFormat="false" ht="15" hidden="false" customHeight="false" outlineLevel="0" collapsed="false">
      <c r="A446" s="32"/>
      <c r="B446" s="32"/>
      <c r="C446" s="32"/>
      <c r="D446" s="32"/>
      <c r="E446" s="32"/>
      <c r="F446" s="32"/>
      <c r="G446" s="30"/>
      <c r="H446" s="31" t="str">
        <f aca="false">IF(OR(E446="",G446=""),"",E446*G446)</f>
        <v/>
      </c>
      <c r="I446" s="32"/>
      <c r="J446" s="35" t="str">
        <f aca="false">IF(OR(E446="",I446=""),"",IF(E446&lt;=I446,"nachbestellen",""))</f>
        <v/>
      </c>
    </row>
    <row r="447" customFormat="false" ht="15" hidden="false" customHeight="false" outlineLevel="0" collapsed="false">
      <c r="A447" s="32"/>
      <c r="B447" s="32"/>
      <c r="C447" s="32"/>
      <c r="D447" s="32"/>
      <c r="E447" s="32"/>
      <c r="F447" s="32"/>
      <c r="G447" s="30"/>
      <c r="H447" s="31" t="str">
        <f aca="false">IF(OR(E447="",G447=""),"",E447*G447)</f>
        <v/>
      </c>
      <c r="I447" s="32"/>
      <c r="J447" s="35" t="str">
        <f aca="false">IF(OR(E447="",I447=""),"",IF(E447&lt;=I447,"nachbestellen",""))</f>
        <v/>
      </c>
    </row>
    <row r="448" customFormat="false" ht="15" hidden="false" customHeight="false" outlineLevel="0" collapsed="false">
      <c r="A448" s="32"/>
      <c r="B448" s="32"/>
      <c r="C448" s="32"/>
      <c r="D448" s="32"/>
      <c r="E448" s="32"/>
      <c r="F448" s="32"/>
      <c r="G448" s="30"/>
      <c r="H448" s="31" t="str">
        <f aca="false">IF(OR(E448="",G448=""),"",E448*G448)</f>
        <v/>
      </c>
      <c r="I448" s="32"/>
      <c r="J448" s="35" t="str">
        <f aca="false">IF(OR(E448="",I448=""),"",IF(E448&lt;=I448,"nachbestellen",""))</f>
        <v/>
      </c>
    </row>
    <row r="449" customFormat="false" ht="15" hidden="false" customHeight="false" outlineLevel="0" collapsed="false">
      <c r="A449" s="32"/>
      <c r="B449" s="32"/>
      <c r="C449" s="32"/>
      <c r="D449" s="32"/>
      <c r="E449" s="32"/>
      <c r="F449" s="32"/>
      <c r="G449" s="30"/>
      <c r="H449" s="31" t="str">
        <f aca="false">IF(OR(E449="",G449=""),"",E449*G449)</f>
        <v/>
      </c>
      <c r="I449" s="32"/>
      <c r="J449" s="35" t="str">
        <f aca="false">IF(OR(E449="",I449=""),"",IF(E449&lt;=I449,"nachbestellen",""))</f>
        <v/>
      </c>
    </row>
    <row r="450" customFormat="false" ht="15" hidden="false" customHeight="false" outlineLevel="0" collapsed="false">
      <c r="A450" s="32"/>
      <c r="B450" s="32"/>
      <c r="C450" s="32"/>
      <c r="D450" s="32"/>
      <c r="E450" s="32"/>
      <c r="F450" s="32"/>
      <c r="G450" s="30"/>
      <c r="H450" s="31" t="str">
        <f aca="false">IF(OR(E450="",G450=""),"",E450*G450)</f>
        <v/>
      </c>
      <c r="I450" s="32"/>
      <c r="J450" s="35" t="str">
        <f aca="false">IF(OR(E450="",I450=""),"",IF(E450&lt;=I450,"nachbestellen",""))</f>
        <v/>
      </c>
    </row>
    <row r="451" customFormat="false" ht="15" hidden="false" customHeight="false" outlineLevel="0" collapsed="false">
      <c r="A451" s="32"/>
      <c r="B451" s="32"/>
      <c r="C451" s="32"/>
      <c r="D451" s="32"/>
      <c r="E451" s="32"/>
      <c r="F451" s="32"/>
      <c r="G451" s="30"/>
      <c r="H451" s="31" t="str">
        <f aca="false">IF(OR(E451="",G451=""),"",E451*G451)</f>
        <v/>
      </c>
      <c r="I451" s="32"/>
      <c r="J451" s="35" t="str">
        <f aca="false">IF(OR(E451="",I451=""),"",IF(E451&lt;=I451,"nachbestellen",""))</f>
        <v/>
      </c>
    </row>
    <row r="452" customFormat="false" ht="15" hidden="false" customHeight="false" outlineLevel="0" collapsed="false">
      <c r="A452" s="32"/>
      <c r="B452" s="32"/>
      <c r="C452" s="32"/>
      <c r="D452" s="32"/>
      <c r="E452" s="32"/>
      <c r="F452" s="32"/>
      <c r="G452" s="30"/>
      <c r="H452" s="31" t="str">
        <f aca="false">IF(OR(E452="",G452=""),"",E452*G452)</f>
        <v/>
      </c>
      <c r="I452" s="32"/>
      <c r="J452" s="35" t="str">
        <f aca="false">IF(OR(E452="",I452=""),"",IF(E452&lt;=I452,"nachbestellen",""))</f>
        <v/>
      </c>
    </row>
    <row r="453" customFormat="false" ht="15" hidden="false" customHeight="false" outlineLevel="0" collapsed="false">
      <c r="A453" s="32"/>
      <c r="B453" s="32"/>
      <c r="C453" s="32"/>
      <c r="D453" s="32"/>
      <c r="E453" s="32"/>
      <c r="F453" s="32"/>
      <c r="G453" s="30"/>
      <c r="H453" s="31" t="str">
        <f aca="false">IF(OR(E453="",G453=""),"",E453*G453)</f>
        <v/>
      </c>
      <c r="I453" s="32"/>
      <c r="J453" s="35" t="str">
        <f aca="false">IF(OR(E453="",I453=""),"",IF(E453&lt;=I453,"nachbestellen",""))</f>
        <v/>
      </c>
    </row>
    <row r="454" customFormat="false" ht="15" hidden="false" customHeight="false" outlineLevel="0" collapsed="false">
      <c r="A454" s="32"/>
      <c r="B454" s="32"/>
      <c r="C454" s="32"/>
      <c r="D454" s="32"/>
      <c r="E454" s="32"/>
      <c r="F454" s="32"/>
      <c r="G454" s="30"/>
      <c r="H454" s="31" t="str">
        <f aca="false">IF(OR(E454="",G454=""),"",E454*G454)</f>
        <v/>
      </c>
      <c r="I454" s="32"/>
      <c r="J454" s="35" t="str">
        <f aca="false">IF(OR(E454="",I454=""),"",IF(E454&lt;=I454,"nachbestellen",""))</f>
        <v/>
      </c>
    </row>
    <row r="455" customFormat="false" ht="15" hidden="false" customHeight="false" outlineLevel="0" collapsed="false">
      <c r="A455" s="32"/>
      <c r="B455" s="32"/>
      <c r="C455" s="32"/>
      <c r="D455" s="32"/>
      <c r="E455" s="32"/>
      <c r="F455" s="32"/>
      <c r="G455" s="30"/>
      <c r="H455" s="31" t="str">
        <f aca="false">IF(OR(E455="",G455=""),"",E455*G455)</f>
        <v/>
      </c>
      <c r="I455" s="32"/>
      <c r="J455" s="35" t="str">
        <f aca="false">IF(OR(E455="",I455=""),"",IF(E455&lt;=I455,"nachbestellen",""))</f>
        <v/>
      </c>
    </row>
    <row r="456" customFormat="false" ht="15" hidden="false" customHeight="false" outlineLevel="0" collapsed="false">
      <c r="A456" s="32"/>
      <c r="B456" s="32"/>
      <c r="C456" s="32"/>
      <c r="D456" s="32"/>
      <c r="E456" s="32"/>
      <c r="F456" s="32"/>
      <c r="G456" s="30"/>
      <c r="H456" s="31" t="str">
        <f aca="false">IF(OR(E456="",G456=""),"",E456*G456)</f>
        <v/>
      </c>
      <c r="I456" s="32"/>
      <c r="J456" s="35" t="str">
        <f aca="false">IF(OR(E456="",I456=""),"",IF(E456&lt;=I456,"nachbestellen",""))</f>
        <v/>
      </c>
    </row>
    <row r="457" customFormat="false" ht="15" hidden="false" customHeight="false" outlineLevel="0" collapsed="false">
      <c r="A457" s="32"/>
      <c r="B457" s="32"/>
      <c r="C457" s="32"/>
      <c r="D457" s="32"/>
      <c r="E457" s="32"/>
      <c r="F457" s="32"/>
      <c r="G457" s="30"/>
      <c r="H457" s="31" t="str">
        <f aca="false">IF(OR(E457="",G457=""),"",E457*G457)</f>
        <v/>
      </c>
      <c r="I457" s="32"/>
      <c r="J457" s="35" t="str">
        <f aca="false">IF(OR(E457="",I457=""),"",IF(E457&lt;=I457,"nachbestellen",""))</f>
        <v/>
      </c>
    </row>
    <row r="458" customFormat="false" ht="15" hidden="false" customHeight="false" outlineLevel="0" collapsed="false">
      <c r="A458" s="32"/>
      <c r="B458" s="32"/>
      <c r="C458" s="32"/>
      <c r="D458" s="32"/>
      <c r="E458" s="32"/>
      <c r="F458" s="32"/>
      <c r="G458" s="30"/>
      <c r="H458" s="31" t="str">
        <f aca="false">IF(OR(E458="",G458=""),"",E458*G458)</f>
        <v/>
      </c>
      <c r="I458" s="32"/>
      <c r="J458" s="35" t="str">
        <f aca="false">IF(OR(E458="",I458=""),"",IF(E458&lt;=I458,"nachbestellen",""))</f>
        <v/>
      </c>
    </row>
    <row r="459" customFormat="false" ht="15" hidden="false" customHeight="false" outlineLevel="0" collapsed="false">
      <c r="A459" s="32"/>
      <c r="B459" s="32"/>
      <c r="C459" s="32"/>
      <c r="D459" s="32"/>
      <c r="E459" s="32"/>
      <c r="F459" s="32"/>
      <c r="G459" s="30"/>
      <c r="H459" s="31" t="str">
        <f aca="false">IF(OR(E459="",G459=""),"",E459*G459)</f>
        <v/>
      </c>
      <c r="I459" s="32"/>
      <c r="J459" s="35" t="str">
        <f aca="false">IF(OR(E459="",I459=""),"",IF(E459&lt;=I459,"nachbestellen",""))</f>
        <v/>
      </c>
    </row>
    <row r="460" customFormat="false" ht="15" hidden="false" customHeight="false" outlineLevel="0" collapsed="false">
      <c r="A460" s="32"/>
      <c r="B460" s="32"/>
      <c r="C460" s="32"/>
      <c r="D460" s="32"/>
      <c r="E460" s="32"/>
      <c r="F460" s="32"/>
      <c r="G460" s="30"/>
      <c r="H460" s="31" t="str">
        <f aca="false">IF(OR(E460="",G460=""),"",E460*G460)</f>
        <v/>
      </c>
      <c r="I460" s="32"/>
      <c r="J460" s="35" t="str">
        <f aca="false">IF(OR(E460="",I460=""),"",IF(E460&lt;=I460,"nachbestellen",""))</f>
        <v/>
      </c>
    </row>
    <row r="461" customFormat="false" ht="15" hidden="false" customHeight="false" outlineLevel="0" collapsed="false">
      <c r="A461" s="32"/>
      <c r="B461" s="32"/>
      <c r="C461" s="32"/>
      <c r="D461" s="32"/>
      <c r="E461" s="32"/>
      <c r="F461" s="32"/>
      <c r="G461" s="30"/>
      <c r="H461" s="31" t="str">
        <f aca="false">IF(OR(E461="",G461=""),"",E461*G461)</f>
        <v/>
      </c>
      <c r="I461" s="32"/>
      <c r="J461" s="35" t="str">
        <f aca="false">IF(OR(E461="",I461=""),"",IF(E461&lt;=I461,"nachbestellen",""))</f>
        <v/>
      </c>
    </row>
    <row r="462" customFormat="false" ht="15" hidden="false" customHeight="false" outlineLevel="0" collapsed="false">
      <c r="A462" s="32"/>
      <c r="B462" s="32"/>
      <c r="C462" s="32"/>
      <c r="D462" s="32"/>
      <c r="E462" s="32"/>
      <c r="F462" s="32"/>
      <c r="G462" s="30"/>
      <c r="H462" s="31" t="str">
        <f aca="false">IF(OR(E462="",G462=""),"",E462*G462)</f>
        <v/>
      </c>
      <c r="I462" s="32"/>
      <c r="J462" s="35" t="str">
        <f aca="false">IF(OR(E462="",I462=""),"",IF(E462&lt;=I462,"nachbestellen",""))</f>
        <v/>
      </c>
    </row>
    <row r="463" customFormat="false" ht="15" hidden="false" customHeight="false" outlineLevel="0" collapsed="false">
      <c r="A463" s="32"/>
      <c r="B463" s="32"/>
      <c r="C463" s="32"/>
      <c r="D463" s="32"/>
      <c r="E463" s="32"/>
      <c r="F463" s="32"/>
      <c r="G463" s="30"/>
      <c r="H463" s="31" t="str">
        <f aca="false">IF(OR(E463="",G463=""),"",E463*G463)</f>
        <v/>
      </c>
      <c r="I463" s="32"/>
      <c r="J463" s="35" t="str">
        <f aca="false">IF(OR(E463="",I463=""),"",IF(E463&lt;=I463,"nachbestellen",""))</f>
        <v/>
      </c>
    </row>
    <row r="464" customFormat="false" ht="15" hidden="false" customHeight="false" outlineLevel="0" collapsed="false">
      <c r="A464" s="32"/>
      <c r="B464" s="32"/>
      <c r="C464" s="32"/>
      <c r="D464" s="32"/>
      <c r="E464" s="32"/>
      <c r="F464" s="32"/>
      <c r="G464" s="30"/>
      <c r="H464" s="31" t="str">
        <f aca="false">IF(OR(E464="",G464=""),"",E464*G464)</f>
        <v/>
      </c>
      <c r="I464" s="32"/>
      <c r="J464" s="35" t="str">
        <f aca="false">IF(OR(E464="",I464=""),"",IF(E464&lt;=I464,"nachbestellen",""))</f>
        <v/>
      </c>
    </row>
    <row r="465" customFormat="false" ht="15" hidden="false" customHeight="false" outlineLevel="0" collapsed="false">
      <c r="A465" s="32"/>
      <c r="B465" s="32"/>
      <c r="C465" s="32"/>
      <c r="D465" s="32"/>
      <c r="E465" s="32"/>
      <c r="F465" s="32"/>
      <c r="G465" s="30"/>
      <c r="H465" s="31" t="str">
        <f aca="false">IF(OR(E465="",G465=""),"",E465*G465)</f>
        <v/>
      </c>
      <c r="I465" s="32"/>
      <c r="J465" s="35" t="str">
        <f aca="false">IF(OR(E465="",I465=""),"",IF(E465&lt;=I465,"nachbestellen",""))</f>
        <v/>
      </c>
    </row>
    <row r="466" customFormat="false" ht="15" hidden="false" customHeight="false" outlineLevel="0" collapsed="false">
      <c r="A466" s="32"/>
      <c r="B466" s="32"/>
      <c r="C466" s="32"/>
      <c r="D466" s="32"/>
      <c r="E466" s="32"/>
      <c r="F466" s="32"/>
      <c r="G466" s="30"/>
      <c r="H466" s="31" t="str">
        <f aca="false">IF(OR(E466="",G466=""),"",E466*G466)</f>
        <v/>
      </c>
      <c r="I466" s="32"/>
      <c r="J466" s="35" t="str">
        <f aca="false">IF(OR(E466="",I466=""),"",IF(E466&lt;=I466,"nachbestellen",""))</f>
        <v/>
      </c>
    </row>
    <row r="467" customFormat="false" ht="15" hidden="false" customHeight="false" outlineLevel="0" collapsed="false">
      <c r="A467" s="32"/>
      <c r="B467" s="32"/>
      <c r="C467" s="32"/>
      <c r="D467" s="32"/>
      <c r="E467" s="32"/>
      <c r="F467" s="32"/>
      <c r="G467" s="30"/>
      <c r="H467" s="31" t="str">
        <f aca="false">IF(OR(E467="",G467=""),"",E467*G467)</f>
        <v/>
      </c>
      <c r="I467" s="32"/>
      <c r="J467" s="35" t="str">
        <f aca="false">IF(OR(E467="",I467=""),"",IF(E467&lt;=I467,"nachbestellen",""))</f>
        <v/>
      </c>
    </row>
    <row r="468" customFormat="false" ht="15" hidden="false" customHeight="false" outlineLevel="0" collapsed="false">
      <c r="A468" s="32"/>
      <c r="B468" s="32"/>
      <c r="C468" s="32"/>
      <c r="D468" s="32"/>
      <c r="E468" s="32"/>
      <c r="F468" s="32"/>
      <c r="G468" s="30"/>
      <c r="H468" s="31" t="str">
        <f aca="false">IF(OR(E468="",G468=""),"",E468*G468)</f>
        <v/>
      </c>
      <c r="I468" s="32"/>
      <c r="J468" s="35" t="str">
        <f aca="false">IF(OR(E468="",I468=""),"",IF(E468&lt;=I468,"nachbestellen",""))</f>
        <v/>
      </c>
    </row>
    <row r="469" customFormat="false" ht="15" hidden="false" customHeight="false" outlineLevel="0" collapsed="false">
      <c r="A469" s="32"/>
      <c r="B469" s="32"/>
      <c r="C469" s="32"/>
      <c r="D469" s="32"/>
      <c r="E469" s="32"/>
      <c r="F469" s="32"/>
      <c r="G469" s="30"/>
      <c r="H469" s="31" t="str">
        <f aca="false">IF(OR(E469="",G469=""),"",E469*G469)</f>
        <v/>
      </c>
      <c r="I469" s="32"/>
      <c r="J469" s="35" t="str">
        <f aca="false">IF(OR(E469="",I469=""),"",IF(E469&lt;=I469,"nachbestellen",""))</f>
        <v/>
      </c>
    </row>
    <row r="470" customFormat="false" ht="15" hidden="false" customHeight="false" outlineLevel="0" collapsed="false">
      <c r="A470" s="32"/>
      <c r="B470" s="32"/>
      <c r="C470" s="32"/>
      <c r="D470" s="32"/>
      <c r="E470" s="32"/>
      <c r="F470" s="32"/>
      <c r="G470" s="30"/>
      <c r="H470" s="31" t="str">
        <f aca="false">IF(OR(E470="",G470=""),"",E470*G470)</f>
        <v/>
      </c>
      <c r="I470" s="32"/>
      <c r="J470" s="35" t="str">
        <f aca="false">IF(OR(E470="",I470=""),"",IF(E470&lt;=I470,"nachbestellen",""))</f>
        <v/>
      </c>
    </row>
    <row r="471" customFormat="false" ht="15" hidden="false" customHeight="false" outlineLevel="0" collapsed="false">
      <c r="A471" s="32"/>
      <c r="B471" s="32"/>
      <c r="C471" s="32"/>
      <c r="D471" s="32"/>
      <c r="E471" s="32"/>
      <c r="F471" s="32"/>
      <c r="G471" s="30"/>
      <c r="H471" s="31" t="str">
        <f aca="false">IF(OR(E471="",G471=""),"",E471*G471)</f>
        <v/>
      </c>
      <c r="I471" s="32"/>
      <c r="J471" s="35" t="str">
        <f aca="false">IF(OR(E471="",I471=""),"",IF(E471&lt;=I471,"nachbestellen",""))</f>
        <v/>
      </c>
    </row>
    <row r="472" customFormat="false" ht="15" hidden="false" customHeight="false" outlineLevel="0" collapsed="false">
      <c r="A472" s="32"/>
      <c r="B472" s="32"/>
      <c r="C472" s="32"/>
      <c r="D472" s="32"/>
      <c r="E472" s="32"/>
      <c r="F472" s="32"/>
      <c r="G472" s="30"/>
      <c r="H472" s="31" t="str">
        <f aca="false">IF(OR(E472="",G472=""),"",E472*G472)</f>
        <v/>
      </c>
      <c r="I472" s="32"/>
      <c r="J472" s="35" t="str">
        <f aca="false">IF(OR(E472="",I472=""),"",IF(E472&lt;=I472,"nachbestellen",""))</f>
        <v/>
      </c>
    </row>
    <row r="473" customFormat="false" ht="15" hidden="false" customHeight="false" outlineLevel="0" collapsed="false">
      <c r="A473" s="32"/>
      <c r="B473" s="32"/>
      <c r="C473" s="32"/>
      <c r="D473" s="32"/>
      <c r="E473" s="32"/>
      <c r="F473" s="32"/>
      <c r="G473" s="30"/>
      <c r="H473" s="31" t="str">
        <f aca="false">IF(OR(E473="",G473=""),"",E473*G473)</f>
        <v/>
      </c>
      <c r="I473" s="32"/>
      <c r="J473" s="35" t="str">
        <f aca="false">IF(OR(E473="",I473=""),"",IF(E473&lt;=I473,"nachbestellen",""))</f>
        <v/>
      </c>
    </row>
    <row r="474" customFormat="false" ht="15" hidden="false" customHeight="false" outlineLevel="0" collapsed="false">
      <c r="A474" s="32"/>
      <c r="B474" s="32"/>
      <c r="C474" s="32"/>
      <c r="D474" s="32"/>
      <c r="E474" s="32"/>
      <c r="F474" s="32"/>
      <c r="G474" s="30"/>
      <c r="H474" s="31" t="str">
        <f aca="false">IF(OR(E474="",G474=""),"",E474*G474)</f>
        <v/>
      </c>
      <c r="I474" s="32"/>
      <c r="J474" s="35" t="str">
        <f aca="false">IF(OR(E474="",I474=""),"",IF(E474&lt;=I474,"nachbestellen",""))</f>
        <v/>
      </c>
    </row>
    <row r="475" customFormat="false" ht="15" hidden="false" customHeight="false" outlineLevel="0" collapsed="false">
      <c r="A475" s="32"/>
      <c r="B475" s="32"/>
      <c r="C475" s="32"/>
      <c r="D475" s="32"/>
      <c r="E475" s="32"/>
      <c r="F475" s="32"/>
      <c r="G475" s="30"/>
      <c r="H475" s="31" t="str">
        <f aca="false">IF(OR(E475="",G475=""),"",E475*G475)</f>
        <v/>
      </c>
      <c r="I475" s="32"/>
      <c r="J475" s="35" t="str">
        <f aca="false">IF(OR(E475="",I475=""),"",IF(E475&lt;=I475,"nachbestellen",""))</f>
        <v/>
      </c>
    </row>
    <row r="476" customFormat="false" ht="15" hidden="false" customHeight="false" outlineLevel="0" collapsed="false">
      <c r="A476" s="32"/>
      <c r="B476" s="32"/>
      <c r="C476" s="32"/>
      <c r="D476" s="32"/>
      <c r="E476" s="32"/>
      <c r="F476" s="32"/>
      <c r="G476" s="30"/>
      <c r="H476" s="31" t="str">
        <f aca="false">IF(OR(E476="",G476=""),"",E476*G476)</f>
        <v/>
      </c>
      <c r="I476" s="32"/>
      <c r="J476" s="35" t="str">
        <f aca="false">IF(OR(E476="",I476=""),"",IF(E476&lt;=I476,"nachbestellen",""))</f>
        <v/>
      </c>
    </row>
    <row r="477" customFormat="false" ht="15" hidden="false" customHeight="false" outlineLevel="0" collapsed="false">
      <c r="A477" s="32"/>
      <c r="B477" s="32"/>
      <c r="C477" s="32"/>
      <c r="D477" s="32"/>
      <c r="E477" s="32"/>
      <c r="F477" s="32"/>
      <c r="G477" s="30"/>
      <c r="H477" s="31" t="str">
        <f aca="false">IF(OR(E477="",G477=""),"",E477*G477)</f>
        <v/>
      </c>
      <c r="I477" s="32"/>
      <c r="J477" s="35" t="str">
        <f aca="false">IF(OR(E477="",I477=""),"",IF(E477&lt;=I477,"nachbestellen",""))</f>
        <v/>
      </c>
    </row>
    <row r="478" customFormat="false" ht="15" hidden="false" customHeight="false" outlineLevel="0" collapsed="false">
      <c r="A478" s="32"/>
      <c r="B478" s="32"/>
      <c r="C478" s="32"/>
      <c r="D478" s="32"/>
      <c r="E478" s="32"/>
      <c r="F478" s="32"/>
      <c r="G478" s="30"/>
      <c r="H478" s="31" t="str">
        <f aca="false">IF(OR(E478="",G478=""),"",E478*G478)</f>
        <v/>
      </c>
      <c r="I478" s="32"/>
      <c r="J478" s="35" t="str">
        <f aca="false">IF(OR(E478="",I478=""),"",IF(E478&lt;=I478,"nachbestellen",""))</f>
        <v/>
      </c>
    </row>
    <row r="479" customFormat="false" ht="15" hidden="false" customHeight="false" outlineLevel="0" collapsed="false">
      <c r="A479" s="32"/>
      <c r="B479" s="32"/>
      <c r="C479" s="32"/>
      <c r="D479" s="32"/>
      <c r="E479" s="32"/>
      <c r="F479" s="32"/>
      <c r="G479" s="30"/>
      <c r="H479" s="31" t="str">
        <f aca="false">IF(OR(E479="",G479=""),"",E479*G479)</f>
        <v/>
      </c>
      <c r="I479" s="32"/>
      <c r="J479" s="35" t="str">
        <f aca="false">IF(OR(E479="",I479=""),"",IF(E479&lt;=I479,"nachbestellen",""))</f>
        <v/>
      </c>
    </row>
    <row r="480" customFormat="false" ht="15" hidden="false" customHeight="false" outlineLevel="0" collapsed="false">
      <c r="A480" s="32"/>
      <c r="B480" s="32"/>
      <c r="C480" s="32"/>
      <c r="D480" s="32"/>
      <c r="E480" s="32"/>
      <c r="F480" s="32"/>
      <c r="G480" s="30"/>
      <c r="H480" s="31" t="str">
        <f aca="false">IF(OR(E480="",G480=""),"",E480*G480)</f>
        <v/>
      </c>
      <c r="I480" s="32"/>
      <c r="J480" s="35" t="str">
        <f aca="false">IF(OR(E480="",I480=""),"",IF(E480&lt;=I480,"nachbestellen",""))</f>
        <v/>
      </c>
    </row>
    <row r="481" customFormat="false" ht="15" hidden="false" customHeight="false" outlineLevel="0" collapsed="false">
      <c r="A481" s="32"/>
      <c r="B481" s="32"/>
      <c r="C481" s="32"/>
      <c r="D481" s="32"/>
      <c r="E481" s="32"/>
      <c r="F481" s="32"/>
      <c r="G481" s="30"/>
      <c r="H481" s="31" t="str">
        <f aca="false">IF(OR(E481="",G481=""),"",E481*G481)</f>
        <v/>
      </c>
      <c r="I481" s="32"/>
      <c r="J481" s="35" t="str">
        <f aca="false">IF(OR(E481="",I481=""),"",IF(E481&lt;=I481,"nachbestellen",""))</f>
        <v/>
      </c>
    </row>
    <row r="482" customFormat="false" ht="15" hidden="false" customHeight="false" outlineLevel="0" collapsed="false">
      <c r="A482" s="32"/>
      <c r="B482" s="32"/>
      <c r="C482" s="32"/>
      <c r="D482" s="32"/>
      <c r="E482" s="32"/>
      <c r="F482" s="32"/>
      <c r="G482" s="30"/>
      <c r="H482" s="31" t="str">
        <f aca="false">IF(OR(E482="",G482=""),"",E482*G482)</f>
        <v/>
      </c>
      <c r="I482" s="32"/>
      <c r="J482" s="35" t="str">
        <f aca="false">IF(OR(E482="",I482=""),"",IF(E482&lt;=I482,"nachbestellen",""))</f>
        <v/>
      </c>
    </row>
    <row r="483" customFormat="false" ht="15" hidden="false" customHeight="false" outlineLevel="0" collapsed="false">
      <c r="A483" s="32"/>
      <c r="B483" s="32"/>
      <c r="C483" s="32"/>
      <c r="D483" s="32"/>
      <c r="E483" s="32"/>
      <c r="F483" s="32"/>
      <c r="G483" s="30"/>
      <c r="H483" s="31" t="str">
        <f aca="false">IF(OR(E483="",G483=""),"",E483*G483)</f>
        <v/>
      </c>
      <c r="I483" s="32"/>
      <c r="J483" s="35" t="str">
        <f aca="false">IF(OR(E483="",I483=""),"",IF(E483&lt;=I483,"nachbestellen",""))</f>
        <v/>
      </c>
    </row>
    <row r="484" customFormat="false" ht="15" hidden="false" customHeight="false" outlineLevel="0" collapsed="false">
      <c r="A484" s="32"/>
      <c r="B484" s="32"/>
      <c r="C484" s="32"/>
      <c r="D484" s="32"/>
      <c r="E484" s="32"/>
      <c r="F484" s="32"/>
      <c r="G484" s="30"/>
      <c r="H484" s="31" t="str">
        <f aca="false">IF(OR(E484="",G484=""),"",E484*G484)</f>
        <v/>
      </c>
      <c r="I484" s="32"/>
      <c r="J484" s="35" t="str">
        <f aca="false">IF(OR(E484="",I484=""),"",IF(E484&lt;=I484,"nachbestellen",""))</f>
        <v/>
      </c>
    </row>
    <row r="485" customFormat="false" ht="15" hidden="false" customHeight="false" outlineLevel="0" collapsed="false">
      <c r="A485" s="32"/>
      <c r="B485" s="32"/>
      <c r="C485" s="32"/>
      <c r="D485" s="32"/>
      <c r="E485" s="32"/>
      <c r="F485" s="32"/>
      <c r="G485" s="30"/>
      <c r="H485" s="31" t="str">
        <f aca="false">IF(OR(E485="",G485=""),"",E485*G485)</f>
        <v/>
      </c>
      <c r="I485" s="32"/>
      <c r="J485" s="35" t="str">
        <f aca="false">IF(OR(E485="",I485=""),"",IF(E485&lt;=I485,"nachbestellen",""))</f>
        <v/>
      </c>
    </row>
    <row r="486" customFormat="false" ht="15" hidden="false" customHeight="false" outlineLevel="0" collapsed="false">
      <c r="A486" s="32"/>
      <c r="B486" s="32"/>
      <c r="C486" s="32"/>
      <c r="D486" s="32"/>
      <c r="E486" s="32"/>
      <c r="F486" s="32"/>
      <c r="G486" s="30"/>
      <c r="H486" s="31" t="str">
        <f aca="false">IF(OR(E486="",G486=""),"",E486*G486)</f>
        <v/>
      </c>
      <c r="I486" s="32"/>
      <c r="J486" s="35" t="str">
        <f aca="false">IF(OR(E486="",I486=""),"",IF(E486&lt;=I486,"nachbestellen",""))</f>
        <v/>
      </c>
    </row>
    <row r="487" customFormat="false" ht="15" hidden="false" customHeight="false" outlineLevel="0" collapsed="false">
      <c r="A487" s="32"/>
      <c r="B487" s="32"/>
      <c r="C487" s="32"/>
      <c r="D487" s="32"/>
      <c r="E487" s="32"/>
      <c r="F487" s="32"/>
      <c r="G487" s="30"/>
      <c r="H487" s="31" t="str">
        <f aca="false">IF(OR(E487="",G487=""),"",E487*G487)</f>
        <v/>
      </c>
      <c r="I487" s="32"/>
      <c r="J487" s="35" t="str">
        <f aca="false">IF(OR(E487="",I487=""),"",IF(E487&lt;=I487,"nachbestellen",""))</f>
        <v/>
      </c>
    </row>
    <row r="488" customFormat="false" ht="15" hidden="false" customHeight="false" outlineLevel="0" collapsed="false">
      <c r="A488" s="32"/>
      <c r="B488" s="32"/>
      <c r="C488" s="32"/>
      <c r="D488" s="32"/>
      <c r="E488" s="32"/>
      <c r="F488" s="32"/>
      <c r="G488" s="30"/>
      <c r="H488" s="31" t="str">
        <f aca="false">IF(OR(E488="",G488=""),"",E488*G488)</f>
        <v/>
      </c>
      <c r="I488" s="32"/>
      <c r="J488" s="35" t="str">
        <f aca="false">IF(OR(E488="",I488=""),"",IF(E488&lt;=I488,"nachbestellen",""))</f>
        <v/>
      </c>
    </row>
    <row r="489" customFormat="false" ht="15" hidden="false" customHeight="false" outlineLevel="0" collapsed="false">
      <c r="A489" s="32"/>
      <c r="B489" s="32"/>
      <c r="C489" s="32"/>
      <c r="D489" s="32"/>
      <c r="E489" s="32"/>
      <c r="F489" s="32"/>
      <c r="G489" s="30"/>
      <c r="H489" s="31" t="str">
        <f aca="false">IF(OR(E489="",G489=""),"",E489*G489)</f>
        <v/>
      </c>
      <c r="I489" s="32"/>
      <c r="J489" s="35" t="str">
        <f aca="false">IF(OR(E489="",I489=""),"",IF(E489&lt;=I489,"nachbestellen",""))</f>
        <v/>
      </c>
    </row>
    <row r="490" customFormat="false" ht="15" hidden="false" customHeight="false" outlineLevel="0" collapsed="false">
      <c r="A490" s="32"/>
      <c r="B490" s="32"/>
      <c r="C490" s="32"/>
      <c r="D490" s="32"/>
      <c r="E490" s="32"/>
      <c r="F490" s="32"/>
      <c r="G490" s="30"/>
      <c r="H490" s="31" t="str">
        <f aca="false">IF(OR(E490="",G490=""),"",E490*G490)</f>
        <v/>
      </c>
      <c r="I490" s="32"/>
      <c r="J490" s="35" t="str">
        <f aca="false">IF(OR(E490="",I490=""),"",IF(E490&lt;=I490,"nachbestellen",""))</f>
        <v/>
      </c>
    </row>
    <row r="491" customFormat="false" ht="15" hidden="false" customHeight="false" outlineLevel="0" collapsed="false">
      <c r="A491" s="32"/>
      <c r="B491" s="32"/>
      <c r="C491" s="32"/>
      <c r="D491" s="32"/>
      <c r="E491" s="32"/>
      <c r="F491" s="32"/>
      <c r="G491" s="30"/>
      <c r="H491" s="31" t="str">
        <f aca="false">IF(OR(E491="",G491=""),"",E491*G491)</f>
        <v/>
      </c>
      <c r="I491" s="32"/>
      <c r="J491" s="35" t="str">
        <f aca="false">IF(OR(E491="",I491=""),"",IF(E491&lt;=I491,"nachbestellen",""))</f>
        <v/>
      </c>
    </row>
    <row r="492" customFormat="false" ht="15" hidden="false" customHeight="false" outlineLevel="0" collapsed="false">
      <c r="A492" s="32"/>
      <c r="B492" s="32"/>
      <c r="C492" s="32"/>
      <c r="D492" s="32"/>
      <c r="E492" s="32"/>
      <c r="F492" s="32"/>
      <c r="G492" s="30"/>
      <c r="H492" s="31" t="str">
        <f aca="false">IF(OR(E492="",G492=""),"",E492*G492)</f>
        <v/>
      </c>
      <c r="I492" s="32"/>
      <c r="J492" s="35" t="str">
        <f aca="false">IF(OR(E492="",I492=""),"",IF(E492&lt;=I492,"nachbestellen",""))</f>
        <v/>
      </c>
    </row>
    <row r="493" customFormat="false" ht="15" hidden="false" customHeight="false" outlineLevel="0" collapsed="false">
      <c r="A493" s="32"/>
      <c r="B493" s="32"/>
      <c r="C493" s="32"/>
      <c r="D493" s="32"/>
      <c r="E493" s="32"/>
      <c r="F493" s="32"/>
      <c r="G493" s="30"/>
      <c r="H493" s="31" t="str">
        <f aca="false">IF(OR(E493="",G493=""),"",E493*G493)</f>
        <v/>
      </c>
      <c r="I493" s="32"/>
      <c r="J493" s="35" t="str">
        <f aca="false">IF(OR(E493="",I493=""),"",IF(E493&lt;=I493,"nachbestellen",""))</f>
        <v/>
      </c>
    </row>
    <row r="494" customFormat="false" ht="15" hidden="false" customHeight="false" outlineLevel="0" collapsed="false">
      <c r="A494" s="32"/>
      <c r="B494" s="32"/>
      <c r="C494" s="32"/>
      <c r="D494" s="32"/>
      <c r="E494" s="32"/>
      <c r="F494" s="32"/>
      <c r="G494" s="30"/>
      <c r="H494" s="31" t="str">
        <f aca="false">IF(OR(E494="",G494=""),"",E494*G494)</f>
        <v/>
      </c>
      <c r="I494" s="32"/>
      <c r="J494" s="35" t="str">
        <f aca="false">IF(OR(E494="",I494=""),"",IF(E494&lt;=I494,"nachbestellen",""))</f>
        <v/>
      </c>
    </row>
    <row r="495" customFormat="false" ht="15" hidden="false" customHeight="false" outlineLevel="0" collapsed="false">
      <c r="A495" s="32"/>
      <c r="B495" s="32"/>
      <c r="C495" s="32"/>
      <c r="D495" s="32"/>
      <c r="E495" s="32"/>
      <c r="F495" s="32"/>
      <c r="G495" s="30"/>
      <c r="H495" s="31" t="str">
        <f aca="false">IF(OR(E495="",G495=""),"",E495*G495)</f>
        <v/>
      </c>
      <c r="I495" s="32"/>
      <c r="J495" s="35" t="str">
        <f aca="false">IF(OR(E495="",I495=""),"",IF(E495&lt;=I495,"nachbestellen",""))</f>
        <v/>
      </c>
    </row>
    <row r="496" customFormat="false" ht="15" hidden="false" customHeight="false" outlineLevel="0" collapsed="false">
      <c r="A496" s="32"/>
      <c r="B496" s="32"/>
      <c r="C496" s="32"/>
      <c r="D496" s="32"/>
      <c r="E496" s="32"/>
      <c r="F496" s="32"/>
      <c r="G496" s="30"/>
      <c r="H496" s="31" t="str">
        <f aca="false">IF(OR(E496="",G496=""),"",E496*G496)</f>
        <v/>
      </c>
      <c r="I496" s="32"/>
      <c r="J496" s="35" t="str">
        <f aca="false">IF(OR(E496="",I496=""),"",IF(E496&lt;=I496,"nachbestellen",""))</f>
        <v/>
      </c>
    </row>
    <row r="497" customFormat="false" ht="15" hidden="false" customHeight="false" outlineLevel="0" collapsed="false">
      <c r="A497" s="32"/>
      <c r="B497" s="32"/>
      <c r="C497" s="32"/>
      <c r="D497" s="32"/>
      <c r="E497" s="32"/>
      <c r="F497" s="32"/>
      <c r="G497" s="30"/>
      <c r="H497" s="31" t="str">
        <f aca="false">IF(OR(E497="",G497=""),"",E497*G497)</f>
        <v/>
      </c>
      <c r="I497" s="32"/>
      <c r="J497" s="35" t="str">
        <f aca="false">IF(OR(E497="",I497=""),"",IF(E497&lt;=I497,"nachbestellen",""))</f>
        <v/>
      </c>
    </row>
    <row r="498" customFormat="false" ht="15" hidden="false" customHeight="false" outlineLevel="0" collapsed="false">
      <c r="A498" s="32"/>
      <c r="B498" s="32"/>
      <c r="C498" s="32"/>
      <c r="D498" s="32"/>
      <c r="E498" s="32"/>
      <c r="F498" s="32"/>
      <c r="G498" s="30"/>
      <c r="H498" s="31" t="str">
        <f aca="false">IF(OR(E498="",G498=""),"",E498*G498)</f>
        <v/>
      </c>
      <c r="I498" s="32"/>
      <c r="J498" s="35" t="str">
        <f aca="false">IF(OR(E498="",I498=""),"",IF(E498&lt;=I498,"nachbestellen",""))</f>
        <v/>
      </c>
    </row>
    <row r="499" customFormat="false" ht="15" hidden="false" customHeight="false" outlineLevel="0" collapsed="false">
      <c r="A499" s="32"/>
      <c r="B499" s="32"/>
      <c r="C499" s="32"/>
      <c r="D499" s="32"/>
      <c r="E499" s="32"/>
      <c r="F499" s="32"/>
      <c r="G499" s="30"/>
      <c r="H499" s="31" t="str">
        <f aca="false">IF(OR(E499="",G499=""),"",E499*G499)</f>
        <v/>
      </c>
      <c r="I499" s="32"/>
      <c r="J499" s="35" t="str">
        <f aca="false">IF(OR(E499="",I499=""),"",IF(E499&lt;=I499,"nachbestellen",""))</f>
        <v/>
      </c>
    </row>
    <row r="500" customFormat="false" ht="15" hidden="false" customHeight="false" outlineLevel="0" collapsed="false">
      <c r="A500" s="32"/>
      <c r="B500" s="32"/>
      <c r="C500" s="32"/>
      <c r="D500" s="32"/>
      <c r="E500" s="32"/>
      <c r="F500" s="32"/>
      <c r="G500" s="30"/>
      <c r="H500" s="31" t="str">
        <f aca="false">IF(OR(E500="",G500=""),"",E500*G500)</f>
        <v/>
      </c>
      <c r="I500" s="32"/>
      <c r="J500" s="35" t="str">
        <f aca="false">IF(OR(E500="",I500=""),"",IF(E500&lt;=I500,"nachbestellen",""))</f>
        <v/>
      </c>
    </row>
    <row r="501" customFormat="false" ht="15" hidden="false" customHeight="false" outlineLevel="0" collapsed="false">
      <c r="A501" s="32"/>
      <c r="B501" s="32"/>
      <c r="C501" s="32"/>
      <c r="D501" s="32"/>
      <c r="E501" s="32"/>
      <c r="F501" s="32"/>
      <c r="G501" s="30"/>
      <c r="H501" s="31" t="str">
        <f aca="false">IF(OR(E501="",G501=""),"",E501*G501)</f>
        <v/>
      </c>
      <c r="I501" s="32"/>
      <c r="J501" s="35" t="str">
        <f aca="false">IF(OR(E501="",I501=""),"",IF(E501&lt;=I501,"nachbestellen",""))</f>
        <v/>
      </c>
    </row>
    <row r="502" customFormat="false" ht="15" hidden="false" customHeight="false" outlineLevel="0" collapsed="false">
      <c r="A502" s="32"/>
      <c r="B502" s="32"/>
      <c r="C502" s="32"/>
      <c r="D502" s="32"/>
      <c r="E502" s="32"/>
      <c r="F502" s="32"/>
      <c r="G502" s="30"/>
      <c r="H502" s="31" t="str">
        <f aca="false">IF(OR(E502="",G502=""),"",E502*G502)</f>
        <v/>
      </c>
      <c r="I502" s="32"/>
      <c r="J502" s="35" t="str">
        <f aca="false">IF(OR(E502="",I502=""),"",IF(E502&lt;=I502,"nachbestellen",""))</f>
        <v/>
      </c>
    </row>
    <row r="503" customFormat="false" ht="15" hidden="false" customHeight="false" outlineLevel="0" collapsed="false">
      <c r="A503" s="32"/>
      <c r="B503" s="32"/>
      <c r="C503" s="32"/>
      <c r="D503" s="32"/>
      <c r="E503" s="32"/>
      <c r="F503" s="32"/>
      <c r="G503" s="30"/>
      <c r="H503" s="31" t="str">
        <f aca="false">IF(OR(E503="",G503=""),"",E503*G503)</f>
        <v/>
      </c>
      <c r="I503" s="32"/>
      <c r="J503" s="35" t="str">
        <f aca="false">IF(OR(E503="",I503=""),"",IF(E503&lt;=I503,"nachbestellen",""))</f>
        <v/>
      </c>
    </row>
    <row r="504" customFormat="false" ht="15" hidden="false" customHeight="false" outlineLevel="0" collapsed="false">
      <c r="A504" s="32"/>
      <c r="B504" s="32"/>
      <c r="C504" s="32"/>
      <c r="D504" s="32"/>
      <c r="E504" s="32"/>
      <c r="F504" s="32"/>
      <c r="G504" s="30"/>
      <c r="H504" s="31" t="str">
        <f aca="false">IF(OR(E504="",G504=""),"",E504*G504)</f>
        <v/>
      </c>
      <c r="I504" s="32"/>
      <c r="J504" s="35" t="str">
        <f aca="false">IF(OR(E504="",I504=""),"",IF(E504&lt;=I504,"nachbestellen",""))</f>
        <v/>
      </c>
    </row>
    <row r="505" customFormat="false" ht="15" hidden="false" customHeight="false" outlineLevel="0" collapsed="false">
      <c r="A505" s="32"/>
      <c r="B505" s="32"/>
      <c r="C505" s="32"/>
      <c r="D505" s="32"/>
      <c r="E505" s="32"/>
      <c r="F505" s="32"/>
      <c r="G505" s="30"/>
      <c r="H505" s="31" t="str">
        <f aca="false">IF(OR(E505="",G505=""),"",E505*G505)</f>
        <v/>
      </c>
      <c r="I505" s="32"/>
      <c r="J505" s="35" t="str">
        <f aca="false">IF(OR(E505="",I505=""),"",IF(E505&lt;=I505,"nachbestellen",""))</f>
        <v/>
      </c>
    </row>
    <row r="506" customFormat="false" ht="15" hidden="false" customHeight="false" outlineLevel="0" collapsed="false">
      <c r="A506" s="32"/>
      <c r="B506" s="32"/>
      <c r="C506" s="32"/>
      <c r="D506" s="32"/>
      <c r="E506" s="32"/>
      <c r="F506" s="32"/>
      <c r="G506" s="30"/>
      <c r="H506" s="31" t="str">
        <f aca="false">IF(OR(E506="",G506=""),"",E506*G506)</f>
        <v/>
      </c>
      <c r="I506" s="32"/>
      <c r="J506" s="35" t="str">
        <f aca="false">IF(OR(E506="",I506=""),"",IF(E506&lt;=I506,"nachbestellen",""))</f>
        <v/>
      </c>
    </row>
  </sheetData>
  <dataValidations count="1">
    <dataValidation allowBlank="false" errorStyle="stop" operator="between" showDropDown="false" showErrorMessage="false" showInputMessage="false" sqref="C7:C506" type="list">
      <formula1>"Ersatzteile,Pneus,Öl &amp; Flüssigkeiten,Zubehör,Verbrauchsmaterial"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R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7" min="5" style="0" width="14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1" min="10" style="0" width="14"/>
    <col collapsed="false" customWidth="true" hidden="false" outlineLevel="0" max="12" min="12" style="0" width="2"/>
    <col collapsed="false" customWidth="true" hidden="false" outlineLevel="0" max="13" min="13" style="0" width="8"/>
    <col collapsed="false" customWidth="true" hidden="false" outlineLevel="0" max="17" min="14" style="0" width="14"/>
    <col collapsed="false" customWidth="true" hidden="false" outlineLevel="0" max="18" min="18" style="0" width="20"/>
  </cols>
  <sheetData>
    <row r="1" customFormat="false" ht="19.7" hidden="false" customHeight="false" outlineLevel="0" collapsed="false">
      <c r="A1" s="1" t="s">
        <v>588</v>
      </c>
    </row>
    <row r="2" customFormat="false" ht="15" hidden="false" customHeight="false" outlineLevel="0" collapsed="false">
      <c r="A2" s="2" t="s">
        <v>589</v>
      </c>
    </row>
    <row r="3" customFormat="false" ht="15" hidden="false" customHeight="false" outlineLevel="0" collapsed="false">
      <c r="I3" s="4" t="s">
        <v>590</v>
      </c>
      <c r="J3" s="12" t="n">
        <f aca="false">SUM(J6:J105)</f>
        <v>33400</v>
      </c>
    </row>
    <row r="5" customFormat="false" ht="31.5" hidden="false" customHeight="true" outlineLevel="0" collapsed="false">
      <c r="A5" s="10" t="s">
        <v>251</v>
      </c>
      <c r="B5" s="10" t="s">
        <v>250</v>
      </c>
      <c r="C5" s="10" t="s">
        <v>568</v>
      </c>
      <c r="D5" s="10" t="s">
        <v>591</v>
      </c>
      <c r="E5" s="10" t="s">
        <v>592</v>
      </c>
      <c r="F5" s="10" t="s">
        <v>593</v>
      </c>
      <c r="G5" s="10" t="s">
        <v>594</v>
      </c>
      <c r="H5" s="10" t="s">
        <v>595</v>
      </c>
      <c r="I5" s="10" t="s">
        <v>596</v>
      </c>
      <c r="J5" s="10" t="s">
        <v>597</v>
      </c>
      <c r="K5" s="10" t="s">
        <v>598</v>
      </c>
      <c r="M5" s="10" t="s">
        <v>250</v>
      </c>
      <c r="N5" s="10" t="s">
        <v>599</v>
      </c>
      <c r="O5" s="10" t="s">
        <v>600</v>
      </c>
      <c r="P5" s="10" t="s">
        <v>601</v>
      </c>
      <c r="Q5" s="10" t="s">
        <v>602</v>
      </c>
      <c r="R5" s="10" t="s">
        <v>270</v>
      </c>
    </row>
    <row r="6" customFormat="false" ht="15" hidden="false" customHeight="false" outlineLevel="0" collapsed="false">
      <c r="A6" s="32" t="s">
        <v>603</v>
      </c>
      <c r="B6" s="32" t="n">
        <v>1500</v>
      </c>
      <c r="C6" s="32" t="s">
        <v>201</v>
      </c>
      <c r="D6" s="33" t="n">
        <v>44652</v>
      </c>
      <c r="E6" s="30" t="n">
        <v>48000</v>
      </c>
      <c r="F6" s="30" t="n">
        <v>35000</v>
      </c>
      <c r="G6" s="30" t="n">
        <v>0</v>
      </c>
      <c r="H6" s="24"/>
      <c r="I6" s="34" t="n">
        <f aca="false">IF($A6="","",IF($H6&lt;&gt;"",$H6,IFERROR(INDEX(Einstellungen!$F$15:$F$20,MATCH($C6,Einstellungen!$E$15:$E$20,0)),0)))</f>
        <v>0.3</v>
      </c>
      <c r="J6" s="31" t="n">
        <f aca="false">IF($A6="",0,ROUND(($F6+$G6)*$I6,0))</f>
        <v>10500</v>
      </c>
      <c r="K6" s="31" t="n">
        <f aca="false">IF($A6="","",$F6+$G6-$J6)</f>
        <v>24500</v>
      </c>
      <c r="M6" s="0" t="n">
        <v>1500</v>
      </c>
      <c r="N6" s="31" t="n">
        <f aca="false">SUMIF(Kontenplan!$A$5:$A$90,M6,Kontenplan!$G$5:$G$90)</f>
        <v>60000</v>
      </c>
      <c r="O6" s="31" t="n">
        <f aca="false">SUMIF($B$6:$B$105,M6,$F$6:$F$105)</f>
        <v>60000</v>
      </c>
      <c r="P6" s="31" t="n">
        <f aca="false">SUMIFS(Journal!$M$5:$M$1504,Journal!$D$5:$D$1504,M6)-SUMIFS(Journal!$N$5:$N$1504,Journal!$E$5:$E$1504,M6)</f>
        <v>0</v>
      </c>
      <c r="Q6" s="31" t="n">
        <f aca="false">SUMIF($B$6:$B$105,M6,$G$6:$G$105)</f>
        <v>0</v>
      </c>
      <c r="R6" s="0" t="str">
        <f aca="false">IF(AND(ABS(N6-O6)&lt;1,ABS(P6-Q6)&lt;1),"OK","abweichend – prüfen")</f>
        <v>OK</v>
      </c>
    </row>
    <row r="7" customFormat="false" ht="15" hidden="false" customHeight="false" outlineLevel="0" collapsed="false">
      <c r="A7" s="32" t="s">
        <v>604</v>
      </c>
      <c r="B7" s="32" t="n">
        <v>1500</v>
      </c>
      <c r="C7" s="32" t="s">
        <v>201</v>
      </c>
      <c r="D7" s="33" t="n">
        <v>44958</v>
      </c>
      <c r="E7" s="30" t="n">
        <v>32000</v>
      </c>
      <c r="F7" s="30" t="n">
        <v>25000</v>
      </c>
      <c r="G7" s="30" t="n">
        <v>0</v>
      </c>
      <c r="H7" s="24"/>
      <c r="I7" s="34" t="n">
        <f aca="false">IF($A7="","",IF($H7&lt;&gt;"",$H7,IFERROR(INDEX(Einstellungen!$F$15:$F$20,MATCH($C7,Einstellungen!$E$15:$E$20,0)),0)))</f>
        <v>0.3</v>
      </c>
      <c r="J7" s="31" t="n">
        <f aca="false">IF($A7="",0,ROUND(($F7+$G7)*$I7,0))</f>
        <v>7500</v>
      </c>
      <c r="K7" s="31" t="n">
        <f aca="false">IF($A7="","",$F7+$G7-$J7)</f>
        <v>17500</v>
      </c>
      <c r="M7" s="0" t="n">
        <v>1510</v>
      </c>
      <c r="N7" s="31" t="n">
        <f aca="false">SUMIF(Kontenplan!$A$5:$A$90,M7,Kontenplan!$G$5:$G$90)</f>
        <v>12000</v>
      </c>
      <c r="O7" s="31" t="n">
        <f aca="false">SUMIF($B$6:$B$105,M7,$F$6:$F$105)</f>
        <v>12000</v>
      </c>
      <c r="P7" s="31" t="n">
        <f aca="false">SUMIFS(Journal!$M$5:$M$1504,Journal!$D$5:$D$1504,M7)-SUMIFS(Journal!$N$5:$N$1504,Journal!$E$5:$E$1504,M7)</f>
        <v>0</v>
      </c>
      <c r="Q7" s="31" t="n">
        <f aca="false">SUMIF($B$6:$B$105,M7,$G$6:$G$105)</f>
        <v>0</v>
      </c>
      <c r="R7" s="0" t="str">
        <f aca="false">IF(AND(ABS(N7-O7)&lt;1,ABS(P7-Q7)&lt;1),"OK","abweichend – prüfen")</f>
        <v>OK</v>
      </c>
    </row>
    <row r="8" customFormat="false" ht="15" hidden="false" customHeight="false" outlineLevel="0" collapsed="false">
      <c r="A8" s="32" t="s">
        <v>605</v>
      </c>
      <c r="B8" s="32" t="n">
        <v>1510</v>
      </c>
      <c r="C8" s="32" t="s">
        <v>205</v>
      </c>
      <c r="D8" s="33" t="n">
        <v>45292</v>
      </c>
      <c r="E8" s="30" t="n">
        <v>22000</v>
      </c>
      <c r="F8" s="30" t="n">
        <v>12000</v>
      </c>
      <c r="G8" s="30" t="n">
        <v>0</v>
      </c>
      <c r="H8" s="24"/>
      <c r="I8" s="34" t="n">
        <f aca="false">IF($A8="","",IF($H8&lt;&gt;"",$H8,IFERROR(INDEX(Einstellungen!$F$15:$F$20,MATCH($C8,Einstellungen!$E$15:$E$20,0)),0)))</f>
        <v>0.45</v>
      </c>
      <c r="J8" s="31" t="n">
        <f aca="false">IF($A8="",0,ROUND(($F8+$G8)*$I8,0))</f>
        <v>5400</v>
      </c>
      <c r="K8" s="31" t="n">
        <f aca="false">IF($A8="","",$F8+$G8-$J8)</f>
        <v>6600</v>
      </c>
      <c r="M8" s="0" t="n">
        <v>1520</v>
      </c>
      <c r="N8" s="31" t="n">
        <f aca="false">SUMIF(Kontenplan!$A$5:$A$90,M8,Kontenplan!$G$5:$G$90)</f>
        <v>0</v>
      </c>
      <c r="O8" s="31" t="n">
        <f aca="false">SUMIF($B$6:$B$105,M8,$F$6:$F$105)</f>
        <v>0</v>
      </c>
      <c r="P8" s="31" t="n">
        <f aca="false">SUMIFS(Journal!$M$5:$M$1504,Journal!$D$5:$D$1504,M8)-SUMIFS(Journal!$N$5:$N$1504,Journal!$E$5:$E$1504,M8)</f>
        <v>0</v>
      </c>
      <c r="Q8" s="31" t="n">
        <f aca="false">SUMIF($B$6:$B$105,M8,$G$6:$G$105)</f>
        <v>0</v>
      </c>
      <c r="R8" s="0" t="str">
        <f aca="false">IF(AND(ABS(N8-O8)&lt;1,ABS(P8-Q8)&lt;1),"OK","abweichend – prüfen")</f>
        <v>OK</v>
      </c>
    </row>
    <row r="9" customFormat="false" ht="15" hidden="false" customHeight="false" outlineLevel="0" collapsed="false">
      <c r="A9" s="32" t="s">
        <v>606</v>
      </c>
      <c r="B9" s="32" t="n">
        <v>1530</v>
      </c>
      <c r="C9" s="32" t="s">
        <v>207</v>
      </c>
      <c r="D9" s="33" t="n">
        <v>45444</v>
      </c>
      <c r="E9" s="30" t="n">
        <v>42000</v>
      </c>
      <c r="F9" s="30" t="n">
        <v>25000</v>
      </c>
      <c r="G9" s="30" t="n">
        <v>0</v>
      </c>
      <c r="H9" s="24"/>
      <c r="I9" s="34" t="n">
        <f aca="false">IF($A9="","",IF($H9&lt;&gt;"",$H9,IFERROR(INDEX(Einstellungen!$F$15:$F$20,MATCH($C9,Einstellungen!$E$15:$E$20,0)),0)))</f>
        <v>0.4</v>
      </c>
      <c r="J9" s="31" t="n">
        <f aca="false">IF($A9="",0,ROUND(($F9+$G9)*$I9,0))</f>
        <v>10000</v>
      </c>
      <c r="K9" s="31" t="n">
        <f aca="false">IF($A9="","",$F9+$G9-$J9)</f>
        <v>15000</v>
      </c>
      <c r="M9" s="0" t="n">
        <v>1530</v>
      </c>
      <c r="N9" s="31" t="n">
        <f aca="false">SUMIF(Kontenplan!$A$5:$A$90,M9,Kontenplan!$G$5:$G$90)</f>
        <v>25000</v>
      </c>
      <c r="O9" s="31" t="n">
        <f aca="false">SUMIF($B$6:$B$105,M9,$F$6:$F$105)</f>
        <v>25000</v>
      </c>
      <c r="P9" s="31" t="n">
        <f aca="false">SUMIFS(Journal!$M$5:$M$1504,Journal!$D$5:$D$1504,M9)-SUMIFS(Journal!$N$5:$N$1504,Journal!$E$5:$E$1504,M9)</f>
        <v>0</v>
      </c>
      <c r="Q9" s="31" t="n">
        <f aca="false">SUMIF($B$6:$B$105,M9,$G$6:$G$105)</f>
        <v>0</v>
      </c>
      <c r="R9" s="0" t="str">
        <f aca="false">IF(AND(ABS(N9-O9)&lt;1,ABS(P9-Q9)&lt;1),"OK","abweichend – prüfen")</f>
        <v>OK</v>
      </c>
    </row>
    <row r="10" customFormat="false" ht="15" hidden="false" customHeight="false" outlineLevel="0" collapsed="false">
      <c r="A10" s="32"/>
      <c r="B10" s="32"/>
      <c r="C10" s="32"/>
      <c r="D10" s="33"/>
      <c r="E10" s="30"/>
      <c r="F10" s="30"/>
      <c r="G10" s="30"/>
      <c r="H10" s="24"/>
      <c r="I10" s="34" t="str">
        <f aca="false">IF($A10="","",IF($H10&lt;&gt;"",$H10,IFERROR(INDEX(Einstellungen!$F$15:$F$20,MATCH($C10,Einstellungen!$E$15:$E$20,0)),0)))</f>
        <v/>
      </c>
      <c r="J10" s="31" t="n">
        <f aca="false">IF($A10="",0,ROUND(($F10+$G10)*$I10,0))</f>
        <v>0</v>
      </c>
      <c r="K10" s="31" t="str">
        <f aca="false">IF($A10="","",$F10+$G10-$J10)</f>
        <v/>
      </c>
    </row>
    <row r="11" customFormat="false" ht="15" hidden="false" customHeight="false" outlineLevel="0" collapsed="false">
      <c r="A11" s="32"/>
      <c r="B11" s="32"/>
      <c r="C11" s="32"/>
      <c r="D11" s="33"/>
      <c r="E11" s="30"/>
      <c r="F11" s="30"/>
      <c r="G11" s="30"/>
      <c r="H11" s="24"/>
      <c r="I11" s="34" t="str">
        <f aca="false">IF($A11="","",IF($H11&lt;&gt;"",$H11,IFERROR(INDEX(Einstellungen!$F$15:$F$20,MATCH($C11,Einstellungen!$E$15:$E$20,0)),0)))</f>
        <v/>
      </c>
      <c r="J11" s="31" t="n">
        <f aca="false">IF($A11="",0,ROUND(($F11+$G11)*$I11,0))</f>
        <v>0</v>
      </c>
      <c r="K11" s="31" t="str">
        <f aca="false">IF($A11="","",$F11+$G11-$J11)</f>
        <v/>
      </c>
      <c r="M11" s="9" t="s">
        <v>607</v>
      </c>
    </row>
    <row r="12" customFormat="false" ht="15" hidden="false" customHeight="false" outlineLevel="0" collapsed="false">
      <c r="A12" s="32"/>
      <c r="B12" s="32"/>
      <c r="C12" s="32"/>
      <c r="D12" s="33"/>
      <c r="E12" s="30"/>
      <c r="F12" s="30"/>
      <c r="G12" s="30"/>
      <c r="H12" s="24"/>
      <c r="I12" s="34" t="str">
        <f aca="false">IF($A12="","",IF($H12&lt;&gt;"",$H12,IFERROR(INDEX(Einstellungen!$F$15:$F$20,MATCH($C12,Einstellungen!$E$15:$E$20,0)),0)))</f>
        <v/>
      </c>
      <c r="J12" s="31" t="n">
        <f aca="false">IF($A12="",0,ROUND(($F12+$G12)*$I12,0))</f>
        <v>0</v>
      </c>
      <c r="K12" s="31" t="str">
        <f aca="false">IF($A12="","",$F12+$G12-$J12)</f>
        <v/>
      </c>
      <c r="M12" s="9" t="s">
        <v>608</v>
      </c>
    </row>
    <row r="13" customFormat="false" ht="15" hidden="false" customHeight="false" outlineLevel="0" collapsed="false">
      <c r="A13" s="32"/>
      <c r="B13" s="32"/>
      <c r="C13" s="32"/>
      <c r="D13" s="33"/>
      <c r="E13" s="30"/>
      <c r="F13" s="30"/>
      <c r="G13" s="30"/>
      <c r="H13" s="24"/>
      <c r="I13" s="34" t="str">
        <f aca="false">IF($A13="","",IF($H13&lt;&gt;"",$H13,IFERROR(INDEX(Einstellungen!$F$15:$F$20,MATCH($C13,Einstellungen!$E$15:$E$20,0)),0)))</f>
        <v/>
      </c>
      <c r="J13" s="31" t="n">
        <f aca="false">IF($A13="",0,ROUND(($F13+$G13)*$I13,0))</f>
        <v>0</v>
      </c>
      <c r="K13" s="31" t="str">
        <f aca="false">IF($A13="","",$F13+$G13-$J13)</f>
        <v/>
      </c>
    </row>
    <row r="14" customFormat="false" ht="15" hidden="false" customHeight="false" outlineLevel="0" collapsed="false">
      <c r="A14" s="32"/>
      <c r="B14" s="32"/>
      <c r="C14" s="32"/>
      <c r="D14" s="33"/>
      <c r="E14" s="30"/>
      <c r="F14" s="30"/>
      <c r="G14" s="30"/>
      <c r="H14" s="24"/>
      <c r="I14" s="34" t="str">
        <f aca="false">IF($A14="","",IF($H14&lt;&gt;"",$H14,IFERROR(INDEX(Einstellungen!$F$15:$F$20,MATCH($C14,Einstellungen!$E$15:$E$20,0)),0)))</f>
        <v/>
      </c>
      <c r="J14" s="31" t="n">
        <f aca="false">IF($A14="",0,ROUND(($F14+$G14)*$I14,0))</f>
        <v>0</v>
      </c>
      <c r="K14" s="31" t="str">
        <f aca="false">IF($A14="","",$F14+$G14-$J14)</f>
        <v/>
      </c>
    </row>
    <row r="15" customFormat="false" ht="15" hidden="false" customHeight="false" outlineLevel="0" collapsed="false">
      <c r="A15" s="32"/>
      <c r="B15" s="32"/>
      <c r="C15" s="32"/>
      <c r="D15" s="33"/>
      <c r="E15" s="30"/>
      <c r="F15" s="30"/>
      <c r="G15" s="30"/>
      <c r="H15" s="24"/>
      <c r="I15" s="34" t="str">
        <f aca="false">IF($A15="","",IF($H15&lt;&gt;"",$H15,IFERROR(INDEX(Einstellungen!$F$15:$F$20,MATCH($C15,Einstellungen!$E$15:$E$20,0)),0)))</f>
        <v/>
      </c>
      <c r="J15" s="31" t="n">
        <f aca="false">IF($A15="",0,ROUND(($F15+$G15)*$I15,0))</f>
        <v>0</v>
      </c>
      <c r="K15" s="31" t="str">
        <f aca="false">IF($A15="","",$F15+$G15-$J15)</f>
        <v/>
      </c>
    </row>
    <row r="16" customFormat="false" ht="15" hidden="false" customHeight="false" outlineLevel="0" collapsed="false">
      <c r="A16" s="32"/>
      <c r="B16" s="32"/>
      <c r="C16" s="32"/>
      <c r="D16" s="33"/>
      <c r="E16" s="30"/>
      <c r="F16" s="30"/>
      <c r="G16" s="30"/>
      <c r="H16" s="24"/>
      <c r="I16" s="34" t="str">
        <f aca="false">IF($A16="","",IF($H16&lt;&gt;"",$H16,IFERROR(INDEX(Einstellungen!$F$15:$F$20,MATCH($C16,Einstellungen!$E$15:$E$20,0)),0)))</f>
        <v/>
      </c>
      <c r="J16" s="31" t="n">
        <f aca="false">IF($A16="",0,ROUND(($F16+$G16)*$I16,0))</f>
        <v>0</v>
      </c>
      <c r="K16" s="31" t="str">
        <f aca="false">IF($A16="","",$F16+$G16-$J16)</f>
        <v/>
      </c>
    </row>
    <row r="17" customFormat="false" ht="15" hidden="false" customHeight="false" outlineLevel="0" collapsed="false">
      <c r="A17" s="32"/>
      <c r="B17" s="32"/>
      <c r="C17" s="32"/>
      <c r="D17" s="33"/>
      <c r="E17" s="30"/>
      <c r="F17" s="30"/>
      <c r="G17" s="30"/>
      <c r="H17" s="24"/>
      <c r="I17" s="34" t="str">
        <f aca="false">IF($A17="","",IF($H17&lt;&gt;"",$H17,IFERROR(INDEX(Einstellungen!$F$15:$F$20,MATCH($C17,Einstellungen!$E$15:$E$20,0)),0)))</f>
        <v/>
      </c>
      <c r="J17" s="31" t="n">
        <f aca="false">IF($A17="",0,ROUND(($F17+$G17)*$I17,0))</f>
        <v>0</v>
      </c>
      <c r="K17" s="31" t="str">
        <f aca="false">IF($A17="","",$F17+$G17-$J17)</f>
        <v/>
      </c>
    </row>
    <row r="18" customFormat="false" ht="15" hidden="false" customHeight="false" outlineLevel="0" collapsed="false">
      <c r="A18" s="32"/>
      <c r="B18" s="32"/>
      <c r="C18" s="32"/>
      <c r="D18" s="33"/>
      <c r="E18" s="30"/>
      <c r="F18" s="30"/>
      <c r="G18" s="30"/>
      <c r="H18" s="24"/>
      <c r="I18" s="34" t="str">
        <f aca="false">IF($A18="","",IF($H18&lt;&gt;"",$H18,IFERROR(INDEX(Einstellungen!$F$15:$F$20,MATCH($C18,Einstellungen!$E$15:$E$20,0)),0)))</f>
        <v/>
      </c>
      <c r="J18" s="31" t="n">
        <f aca="false">IF($A18="",0,ROUND(($F18+$G18)*$I18,0))</f>
        <v>0</v>
      </c>
      <c r="K18" s="31" t="str">
        <f aca="false">IF($A18="","",$F18+$G18-$J18)</f>
        <v/>
      </c>
    </row>
    <row r="19" customFormat="false" ht="15" hidden="false" customHeight="false" outlineLevel="0" collapsed="false">
      <c r="A19" s="32"/>
      <c r="B19" s="32"/>
      <c r="C19" s="32"/>
      <c r="D19" s="33"/>
      <c r="E19" s="30"/>
      <c r="F19" s="30"/>
      <c r="G19" s="30"/>
      <c r="H19" s="24"/>
      <c r="I19" s="34" t="str">
        <f aca="false">IF($A19="","",IF($H19&lt;&gt;"",$H19,IFERROR(INDEX(Einstellungen!$F$15:$F$20,MATCH($C19,Einstellungen!$E$15:$E$20,0)),0)))</f>
        <v/>
      </c>
      <c r="J19" s="31" t="n">
        <f aca="false">IF($A19="",0,ROUND(($F19+$G19)*$I19,0))</f>
        <v>0</v>
      </c>
      <c r="K19" s="31" t="str">
        <f aca="false">IF($A19="","",$F19+$G19-$J19)</f>
        <v/>
      </c>
    </row>
    <row r="20" customFormat="false" ht="15" hidden="false" customHeight="false" outlineLevel="0" collapsed="false">
      <c r="A20" s="32"/>
      <c r="B20" s="32"/>
      <c r="C20" s="32"/>
      <c r="D20" s="33"/>
      <c r="E20" s="30"/>
      <c r="F20" s="30"/>
      <c r="G20" s="30"/>
      <c r="H20" s="24"/>
      <c r="I20" s="34" t="str">
        <f aca="false">IF($A20="","",IF($H20&lt;&gt;"",$H20,IFERROR(INDEX(Einstellungen!$F$15:$F$20,MATCH($C20,Einstellungen!$E$15:$E$20,0)),0)))</f>
        <v/>
      </c>
      <c r="J20" s="31" t="n">
        <f aca="false">IF($A20="",0,ROUND(($F20+$G20)*$I20,0))</f>
        <v>0</v>
      </c>
      <c r="K20" s="31" t="str">
        <f aca="false">IF($A20="","",$F20+$G20-$J20)</f>
        <v/>
      </c>
    </row>
    <row r="21" customFormat="false" ht="15" hidden="false" customHeight="false" outlineLevel="0" collapsed="false">
      <c r="A21" s="32"/>
      <c r="B21" s="32"/>
      <c r="C21" s="32"/>
      <c r="D21" s="33"/>
      <c r="E21" s="30"/>
      <c r="F21" s="30"/>
      <c r="G21" s="30"/>
      <c r="H21" s="24"/>
      <c r="I21" s="34" t="str">
        <f aca="false">IF($A21="","",IF($H21&lt;&gt;"",$H21,IFERROR(INDEX(Einstellungen!$F$15:$F$20,MATCH($C21,Einstellungen!$E$15:$E$20,0)),0)))</f>
        <v/>
      </c>
      <c r="J21" s="31" t="n">
        <f aca="false">IF($A21="",0,ROUND(($F21+$G21)*$I21,0))</f>
        <v>0</v>
      </c>
      <c r="K21" s="31" t="str">
        <f aca="false">IF($A21="","",$F21+$G21-$J21)</f>
        <v/>
      </c>
    </row>
    <row r="22" customFormat="false" ht="15" hidden="false" customHeight="false" outlineLevel="0" collapsed="false">
      <c r="A22" s="32"/>
      <c r="B22" s="32"/>
      <c r="C22" s="32"/>
      <c r="D22" s="33"/>
      <c r="E22" s="30"/>
      <c r="F22" s="30"/>
      <c r="G22" s="30"/>
      <c r="H22" s="24"/>
      <c r="I22" s="34" t="str">
        <f aca="false">IF($A22="","",IF($H22&lt;&gt;"",$H22,IFERROR(INDEX(Einstellungen!$F$15:$F$20,MATCH($C22,Einstellungen!$E$15:$E$20,0)),0)))</f>
        <v/>
      </c>
      <c r="J22" s="31" t="n">
        <f aca="false">IF($A22="",0,ROUND(($F22+$G22)*$I22,0))</f>
        <v>0</v>
      </c>
      <c r="K22" s="31" t="str">
        <f aca="false">IF($A22="","",$F22+$G22-$J22)</f>
        <v/>
      </c>
    </row>
    <row r="23" customFormat="false" ht="15" hidden="false" customHeight="false" outlineLevel="0" collapsed="false">
      <c r="A23" s="32"/>
      <c r="B23" s="32"/>
      <c r="C23" s="32"/>
      <c r="D23" s="33"/>
      <c r="E23" s="30"/>
      <c r="F23" s="30"/>
      <c r="G23" s="30"/>
      <c r="H23" s="24"/>
      <c r="I23" s="34" t="str">
        <f aca="false">IF($A23="","",IF($H23&lt;&gt;"",$H23,IFERROR(INDEX(Einstellungen!$F$15:$F$20,MATCH($C23,Einstellungen!$E$15:$E$20,0)),0)))</f>
        <v/>
      </c>
      <c r="J23" s="31" t="n">
        <f aca="false">IF($A23="",0,ROUND(($F23+$G23)*$I23,0))</f>
        <v>0</v>
      </c>
      <c r="K23" s="31" t="str">
        <f aca="false">IF($A23="","",$F23+$G23-$J23)</f>
        <v/>
      </c>
    </row>
    <row r="24" customFormat="false" ht="15" hidden="false" customHeight="false" outlineLevel="0" collapsed="false">
      <c r="A24" s="32"/>
      <c r="B24" s="32"/>
      <c r="C24" s="32"/>
      <c r="D24" s="33"/>
      <c r="E24" s="30"/>
      <c r="F24" s="30"/>
      <c r="G24" s="30"/>
      <c r="H24" s="24"/>
      <c r="I24" s="34" t="str">
        <f aca="false">IF($A24="","",IF($H24&lt;&gt;"",$H24,IFERROR(INDEX(Einstellungen!$F$15:$F$20,MATCH($C24,Einstellungen!$E$15:$E$20,0)),0)))</f>
        <v/>
      </c>
      <c r="J24" s="31" t="n">
        <f aca="false">IF($A24="",0,ROUND(($F24+$G24)*$I24,0))</f>
        <v>0</v>
      </c>
      <c r="K24" s="31" t="str">
        <f aca="false">IF($A24="","",$F24+$G24-$J24)</f>
        <v/>
      </c>
    </row>
    <row r="25" customFormat="false" ht="15" hidden="false" customHeight="false" outlineLevel="0" collapsed="false">
      <c r="A25" s="32"/>
      <c r="B25" s="32"/>
      <c r="C25" s="32"/>
      <c r="D25" s="33"/>
      <c r="E25" s="30"/>
      <c r="F25" s="30"/>
      <c r="G25" s="30"/>
      <c r="H25" s="24"/>
      <c r="I25" s="34" t="str">
        <f aca="false">IF($A25="","",IF($H25&lt;&gt;"",$H25,IFERROR(INDEX(Einstellungen!$F$15:$F$20,MATCH($C25,Einstellungen!$E$15:$E$20,0)),0)))</f>
        <v/>
      </c>
      <c r="J25" s="31" t="n">
        <f aca="false">IF($A25="",0,ROUND(($F25+$G25)*$I25,0))</f>
        <v>0</v>
      </c>
      <c r="K25" s="31" t="str">
        <f aca="false">IF($A25="","",$F25+$G25-$J25)</f>
        <v/>
      </c>
    </row>
    <row r="26" customFormat="false" ht="15" hidden="false" customHeight="false" outlineLevel="0" collapsed="false">
      <c r="A26" s="32"/>
      <c r="B26" s="32"/>
      <c r="C26" s="32"/>
      <c r="D26" s="33"/>
      <c r="E26" s="30"/>
      <c r="F26" s="30"/>
      <c r="G26" s="30"/>
      <c r="H26" s="24"/>
      <c r="I26" s="34" t="str">
        <f aca="false">IF($A26="","",IF($H26&lt;&gt;"",$H26,IFERROR(INDEX(Einstellungen!$F$15:$F$20,MATCH($C26,Einstellungen!$E$15:$E$20,0)),0)))</f>
        <v/>
      </c>
      <c r="J26" s="31" t="n">
        <f aca="false">IF($A26="",0,ROUND(($F26+$G26)*$I26,0))</f>
        <v>0</v>
      </c>
      <c r="K26" s="31" t="str">
        <f aca="false">IF($A26="","",$F26+$G26-$J26)</f>
        <v/>
      </c>
    </row>
    <row r="27" customFormat="false" ht="15" hidden="false" customHeight="false" outlineLevel="0" collapsed="false">
      <c r="A27" s="32"/>
      <c r="B27" s="32"/>
      <c r="C27" s="32"/>
      <c r="D27" s="33"/>
      <c r="E27" s="30"/>
      <c r="F27" s="30"/>
      <c r="G27" s="30"/>
      <c r="H27" s="24"/>
      <c r="I27" s="34" t="str">
        <f aca="false">IF($A27="","",IF($H27&lt;&gt;"",$H27,IFERROR(INDEX(Einstellungen!$F$15:$F$20,MATCH($C27,Einstellungen!$E$15:$E$20,0)),0)))</f>
        <v/>
      </c>
      <c r="J27" s="31" t="n">
        <f aca="false">IF($A27="",0,ROUND(($F27+$G27)*$I27,0))</f>
        <v>0</v>
      </c>
      <c r="K27" s="31" t="str">
        <f aca="false">IF($A27="","",$F27+$G27-$J27)</f>
        <v/>
      </c>
    </row>
    <row r="28" customFormat="false" ht="15" hidden="false" customHeight="false" outlineLevel="0" collapsed="false">
      <c r="A28" s="32"/>
      <c r="B28" s="32"/>
      <c r="C28" s="32"/>
      <c r="D28" s="33"/>
      <c r="E28" s="30"/>
      <c r="F28" s="30"/>
      <c r="G28" s="30"/>
      <c r="H28" s="24"/>
      <c r="I28" s="34" t="str">
        <f aca="false">IF($A28="","",IF($H28&lt;&gt;"",$H28,IFERROR(INDEX(Einstellungen!$F$15:$F$20,MATCH($C28,Einstellungen!$E$15:$E$20,0)),0)))</f>
        <v/>
      </c>
      <c r="J28" s="31" t="n">
        <f aca="false">IF($A28="",0,ROUND(($F28+$G28)*$I28,0))</f>
        <v>0</v>
      </c>
      <c r="K28" s="31" t="str">
        <f aca="false">IF($A28="","",$F28+$G28-$J28)</f>
        <v/>
      </c>
    </row>
    <row r="29" customFormat="false" ht="15" hidden="false" customHeight="false" outlineLevel="0" collapsed="false">
      <c r="A29" s="32"/>
      <c r="B29" s="32"/>
      <c r="C29" s="32"/>
      <c r="D29" s="33"/>
      <c r="E29" s="30"/>
      <c r="F29" s="30"/>
      <c r="G29" s="30"/>
      <c r="H29" s="24"/>
      <c r="I29" s="34" t="str">
        <f aca="false">IF($A29="","",IF($H29&lt;&gt;"",$H29,IFERROR(INDEX(Einstellungen!$F$15:$F$20,MATCH($C29,Einstellungen!$E$15:$E$20,0)),0)))</f>
        <v/>
      </c>
      <c r="J29" s="31" t="n">
        <f aca="false">IF($A29="",0,ROUND(($F29+$G29)*$I29,0))</f>
        <v>0</v>
      </c>
      <c r="K29" s="31" t="str">
        <f aca="false">IF($A29="","",$F29+$G29-$J29)</f>
        <v/>
      </c>
    </row>
    <row r="30" customFormat="false" ht="15" hidden="false" customHeight="false" outlineLevel="0" collapsed="false">
      <c r="A30" s="32"/>
      <c r="B30" s="32"/>
      <c r="C30" s="32"/>
      <c r="D30" s="33"/>
      <c r="E30" s="30"/>
      <c r="F30" s="30"/>
      <c r="G30" s="30"/>
      <c r="H30" s="24"/>
      <c r="I30" s="34" t="str">
        <f aca="false">IF($A30="","",IF($H30&lt;&gt;"",$H30,IFERROR(INDEX(Einstellungen!$F$15:$F$20,MATCH($C30,Einstellungen!$E$15:$E$20,0)),0)))</f>
        <v/>
      </c>
      <c r="J30" s="31" t="n">
        <f aca="false">IF($A30="",0,ROUND(($F30+$G30)*$I30,0))</f>
        <v>0</v>
      </c>
      <c r="K30" s="31" t="str">
        <f aca="false">IF($A30="","",$F30+$G30-$J30)</f>
        <v/>
      </c>
    </row>
    <row r="31" customFormat="false" ht="15" hidden="false" customHeight="false" outlineLevel="0" collapsed="false">
      <c r="A31" s="32"/>
      <c r="B31" s="32"/>
      <c r="C31" s="32"/>
      <c r="D31" s="33"/>
      <c r="E31" s="30"/>
      <c r="F31" s="30"/>
      <c r="G31" s="30"/>
      <c r="H31" s="24"/>
      <c r="I31" s="34" t="str">
        <f aca="false">IF($A31="","",IF($H31&lt;&gt;"",$H31,IFERROR(INDEX(Einstellungen!$F$15:$F$20,MATCH($C31,Einstellungen!$E$15:$E$20,0)),0)))</f>
        <v/>
      </c>
      <c r="J31" s="31" t="n">
        <f aca="false">IF($A31="",0,ROUND(($F31+$G31)*$I31,0))</f>
        <v>0</v>
      </c>
      <c r="K31" s="31" t="str">
        <f aca="false">IF($A31="","",$F31+$G31-$J31)</f>
        <v/>
      </c>
    </row>
    <row r="32" customFormat="false" ht="15" hidden="false" customHeight="false" outlineLevel="0" collapsed="false">
      <c r="A32" s="32"/>
      <c r="B32" s="32"/>
      <c r="C32" s="32"/>
      <c r="D32" s="33"/>
      <c r="E32" s="30"/>
      <c r="F32" s="30"/>
      <c r="G32" s="30"/>
      <c r="H32" s="24"/>
      <c r="I32" s="34" t="str">
        <f aca="false">IF($A32="","",IF($H32&lt;&gt;"",$H32,IFERROR(INDEX(Einstellungen!$F$15:$F$20,MATCH($C32,Einstellungen!$E$15:$E$20,0)),0)))</f>
        <v/>
      </c>
      <c r="J32" s="31" t="n">
        <f aca="false">IF($A32="",0,ROUND(($F32+$G32)*$I32,0))</f>
        <v>0</v>
      </c>
      <c r="K32" s="31" t="str">
        <f aca="false">IF($A32="","",$F32+$G32-$J32)</f>
        <v/>
      </c>
    </row>
    <row r="33" customFormat="false" ht="15" hidden="false" customHeight="false" outlineLevel="0" collapsed="false">
      <c r="A33" s="32"/>
      <c r="B33" s="32"/>
      <c r="C33" s="32"/>
      <c r="D33" s="33"/>
      <c r="E33" s="30"/>
      <c r="F33" s="30"/>
      <c r="G33" s="30"/>
      <c r="H33" s="24"/>
      <c r="I33" s="34" t="str">
        <f aca="false">IF($A33="","",IF($H33&lt;&gt;"",$H33,IFERROR(INDEX(Einstellungen!$F$15:$F$20,MATCH($C33,Einstellungen!$E$15:$E$20,0)),0)))</f>
        <v/>
      </c>
      <c r="J33" s="31" t="n">
        <f aca="false">IF($A33="",0,ROUND(($F33+$G33)*$I33,0))</f>
        <v>0</v>
      </c>
      <c r="K33" s="31" t="str">
        <f aca="false">IF($A33="","",$F33+$G33-$J33)</f>
        <v/>
      </c>
    </row>
    <row r="34" customFormat="false" ht="15" hidden="false" customHeight="false" outlineLevel="0" collapsed="false">
      <c r="A34" s="32"/>
      <c r="B34" s="32"/>
      <c r="C34" s="32"/>
      <c r="D34" s="33"/>
      <c r="E34" s="30"/>
      <c r="F34" s="30"/>
      <c r="G34" s="30"/>
      <c r="H34" s="24"/>
      <c r="I34" s="34" t="str">
        <f aca="false">IF($A34="","",IF($H34&lt;&gt;"",$H34,IFERROR(INDEX(Einstellungen!$F$15:$F$20,MATCH($C34,Einstellungen!$E$15:$E$20,0)),0)))</f>
        <v/>
      </c>
      <c r="J34" s="31" t="n">
        <f aca="false">IF($A34="",0,ROUND(($F34+$G34)*$I34,0))</f>
        <v>0</v>
      </c>
      <c r="K34" s="31" t="str">
        <f aca="false">IF($A34="","",$F34+$G34-$J34)</f>
        <v/>
      </c>
    </row>
    <row r="35" customFormat="false" ht="15" hidden="false" customHeight="false" outlineLevel="0" collapsed="false">
      <c r="A35" s="32"/>
      <c r="B35" s="32"/>
      <c r="C35" s="32"/>
      <c r="D35" s="33"/>
      <c r="E35" s="30"/>
      <c r="F35" s="30"/>
      <c r="G35" s="30"/>
      <c r="H35" s="24"/>
      <c r="I35" s="34" t="str">
        <f aca="false">IF($A35="","",IF($H35&lt;&gt;"",$H35,IFERROR(INDEX(Einstellungen!$F$15:$F$20,MATCH($C35,Einstellungen!$E$15:$E$20,0)),0)))</f>
        <v/>
      </c>
      <c r="J35" s="31" t="n">
        <f aca="false">IF($A35="",0,ROUND(($F35+$G35)*$I35,0))</f>
        <v>0</v>
      </c>
      <c r="K35" s="31" t="str">
        <f aca="false">IF($A35="","",$F35+$G35-$J35)</f>
        <v/>
      </c>
    </row>
    <row r="36" customFormat="false" ht="15" hidden="false" customHeight="false" outlineLevel="0" collapsed="false">
      <c r="A36" s="32"/>
      <c r="B36" s="32"/>
      <c r="C36" s="32"/>
      <c r="D36" s="33"/>
      <c r="E36" s="30"/>
      <c r="F36" s="30"/>
      <c r="G36" s="30"/>
      <c r="H36" s="24"/>
      <c r="I36" s="34" t="str">
        <f aca="false">IF($A36="","",IF($H36&lt;&gt;"",$H36,IFERROR(INDEX(Einstellungen!$F$15:$F$20,MATCH($C36,Einstellungen!$E$15:$E$20,0)),0)))</f>
        <v/>
      </c>
      <c r="J36" s="31" t="n">
        <f aca="false">IF($A36="",0,ROUND(($F36+$G36)*$I36,0))</f>
        <v>0</v>
      </c>
      <c r="K36" s="31" t="str">
        <f aca="false">IF($A36="","",$F36+$G36-$J36)</f>
        <v/>
      </c>
    </row>
    <row r="37" customFormat="false" ht="15" hidden="false" customHeight="false" outlineLevel="0" collapsed="false">
      <c r="A37" s="32"/>
      <c r="B37" s="32"/>
      <c r="C37" s="32"/>
      <c r="D37" s="33"/>
      <c r="E37" s="30"/>
      <c r="F37" s="30"/>
      <c r="G37" s="30"/>
      <c r="H37" s="24"/>
      <c r="I37" s="34" t="str">
        <f aca="false">IF($A37="","",IF($H37&lt;&gt;"",$H37,IFERROR(INDEX(Einstellungen!$F$15:$F$20,MATCH($C37,Einstellungen!$E$15:$E$20,0)),0)))</f>
        <v/>
      </c>
      <c r="J37" s="31" t="n">
        <f aca="false">IF($A37="",0,ROUND(($F37+$G37)*$I37,0))</f>
        <v>0</v>
      </c>
      <c r="K37" s="31" t="str">
        <f aca="false">IF($A37="","",$F37+$G37-$J37)</f>
        <v/>
      </c>
    </row>
    <row r="38" customFormat="false" ht="15" hidden="false" customHeight="false" outlineLevel="0" collapsed="false">
      <c r="A38" s="32"/>
      <c r="B38" s="32"/>
      <c r="C38" s="32"/>
      <c r="D38" s="33"/>
      <c r="E38" s="30"/>
      <c r="F38" s="30"/>
      <c r="G38" s="30"/>
      <c r="H38" s="24"/>
      <c r="I38" s="34" t="str">
        <f aca="false">IF($A38="","",IF($H38&lt;&gt;"",$H38,IFERROR(INDEX(Einstellungen!$F$15:$F$20,MATCH($C38,Einstellungen!$E$15:$E$20,0)),0)))</f>
        <v/>
      </c>
      <c r="J38" s="31" t="n">
        <f aca="false">IF($A38="",0,ROUND(($F38+$G38)*$I38,0))</f>
        <v>0</v>
      </c>
      <c r="K38" s="31" t="str">
        <f aca="false">IF($A38="","",$F38+$G38-$J38)</f>
        <v/>
      </c>
    </row>
    <row r="39" customFormat="false" ht="15" hidden="false" customHeight="false" outlineLevel="0" collapsed="false">
      <c r="A39" s="32"/>
      <c r="B39" s="32"/>
      <c r="C39" s="32"/>
      <c r="D39" s="33"/>
      <c r="E39" s="30"/>
      <c r="F39" s="30"/>
      <c r="G39" s="30"/>
      <c r="H39" s="24"/>
      <c r="I39" s="34" t="str">
        <f aca="false">IF($A39="","",IF($H39&lt;&gt;"",$H39,IFERROR(INDEX(Einstellungen!$F$15:$F$20,MATCH($C39,Einstellungen!$E$15:$E$20,0)),0)))</f>
        <v/>
      </c>
      <c r="J39" s="31" t="n">
        <f aca="false">IF($A39="",0,ROUND(($F39+$G39)*$I39,0))</f>
        <v>0</v>
      </c>
      <c r="K39" s="31" t="str">
        <f aca="false">IF($A39="","",$F39+$G39-$J39)</f>
        <v/>
      </c>
    </row>
    <row r="40" customFormat="false" ht="15" hidden="false" customHeight="false" outlineLevel="0" collapsed="false">
      <c r="A40" s="32"/>
      <c r="B40" s="32"/>
      <c r="C40" s="32"/>
      <c r="D40" s="33"/>
      <c r="E40" s="30"/>
      <c r="F40" s="30"/>
      <c r="G40" s="30"/>
      <c r="H40" s="24"/>
      <c r="I40" s="34" t="str">
        <f aca="false">IF($A40="","",IF($H40&lt;&gt;"",$H40,IFERROR(INDEX(Einstellungen!$F$15:$F$20,MATCH($C40,Einstellungen!$E$15:$E$20,0)),0)))</f>
        <v/>
      </c>
      <c r="J40" s="31" t="n">
        <f aca="false">IF($A40="",0,ROUND(($F40+$G40)*$I40,0))</f>
        <v>0</v>
      </c>
      <c r="K40" s="31" t="str">
        <f aca="false">IF($A40="","",$F40+$G40-$J40)</f>
        <v/>
      </c>
    </row>
    <row r="41" customFormat="false" ht="15" hidden="false" customHeight="false" outlineLevel="0" collapsed="false">
      <c r="A41" s="32"/>
      <c r="B41" s="32"/>
      <c r="C41" s="32"/>
      <c r="D41" s="33"/>
      <c r="E41" s="30"/>
      <c r="F41" s="30"/>
      <c r="G41" s="30"/>
      <c r="H41" s="24"/>
      <c r="I41" s="34" t="str">
        <f aca="false">IF($A41="","",IF($H41&lt;&gt;"",$H41,IFERROR(INDEX(Einstellungen!$F$15:$F$20,MATCH($C41,Einstellungen!$E$15:$E$20,0)),0)))</f>
        <v/>
      </c>
      <c r="J41" s="31" t="n">
        <f aca="false">IF($A41="",0,ROUND(($F41+$G41)*$I41,0))</f>
        <v>0</v>
      </c>
      <c r="K41" s="31" t="str">
        <f aca="false">IF($A41="","",$F41+$G41-$J41)</f>
        <v/>
      </c>
    </row>
    <row r="42" customFormat="false" ht="15" hidden="false" customHeight="false" outlineLevel="0" collapsed="false">
      <c r="A42" s="32"/>
      <c r="B42" s="32"/>
      <c r="C42" s="32"/>
      <c r="D42" s="33"/>
      <c r="E42" s="30"/>
      <c r="F42" s="30"/>
      <c r="G42" s="30"/>
      <c r="H42" s="24"/>
      <c r="I42" s="34" t="str">
        <f aca="false">IF($A42="","",IF($H42&lt;&gt;"",$H42,IFERROR(INDEX(Einstellungen!$F$15:$F$20,MATCH($C42,Einstellungen!$E$15:$E$20,0)),0)))</f>
        <v/>
      </c>
      <c r="J42" s="31" t="n">
        <f aca="false">IF($A42="",0,ROUND(($F42+$G42)*$I42,0))</f>
        <v>0</v>
      </c>
      <c r="K42" s="31" t="str">
        <f aca="false">IF($A42="","",$F42+$G42-$J42)</f>
        <v/>
      </c>
    </row>
    <row r="43" customFormat="false" ht="15" hidden="false" customHeight="false" outlineLevel="0" collapsed="false">
      <c r="A43" s="32"/>
      <c r="B43" s="32"/>
      <c r="C43" s="32"/>
      <c r="D43" s="33"/>
      <c r="E43" s="30"/>
      <c r="F43" s="30"/>
      <c r="G43" s="30"/>
      <c r="H43" s="24"/>
      <c r="I43" s="34" t="str">
        <f aca="false">IF($A43="","",IF($H43&lt;&gt;"",$H43,IFERROR(INDEX(Einstellungen!$F$15:$F$20,MATCH($C43,Einstellungen!$E$15:$E$20,0)),0)))</f>
        <v/>
      </c>
      <c r="J43" s="31" t="n">
        <f aca="false">IF($A43="",0,ROUND(($F43+$G43)*$I43,0))</f>
        <v>0</v>
      </c>
      <c r="K43" s="31" t="str">
        <f aca="false">IF($A43="","",$F43+$G43-$J43)</f>
        <v/>
      </c>
    </row>
    <row r="44" customFormat="false" ht="15" hidden="false" customHeight="false" outlineLevel="0" collapsed="false">
      <c r="A44" s="32"/>
      <c r="B44" s="32"/>
      <c r="C44" s="32"/>
      <c r="D44" s="33"/>
      <c r="E44" s="30"/>
      <c r="F44" s="30"/>
      <c r="G44" s="30"/>
      <c r="H44" s="24"/>
      <c r="I44" s="34" t="str">
        <f aca="false">IF($A44="","",IF($H44&lt;&gt;"",$H44,IFERROR(INDEX(Einstellungen!$F$15:$F$20,MATCH($C44,Einstellungen!$E$15:$E$20,0)),0)))</f>
        <v/>
      </c>
      <c r="J44" s="31" t="n">
        <f aca="false">IF($A44="",0,ROUND(($F44+$G44)*$I44,0))</f>
        <v>0</v>
      </c>
      <c r="K44" s="31" t="str">
        <f aca="false">IF($A44="","",$F44+$G44-$J44)</f>
        <v/>
      </c>
    </row>
    <row r="45" customFormat="false" ht="15" hidden="false" customHeight="false" outlineLevel="0" collapsed="false">
      <c r="A45" s="32"/>
      <c r="B45" s="32"/>
      <c r="C45" s="32"/>
      <c r="D45" s="33"/>
      <c r="E45" s="30"/>
      <c r="F45" s="30"/>
      <c r="G45" s="30"/>
      <c r="H45" s="24"/>
      <c r="I45" s="34" t="str">
        <f aca="false">IF($A45="","",IF($H45&lt;&gt;"",$H45,IFERROR(INDEX(Einstellungen!$F$15:$F$20,MATCH($C45,Einstellungen!$E$15:$E$20,0)),0)))</f>
        <v/>
      </c>
      <c r="J45" s="31" t="n">
        <f aca="false">IF($A45="",0,ROUND(($F45+$G45)*$I45,0))</f>
        <v>0</v>
      </c>
      <c r="K45" s="31" t="str">
        <f aca="false">IF($A45="","",$F45+$G45-$J45)</f>
        <v/>
      </c>
    </row>
    <row r="46" customFormat="false" ht="15" hidden="false" customHeight="false" outlineLevel="0" collapsed="false">
      <c r="A46" s="32"/>
      <c r="B46" s="32"/>
      <c r="C46" s="32"/>
      <c r="D46" s="33"/>
      <c r="E46" s="30"/>
      <c r="F46" s="30"/>
      <c r="G46" s="30"/>
      <c r="H46" s="24"/>
      <c r="I46" s="34" t="str">
        <f aca="false">IF($A46="","",IF($H46&lt;&gt;"",$H46,IFERROR(INDEX(Einstellungen!$F$15:$F$20,MATCH($C46,Einstellungen!$E$15:$E$20,0)),0)))</f>
        <v/>
      </c>
      <c r="J46" s="31" t="n">
        <f aca="false">IF($A46="",0,ROUND(($F46+$G46)*$I46,0))</f>
        <v>0</v>
      </c>
      <c r="K46" s="31" t="str">
        <f aca="false">IF($A46="","",$F46+$G46-$J46)</f>
        <v/>
      </c>
    </row>
    <row r="47" customFormat="false" ht="15" hidden="false" customHeight="false" outlineLevel="0" collapsed="false">
      <c r="A47" s="32"/>
      <c r="B47" s="32"/>
      <c r="C47" s="32"/>
      <c r="D47" s="33"/>
      <c r="E47" s="30"/>
      <c r="F47" s="30"/>
      <c r="G47" s="30"/>
      <c r="H47" s="24"/>
      <c r="I47" s="34" t="str">
        <f aca="false">IF($A47="","",IF($H47&lt;&gt;"",$H47,IFERROR(INDEX(Einstellungen!$F$15:$F$20,MATCH($C47,Einstellungen!$E$15:$E$20,0)),0)))</f>
        <v/>
      </c>
      <c r="J47" s="31" t="n">
        <f aca="false">IF($A47="",0,ROUND(($F47+$G47)*$I47,0))</f>
        <v>0</v>
      </c>
      <c r="K47" s="31" t="str">
        <f aca="false">IF($A47="","",$F47+$G47-$J47)</f>
        <v/>
      </c>
    </row>
    <row r="48" customFormat="false" ht="15" hidden="false" customHeight="false" outlineLevel="0" collapsed="false">
      <c r="A48" s="32"/>
      <c r="B48" s="32"/>
      <c r="C48" s="32"/>
      <c r="D48" s="33"/>
      <c r="E48" s="30"/>
      <c r="F48" s="30"/>
      <c r="G48" s="30"/>
      <c r="H48" s="24"/>
      <c r="I48" s="34" t="str">
        <f aca="false">IF($A48="","",IF($H48&lt;&gt;"",$H48,IFERROR(INDEX(Einstellungen!$F$15:$F$20,MATCH($C48,Einstellungen!$E$15:$E$20,0)),0)))</f>
        <v/>
      </c>
      <c r="J48" s="31" t="n">
        <f aca="false">IF($A48="",0,ROUND(($F48+$G48)*$I48,0))</f>
        <v>0</v>
      </c>
      <c r="K48" s="31" t="str">
        <f aca="false">IF($A48="","",$F48+$G48-$J48)</f>
        <v/>
      </c>
    </row>
    <row r="49" customFormat="false" ht="15" hidden="false" customHeight="false" outlineLevel="0" collapsed="false">
      <c r="A49" s="32"/>
      <c r="B49" s="32"/>
      <c r="C49" s="32"/>
      <c r="D49" s="33"/>
      <c r="E49" s="30"/>
      <c r="F49" s="30"/>
      <c r="G49" s="30"/>
      <c r="H49" s="24"/>
      <c r="I49" s="34" t="str">
        <f aca="false">IF($A49="","",IF($H49&lt;&gt;"",$H49,IFERROR(INDEX(Einstellungen!$F$15:$F$20,MATCH($C49,Einstellungen!$E$15:$E$20,0)),0)))</f>
        <v/>
      </c>
      <c r="J49" s="31" t="n">
        <f aca="false">IF($A49="",0,ROUND(($F49+$G49)*$I49,0))</f>
        <v>0</v>
      </c>
      <c r="K49" s="31" t="str">
        <f aca="false">IF($A49="","",$F49+$G49-$J49)</f>
        <v/>
      </c>
    </row>
    <row r="50" customFormat="false" ht="15" hidden="false" customHeight="false" outlineLevel="0" collapsed="false">
      <c r="A50" s="32"/>
      <c r="B50" s="32"/>
      <c r="C50" s="32"/>
      <c r="D50" s="33"/>
      <c r="E50" s="30"/>
      <c r="F50" s="30"/>
      <c r="G50" s="30"/>
      <c r="H50" s="24"/>
      <c r="I50" s="34" t="str">
        <f aca="false">IF($A50="","",IF($H50&lt;&gt;"",$H50,IFERROR(INDEX(Einstellungen!$F$15:$F$20,MATCH($C50,Einstellungen!$E$15:$E$20,0)),0)))</f>
        <v/>
      </c>
      <c r="J50" s="31" t="n">
        <f aca="false">IF($A50="",0,ROUND(($F50+$G50)*$I50,0))</f>
        <v>0</v>
      </c>
      <c r="K50" s="31" t="str">
        <f aca="false">IF($A50="","",$F50+$G50-$J50)</f>
        <v/>
      </c>
    </row>
    <row r="51" customFormat="false" ht="15" hidden="false" customHeight="false" outlineLevel="0" collapsed="false">
      <c r="A51" s="32"/>
      <c r="B51" s="32"/>
      <c r="C51" s="32"/>
      <c r="D51" s="33"/>
      <c r="E51" s="30"/>
      <c r="F51" s="30"/>
      <c r="G51" s="30"/>
      <c r="H51" s="24"/>
      <c r="I51" s="34" t="str">
        <f aca="false">IF($A51="","",IF($H51&lt;&gt;"",$H51,IFERROR(INDEX(Einstellungen!$F$15:$F$20,MATCH($C51,Einstellungen!$E$15:$E$20,0)),0)))</f>
        <v/>
      </c>
      <c r="J51" s="31" t="n">
        <f aca="false">IF($A51="",0,ROUND(($F51+$G51)*$I51,0))</f>
        <v>0</v>
      </c>
      <c r="K51" s="31" t="str">
        <f aca="false">IF($A51="","",$F51+$G51-$J51)</f>
        <v/>
      </c>
    </row>
    <row r="52" customFormat="false" ht="15" hidden="false" customHeight="false" outlineLevel="0" collapsed="false">
      <c r="A52" s="32"/>
      <c r="B52" s="32"/>
      <c r="C52" s="32"/>
      <c r="D52" s="33"/>
      <c r="E52" s="30"/>
      <c r="F52" s="30"/>
      <c r="G52" s="30"/>
      <c r="H52" s="24"/>
      <c r="I52" s="34" t="str">
        <f aca="false">IF($A52="","",IF($H52&lt;&gt;"",$H52,IFERROR(INDEX(Einstellungen!$F$15:$F$20,MATCH($C52,Einstellungen!$E$15:$E$20,0)),0)))</f>
        <v/>
      </c>
      <c r="J52" s="31" t="n">
        <f aca="false">IF($A52="",0,ROUND(($F52+$G52)*$I52,0))</f>
        <v>0</v>
      </c>
      <c r="K52" s="31" t="str">
        <f aca="false">IF($A52="","",$F52+$G52-$J52)</f>
        <v/>
      </c>
    </row>
    <row r="53" customFormat="false" ht="15" hidden="false" customHeight="false" outlineLevel="0" collapsed="false">
      <c r="A53" s="32"/>
      <c r="B53" s="32"/>
      <c r="C53" s="32"/>
      <c r="D53" s="33"/>
      <c r="E53" s="30"/>
      <c r="F53" s="30"/>
      <c r="G53" s="30"/>
      <c r="H53" s="24"/>
      <c r="I53" s="34" t="str">
        <f aca="false">IF($A53="","",IF($H53&lt;&gt;"",$H53,IFERROR(INDEX(Einstellungen!$F$15:$F$20,MATCH($C53,Einstellungen!$E$15:$E$20,0)),0)))</f>
        <v/>
      </c>
      <c r="J53" s="31" t="n">
        <f aca="false">IF($A53="",0,ROUND(($F53+$G53)*$I53,0))</f>
        <v>0</v>
      </c>
      <c r="K53" s="31" t="str">
        <f aca="false">IF($A53="","",$F53+$G53-$J53)</f>
        <v/>
      </c>
    </row>
    <row r="54" customFormat="false" ht="15" hidden="false" customHeight="false" outlineLevel="0" collapsed="false">
      <c r="A54" s="32"/>
      <c r="B54" s="32"/>
      <c r="C54" s="32"/>
      <c r="D54" s="33"/>
      <c r="E54" s="30"/>
      <c r="F54" s="30"/>
      <c r="G54" s="30"/>
      <c r="H54" s="24"/>
      <c r="I54" s="34" t="str">
        <f aca="false">IF($A54="","",IF($H54&lt;&gt;"",$H54,IFERROR(INDEX(Einstellungen!$F$15:$F$20,MATCH($C54,Einstellungen!$E$15:$E$20,0)),0)))</f>
        <v/>
      </c>
      <c r="J54" s="31" t="n">
        <f aca="false">IF($A54="",0,ROUND(($F54+$G54)*$I54,0))</f>
        <v>0</v>
      </c>
      <c r="K54" s="31" t="str">
        <f aca="false">IF($A54="","",$F54+$G54-$J54)</f>
        <v/>
      </c>
    </row>
    <row r="55" customFormat="false" ht="15" hidden="false" customHeight="false" outlineLevel="0" collapsed="false">
      <c r="A55" s="32"/>
      <c r="B55" s="32"/>
      <c r="C55" s="32"/>
      <c r="D55" s="33"/>
      <c r="E55" s="30"/>
      <c r="F55" s="30"/>
      <c r="G55" s="30"/>
      <c r="H55" s="24"/>
      <c r="I55" s="34" t="str">
        <f aca="false">IF($A55="","",IF($H55&lt;&gt;"",$H55,IFERROR(INDEX(Einstellungen!$F$15:$F$20,MATCH($C55,Einstellungen!$E$15:$E$20,0)),0)))</f>
        <v/>
      </c>
      <c r="J55" s="31" t="n">
        <f aca="false">IF($A55="",0,ROUND(($F55+$G55)*$I55,0))</f>
        <v>0</v>
      </c>
      <c r="K55" s="31" t="str">
        <f aca="false">IF($A55="","",$F55+$G55-$J55)</f>
        <v/>
      </c>
    </row>
    <row r="56" customFormat="false" ht="15" hidden="false" customHeight="false" outlineLevel="0" collapsed="false">
      <c r="A56" s="32"/>
      <c r="B56" s="32"/>
      <c r="C56" s="32"/>
      <c r="D56" s="33"/>
      <c r="E56" s="30"/>
      <c r="F56" s="30"/>
      <c r="G56" s="30"/>
      <c r="H56" s="24"/>
      <c r="I56" s="34" t="str">
        <f aca="false">IF($A56="","",IF($H56&lt;&gt;"",$H56,IFERROR(INDEX(Einstellungen!$F$15:$F$20,MATCH($C56,Einstellungen!$E$15:$E$20,0)),0)))</f>
        <v/>
      </c>
      <c r="J56" s="31" t="n">
        <f aca="false">IF($A56="",0,ROUND(($F56+$G56)*$I56,0))</f>
        <v>0</v>
      </c>
      <c r="K56" s="31" t="str">
        <f aca="false">IF($A56="","",$F56+$G56-$J56)</f>
        <v/>
      </c>
    </row>
    <row r="57" customFormat="false" ht="15" hidden="false" customHeight="false" outlineLevel="0" collapsed="false">
      <c r="A57" s="32"/>
      <c r="B57" s="32"/>
      <c r="C57" s="32"/>
      <c r="D57" s="33"/>
      <c r="E57" s="30"/>
      <c r="F57" s="30"/>
      <c r="G57" s="30"/>
      <c r="H57" s="24"/>
      <c r="I57" s="34" t="str">
        <f aca="false">IF($A57="","",IF($H57&lt;&gt;"",$H57,IFERROR(INDEX(Einstellungen!$F$15:$F$20,MATCH($C57,Einstellungen!$E$15:$E$20,0)),0)))</f>
        <v/>
      </c>
      <c r="J57" s="31" t="n">
        <f aca="false">IF($A57="",0,ROUND(($F57+$G57)*$I57,0))</f>
        <v>0</v>
      </c>
      <c r="K57" s="31" t="str">
        <f aca="false">IF($A57="","",$F57+$G57-$J57)</f>
        <v/>
      </c>
    </row>
    <row r="58" customFormat="false" ht="15" hidden="false" customHeight="false" outlineLevel="0" collapsed="false">
      <c r="A58" s="32"/>
      <c r="B58" s="32"/>
      <c r="C58" s="32"/>
      <c r="D58" s="33"/>
      <c r="E58" s="30"/>
      <c r="F58" s="30"/>
      <c r="G58" s="30"/>
      <c r="H58" s="24"/>
      <c r="I58" s="34" t="str">
        <f aca="false">IF($A58="","",IF($H58&lt;&gt;"",$H58,IFERROR(INDEX(Einstellungen!$F$15:$F$20,MATCH($C58,Einstellungen!$E$15:$E$20,0)),0)))</f>
        <v/>
      </c>
      <c r="J58" s="31" t="n">
        <f aca="false">IF($A58="",0,ROUND(($F58+$G58)*$I58,0))</f>
        <v>0</v>
      </c>
      <c r="K58" s="31" t="str">
        <f aca="false">IF($A58="","",$F58+$G58-$J58)</f>
        <v/>
      </c>
    </row>
    <row r="59" customFormat="false" ht="15" hidden="false" customHeight="false" outlineLevel="0" collapsed="false">
      <c r="A59" s="32"/>
      <c r="B59" s="32"/>
      <c r="C59" s="32"/>
      <c r="D59" s="33"/>
      <c r="E59" s="30"/>
      <c r="F59" s="30"/>
      <c r="G59" s="30"/>
      <c r="H59" s="24"/>
      <c r="I59" s="34" t="str">
        <f aca="false">IF($A59="","",IF($H59&lt;&gt;"",$H59,IFERROR(INDEX(Einstellungen!$F$15:$F$20,MATCH($C59,Einstellungen!$E$15:$E$20,0)),0)))</f>
        <v/>
      </c>
      <c r="J59" s="31" t="n">
        <f aca="false">IF($A59="",0,ROUND(($F59+$G59)*$I59,0))</f>
        <v>0</v>
      </c>
      <c r="K59" s="31" t="str">
        <f aca="false">IF($A59="","",$F59+$G59-$J59)</f>
        <v/>
      </c>
    </row>
    <row r="60" customFormat="false" ht="15" hidden="false" customHeight="false" outlineLevel="0" collapsed="false">
      <c r="A60" s="32"/>
      <c r="B60" s="32"/>
      <c r="C60" s="32"/>
      <c r="D60" s="33"/>
      <c r="E60" s="30"/>
      <c r="F60" s="30"/>
      <c r="G60" s="30"/>
      <c r="H60" s="24"/>
      <c r="I60" s="34" t="str">
        <f aca="false">IF($A60="","",IF($H60&lt;&gt;"",$H60,IFERROR(INDEX(Einstellungen!$F$15:$F$20,MATCH($C60,Einstellungen!$E$15:$E$20,0)),0)))</f>
        <v/>
      </c>
      <c r="J60" s="31" t="n">
        <f aca="false">IF($A60="",0,ROUND(($F60+$G60)*$I60,0))</f>
        <v>0</v>
      </c>
      <c r="K60" s="31" t="str">
        <f aca="false">IF($A60="","",$F60+$G60-$J60)</f>
        <v/>
      </c>
    </row>
    <row r="61" customFormat="false" ht="15" hidden="false" customHeight="false" outlineLevel="0" collapsed="false">
      <c r="A61" s="32"/>
      <c r="B61" s="32"/>
      <c r="C61" s="32"/>
      <c r="D61" s="33"/>
      <c r="E61" s="30"/>
      <c r="F61" s="30"/>
      <c r="G61" s="30"/>
      <c r="H61" s="24"/>
      <c r="I61" s="34" t="str">
        <f aca="false">IF($A61="","",IF($H61&lt;&gt;"",$H61,IFERROR(INDEX(Einstellungen!$F$15:$F$20,MATCH($C61,Einstellungen!$E$15:$E$20,0)),0)))</f>
        <v/>
      </c>
      <c r="J61" s="31" t="n">
        <f aca="false">IF($A61="",0,ROUND(($F61+$G61)*$I61,0))</f>
        <v>0</v>
      </c>
      <c r="K61" s="31" t="str">
        <f aca="false">IF($A61="","",$F61+$G61-$J61)</f>
        <v/>
      </c>
    </row>
    <row r="62" customFormat="false" ht="15" hidden="false" customHeight="false" outlineLevel="0" collapsed="false">
      <c r="A62" s="32"/>
      <c r="B62" s="32"/>
      <c r="C62" s="32"/>
      <c r="D62" s="33"/>
      <c r="E62" s="30"/>
      <c r="F62" s="30"/>
      <c r="G62" s="30"/>
      <c r="H62" s="24"/>
      <c r="I62" s="34" t="str">
        <f aca="false">IF($A62="","",IF($H62&lt;&gt;"",$H62,IFERROR(INDEX(Einstellungen!$F$15:$F$20,MATCH($C62,Einstellungen!$E$15:$E$20,0)),0)))</f>
        <v/>
      </c>
      <c r="J62" s="31" t="n">
        <f aca="false">IF($A62="",0,ROUND(($F62+$G62)*$I62,0))</f>
        <v>0</v>
      </c>
      <c r="K62" s="31" t="str">
        <f aca="false">IF($A62="","",$F62+$G62-$J62)</f>
        <v/>
      </c>
    </row>
    <row r="63" customFormat="false" ht="15" hidden="false" customHeight="false" outlineLevel="0" collapsed="false">
      <c r="A63" s="32"/>
      <c r="B63" s="32"/>
      <c r="C63" s="32"/>
      <c r="D63" s="33"/>
      <c r="E63" s="30"/>
      <c r="F63" s="30"/>
      <c r="G63" s="30"/>
      <c r="H63" s="24"/>
      <c r="I63" s="34" t="str">
        <f aca="false">IF($A63="","",IF($H63&lt;&gt;"",$H63,IFERROR(INDEX(Einstellungen!$F$15:$F$20,MATCH($C63,Einstellungen!$E$15:$E$20,0)),0)))</f>
        <v/>
      </c>
      <c r="J63" s="31" t="n">
        <f aca="false">IF($A63="",0,ROUND(($F63+$G63)*$I63,0))</f>
        <v>0</v>
      </c>
      <c r="K63" s="31" t="str">
        <f aca="false">IF($A63="","",$F63+$G63-$J63)</f>
        <v/>
      </c>
    </row>
    <row r="64" customFormat="false" ht="15" hidden="false" customHeight="false" outlineLevel="0" collapsed="false">
      <c r="A64" s="32"/>
      <c r="B64" s="32"/>
      <c r="C64" s="32"/>
      <c r="D64" s="33"/>
      <c r="E64" s="30"/>
      <c r="F64" s="30"/>
      <c r="G64" s="30"/>
      <c r="H64" s="24"/>
      <c r="I64" s="34" t="str">
        <f aca="false">IF($A64="","",IF($H64&lt;&gt;"",$H64,IFERROR(INDEX(Einstellungen!$F$15:$F$20,MATCH($C64,Einstellungen!$E$15:$E$20,0)),0)))</f>
        <v/>
      </c>
      <c r="J64" s="31" t="n">
        <f aca="false">IF($A64="",0,ROUND(($F64+$G64)*$I64,0))</f>
        <v>0</v>
      </c>
      <c r="K64" s="31" t="str">
        <f aca="false">IF($A64="","",$F64+$G64-$J64)</f>
        <v/>
      </c>
    </row>
    <row r="65" customFormat="false" ht="15" hidden="false" customHeight="false" outlineLevel="0" collapsed="false">
      <c r="A65" s="32"/>
      <c r="B65" s="32"/>
      <c r="C65" s="32"/>
      <c r="D65" s="33"/>
      <c r="E65" s="30"/>
      <c r="F65" s="30"/>
      <c r="G65" s="30"/>
      <c r="H65" s="24"/>
      <c r="I65" s="34" t="str">
        <f aca="false">IF($A65="","",IF($H65&lt;&gt;"",$H65,IFERROR(INDEX(Einstellungen!$F$15:$F$20,MATCH($C65,Einstellungen!$E$15:$E$20,0)),0)))</f>
        <v/>
      </c>
      <c r="J65" s="31" t="n">
        <f aca="false">IF($A65="",0,ROUND(($F65+$G65)*$I65,0))</f>
        <v>0</v>
      </c>
      <c r="K65" s="31" t="str">
        <f aca="false">IF($A65="","",$F65+$G65-$J65)</f>
        <v/>
      </c>
    </row>
    <row r="66" customFormat="false" ht="15" hidden="false" customHeight="false" outlineLevel="0" collapsed="false">
      <c r="A66" s="32"/>
      <c r="B66" s="32"/>
      <c r="C66" s="32"/>
      <c r="D66" s="33"/>
      <c r="E66" s="30"/>
      <c r="F66" s="30"/>
      <c r="G66" s="30"/>
      <c r="H66" s="24"/>
      <c r="I66" s="34" t="str">
        <f aca="false">IF($A66="","",IF($H66&lt;&gt;"",$H66,IFERROR(INDEX(Einstellungen!$F$15:$F$20,MATCH($C66,Einstellungen!$E$15:$E$20,0)),0)))</f>
        <v/>
      </c>
      <c r="J66" s="31" t="n">
        <f aca="false">IF($A66="",0,ROUND(($F66+$G66)*$I66,0))</f>
        <v>0</v>
      </c>
      <c r="K66" s="31" t="str">
        <f aca="false">IF($A66="","",$F66+$G66-$J66)</f>
        <v/>
      </c>
    </row>
    <row r="67" customFormat="false" ht="15" hidden="false" customHeight="false" outlineLevel="0" collapsed="false">
      <c r="A67" s="32"/>
      <c r="B67" s="32"/>
      <c r="C67" s="32"/>
      <c r="D67" s="33"/>
      <c r="E67" s="30"/>
      <c r="F67" s="30"/>
      <c r="G67" s="30"/>
      <c r="H67" s="24"/>
      <c r="I67" s="34" t="str">
        <f aca="false">IF($A67="","",IF($H67&lt;&gt;"",$H67,IFERROR(INDEX(Einstellungen!$F$15:$F$20,MATCH($C67,Einstellungen!$E$15:$E$20,0)),0)))</f>
        <v/>
      </c>
      <c r="J67" s="31" t="n">
        <f aca="false">IF($A67="",0,ROUND(($F67+$G67)*$I67,0))</f>
        <v>0</v>
      </c>
      <c r="K67" s="31" t="str">
        <f aca="false">IF($A67="","",$F67+$G67-$J67)</f>
        <v/>
      </c>
    </row>
    <row r="68" customFormat="false" ht="15" hidden="false" customHeight="false" outlineLevel="0" collapsed="false">
      <c r="A68" s="32"/>
      <c r="B68" s="32"/>
      <c r="C68" s="32"/>
      <c r="D68" s="33"/>
      <c r="E68" s="30"/>
      <c r="F68" s="30"/>
      <c r="G68" s="30"/>
      <c r="H68" s="24"/>
      <c r="I68" s="34" t="str">
        <f aca="false">IF($A68="","",IF($H68&lt;&gt;"",$H68,IFERROR(INDEX(Einstellungen!$F$15:$F$20,MATCH($C68,Einstellungen!$E$15:$E$20,0)),0)))</f>
        <v/>
      </c>
      <c r="J68" s="31" t="n">
        <f aca="false">IF($A68="",0,ROUND(($F68+$G68)*$I68,0))</f>
        <v>0</v>
      </c>
      <c r="K68" s="31" t="str">
        <f aca="false">IF($A68="","",$F68+$G68-$J68)</f>
        <v/>
      </c>
    </row>
    <row r="69" customFormat="false" ht="15" hidden="false" customHeight="false" outlineLevel="0" collapsed="false">
      <c r="A69" s="32"/>
      <c r="B69" s="32"/>
      <c r="C69" s="32"/>
      <c r="D69" s="33"/>
      <c r="E69" s="30"/>
      <c r="F69" s="30"/>
      <c r="G69" s="30"/>
      <c r="H69" s="24"/>
      <c r="I69" s="34" t="str">
        <f aca="false">IF($A69="","",IF($H69&lt;&gt;"",$H69,IFERROR(INDEX(Einstellungen!$F$15:$F$20,MATCH($C69,Einstellungen!$E$15:$E$20,0)),0)))</f>
        <v/>
      </c>
      <c r="J69" s="31" t="n">
        <f aca="false">IF($A69="",0,ROUND(($F69+$G69)*$I69,0))</f>
        <v>0</v>
      </c>
      <c r="K69" s="31" t="str">
        <f aca="false">IF($A69="","",$F69+$G69-$J69)</f>
        <v/>
      </c>
    </row>
    <row r="70" customFormat="false" ht="15" hidden="false" customHeight="false" outlineLevel="0" collapsed="false">
      <c r="A70" s="32"/>
      <c r="B70" s="32"/>
      <c r="C70" s="32"/>
      <c r="D70" s="33"/>
      <c r="E70" s="30"/>
      <c r="F70" s="30"/>
      <c r="G70" s="30"/>
      <c r="H70" s="24"/>
      <c r="I70" s="34" t="str">
        <f aca="false">IF($A70="","",IF($H70&lt;&gt;"",$H70,IFERROR(INDEX(Einstellungen!$F$15:$F$20,MATCH($C70,Einstellungen!$E$15:$E$20,0)),0)))</f>
        <v/>
      </c>
      <c r="J70" s="31" t="n">
        <f aca="false">IF($A70="",0,ROUND(($F70+$G70)*$I70,0))</f>
        <v>0</v>
      </c>
      <c r="K70" s="31" t="str">
        <f aca="false">IF($A70="","",$F70+$G70-$J70)</f>
        <v/>
      </c>
    </row>
    <row r="71" customFormat="false" ht="15" hidden="false" customHeight="false" outlineLevel="0" collapsed="false">
      <c r="A71" s="32"/>
      <c r="B71" s="32"/>
      <c r="C71" s="32"/>
      <c r="D71" s="33"/>
      <c r="E71" s="30"/>
      <c r="F71" s="30"/>
      <c r="G71" s="30"/>
      <c r="H71" s="24"/>
      <c r="I71" s="34" t="str">
        <f aca="false">IF($A71="","",IF($H71&lt;&gt;"",$H71,IFERROR(INDEX(Einstellungen!$F$15:$F$20,MATCH($C71,Einstellungen!$E$15:$E$20,0)),0)))</f>
        <v/>
      </c>
      <c r="J71" s="31" t="n">
        <f aca="false">IF($A71="",0,ROUND(($F71+$G71)*$I71,0))</f>
        <v>0</v>
      </c>
      <c r="K71" s="31" t="str">
        <f aca="false">IF($A71="","",$F71+$G71-$J71)</f>
        <v/>
      </c>
    </row>
    <row r="72" customFormat="false" ht="15" hidden="false" customHeight="false" outlineLevel="0" collapsed="false">
      <c r="A72" s="32"/>
      <c r="B72" s="32"/>
      <c r="C72" s="32"/>
      <c r="D72" s="33"/>
      <c r="E72" s="30"/>
      <c r="F72" s="30"/>
      <c r="G72" s="30"/>
      <c r="H72" s="24"/>
      <c r="I72" s="34" t="str">
        <f aca="false">IF($A72="","",IF($H72&lt;&gt;"",$H72,IFERROR(INDEX(Einstellungen!$F$15:$F$20,MATCH($C72,Einstellungen!$E$15:$E$20,0)),0)))</f>
        <v/>
      </c>
      <c r="J72" s="31" t="n">
        <f aca="false">IF($A72="",0,ROUND(($F72+$G72)*$I72,0))</f>
        <v>0</v>
      </c>
      <c r="K72" s="31" t="str">
        <f aca="false">IF($A72="","",$F72+$G72-$J72)</f>
        <v/>
      </c>
    </row>
    <row r="73" customFormat="false" ht="15" hidden="false" customHeight="false" outlineLevel="0" collapsed="false">
      <c r="A73" s="32"/>
      <c r="B73" s="32"/>
      <c r="C73" s="32"/>
      <c r="D73" s="33"/>
      <c r="E73" s="30"/>
      <c r="F73" s="30"/>
      <c r="G73" s="30"/>
      <c r="H73" s="24"/>
      <c r="I73" s="34" t="str">
        <f aca="false">IF($A73="","",IF($H73&lt;&gt;"",$H73,IFERROR(INDEX(Einstellungen!$F$15:$F$20,MATCH($C73,Einstellungen!$E$15:$E$20,0)),0)))</f>
        <v/>
      </c>
      <c r="J73" s="31" t="n">
        <f aca="false">IF($A73="",0,ROUND(($F73+$G73)*$I73,0))</f>
        <v>0</v>
      </c>
      <c r="K73" s="31" t="str">
        <f aca="false">IF($A73="","",$F73+$G73-$J73)</f>
        <v/>
      </c>
    </row>
    <row r="74" customFormat="false" ht="15" hidden="false" customHeight="false" outlineLevel="0" collapsed="false">
      <c r="A74" s="32"/>
      <c r="B74" s="32"/>
      <c r="C74" s="32"/>
      <c r="D74" s="33"/>
      <c r="E74" s="30"/>
      <c r="F74" s="30"/>
      <c r="G74" s="30"/>
      <c r="H74" s="24"/>
      <c r="I74" s="34" t="str">
        <f aca="false">IF($A74="","",IF($H74&lt;&gt;"",$H74,IFERROR(INDEX(Einstellungen!$F$15:$F$20,MATCH($C74,Einstellungen!$E$15:$E$20,0)),0)))</f>
        <v/>
      </c>
      <c r="J74" s="31" t="n">
        <f aca="false">IF($A74="",0,ROUND(($F74+$G74)*$I74,0))</f>
        <v>0</v>
      </c>
      <c r="K74" s="31" t="str">
        <f aca="false">IF($A74="","",$F74+$G74-$J74)</f>
        <v/>
      </c>
    </row>
    <row r="75" customFormat="false" ht="15" hidden="false" customHeight="false" outlineLevel="0" collapsed="false">
      <c r="A75" s="32"/>
      <c r="B75" s="32"/>
      <c r="C75" s="32"/>
      <c r="D75" s="33"/>
      <c r="E75" s="30"/>
      <c r="F75" s="30"/>
      <c r="G75" s="30"/>
      <c r="H75" s="24"/>
      <c r="I75" s="34" t="str">
        <f aca="false">IF($A75="","",IF($H75&lt;&gt;"",$H75,IFERROR(INDEX(Einstellungen!$F$15:$F$20,MATCH($C75,Einstellungen!$E$15:$E$20,0)),0)))</f>
        <v/>
      </c>
      <c r="J75" s="31" t="n">
        <f aca="false">IF($A75="",0,ROUND(($F75+$G75)*$I75,0))</f>
        <v>0</v>
      </c>
      <c r="K75" s="31" t="str">
        <f aca="false">IF($A75="","",$F75+$G75-$J75)</f>
        <v/>
      </c>
    </row>
    <row r="76" customFormat="false" ht="15" hidden="false" customHeight="false" outlineLevel="0" collapsed="false">
      <c r="A76" s="32"/>
      <c r="B76" s="32"/>
      <c r="C76" s="32"/>
      <c r="D76" s="33"/>
      <c r="E76" s="30"/>
      <c r="F76" s="30"/>
      <c r="G76" s="30"/>
      <c r="H76" s="24"/>
      <c r="I76" s="34" t="str">
        <f aca="false">IF($A76="","",IF($H76&lt;&gt;"",$H76,IFERROR(INDEX(Einstellungen!$F$15:$F$20,MATCH($C76,Einstellungen!$E$15:$E$20,0)),0)))</f>
        <v/>
      </c>
      <c r="J76" s="31" t="n">
        <f aca="false">IF($A76="",0,ROUND(($F76+$G76)*$I76,0))</f>
        <v>0</v>
      </c>
      <c r="K76" s="31" t="str">
        <f aca="false">IF($A76="","",$F76+$G76-$J76)</f>
        <v/>
      </c>
    </row>
    <row r="77" customFormat="false" ht="15" hidden="false" customHeight="false" outlineLevel="0" collapsed="false">
      <c r="A77" s="32"/>
      <c r="B77" s="32"/>
      <c r="C77" s="32"/>
      <c r="D77" s="33"/>
      <c r="E77" s="30"/>
      <c r="F77" s="30"/>
      <c r="G77" s="30"/>
      <c r="H77" s="24"/>
      <c r="I77" s="34" t="str">
        <f aca="false">IF($A77="","",IF($H77&lt;&gt;"",$H77,IFERROR(INDEX(Einstellungen!$F$15:$F$20,MATCH($C77,Einstellungen!$E$15:$E$20,0)),0)))</f>
        <v/>
      </c>
      <c r="J77" s="31" t="n">
        <f aca="false">IF($A77="",0,ROUND(($F77+$G77)*$I77,0))</f>
        <v>0</v>
      </c>
      <c r="K77" s="31" t="str">
        <f aca="false">IF($A77="","",$F77+$G77-$J77)</f>
        <v/>
      </c>
    </row>
    <row r="78" customFormat="false" ht="15" hidden="false" customHeight="false" outlineLevel="0" collapsed="false">
      <c r="A78" s="32"/>
      <c r="B78" s="32"/>
      <c r="C78" s="32"/>
      <c r="D78" s="33"/>
      <c r="E78" s="30"/>
      <c r="F78" s="30"/>
      <c r="G78" s="30"/>
      <c r="H78" s="24"/>
      <c r="I78" s="34" t="str">
        <f aca="false">IF($A78="","",IF($H78&lt;&gt;"",$H78,IFERROR(INDEX(Einstellungen!$F$15:$F$20,MATCH($C78,Einstellungen!$E$15:$E$20,0)),0)))</f>
        <v/>
      </c>
      <c r="J78" s="31" t="n">
        <f aca="false">IF($A78="",0,ROUND(($F78+$G78)*$I78,0))</f>
        <v>0</v>
      </c>
      <c r="K78" s="31" t="str">
        <f aca="false">IF($A78="","",$F78+$G78-$J78)</f>
        <v/>
      </c>
    </row>
    <row r="79" customFormat="false" ht="15" hidden="false" customHeight="false" outlineLevel="0" collapsed="false">
      <c r="A79" s="32"/>
      <c r="B79" s="32"/>
      <c r="C79" s="32"/>
      <c r="D79" s="33"/>
      <c r="E79" s="30"/>
      <c r="F79" s="30"/>
      <c r="G79" s="30"/>
      <c r="H79" s="24"/>
      <c r="I79" s="34" t="str">
        <f aca="false">IF($A79="","",IF($H79&lt;&gt;"",$H79,IFERROR(INDEX(Einstellungen!$F$15:$F$20,MATCH($C79,Einstellungen!$E$15:$E$20,0)),0)))</f>
        <v/>
      </c>
      <c r="J79" s="31" t="n">
        <f aca="false">IF($A79="",0,ROUND(($F79+$G79)*$I79,0))</f>
        <v>0</v>
      </c>
      <c r="K79" s="31" t="str">
        <f aca="false">IF($A79="","",$F79+$G79-$J79)</f>
        <v/>
      </c>
    </row>
    <row r="80" customFormat="false" ht="15" hidden="false" customHeight="false" outlineLevel="0" collapsed="false">
      <c r="A80" s="32"/>
      <c r="B80" s="32"/>
      <c r="C80" s="32"/>
      <c r="D80" s="33"/>
      <c r="E80" s="30"/>
      <c r="F80" s="30"/>
      <c r="G80" s="30"/>
      <c r="H80" s="24"/>
      <c r="I80" s="34" t="str">
        <f aca="false">IF($A80="","",IF($H80&lt;&gt;"",$H80,IFERROR(INDEX(Einstellungen!$F$15:$F$20,MATCH($C80,Einstellungen!$E$15:$E$20,0)),0)))</f>
        <v/>
      </c>
      <c r="J80" s="31" t="n">
        <f aca="false">IF($A80="",0,ROUND(($F80+$G80)*$I80,0))</f>
        <v>0</v>
      </c>
      <c r="K80" s="31" t="str">
        <f aca="false">IF($A80="","",$F80+$G80-$J80)</f>
        <v/>
      </c>
    </row>
    <row r="81" customFormat="false" ht="15" hidden="false" customHeight="false" outlineLevel="0" collapsed="false">
      <c r="A81" s="32"/>
      <c r="B81" s="32"/>
      <c r="C81" s="32"/>
      <c r="D81" s="33"/>
      <c r="E81" s="30"/>
      <c r="F81" s="30"/>
      <c r="G81" s="30"/>
      <c r="H81" s="24"/>
      <c r="I81" s="34" t="str">
        <f aca="false">IF($A81="","",IF($H81&lt;&gt;"",$H81,IFERROR(INDEX(Einstellungen!$F$15:$F$20,MATCH($C81,Einstellungen!$E$15:$E$20,0)),0)))</f>
        <v/>
      </c>
      <c r="J81" s="31" t="n">
        <f aca="false">IF($A81="",0,ROUND(($F81+$G81)*$I81,0))</f>
        <v>0</v>
      </c>
      <c r="K81" s="31" t="str">
        <f aca="false">IF($A81="","",$F81+$G81-$J81)</f>
        <v/>
      </c>
    </row>
    <row r="82" customFormat="false" ht="15" hidden="false" customHeight="false" outlineLevel="0" collapsed="false">
      <c r="A82" s="32"/>
      <c r="B82" s="32"/>
      <c r="C82" s="32"/>
      <c r="D82" s="33"/>
      <c r="E82" s="30"/>
      <c r="F82" s="30"/>
      <c r="G82" s="30"/>
      <c r="H82" s="24"/>
      <c r="I82" s="34" t="str">
        <f aca="false">IF($A82="","",IF($H82&lt;&gt;"",$H82,IFERROR(INDEX(Einstellungen!$F$15:$F$20,MATCH($C82,Einstellungen!$E$15:$E$20,0)),0)))</f>
        <v/>
      </c>
      <c r="J82" s="31" t="n">
        <f aca="false">IF($A82="",0,ROUND(($F82+$G82)*$I82,0))</f>
        <v>0</v>
      </c>
      <c r="K82" s="31" t="str">
        <f aca="false">IF($A82="","",$F82+$G82-$J82)</f>
        <v/>
      </c>
    </row>
    <row r="83" customFormat="false" ht="15" hidden="false" customHeight="false" outlineLevel="0" collapsed="false">
      <c r="A83" s="32"/>
      <c r="B83" s="32"/>
      <c r="C83" s="32"/>
      <c r="D83" s="33"/>
      <c r="E83" s="30"/>
      <c r="F83" s="30"/>
      <c r="G83" s="30"/>
      <c r="H83" s="24"/>
      <c r="I83" s="34" t="str">
        <f aca="false">IF($A83="","",IF($H83&lt;&gt;"",$H83,IFERROR(INDEX(Einstellungen!$F$15:$F$20,MATCH($C83,Einstellungen!$E$15:$E$20,0)),0)))</f>
        <v/>
      </c>
      <c r="J83" s="31" t="n">
        <f aca="false">IF($A83="",0,ROUND(($F83+$G83)*$I83,0))</f>
        <v>0</v>
      </c>
      <c r="K83" s="31" t="str">
        <f aca="false">IF($A83="","",$F83+$G83-$J83)</f>
        <v/>
      </c>
    </row>
    <row r="84" customFormat="false" ht="15" hidden="false" customHeight="false" outlineLevel="0" collapsed="false">
      <c r="A84" s="32"/>
      <c r="B84" s="32"/>
      <c r="C84" s="32"/>
      <c r="D84" s="33"/>
      <c r="E84" s="30"/>
      <c r="F84" s="30"/>
      <c r="G84" s="30"/>
      <c r="H84" s="24"/>
      <c r="I84" s="34" t="str">
        <f aca="false">IF($A84="","",IF($H84&lt;&gt;"",$H84,IFERROR(INDEX(Einstellungen!$F$15:$F$20,MATCH($C84,Einstellungen!$E$15:$E$20,0)),0)))</f>
        <v/>
      </c>
      <c r="J84" s="31" t="n">
        <f aca="false">IF($A84="",0,ROUND(($F84+$G84)*$I84,0))</f>
        <v>0</v>
      </c>
      <c r="K84" s="31" t="str">
        <f aca="false">IF($A84="","",$F84+$G84-$J84)</f>
        <v/>
      </c>
    </row>
    <row r="85" customFormat="false" ht="15" hidden="false" customHeight="false" outlineLevel="0" collapsed="false">
      <c r="A85" s="32"/>
      <c r="B85" s="32"/>
      <c r="C85" s="32"/>
      <c r="D85" s="33"/>
      <c r="E85" s="30"/>
      <c r="F85" s="30"/>
      <c r="G85" s="30"/>
      <c r="H85" s="24"/>
      <c r="I85" s="34" t="str">
        <f aca="false">IF($A85="","",IF($H85&lt;&gt;"",$H85,IFERROR(INDEX(Einstellungen!$F$15:$F$20,MATCH($C85,Einstellungen!$E$15:$E$20,0)),0)))</f>
        <v/>
      </c>
      <c r="J85" s="31" t="n">
        <f aca="false">IF($A85="",0,ROUND(($F85+$G85)*$I85,0))</f>
        <v>0</v>
      </c>
      <c r="K85" s="31" t="str">
        <f aca="false">IF($A85="","",$F85+$G85-$J85)</f>
        <v/>
      </c>
    </row>
    <row r="86" customFormat="false" ht="15" hidden="false" customHeight="false" outlineLevel="0" collapsed="false">
      <c r="A86" s="32"/>
      <c r="B86" s="32"/>
      <c r="C86" s="32"/>
      <c r="D86" s="33"/>
      <c r="E86" s="30"/>
      <c r="F86" s="30"/>
      <c r="G86" s="30"/>
      <c r="H86" s="24"/>
      <c r="I86" s="34" t="str">
        <f aca="false">IF($A86="","",IF($H86&lt;&gt;"",$H86,IFERROR(INDEX(Einstellungen!$F$15:$F$20,MATCH($C86,Einstellungen!$E$15:$E$20,0)),0)))</f>
        <v/>
      </c>
      <c r="J86" s="31" t="n">
        <f aca="false">IF($A86="",0,ROUND(($F86+$G86)*$I86,0))</f>
        <v>0</v>
      </c>
      <c r="K86" s="31" t="str">
        <f aca="false">IF($A86="","",$F86+$G86-$J86)</f>
        <v/>
      </c>
    </row>
    <row r="87" customFormat="false" ht="15" hidden="false" customHeight="false" outlineLevel="0" collapsed="false">
      <c r="A87" s="32"/>
      <c r="B87" s="32"/>
      <c r="C87" s="32"/>
      <c r="D87" s="33"/>
      <c r="E87" s="30"/>
      <c r="F87" s="30"/>
      <c r="G87" s="30"/>
      <c r="H87" s="24"/>
      <c r="I87" s="34" t="str">
        <f aca="false">IF($A87="","",IF($H87&lt;&gt;"",$H87,IFERROR(INDEX(Einstellungen!$F$15:$F$20,MATCH($C87,Einstellungen!$E$15:$E$20,0)),0)))</f>
        <v/>
      </c>
      <c r="J87" s="31" t="n">
        <f aca="false">IF($A87="",0,ROUND(($F87+$G87)*$I87,0))</f>
        <v>0</v>
      </c>
      <c r="K87" s="31" t="str">
        <f aca="false">IF($A87="","",$F87+$G87-$J87)</f>
        <v/>
      </c>
    </row>
    <row r="88" customFormat="false" ht="15" hidden="false" customHeight="false" outlineLevel="0" collapsed="false">
      <c r="A88" s="32"/>
      <c r="B88" s="32"/>
      <c r="C88" s="32"/>
      <c r="D88" s="33"/>
      <c r="E88" s="30"/>
      <c r="F88" s="30"/>
      <c r="G88" s="30"/>
      <c r="H88" s="24"/>
      <c r="I88" s="34" t="str">
        <f aca="false">IF($A88="","",IF($H88&lt;&gt;"",$H88,IFERROR(INDEX(Einstellungen!$F$15:$F$20,MATCH($C88,Einstellungen!$E$15:$E$20,0)),0)))</f>
        <v/>
      </c>
      <c r="J88" s="31" t="n">
        <f aca="false">IF($A88="",0,ROUND(($F88+$G88)*$I88,0))</f>
        <v>0</v>
      </c>
      <c r="K88" s="31" t="str">
        <f aca="false">IF($A88="","",$F88+$G88-$J88)</f>
        <v/>
      </c>
    </row>
    <row r="89" customFormat="false" ht="15" hidden="false" customHeight="false" outlineLevel="0" collapsed="false">
      <c r="A89" s="32"/>
      <c r="B89" s="32"/>
      <c r="C89" s="32"/>
      <c r="D89" s="33"/>
      <c r="E89" s="30"/>
      <c r="F89" s="30"/>
      <c r="G89" s="30"/>
      <c r="H89" s="24"/>
      <c r="I89" s="34" t="str">
        <f aca="false">IF($A89="","",IF($H89&lt;&gt;"",$H89,IFERROR(INDEX(Einstellungen!$F$15:$F$20,MATCH($C89,Einstellungen!$E$15:$E$20,0)),0)))</f>
        <v/>
      </c>
      <c r="J89" s="31" t="n">
        <f aca="false">IF($A89="",0,ROUND(($F89+$G89)*$I89,0))</f>
        <v>0</v>
      </c>
      <c r="K89" s="31" t="str">
        <f aca="false">IF($A89="","",$F89+$G89-$J89)</f>
        <v/>
      </c>
    </row>
    <row r="90" customFormat="false" ht="15" hidden="false" customHeight="false" outlineLevel="0" collapsed="false">
      <c r="A90" s="32"/>
      <c r="B90" s="32"/>
      <c r="C90" s="32"/>
      <c r="D90" s="33"/>
      <c r="E90" s="30"/>
      <c r="F90" s="30"/>
      <c r="G90" s="30"/>
      <c r="H90" s="24"/>
      <c r="I90" s="34" t="str">
        <f aca="false">IF($A90="","",IF($H90&lt;&gt;"",$H90,IFERROR(INDEX(Einstellungen!$F$15:$F$20,MATCH($C90,Einstellungen!$E$15:$E$20,0)),0)))</f>
        <v/>
      </c>
      <c r="J90" s="31" t="n">
        <f aca="false">IF($A90="",0,ROUND(($F90+$G90)*$I90,0))</f>
        <v>0</v>
      </c>
      <c r="K90" s="31" t="str">
        <f aca="false">IF($A90="","",$F90+$G90-$J90)</f>
        <v/>
      </c>
    </row>
    <row r="91" customFormat="false" ht="15" hidden="false" customHeight="false" outlineLevel="0" collapsed="false">
      <c r="A91" s="32"/>
      <c r="B91" s="32"/>
      <c r="C91" s="32"/>
      <c r="D91" s="33"/>
      <c r="E91" s="30"/>
      <c r="F91" s="30"/>
      <c r="G91" s="30"/>
      <c r="H91" s="24"/>
      <c r="I91" s="34" t="str">
        <f aca="false">IF($A91="","",IF($H91&lt;&gt;"",$H91,IFERROR(INDEX(Einstellungen!$F$15:$F$20,MATCH($C91,Einstellungen!$E$15:$E$20,0)),0)))</f>
        <v/>
      </c>
      <c r="J91" s="31" t="n">
        <f aca="false">IF($A91="",0,ROUND(($F91+$G91)*$I91,0))</f>
        <v>0</v>
      </c>
      <c r="K91" s="31" t="str">
        <f aca="false">IF($A91="","",$F91+$G91-$J91)</f>
        <v/>
      </c>
    </row>
    <row r="92" customFormat="false" ht="15" hidden="false" customHeight="false" outlineLevel="0" collapsed="false">
      <c r="A92" s="32"/>
      <c r="B92" s="32"/>
      <c r="C92" s="32"/>
      <c r="D92" s="33"/>
      <c r="E92" s="30"/>
      <c r="F92" s="30"/>
      <c r="G92" s="30"/>
      <c r="H92" s="24"/>
      <c r="I92" s="34" t="str">
        <f aca="false">IF($A92="","",IF($H92&lt;&gt;"",$H92,IFERROR(INDEX(Einstellungen!$F$15:$F$20,MATCH($C92,Einstellungen!$E$15:$E$20,0)),0)))</f>
        <v/>
      </c>
      <c r="J92" s="31" t="n">
        <f aca="false">IF($A92="",0,ROUND(($F92+$G92)*$I92,0))</f>
        <v>0</v>
      </c>
      <c r="K92" s="31" t="str">
        <f aca="false">IF($A92="","",$F92+$G92-$J92)</f>
        <v/>
      </c>
    </row>
    <row r="93" customFormat="false" ht="15" hidden="false" customHeight="false" outlineLevel="0" collapsed="false">
      <c r="A93" s="32"/>
      <c r="B93" s="32"/>
      <c r="C93" s="32"/>
      <c r="D93" s="33"/>
      <c r="E93" s="30"/>
      <c r="F93" s="30"/>
      <c r="G93" s="30"/>
      <c r="H93" s="24"/>
      <c r="I93" s="34" t="str">
        <f aca="false">IF($A93="","",IF($H93&lt;&gt;"",$H93,IFERROR(INDEX(Einstellungen!$F$15:$F$20,MATCH($C93,Einstellungen!$E$15:$E$20,0)),0)))</f>
        <v/>
      </c>
      <c r="J93" s="31" t="n">
        <f aca="false">IF($A93="",0,ROUND(($F93+$G93)*$I93,0))</f>
        <v>0</v>
      </c>
      <c r="K93" s="31" t="str">
        <f aca="false">IF($A93="","",$F93+$G93-$J93)</f>
        <v/>
      </c>
    </row>
    <row r="94" customFormat="false" ht="15" hidden="false" customHeight="false" outlineLevel="0" collapsed="false">
      <c r="A94" s="32"/>
      <c r="B94" s="32"/>
      <c r="C94" s="32"/>
      <c r="D94" s="33"/>
      <c r="E94" s="30"/>
      <c r="F94" s="30"/>
      <c r="G94" s="30"/>
      <c r="H94" s="24"/>
      <c r="I94" s="34" t="str">
        <f aca="false">IF($A94="","",IF($H94&lt;&gt;"",$H94,IFERROR(INDEX(Einstellungen!$F$15:$F$20,MATCH($C94,Einstellungen!$E$15:$E$20,0)),0)))</f>
        <v/>
      </c>
      <c r="J94" s="31" t="n">
        <f aca="false">IF($A94="",0,ROUND(($F94+$G94)*$I94,0))</f>
        <v>0</v>
      </c>
      <c r="K94" s="31" t="str">
        <f aca="false">IF($A94="","",$F94+$G94-$J94)</f>
        <v/>
      </c>
    </row>
    <row r="95" customFormat="false" ht="15" hidden="false" customHeight="false" outlineLevel="0" collapsed="false">
      <c r="A95" s="32"/>
      <c r="B95" s="32"/>
      <c r="C95" s="32"/>
      <c r="D95" s="33"/>
      <c r="E95" s="30"/>
      <c r="F95" s="30"/>
      <c r="G95" s="30"/>
      <c r="H95" s="24"/>
      <c r="I95" s="34" t="str">
        <f aca="false">IF($A95="","",IF($H95&lt;&gt;"",$H95,IFERROR(INDEX(Einstellungen!$F$15:$F$20,MATCH($C95,Einstellungen!$E$15:$E$20,0)),0)))</f>
        <v/>
      </c>
      <c r="J95" s="31" t="n">
        <f aca="false">IF($A95="",0,ROUND(($F95+$G95)*$I95,0))</f>
        <v>0</v>
      </c>
      <c r="K95" s="31" t="str">
        <f aca="false">IF($A95="","",$F95+$G95-$J95)</f>
        <v/>
      </c>
    </row>
    <row r="96" customFormat="false" ht="15" hidden="false" customHeight="false" outlineLevel="0" collapsed="false">
      <c r="A96" s="32"/>
      <c r="B96" s="32"/>
      <c r="C96" s="32"/>
      <c r="D96" s="33"/>
      <c r="E96" s="30"/>
      <c r="F96" s="30"/>
      <c r="G96" s="30"/>
      <c r="H96" s="24"/>
      <c r="I96" s="34" t="str">
        <f aca="false">IF($A96="","",IF($H96&lt;&gt;"",$H96,IFERROR(INDEX(Einstellungen!$F$15:$F$20,MATCH($C96,Einstellungen!$E$15:$E$20,0)),0)))</f>
        <v/>
      </c>
      <c r="J96" s="31" t="n">
        <f aca="false">IF($A96="",0,ROUND(($F96+$G96)*$I96,0))</f>
        <v>0</v>
      </c>
      <c r="K96" s="31" t="str">
        <f aca="false">IF($A96="","",$F96+$G96-$J96)</f>
        <v/>
      </c>
    </row>
    <row r="97" customFormat="false" ht="15" hidden="false" customHeight="false" outlineLevel="0" collapsed="false">
      <c r="A97" s="32"/>
      <c r="B97" s="32"/>
      <c r="C97" s="32"/>
      <c r="D97" s="33"/>
      <c r="E97" s="30"/>
      <c r="F97" s="30"/>
      <c r="G97" s="30"/>
      <c r="H97" s="24"/>
      <c r="I97" s="34" t="str">
        <f aca="false">IF($A97="","",IF($H97&lt;&gt;"",$H97,IFERROR(INDEX(Einstellungen!$F$15:$F$20,MATCH($C97,Einstellungen!$E$15:$E$20,0)),0)))</f>
        <v/>
      </c>
      <c r="J97" s="31" t="n">
        <f aca="false">IF($A97="",0,ROUND(($F97+$G97)*$I97,0))</f>
        <v>0</v>
      </c>
      <c r="K97" s="31" t="str">
        <f aca="false">IF($A97="","",$F97+$G97-$J97)</f>
        <v/>
      </c>
    </row>
    <row r="98" customFormat="false" ht="15" hidden="false" customHeight="false" outlineLevel="0" collapsed="false">
      <c r="A98" s="32"/>
      <c r="B98" s="32"/>
      <c r="C98" s="32"/>
      <c r="D98" s="33"/>
      <c r="E98" s="30"/>
      <c r="F98" s="30"/>
      <c r="G98" s="30"/>
      <c r="H98" s="24"/>
      <c r="I98" s="34" t="str">
        <f aca="false">IF($A98="","",IF($H98&lt;&gt;"",$H98,IFERROR(INDEX(Einstellungen!$F$15:$F$20,MATCH($C98,Einstellungen!$E$15:$E$20,0)),0)))</f>
        <v/>
      </c>
      <c r="J98" s="31" t="n">
        <f aca="false">IF($A98="",0,ROUND(($F98+$G98)*$I98,0))</f>
        <v>0</v>
      </c>
      <c r="K98" s="31" t="str">
        <f aca="false">IF($A98="","",$F98+$G98-$J98)</f>
        <v/>
      </c>
    </row>
    <row r="99" customFormat="false" ht="15" hidden="false" customHeight="false" outlineLevel="0" collapsed="false">
      <c r="A99" s="32"/>
      <c r="B99" s="32"/>
      <c r="C99" s="32"/>
      <c r="D99" s="33"/>
      <c r="E99" s="30"/>
      <c r="F99" s="30"/>
      <c r="G99" s="30"/>
      <c r="H99" s="24"/>
      <c r="I99" s="34" t="str">
        <f aca="false">IF($A99="","",IF($H99&lt;&gt;"",$H99,IFERROR(INDEX(Einstellungen!$F$15:$F$20,MATCH($C99,Einstellungen!$E$15:$E$20,0)),0)))</f>
        <v/>
      </c>
      <c r="J99" s="31" t="n">
        <f aca="false">IF($A99="",0,ROUND(($F99+$G99)*$I99,0))</f>
        <v>0</v>
      </c>
      <c r="K99" s="31" t="str">
        <f aca="false">IF($A99="","",$F99+$G99-$J99)</f>
        <v/>
      </c>
    </row>
    <row r="100" customFormat="false" ht="15" hidden="false" customHeight="false" outlineLevel="0" collapsed="false">
      <c r="A100" s="32"/>
      <c r="B100" s="32"/>
      <c r="C100" s="32"/>
      <c r="D100" s="33"/>
      <c r="E100" s="30"/>
      <c r="F100" s="30"/>
      <c r="G100" s="30"/>
      <c r="H100" s="24"/>
      <c r="I100" s="34" t="str">
        <f aca="false">IF($A100="","",IF($H100&lt;&gt;"",$H100,IFERROR(INDEX(Einstellungen!$F$15:$F$20,MATCH($C100,Einstellungen!$E$15:$E$20,0)),0)))</f>
        <v/>
      </c>
      <c r="J100" s="31" t="n">
        <f aca="false">IF($A100="",0,ROUND(($F100+$G100)*$I100,0))</f>
        <v>0</v>
      </c>
      <c r="K100" s="31" t="str">
        <f aca="false">IF($A100="","",$F100+$G100-$J100)</f>
        <v/>
      </c>
    </row>
    <row r="101" customFormat="false" ht="15" hidden="false" customHeight="false" outlineLevel="0" collapsed="false">
      <c r="A101" s="32"/>
      <c r="B101" s="32"/>
      <c r="C101" s="32"/>
      <c r="D101" s="33"/>
      <c r="E101" s="30"/>
      <c r="F101" s="30"/>
      <c r="G101" s="30"/>
      <c r="H101" s="24"/>
      <c r="I101" s="34" t="str">
        <f aca="false">IF($A101="","",IF($H101&lt;&gt;"",$H101,IFERROR(INDEX(Einstellungen!$F$15:$F$20,MATCH($C101,Einstellungen!$E$15:$E$20,0)),0)))</f>
        <v/>
      </c>
      <c r="J101" s="31" t="n">
        <f aca="false">IF($A101="",0,ROUND(($F101+$G101)*$I101,0))</f>
        <v>0</v>
      </c>
      <c r="K101" s="31" t="str">
        <f aca="false">IF($A101="","",$F101+$G101-$J101)</f>
        <v/>
      </c>
    </row>
    <row r="102" customFormat="false" ht="15" hidden="false" customHeight="false" outlineLevel="0" collapsed="false">
      <c r="A102" s="32"/>
      <c r="B102" s="32"/>
      <c r="C102" s="32"/>
      <c r="D102" s="33"/>
      <c r="E102" s="30"/>
      <c r="F102" s="30"/>
      <c r="G102" s="30"/>
      <c r="H102" s="24"/>
      <c r="I102" s="34" t="str">
        <f aca="false">IF($A102="","",IF($H102&lt;&gt;"",$H102,IFERROR(INDEX(Einstellungen!$F$15:$F$20,MATCH($C102,Einstellungen!$E$15:$E$20,0)),0)))</f>
        <v/>
      </c>
      <c r="J102" s="31" t="n">
        <f aca="false">IF($A102="",0,ROUND(($F102+$G102)*$I102,0))</f>
        <v>0</v>
      </c>
      <c r="K102" s="31" t="str">
        <f aca="false">IF($A102="","",$F102+$G102-$J102)</f>
        <v/>
      </c>
    </row>
    <row r="103" customFormat="false" ht="15" hidden="false" customHeight="false" outlineLevel="0" collapsed="false">
      <c r="A103" s="32"/>
      <c r="B103" s="32"/>
      <c r="C103" s="32"/>
      <c r="D103" s="33"/>
      <c r="E103" s="30"/>
      <c r="F103" s="30"/>
      <c r="G103" s="30"/>
      <c r="H103" s="24"/>
      <c r="I103" s="34" t="str">
        <f aca="false">IF($A103="","",IF($H103&lt;&gt;"",$H103,IFERROR(INDEX(Einstellungen!$F$15:$F$20,MATCH($C103,Einstellungen!$E$15:$E$20,0)),0)))</f>
        <v/>
      </c>
      <c r="J103" s="31" t="n">
        <f aca="false">IF($A103="",0,ROUND(($F103+$G103)*$I103,0))</f>
        <v>0</v>
      </c>
      <c r="K103" s="31" t="str">
        <f aca="false">IF($A103="","",$F103+$G103-$J103)</f>
        <v/>
      </c>
    </row>
    <row r="104" customFormat="false" ht="15" hidden="false" customHeight="false" outlineLevel="0" collapsed="false">
      <c r="A104" s="32"/>
      <c r="B104" s="32"/>
      <c r="C104" s="32"/>
      <c r="D104" s="33"/>
      <c r="E104" s="30"/>
      <c r="F104" s="30"/>
      <c r="G104" s="30"/>
      <c r="H104" s="24"/>
      <c r="I104" s="34" t="str">
        <f aca="false">IF($A104="","",IF($H104&lt;&gt;"",$H104,IFERROR(INDEX(Einstellungen!$F$15:$F$20,MATCH($C104,Einstellungen!$E$15:$E$20,0)),0)))</f>
        <v/>
      </c>
      <c r="J104" s="31" t="n">
        <f aca="false">IF($A104="",0,ROUND(($F104+$G104)*$I104,0))</f>
        <v>0</v>
      </c>
      <c r="K104" s="31" t="str">
        <f aca="false">IF($A104="","",$F104+$G104-$J104)</f>
        <v/>
      </c>
    </row>
    <row r="105" customFormat="false" ht="15" hidden="false" customHeight="false" outlineLevel="0" collapsed="false">
      <c r="A105" s="32"/>
      <c r="B105" s="32"/>
      <c r="C105" s="32"/>
      <c r="D105" s="33"/>
      <c r="E105" s="30"/>
      <c r="F105" s="30"/>
      <c r="G105" s="30"/>
      <c r="H105" s="24"/>
      <c r="I105" s="34" t="str">
        <f aca="false">IF($A105="","",IF($H105&lt;&gt;"",$H105,IFERROR(INDEX(Einstellungen!$F$15:$F$20,MATCH($C105,Einstellungen!$E$15:$E$20,0)),0)))</f>
        <v/>
      </c>
      <c r="J105" s="31" t="n">
        <f aca="false">IF($A105="",0,ROUND(($F105+$G105)*$I105,0))</f>
        <v>0</v>
      </c>
      <c r="K105" s="31" t="str">
        <f aca="false">IF($A105="","",$F105+$G105-$J105)</f>
        <v/>
      </c>
    </row>
  </sheetData>
  <dataValidations count="1">
    <dataValidation allowBlank="false" errorStyle="stop" operator="between" showDropDown="false" showErrorMessage="false" showInputMessage="false" sqref="C6:C105" type="list">
      <formula1>Einstellungen!$E$15:$E$20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24AA"/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9" min="7" style="0" width="14"/>
  </cols>
  <sheetData>
    <row r="1" customFormat="false" ht="19.7" hidden="false" customHeight="false" outlineLevel="0" collapsed="false">
      <c r="A1" s="1" t="s">
        <v>609</v>
      </c>
    </row>
    <row r="2" customFormat="false" ht="15" hidden="false" customHeight="false" outlineLevel="0" collapsed="false">
      <c r="A2" s="2" t="s">
        <v>610</v>
      </c>
    </row>
    <row r="4" customFormat="false" ht="15" hidden="false" customHeight="false" outlineLevel="0" collapsed="false">
      <c r="A4" s="0" t="s">
        <v>611</v>
      </c>
      <c r="C4" s="46" t="str">
        <f aca="false">IF(Einstellungen!$B$8&lt;&gt;"Ja","Nicht MWST-pflichtig",Einstellungen!$B$9)</f>
        <v>Saldo</v>
      </c>
    </row>
    <row r="5" customFormat="false" ht="15" hidden="false" customHeight="false" outlineLevel="0" collapsed="false">
      <c r="A5" s="0" t="s">
        <v>612</v>
      </c>
      <c r="C5" s="47" t="b">
        <f aca="false">AND(Einstellungen!$B$8="Ja",Einstellungen!$B$9="Saldo")</f>
        <v>1</v>
      </c>
    </row>
    <row r="6" customFormat="false" ht="15" hidden="false" customHeight="false" outlineLevel="0" collapsed="false">
      <c r="A6" s="0" t="s">
        <v>613</v>
      </c>
      <c r="C6" s="47" t="b">
        <f aca="false">AND(Einstellungen!$B$8="Ja",Einstellungen!$B$9="Effektiv")</f>
        <v>0</v>
      </c>
    </row>
    <row r="8" customFormat="false" ht="15" hidden="false" customHeight="false" outlineLevel="0" collapsed="false">
      <c r="A8" s="3" t="s">
        <v>614</v>
      </c>
    </row>
    <row r="10" customFormat="false" ht="31.5" hidden="false" customHeight="true" outlineLevel="0" collapsed="false">
      <c r="A10" s="10" t="s">
        <v>615</v>
      </c>
      <c r="B10" s="10" t="s">
        <v>616</v>
      </c>
      <c r="C10" s="10" t="s">
        <v>617</v>
      </c>
      <c r="D10" s="10" t="s">
        <v>618</v>
      </c>
      <c r="E10" s="10" t="s">
        <v>619</v>
      </c>
      <c r="F10" s="10" t="s">
        <v>620</v>
      </c>
      <c r="G10" s="10" t="s">
        <v>621</v>
      </c>
      <c r="H10" s="10" t="s">
        <v>622</v>
      </c>
      <c r="I10" s="10" t="s">
        <v>623</v>
      </c>
    </row>
    <row r="11" customFormat="false" ht="15" hidden="false" customHeight="false" outlineLevel="0" collapsed="false">
      <c r="A11" s="0" t="s">
        <v>624</v>
      </c>
      <c r="B11" s="31" t="n">
        <f aca="false">SUMIFS(Journal!$F$5:$F$1504,Journal!$R$5:$R$1504,1,Journal!$Q$5:$Q$1504,1)-SUMIFS(Journal!$F$5:$F$1504,Journal!$S$5:$S$1504,1,Journal!$Q$5:$Q$1504,1)</f>
        <v>2606.3</v>
      </c>
      <c r="C11" s="34" t="n">
        <f aca="false">Einstellungen!$B$12</f>
        <v>0.03</v>
      </c>
      <c r="D11" s="31" t="n">
        <f aca="false">IF($C$5,ROUND(B11*C11,2),0)</f>
        <v>78.19</v>
      </c>
      <c r="E11" s="31" t="n">
        <f aca="false">SUMIFS(Journal!$F$5:$F$1504,Journal!$R$5:$R$1504,2,Journal!$Q$5:$Q$1504,1)-SUMIFS(Journal!$F$5:$F$1504,Journal!$S$5:$S$1504,2,Journal!$Q$5:$Q$1504,1)</f>
        <v>15900</v>
      </c>
      <c r="F11" s="34" t="n">
        <f aca="false">Einstellungen!$B$13</f>
        <v>0.006</v>
      </c>
      <c r="G11" s="31" t="n">
        <f aca="false">IF($C$5,ROUND(E11*F11,2),0)</f>
        <v>95.4</v>
      </c>
      <c r="H11" s="31" t="n">
        <f aca="false">D11+G11</f>
        <v>173.59</v>
      </c>
      <c r="I11" s="44" t="n">
        <f aca="false">DATE(Einstellungen!$B$7,6,30+0)+60</f>
        <v>46263</v>
      </c>
    </row>
    <row r="12" customFormat="false" ht="15" hidden="false" customHeight="false" outlineLevel="0" collapsed="false">
      <c r="A12" s="0" t="s">
        <v>625</v>
      </c>
      <c r="B12" s="31" t="n">
        <f aca="false">SUMIFS(Journal!$F$5:$F$1504,Journal!$R$5:$R$1504,1,Journal!$Q$5:$Q$1504,2)-SUMIFS(Journal!$F$5:$F$1504,Journal!$S$5:$S$1504,1,Journal!$Q$5:$Q$1504,2)</f>
        <v>0</v>
      </c>
      <c r="C12" s="34" t="n">
        <f aca="false">Einstellungen!$B$12</f>
        <v>0.03</v>
      </c>
      <c r="D12" s="31" t="n">
        <f aca="false">IF($C$5,ROUND(B12*C12,2),0)</f>
        <v>0</v>
      </c>
      <c r="E12" s="31" t="n">
        <f aca="false">SUMIFS(Journal!$F$5:$F$1504,Journal!$R$5:$R$1504,2,Journal!$Q$5:$Q$1504,2)-SUMIFS(Journal!$F$5:$F$1504,Journal!$S$5:$S$1504,2,Journal!$Q$5:$Q$1504,2)</f>
        <v>0</v>
      </c>
      <c r="F12" s="34" t="n">
        <f aca="false">Einstellungen!$B$13</f>
        <v>0.006</v>
      </c>
      <c r="G12" s="31" t="n">
        <f aca="false">IF($C$5,ROUND(E12*F12,2),0)</f>
        <v>0</v>
      </c>
      <c r="H12" s="31" t="n">
        <f aca="false">D12+G12</f>
        <v>0</v>
      </c>
      <c r="I12" s="44" t="n">
        <f aca="false">DATE(Einstellungen!$B$7,12,30+1)+60</f>
        <v>46447</v>
      </c>
    </row>
    <row r="13" customFormat="false" ht="15" hidden="false" customHeight="false" outlineLevel="0" collapsed="false">
      <c r="A13" s="4" t="s">
        <v>626</v>
      </c>
      <c r="B13" s="12" t="n">
        <f aca="false">SUM(B11:B12)</f>
        <v>2606.3</v>
      </c>
      <c r="D13" s="12" t="n">
        <f aca="false">SUM(D11:D12)</f>
        <v>78.19</v>
      </c>
      <c r="E13" s="12" t="n">
        <f aca="false">SUM(E11:E12)</f>
        <v>15900</v>
      </c>
      <c r="G13" s="12" t="n">
        <f aca="false">SUM(G11:G12)</f>
        <v>95.4</v>
      </c>
      <c r="H13" s="12" t="n">
        <f aca="false">SUM(H11:H12)</f>
        <v>173.59</v>
      </c>
    </row>
    <row r="16" customFormat="false" ht="15" hidden="false" customHeight="false" outlineLevel="0" collapsed="false">
      <c r="A16" s="3" t="s">
        <v>627</v>
      </c>
    </row>
    <row r="18" customFormat="false" ht="31.5" hidden="false" customHeight="true" outlineLevel="0" collapsed="false">
      <c r="A18" s="10" t="s">
        <v>356</v>
      </c>
      <c r="B18" s="10" t="s">
        <v>628</v>
      </c>
      <c r="C18" s="10" t="s">
        <v>629</v>
      </c>
      <c r="D18" s="10" t="s">
        <v>630</v>
      </c>
      <c r="E18" s="10" t="s">
        <v>631</v>
      </c>
      <c r="F18" s="10" t="s">
        <v>632</v>
      </c>
      <c r="G18" s="10" t="s">
        <v>623</v>
      </c>
    </row>
    <row r="19" customFormat="false" ht="15" hidden="false" customHeight="false" outlineLevel="0" collapsed="false">
      <c r="A19" s="0" t="s">
        <v>633</v>
      </c>
      <c r="B19" s="31" t="n">
        <f aca="false">SUMIFS(Journal!$L$5:$L$1504,Journal!$J$5:$J$1504,"U",Journal!$P$5:$P$1504,1)</f>
        <v>0</v>
      </c>
      <c r="C19" s="31" t="n">
        <f aca="false">SUMIFS(Journal!$K$5:$K$1504,Journal!$J$5:$J$1504,"U",Journal!$P$5:$P$1504,1)</f>
        <v>0</v>
      </c>
      <c r="D19" s="31" t="n">
        <f aca="false">SUMIFS(Journal!$K$5:$K$1504,Journal!$J$5:$J$1504,"V",Journal!$P$5:$P$1504,1,Journal!$G$5:$G$1504,"&lt;&gt;VI81")</f>
        <v>0</v>
      </c>
      <c r="E19" s="31" t="n">
        <f aca="false">SUMIFS(Journal!$K$5:$K$1504,Journal!$J$5:$J$1504,"V",Journal!$P$5:$P$1504,1,Journal!$G$5:$G$1504,"VI81")</f>
        <v>0</v>
      </c>
      <c r="F19" s="31" t="n">
        <f aca="false">C19-D19-E19</f>
        <v>0</v>
      </c>
      <c r="G19" s="44" t="n">
        <f aca="false">DATE(Einstellungen!$B$7,3,31)+60</f>
        <v>46172</v>
      </c>
    </row>
    <row r="20" customFormat="false" ht="15" hidden="false" customHeight="false" outlineLevel="0" collapsed="false">
      <c r="A20" s="0" t="s">
        <v>634</v>
      </c>
      <c r="B20" s="31" t="n">
        <f aca="false">SUMIFS(Journal!$L$5:$L$1504,Journal!$J$5:$J$1504,"U",Journal!$P$5:$P$1504,2)</f>
        <v>0</v>
      </c>
      <c r="C20" s="31" t="n">
        <f aca="false">SUMIFS(Journal!$K$5:$K$1504,Journal!$J$5:$J$1504,"U",Journal!$P$5:$P$1504,2)</f>
        <v>0</v>
      </c>
      <c r="D20" s="31" t="n">
        <f aca="false">SUMIFS(Journal!$K$5:$K$1504,Journal!$J$5:$J$1504,"V",Journal!$P$5:$P$1504,2,Journal!$G$5:$G$1504,"&lt;&gt;VI81")</f>
        <v>0</v>
      </c>
      <c r="E20" s="31" t="n">
        <f aca="false">SUMIFS(Journal!$K$5:$K$1504,Journal!$J$5:$J$1504,"V",Journal!$P$5:$P$1504,2,Journal!$G$5:$G$1504,"VI81")</f>
        <v>0</v>
      </c>
      <c r="F20" s="31" t="n">
        <f aca="false">C20-D20-E20</f>
        <v>0</v>
      </c>
      <c r="G20" s="44" t="n">
        <f aca="false">DATE(Einstellungen!$B$7,6,30)+60</f>
        <v>46263</v>
      </c>
    </row>
    <row r="21" customFormat="false" ht="15" hidden="false" customHeight="false" outlineLevel="0" collapsed="false">
      <c r="A21" s="0" t="s">
        <v>635</v>
      </c>
      <c r="B21" s="31" t="n">
        <f aca="false">SUMIFS(Journal!$L$5:$L$1504,Journal!$J$5:$J$1504,"U",Journal!$P$5:$P$1504,3)</f>
        <v>0</v>
      </c>
      <c r="C21" s="31" t="n">
        <f aca="false">SUMIFS(Journal!$K$5:$K$1504,Journal!$J$5:$J$1504,"U",Journal!$P$5:$P$1504,3)</f>
        <v>0</v>
      </c>
      <c r="D21" s="31" t="n">
        <f aca="false">SUMIFS(Journal!$K$5:$K$1504,Journal!$J$5:$J$1504,"V",Journal!$P$5:$P$1504,3,Journal!$G$5:$G$1504,"&lt;&gt;VI81")</f>
        <v>0</v>
      </c>
      <c r="E21" s="31" t="n">
        <f aca="false">SUMIFS(Journal!$K$5:$K$1504,Journal!$J$5:$J$1504,"V",Journal!$P$5:$P$1504,3,Journal!$G$5:$G$1504,"VI81")</f>
        <v>0</v>
      </c>
      <c r="F21" s="31" t="n">
        <f aca="false">C21-D21-E21</f>
        <v>0</v>
      </c>
      <c r="G21" s="44" t="n">
        <f aca="false">DATE(Einstellungen!$B$7,9,30)+60</f>
        <v>46355</v>
      </c>
    </row>
    <row r="22" customFormat="false" ht="15" hidden="false" customHeight="false" outlineLevel="0" collapsed="false">
      <c r="A22" s="0" t="s">
        <v>636</v>
      </c>
      <c r="B22" s="31" t="n">
        <f aca="false">SUMIFS(Journal!$L$5:$L$1504,Journal!$J$5:$J$1504,"U",Journal!$P$5:$P$1504,4)</f>
        <v>0</v>
      </c>
      <c r="C22" s="31" t="n">
        <f aca="false">SUMIFS(Journal!$K$5:$K$1504,Journal!$J$5:$J$1504,"U",Journal!$P$5:$P$1504,4)</f>
        <v>0</v>
      </c>
      <c r="D22" s="31" t="n">
        <f aca="false">SUMIFS(Journal!$K$5:$K$1504,Journal!$J$5:$J$1504,"V",Journal!$P$5:$P$1504,4,Journal!$G$5:$G$1504,"&lt;&gt;VI81")</f>
        <v>0</v>
      </c>
      <c r="E22" s="31" t="n">
        <f aca="false">SUMIFS(Journal!$K$5:$K$1504,Journal!$J$5:$J$1504,"V",Journal!$P$5:$P$1504,4,Journal!$G$5:$G$1504,"VI81")</f>
        <v>0</v>
      </c>
      <c r="F22" s="31" t="n">
        <f aca="false">C22-D22-E22</f>
        <v>0</v>
      </c>
      <c r="G22" s="44" t="n">
        <f aca="false">DATE(Einstellungen!$B$7,12,31)+60</f>
        <v>46447</v>
      </c>
    </row>
    <row r="23" customFormat="false" ht="15" hidden="false" customHeight="false" outlineLevel="0" collapsed="false">
      <c r="A23" s="4" t="s">
        <v>626</v>
      </c>
      <c r="B23" s="12" t="n">
        <f aca="false">SUM(B19:B22)</f>
        <v>0</v>
      </c>
      <c r="C23" s="12" t="n">
        <f aca="false">SUM(C19:C22)</f>
        <v>0</v>
      </c>
      <c r="D23" s="12" t="n">
        <f aca="false">SUM(D19:D22)</f>
        <v>0</v>
      </c>
      <c r="E23" s="12" t="n">
        <f aca="false">SUM(E19:E22)</f>
        <v>0</v>
      </c>
      <c r="F23" s="12" t="n">
        <f aca="false">SUM(F19:F22)</f>
        <v>0</v>
      </c>
    </row>
    <row r="26" customFormat="false" ht="15" hidden="false" customHeight="false" outlineLevel="0" collapsed="false">
      <c r="A26" s="3" t="s">
        <v>637</v>
      </c>
    </row>
    <row r="27" customFormat="false" ht="15" hidden="false" customHeight="false" outlineLevel="0" collapsed="false">
      <c r="A27" s="0" t="s">
        <v>638</v>
      </c>
      <c r="B27" s="31" t="n">
        <f aca="false">IF($C$5,H13,IF($C$6,F23,0))</f>
        <v>173.59</v>
      </c>
    </row>
    <row r="28" customFormat="false" ht="15" hidden="false" customHeight="false" outlineLevel="0" collapsed="false">
      <c r="A28" s="0" t="s">
        <v>639</v>
      </c>
      <c r="B28" s="31" t="n">
        <f aca="false">SUMIFS(Journal!$M$5:$M$1504,Journal!$D$5:$D$1504,2200)</f>
        <v>0</v>
      </c>
    </row>
    <row r="29" customFormat="false" ht="15" hidden="false" customHeight="false" outlineLevel="0" collapsed="false">
      <c r="A29" s="0" t="s">
        <v>640</v>
      </c>
      <c r="B29" s="12" t="n">
        <f aca="false">B27-B28</f>
        <v>173.59</v>
      </c>
    </row>
    <row r="30" customFormat="false" ht="15" hidden="false" customHeight="false" outlineLevel="0" collapsed="false">
      <c r="A30" s="0" t="s">
        <v>641</v>
      </c>
      <c r="B30" s="31" t="n">
        <f aca="false">SUMIFS(Journal!$N$5:$N$1504,Journal!$U$5:$U$1504,"Ertrag")-SUMIFS(Journal!$M$5:$M$1504,Journal!$T$5:$T$1504,"Ertrag")+SUMIFS(Journal!$K$5:$K$1504,Journal!$J$5:$J$1504,"U")</f>
        <v>18506.3</v>
      </c>
    </row>
    <row r="31" customFormat="false" ht="15" hidden="false" customHeight="false" outlineLevel="0" collapsed="false">
      <c r="A31" s="0" t="s">
        <v>642</v>
      </c>
      <c r="B31" s="31" t="str">
        <f aca="false">IF(AND(B30&gt;=100000,Einstellungen!$B$8&lt;&gt;"Ja"),"Umsatz über CHF 100'000 – Anmeldung bei ESTV nötig!","")</f>
        <v/>
      </c>
    </row>
    <row r="33" customFormat="false" ht="15" hidden="false" customHeight="false" outlineLevel="0" collapsed="false">
      <c r="A33" s="9" t="s">
        <v>643</v>
      </c>
    </row>
    <row r="34" customFormat="false" ht="15" hidden="false" customHeight="false" outlineLevel="0" collapsed="false">
      <c r="A34" s="9" t="s">
        <v>644</v>
      </c>
    </row>
    <row r="35" customFormat="false" ht="15" hidden="false" customHeight="false" outlineLevel="0" collapsed="false">
      <c r="A35" s="9" t="s">
        <v>645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24AA"/>
    <pageSetUpPr fitToPage="false"/>
  </sheetPr>
  <dimension ref="A1:E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2"/>
    <col collapsed="false" customWidth="true" hidden="false" outlineLevel="0" max="3" min="3" style="0" width="16"/>
    <col collapsed="false" customWidth="true" hidden="false" outlineLevel="0" max="4" min="4" style="0" width="3"/>
    <col collapsed="false" customWidth="true" hidden="false" outlineLevel="0" max="5" min="5" style="0" width="80"/>
  </cols>
  <sheetData>
    <row r="1" customFormat="false" ht="19.7" hidden="false" customHeight="false" outlineLevel="0" collapsed="false">
      <c r="A1" s="1" t="s">
        <v>646</v>
      </c>
    </row>
    <row r="2" customFormat="false" ht="15" hidden="false" customHeight="false" outlineLevel="0" collapsed="false">
      <c r="A2" s="2" t="s">
        <v>647</v>
      </c>
    </row>
    <row r="4" customFormat="false" ht="15" hidden="false" customHeight="false" outlineLevel="0" collapsed="false">
      <c r="A4" s="3" t="s">
        <v>648</v>
      </c>
    </row>
    <row r="5" customFormat="false" ht="15" hidden="false" customHeight="false" outlineLevel="0" collapsed="false">
      <c r="A5" s="11" t="s">
        <v>458</v>
      </c>
      <c r="C5" s="31" t="n">
        <f aca="false">Erfolgsrechnung!$C$72</f>
        <v>-41356.09</v>
      </c>
      <c r="E5" s="36" t="s">
        <v>649</v>
      </c>
    </row>
    <row r="6" customFormat="false" ht="30" hidden="false" customHeight="true" outlineLevel="0" collapsed="false">
      <c r="A6" s="11" t="s">
        <v>650</v>
      </c>
      <c r="C6" s="48" t="n">
        <v>0</v>
      </c>
      <c r="E6" s="49" t="s">
        <v>651</v>
      </c>
    </row>
    <row r="7" customFormat="false" ht="30" hidden="false" customHeight="true" outlineLevel="0" collapsed="false">
      <c r="A7" s="11" t="s">
        <v>652</v>
      </c>
      <c r="C7" s="22" t="n">
        <v>12</v>
      </c>
      <c r="E7" s="49" t="s">
        <v>653</v>
      </c>
    </row>
    <row r="8" customFormat="false" ht="30" hidden="false" customHeight="true" outlineLevel="0" collapsed="false">
      <c r="A8" s="11" t="s">
        <v>654</v>
      </c>
      <c r="C8" s="31" t="n">
        <f aca="false">ROUND(C6*Einstellungen!$B$30*C7,0)</f>
        <v>0</v>
      </c>
      <c r="E8" s="49" t="s">
        <v>655</v>
      </c>
    </row>
    <row r="9" customFormat="false" ht="30" hidden="false" customHeight="true" outlineLevel="0" collapsed="false">
      <c r="A9" s="11" t="s">
        <v>656</v>
      </c>
      <c r="C9" s="48" t="n">
        <v>0</v>
      </c>
      <c r="E9" s="49" t="s">
        <v>657</v>
      </c>
    </row>
    <row r="10" customFormat="false" ht="30" hidden="false" customHeight="true" outlineLevel="0" collapsed="false">
      <c r="A10" s="11" t="s">
        <v>658</v>
      </c>
      <c r="C10" s="48" t="n">
        <v>0</v>
      </c>
      <c r="E10" s="49" t="s">
        <v>659</v>
      </c>
    </row>
    <row r="11" customFormat="false" ht="30" hidden="false" customHeight="true" outlineLevel="0" collapsed="false">
      <c r="A11" s="4" t="s">
        <v>660</v>
      </c>
      <c r="C11" s="12" t="n">
        <f aca="false">C5+C8+C9+C10</f>
        <v>-41356.09</v>
      </c>
      <c r="E11" s="49" t="s">
        <v>661</v>
      </c>
    </row>
    <row r="12" customFormat="false" ht="30" hidden="false" customHeight="true" outlineLevel="0" collapsed="false">
      <c r="E12" s="49" t="s">
        <v>662</v>
      </c>
    </row>
    <row r="13" customFormat="false" ht="15" hidden="false" customHeight="false" outlineLevel="0" collapsed="false">
      <c r="A13" s="3" t="s">
        <v>663</v>
      </c>
    </row>
    <row r="14" customFormat="false" ht="15" hidden="false" customHeight="false" outlineLevel="0" collapsed="false">
      <c r="A14" s="11" t="s">
        <v>664</v>
      </c>
      <c r="C14" s="31" t="n">
        <f aca="false">SUMIF(Kontenplan!$A$5:$A$90,2800,Kontenplan!$G$5:$G$90)</f>
        <v>122000</v>
      </c>
    </row>
    <row r="15" customFormat="false" ht="15" hidden="false" customHeight="false" outlineLevel="0" collapsed="false">
      <c r="A15" s="11" t="s">
        <v>665</v>
      </c>
      <c r="C15" s="31" t="n">
        <f aca="false">-MAX(0,ROUND(C14*Einstellungen!$B$22,0))</f>
        <v>-1830</v>
      </c>
    </row>
    <row r="16" customFormat="false" ht="15" hidden="false" customHeight="false" outlineLevel="0" collapsed="false">
      <c r="A16" s="4" t="s">
        <v>666</v>
      </c>
      <c r="C16" s="12" t="n">
        <f aca="false">MAX(0,C11+C15)</f>
        <v>0</v>
      </c>
    </row>
    <row r="17" customFormat="false" ht="15" hidden="false" customHeight="false" outlineLevel="0" collapsed="false">
      <c r="A17" s="11" t="s">
        <v>667</v>
      </c>
      <c r="C17" s="50" t="n">
        <f aca="false">IF(C16&gt;=Einstellungen!$B$16,Einstellungen!$B$15,IF(C16&lt;Einstellungen!$B$17,0,Einstellungen!$B$18+(Einstellungen!$B$15-Einstellungen!$B$18)*(C16-Einstellungen!$B$17)/(Einstellungen!$B$16-Einstellungen!$B$17)))</f>
        <v>0</v>
      </c>
    </row>
    <row r="18" customFormat="false" ht="15" hidden="false" customHeight="false" outlineLevel="0" collapsed="false">
      <c r="A18" s="11" t="s">
        <v>668</v>
      </c>
      <c r="C18" s="31" t="n">
        <f aca="false">IF(C16&lt;Einstellungen!$B$17,Einstellungen!$B$19,ROUND(C16*C17,0))</f>
        <v>530</v>
      </c>
    </row>
    <row r="19" customFormat="false" ht="15" hidden="false" customHeight="false" outlineLevel="0" collapsed="false">
      <c r="A19" s="11" t="s">
        <v>669</v>
      </c>
      <c r="C19" s="31" t="n">
        <f aca="false">ROUND(C18*Einstellungen!$B$20,0)</f>
        <v>16</v>
      </c>
    </row>
    <row r="20" customFormat="false" ht="15" hidden="false" customHeight="false" outlineLevel="0" collapsed="false">
      <c r="A20" s="11" t="s">
        <v>670</v>
      </c>
      <c r="C20" s="31" t="n">
        <f aca="false">ROUND(C16*Einstellungen!$B$21,0)</f>
        <v>0</v>
      </c>
    </row>
    <row r="21" customFormat="false" ht="15" hidden="false" customHeight="false" outlineLevel="0" collapsed="false">
      <c r="A21" s="4" t="s">
        <v>671</v>
      </c>
      <c r="C21" s="12" t="n">
        <f aca="false">C18+C19+C20</f>
        <v>546</v>
      </c>
    </row>
    <row r="22" customFormat="false" ht="15" hidden="false" customHeight="false" outlineLevel="0" collapsed="false">
      <c r="A22" s="11" t="s">
        <v>672</v>
      </c>
      <c r="C22" s="48" t="n">
        <v>0</v>
      </c>
    </row>
    <row r="23" customFormat="false" ht="15" hidden="false" customHeight="false" outlineLevel="0" collapsed="false">
      <c r="A23" s="4" t="s">
        <v>673</v>
      </c>
      <c r="C23" s="12" t="n">
        <f aca="false">C21-C22</f>
        <v>546</v>
      </c>
    </row>
    <row r="25" customFormat="false" ht="15" hidden="false" customHeight="false" outlineLevel="0" collapsed="false">
      <c r="A25" s="3" t="s">
        <v>674</v>
      </c>
    </row>
    <row r="26" customFormat="false" ht="15" hidden="false" customHeight="false" outlineLevel="0" collapsed="false">
      <c r="A26" s="11" t="s">
        <v>675</v>
      </c>
      <c r="C26" s="31" t="n">
        <f aca="false">C11</f>
        <v>-41356.09</v>
      </c>
    </row>
    <row r="27" customFormat="false" ht="15" hidden="false" customHeight="false" outlineLevel="0" collapsed="false">
      <c r="A27" s="11" t="s">
        <v>676</v>
      </c>
      <c r="C27" s="31" t="n">
        <f aca="false">-C21</f>
        <v>-546</v>
      </c>
    </row>
    <row r="28" customFormat="false" ht="15" hidden="false" customHeight="false" outlineLevel="0" collapsed="false">
      <c r="A28" s="11" t="s">
        <v>677</v>
      </c>
      <c r="C28" s="48" t="n">
        <v>0</v>
      </c>
    </row>
    <row r="29" customFormat="false" ht="15" hidden="false" customHeight="false" outlineLevel="0" collapsed="false">
      <c r="A29" s="11" t="s">
        <v>678</v>
      </c>
      <c r="C29" s="31" t="n">
        <f aca="false">MAX(0,MIN(ROUND((C11-C21)*0.2,0),Einstellungen!$B$29))</f>
        <v>0</v>
      </c>
    </row>
    <row r="30" customFormat="false" ht="15" hidden="false" customHeight="false" outlineLevel="0" collapsed="false">
      <c r="A30" s="11" t="s">
        <v>679</v>
      </c>
      <c r="C30" s="31" t="n">
        <f aca="false">-MIN(C28,C29)</f>
        <v>-0</v>
      </c>
    </row>
    <row r="31" customFormat="false" ht="15" hidden="false" customHeight="false" outlineLevel="0" collapsed="false">
      <c r="A31" s="11" t="s">
        <v>680</v>
      </c>
      <c r="C31" s="48" t="n">
        <v>0</v>
      </c>
    </row>
    <row r="32" customFormat="false" ht="15" hidden="false" customHeight="false" outlineLevel="0" collapsed="false">
      <c r="A32" s="11" t="s">
        <v>681</v>
      </c>
      <c r="C32" s="48" t="n">
        <v>0</v>
      </c>
    </row>
    <row r="33" customFormat="false" ht="15" hidden="false" customHeight="false" outlineLevel="0" collapsed="false">
      <c r="A33" s="11" t="s">
        <v>682</v>
      </c>
      <c r="C33" s="48" t="n">
        <v>0</v>
      </c>
    </row>
    <row r="34" customFormat="false" ht="15" hidden="false" customHeight="false" outlineLevel="0" collapsed="false">
      <c r="A34" s="4" t="s">
        <v>683</v>
      </c>
      <c r="C34" s="12" t="n">
        <f aca="false">MAX(0,C26+C27+C30-C31-C32+C33)</f>
        <v>0</v>
      </c>
    </row>
    <row r="36" customFormat="false" ht="15" hidden="false" customHeight="false" outlineLevel="0" collapsed="false">
      <c r="A36" s="3" t="s">
        <v>684</v>
      </c>
    </row>
    <row r="37" customFormat="false" ht="15" hidden="false" customHeight="false" outlineLevel="0" collapsed="false">
      <c r="A37" s="11" t="s">
        <v>685</v>
      </c>
      <c r="C37" s="31" t="n">
        <f aca="false">ROUND(C34*Einstellungen!$B$27,0)</f>
        <v>0</v>
      </c>
    </row>
    <row r="38" customFormat="false" ht="15" hidden="false" customHeight="false" outlineLevel="0" collapsed="false">
      <c r="A38" s="11" t="s">
        <v>686</v>
      </c>
      <c r="C38" s="31" t="n">
        <f aca="false">ROUND(C37*Einstellungen!$B$24,0)</f>
        <v>0</v>
      </c>
    </row>
    <row r="39" customFormat="false" ht="15" hidden="false" customHeight="false" outlineLevel="0" collapsed="false">
      <c r="A39" s="11" t="s">
        <v>687</v>
      </c>
      <c r="C39" s="31" t="n">
        <f aca="false">ROUND(C37*Einstellungen!$B$25,0)</f>
        <v>0</v>
      </c>
    </row>
    <row r="40" customFormat="false" ht="15" hidden="false" customHeight="false" outlineLevel="0" collapsed="false">
      <c r="A40" s="11" t="s">
        <v>688</v>
      </c>
      <c r="C40" s="31" t="n">
        <f aca="false">ROUND(C37*Einstellungen!$B$26,0)</f>
        <v>0</v>
      </c>
    </row>
    <row r="41" customFormat="false" ht="15" hidden="false" customHeight="false" outlineLevel="0" collapsed="false">
      <c r="A41" s="11" t="s">
        <v>689</v>
      </c>
      <c r="C41" s="31" t="n">
        <f aca="false">ROUND(C34*Einstellungen!$B$28,0)</f>
        <v>0</v>
      </c>
    </row>
    <row r="42" customFormat="false" ht="15" hidden="false" customHeight="false" outlineLevel="0" collapsed="false">
      <c r="A42" s="4" t="s">
        <v>690</v>
      </c>
      <c r="C42" s="12" t="n">
        <f aca="false">SUM(C38:C41)</f>
        <v>0</v>
      </c>
    </row>
    <row r="43" customFormat="false" ht="15" hidden="false" customHeight="false" outlineLevel="0" collapsed="false">
      <c r="A43" s="11" t="s">
        <v>691</v>
      </c>
      <c r="C43" s="34" t="str">
        <f aca="false">IF(C34=0,"",C42/C34)</f>
        <v/>
      </c>
    </row>
    <row r="45" customFormat="false" ht="15" hidden="false" customHeight="false" outlineLevel="0" collapsed="false">
      <c r="A45" s="3" t="s">
        <v>692</v>
      </c>
    </row>
    <row r="46" customFormat="false" ht="15" hidden="false" customHeight="false" outlineLevel="0" collapsed="false">
      <c r="A46" s="11" t="s">
        <v>693</v>
      </c>
      <c r="C46" s="31" t="n">
        <f aca="false">C11</f>
        <v>-41356.09</v>
      </c>
    </row>
    <row r="47" customFormat="false" ht="15" hidden="false" customHeight="false" outlineLevel="0" collapsed="false">
      <c r="A47" s="11" t="s">
        <v>694</v>
      </c>
      <c r="C47" s="31" t="n">
        <f aca="false">-C21</f>
        <v>-546</v>
      </c>
    </row>
    <row r="48" customFormat="false" ht="15" hidden="false" customHeight="false" outlineLevel="0" collapsed="false">
      <c r="A48" s="11" t="s">
        <v>695</v>
      </c>
      <c r="C48" s="31" t="n">
        <f aca="false">-C42</f>
        <v>-0</v>
      </c>
    </row>
    <row r="49" customFormat="false" ht="15" hidden="false" customHeight="false" outlineLevel="0" collapsed="false">
      <c r="A49" s="11" t="s">
        <v>696</v>
      </c>
      <c r="C49" s="31" t="n">
        <f aca="false">C30</f>
        <v>-0</v>
      </c>
    </row>
    <row r="50" customFormat="false" ht="15" hidden="false" customHeight="false" outlineLevel="0" collapsed="false">
      <c r="A50" s="4" t="s">
        <v>697</v>
      </c>
      <c r="C50" s="12" t="n">
        <f aca="false">SUM(C46:C49)</f>
        <v>-41902.09</v>
      </c>
    </row>
    <row r="51" customFormat="false" ht="15" hidden="false" customHeight="false" outlineLevel="0" collapsed="false">
      <c r="A51" s="4" t="s">
        <v>698</v>
      </c>
      <c r="C51" s="12" t="n">
        <f aca="false">C50/12</f>
        <v>-3491.84083333333</v>
      </c>
    </row>
    <row r="52" customFormat="false" ht="15" hidden="false" customHeight="false" outlineLevel="0" collapsed="false">
      <c r="A52" s="11" t="s">
        <v>699</v>
      </c>
      <c r="C52" s="31" t="n">
        <f aca="false">SUMIFS(Journal!$M$5:$M$1504,Journal!$D$5:$D$1504,2850)</f>
        <v>4000</v>
      </c>
    </row>
    <row r="53" customFormat="false" ht="15" hidden="false" customHeight="false" outlineLevel="0" collapsed="false">
      <c r="A53" s="4" t="s">
        <v>700</v>
      </c>
      <c r="C53" s="12" t="n">
        <f aca="false">(C21+C42)/12</f>
        <v>45.5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"/>
    <col collapsed="false" customWidth="true" hidden="false" outlineLevel="0" max="3" min="3" style="0" width="16"/>
  </cols>
  <sheetData>
    <row r="1" customFormat="false" ht="19.7" hidden="false" customHeight="false" outlineLevel="0" collapsed="false">
      <c r="A1" s="1" t="s">
        <v>701</v>
      </c>
    </row>
    <row r="2" customFormat="false" ht="15" hidden="false" customHeight="false" outlineLevel="0" collapsed="false">
      <c r="A2" s="2" t="s">
        <v>702</v>
      </c>
    </row>
    <row r="4" customFormat="false" ht="15" hidden="false" customHeight="false" outlineLevel="0" collapsed="false">
      <c r="A4" s="3" t="s">
        <v>703</v>
      </c>
    </row>
    <row r="5" customFormat="false" ht="15" hidden="false" customHeight="false" outlineLevel="0" collapsed="false">
      <c r="A5" s="11" t="s">
        <v>704</v>
      </c>
      <c r="C5" s="22" t="n">
        <v>2</v>
      </c>
    </row>
    <row r="6" customFormat="false" ht="15" hidden="false" customHeight="false" outlineLevel="0" collapsed="false">
      <c r="A6" s="11" t="s">
        <v>705</v>
      </c>
      <c r="C6" s="22" t="n">
        <v>42</v>
      </c>
    </row>
    <row r="7" customFormat="false" ht="15" hidden="false" customHeight="false" outlineLevel="0" collapsed="false">
      <c r="A7" s="11" t="s">
        <v>706</v>
      </c>
      <c r="C7" s="22" t="n">
        <v>5</v>
      </c>
    </row>
    <row r="8" customFormat="false" ht="15" hidden="false" customHeight="false" outlineLevel="0" collapsed="false">
      <c r="A8" s="11" t="s">
        <v>707</v>
      </c>
      <c r="C8" s="22" t="n">
        <v>9</v>
      </c>
    </row>
    <row r="9" customFormat="false" ht="15" hidden="false" customHeight="false" outlineLevel="0" collapsed="false">
      <c r="A9" s="11" t="s">
        <v>708</v>
      </c>
      <c r="C9" s="22" t="n">
        <v>6</v>
      </c>
    </row>
    <row r="10" customFormat="false" ht="15" hidden="false" customHeight="false" outlineLevel="0" collapsed="false">
      <c r="A10" s="11" t="s">
        <v>709</v>
      </c>
      <c r="C10" s="51" t="n">
        <f aca="false">C6*(52-C7)-(C8+C9)*C6/5</f>
        <v>1848</v>
      </c>
    </row>
    <row r="11" customFormat="false" ht="15" hidden="false" customHeight="false" outlineLevel="0" collapsed="false">
      <c r="A11" s="11" t="s">
        <v>710</v>
      </c>
      <c r="C11" s="25" t="n">
        <v>0.7</v>
      </c>
    </row>
    <row r="12" customFormat="false" ht="15" hidden="false" customHeight="false" outlineLevel="0" collapsed="false">
      <c r="A12" s="4" t="s">
        <v>711</v>
      </c>
      <c r="C12" s="52" t="n">
        <f aca="false">ROUND(C5*C10*C11,0)</f>
        <v>2587</v>
      </c>
    </row>
    <row r="14" customFormat="false" ht="15" hidden="false" customHeight="false" outlineLevel="0" collapsed="false">
      <c r="A14" s="3" t="s">
        <v>712</v>
      </c>
    </row>
    <row r="15" customFormat="false" ht="15" hidden="false" customHeight="false" outlineLevel="0" collapsed="false">
      <c r="A15" s="11" t="s">
        <v>713</v>
      </c>
      <c r="C15" s="31" t="n">
        <f aca="false">-Erfolgsrechnung!C36</f>
        <v>5980</v>
      </c>
    </row>
    <row r="16" customFormat="false" ht="15" hidden="false" customHeight="false" outlineLevel="0" collapsed="false">
      <c r="A16" s="11" t="s">
        <v>714</v>
      </c>
      <c r="C16" s="31" t="n">
        <f aca="false">-Erfolgsrechnung!C49</f>
        <v>6926.6</v>
      </c>
    </row>
    <row r="17" customFormat="false" ht="15" hidden="false" customHeight="false" outlineLevel="0" collapsed="false">
      <c r="A17" s="11" t="s">
        <v>715</v>
      </c>
      <c r="C17" s="31" t="n">
        <f aca="false">-Erfolgsrechnung!C55</f>
        <v>33400</v>
      </c>
    </row>
    <row r="18" customFormat="false" ht="15" hidden="false" customHeight="false" outlineLevel="0" collapsed="false">
      <c r="A18" s="11" t="s">
        <v>716</v>
      </c>
      <c r="C18" s="31" t="n">
        <f aca="false">-Erfolgsrechnung!C61</f>
        <v>85</v>
      </c>
    </row>
    <row r="19" customFormat="false" ht="15" hidden="false" customHeight="false" outlineLevel="0" collapsed="false">
      <c r="A19" s="4" t="s">
        <v>717</v>
      </c>
      <c r="C19" s="12" t="n">
        <f aca="false">SUM(C15:C18)</f>
        <v>46391.6</v>
      </c>
    </row>
    <row r="20" customFormat="false" ht="15" hidden="false" customHeight="false" outlineLevel="0" collapsed="false">
      <c r="A20" s="11" t="s">
        <v>718</v>
      </c>
      <c r="C20" s="48"/>
    </row>
    <row r="21" customFormat="false" ht="15" hidden="false" customHeight="false" outlineLevel="0" collapsed="false">
      <c r="A21" s="11" t="s">
        <v>719</v>
      </c>
      <c r="C21" s="43" t="n">
        <f aca="false">MAX(1,MAX(Journal!$O$5:$O$1504))</f>
        <v>3</v>
      </c>
    </row>
    <row r="22" customFormat="false" ht="15" hidden="false" customHeight="false" outlineLevel="0" collapsed="false">
      <c r="A22" s="4" t="s">
        <v>720</v>
      </c>
      <c r="C22" s="12" t="n">
        <f aca="false">IF(C20&lt;&gt;"",C20,C19/C21*12)</f>
        <v>185566.4</v>
      </c>
    </row>
    <row r="23" customFormat="false" ht="15" hidden="false" customHeight="false" outlineLevel="0" collapsed="false">
      <c r="A23" s="11" t="s">
        <v>721</v>
      </c>
      <c r="C23" s="25" t="n">
        <v>0.8</v>
      </c>
    </row>
    <row r="24" customFormat="false" ht="15" hidden="false" customHeight="false" outlineLevel="0" collapsed="false">
      <c r="A24" s="11" t="s">
        <v>722</v>
      </c>
      <c r="C24" s="48" t="n">
        <v>95000</v>
      </c>
    </row>
    <row r="25" customFormat="false" ht="15" hidden="false" customHeight="false" outlineLevel="0" collapsed="false">
      <c r="A25" s="11" t="s">
        <v>723</v>
      </c>
      <c r="C25" s="25" t="n">
        <v>0.05</v>
      </c>
    </row>
    <row r="26" customFormat="false" ht="15" hidden="false" customHeight="false" outlineLevel="0" collapsed="false">
      <c r="A26" s="4" t="s">
        <v>724</v>
      </c>
      <c r="C26" s="12" t="n">
        <f aca="false">(C22*C23+C24)*(1+C25)</f>
        <v>255625.776</v>
      </c>
    </row>
    <row r="28" customFormat="false" ht="15" hidden="false" customHeight="false" outlineLevel="0" collapsed="false">
      <c r="A28" s="3" t="s">
        <v>725</v>
      </c>
    </row>
    <row r="29" customFormat="false" ht="15" hidden="false" customHeight="false" outlineLevel="0" collapsed="false">
      <c r="A29" s="4" t="s">
        <v>726</v>
      </c>
      <c r="C29" s="12" t="n">
        <f aca="false">IF(C12=0,"",C26/C12)</f>
        <v>98.8116644762273</v>
      </c>
    </row>
    <row r="30" customFormat="false" ht="15" hidden="false" customHeight="false" outlineLevel="0" collapsed="false">
      <c r="A30" s="4" t="s">
        <v>727</v>
      </c>
      <c r="C30" s="12" t="n">
        <f aca="false">IF(C29="","",C29*(1+Einstellungen!$B$10))</f>
        <v>106.815409298802</v>
      </c>
    </row>
    <row r="31" customFormat="false" ht="15" hidden="false" customHeight="false" outlineLevel="0" collapsed="false">
      <c r="A31" s="11" t="s">
        <v>728</v>
      </c>
      <c r="C31" s="48" t="n">
        <v>125</v>
      </c>
    </row>
    <row r="32" customFormat="false" ht="15" hidden="false" customHeight="false" outlineLevel="0" collapsed="false">
      <c r="A32" s="4" t="s">
        <v>729</v>
      </c>
      <c r="C32" s="12" t="n">
        <f aca="false">IF(C29="","",C31-C29)</f>
        <v>26.1883355237727</v>
      </c>
    </row>
    <row r="33" customFormat="false" ht="15" hidden="false" customHeight="false" outlineLevel="0" collapsed="false">
      <c r="A33" s="4" t="s">
        <v>730</v>
      </c>
      <c r="C33" s="12" t="n">
        <f aca="false">IF(C32="","",C32*C12)</f>
        <v>67749.224</v>
      </c>
    </row>
    <row r="34" customFormat="false" ht="15" hidden="false" customHeight="false" outlineLevel="0" collapsed="false">
      <c r="A34" s="53" t="str">
        <f aca="false">IF(C32="","",IF(C32&gt;=0,"✓ Dein Stundensatz deckt die Kosten.","⚠ Stundensatz zu tief – Preise oder Produktivität prüfen."))</f>
        <v>✓ Dein Stundensatz deckt die Kosten.</v>
      </c>
    </row>
    <row r="36" customFormat="false" ht="15" hidden="false" customHeight="false" outlineLevel="0" collapsed="false">
      <c r="A36" s="9" t="s">
        <v>731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J5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44"/>
    <col collapsed="false" customWidth="true" hidden="false" outlineLevel="0" max="6" min="6" style="0" width="10"/>
    <col collapsed="false" customWidth="true" hidden="false" outlineLevel="0" max="8" min="7" style="0" width="13"/>
    <col collapsed="false" customWidth="true" hidden="false" outlineLevel="0" max="9" min="9" style="0" width="14"/>
    <col collapsed="false" customWidth="true" hidden="false" outlineLevel="0" max="10" min="10" style="0" width="15"/>
  </cols>
  <sheetData>
    <row r="1" customFormat="false" ht="19.7" hidden="false" customHeight="false" outlineLevel="0" collapsed="false">
      <c r="A1" s="1" t="s">
        <v>732</v>
      </c>
    </row>
    <row r="2" customFormat="false" ht="15" hidden="false" customHeight="false" outlineLevel="0" collapsed="false">
      <c r="A2" s="2" t="s">
        <v>733</v>
      </c>
    </row>
    <row r="4" customFormat="false" ht="15" hidden="false" customHeight="false" outlineLevel="0" collapsed="false">
      <c r="A4" s="4" t="s">
        <v>734</v>
      </c>
      <c r="C4" s="20" t="n">
        <v>1020</v>
      </c>
      <c r="D4" s="46" t="str">
        <f aca="false">IFERROR(INDEX(Kontenplan!$B$5:$B$90,MATCH(C4,Kontenplan!$A$5:$A$90,0)),"unbekannt")</f>
        <v>Bank</v>
      </c>
      <c r="F4" s="14" t="s">
        <v>735</v>
      </c>
      <c r="G4" s="35" t="str">
        <f aca="false">IFERROR(INDEX(Kontenplan!$C$5:$C$90,MATCH(C4,Kontenplan!$A$5:$A$90,0)),"")</f>
        <v>Aktiv</v>
      </c>
      <c r="H4" s="14" t="s">
        <v>736</v>
      </c>
      <c r="J4" s="12" t="n">
        <f aca="false">SUMIF(Kontenplan!$A$5:$A$90,C4,Kontenplan!$K$5:$K$90)</f>
        <v>35724.7</v>
      </c>
    </row>
    <row r="5" customFormat="false" ht="15" hidden="false" customHeight="false" outlineLevel="0" collapsed="false">
      <c r="A5" s="9" t="s">
        <v>737</v>
      </c>
    </row>
    <row r="6" customFormat="false" ht="31.5" hidden="false" customHeight="true" outlineLevel="0" collapsed="false">
      <c r="A6" s="10" t="s">
        <v>478</v>
      </c>
      <c r="B6" s="10" t="s">
        <v>738</v>
      </c>
      <c r="C6" s="10" t="s">
        <v>344</v>
      </c>
      <c r="D6" s="10" t="s">
        <v>739</v>
      </c>
      <c r="E6" s="10" t="s">
        <v>740</v>
      </c>
      <c r="F6" s="10" t="s">
        <v>741</v>
      </c>
      <c r="G6" s="10" t="s">
        <v>257</v>
      </c>
      <c r="H6" s="10" t="s">
        <v>258</v>
      </c>
      <c r="I6" s="10" t="s">
        <v>180</v>
      </c>
    </row>
    <row r="7" customFormat="false" ht="15" hidden="false" customHeight="false" outlineLevel="0" collapsed="false">
      <c r="E7" s="0" t="s">
        <v>256</v>
      </c>
      <c r="I7" s="12" t="n">
        <f aca="false">SUMIF(Kontenplan!$A$5:$A$90,C4,Kontenplan!$G$5:$G$90)</f>
        <v>45000</v>
      </c>
    </row>
    <row r="8" customFormat="false" ht="15" hidden="false" customHeight="false" outlineLevel="0" collapsed="false">
      <c r="A8" s="54" t="n">
        <v>1</v>
      </c>
      <c r="B8" s="54" t="n">
        <f aca="false">IFERROR(MATCH(A8,Journal!$W$5:$W$1504,0),"")</f>
        <v>5</v>
      </c>
      <c r="C8" s="55" t="n">
        <f aca="false">IF($B8="","",INDEX(Journal!$A$5:$A$1504,$B8))</f>
        <v>46047</v>
      </c>
      <c r="D8" s="54" t="str">
        <f aca="false">IF($B8="","",INDEX(Journal!$B$5:$B$1504,$B8))</f>
        <v>L-001</v>
      </c>
      <c r="E8" s="54" t="str">
        <f aca="false">IF($B8="","",INDEX(Journal!$C$5:$C$1504,$B8))</f>
        <v>BEISPIEL Lohn Mechaniker Januar (netto)</v>
      </c>
      <c r="F8" s="54" t="n">
        <f aca="false">IF($B8="","",IF(INDEX(Journal!$D$5:$D$1504,$B8)=$C$4,INDEX(Journal!$E$5:$E$1504,$B8),INDEX(Journal!$D$5:$D$1504,$B8)))</f>
        <v>5000</v>
      </c>
      <c r="G8" s="56" t="n">
        <f aca="false">IF($B8="","",IF(INDEX(Journal!$D$5:$D$1504,$B8)=$C$4,INDEX(Journal!$M$5:$M$1504,$B8),0))</f>
        <v>0</v>
      </c>
      <c r="H8" s="56" t="n">
        <f aca="false">IF($B8="","",IF(INDEX(Journal!$E$5:$E$1504,$B8)=$C$4,INDEX(Journal!$N$5:$N$1504,$B8),0))</f>
        <v>4650</v>
      </c>
      <c r="I8" s="56" t="n">
        <f aca="false">IF($B8="","",IF(OR($G$4="Aktiv",$G$4="Aufwand"),I7+G8-H8,I7+H8-G8))</f>
        <v>40350</v>
      </c>
    </row>
    <row r="9" customFormat="false" ht="15" hidden="false" customHeight="false" outlineLevel="0" collapsed="false">
      <c r="A9" s="54" t="n">
        <v>2</v>
      </c>
      <c r="B9" s="54" t="n">
        <f aca="false">IFERROR(MATCH(A9,Journal!$W$5:$W$1504,0),"")</f>
        <v>8</v>
      </c>
      <c r="C9" s="55" t="n">
        <f aca="false">IF($B9="","",INDEX(Journal!$A$5:$A$1504,$B9))</f>
        <v>46053</v>
      </c>
      <c r="D9" s="54" t="str">
        <f aca="false">IF($B9="","",INDEX(Journal!$B$5:$B$1504,$B9))</f>
        <v>B-001</v>
      </c>
      <c r="E9" s="54" t="str">
        <f aca="false">IF($B9="","",INDEX(Journal!$C$5:$C$1504,$B9))</f>
        <v>BEISPIEL Miete Werkstatt Januar</v>
      </c>
      <c r="F9" s="54" t="n">
        <f aca="false">IF($B9="","",IF(INDEX(Journal!$D$5:$D$1504,$B9)=$C$4,INDEX(Journal!$E$5:$E$1504,$B9),INDEX(Journal!$D$5:$D$1504,$B9)))</f>
        <v>6000</v>
      </c>
      <c r="G9" s="56" t="n">
        <f aca="false">IF($B9="","",IF(INDEX(Journal!$D$5:$D$1504,$B9)=$C$4,INDEX(Journal!$M$5:$M$1504,$B9),0))</f>
        <v>0</v>
      </c>
      <c r="H9" s="56" t="n">
        <f aca="false">IF($B9="","",IF(INDEX(Journal!$E$5:$E$1504,$B9)=$C$4,INDEX(Journal!$N$5:$N$1504,$B9),0))</f>
        <v>3500</v>
      </c>
      <c r="I9" s="56" t="n">
        <f aca="false">IF($B9="","",IF(OR($G$4="Aktiv",$G$4="Aufwand"),I8+G9-H9,I8+H9-G9))</f>
        <v>36850</v>
      </c>
    </row>
    <row r="10" customFormat="false" ht="15" hidden="false" customHeight="false" outlineLevel="0" collapsed="false">
      <c r="A10" s="54" t="n">
        <v>3</v>
      </c>
      <c r="B10" s="54" t="n">
        <f aca="false">IFERROR(MATCH(A10,Journal!$W$5:$W$1504,0),"")</f>
        <v>9</v>
      </c>
      <c r="C10" s="55" t="n">
        <f aca="false">IF($B10="","",INDEX(Journal!$A$5:$A$1504,$B10))</f>
        <v>46056</v>
      </c>
      <c r="D10" s="54" t="str">
        <f aca="false">IF($B10="","",INDEX(Journal!$B$5:$B$1504,$B10))</f>
        <v>B-002</v>
      </c>
      <c r="E10" s="54" t="str">
        <f aca="false">IF($B10="","",INDEX(Journal!$C$5:$C$1504,$B10))</f>
        <v>BEISPIEL Strom Januar</v>
      </c>
      <c r="F10" s="54" t="n">
        <f aca="false">IF($B10="","",IF(INDEX(Journal!$D$5:$D$1504,$B10)=$C$4,INDEX(Journal!$E$5:$E$1504,$B10),INDEX(Journal!$D$5:$D$1504,$B10)))</f>
        <v>6400</v>
      </c>
      <c r="G10" s="56" t="n">
        <f aca="false">IF($B10="","",IF(INDEX(Journal!$D$5:$D$1504,$B10)=$C$4,INDEX(Journal!$M$5:$M$1504,$B10),0))</f>
        <v>0</v>
      </c>
      <c r="H10" s="56" t="n">
        <f aca="false">IF($B10="","",IF(INDEX(Journal!$E$5:$E$1504,$B10)=$C$4,INDEX(Journal!$N$5:$N$1504,$B10),0))</f>
        <v>486.6</v>
      </c>
      <c r="I10" s="56" t="n">
        <f aca="false">IF($B10="","",IF(OR($G$4="Aktiv",$G$4="Aufwand"),I9+G10-H10,I9+H10-G10))</f>
        <v>36363.4</v>
      </c>
    </row>
    <row r="11" customFormat="false" ht="15" hidden="false" customHeight="false" outlineLevel="0" collapsed="false">
      <c r="A11" s="54" t="n">
        <v>4</v>
      </c>
      <c r="B11" s="54" t="n">
        <f aca="false">IFERROR(MATCH(A11,Journal!$W$5:$W$1504,0),"")</f>
        <v>10</v>
      </c>
      <c r="C11" s="55" t="n">
        <f aca="false">IF($B11="","",INDEX(Journal!$A$5:$A$1504,$B11))</f>
        <v>46058</v>
      </c>
      <c r="D11" s="54" t="str">
        <f aca="false">IF($B11="","",INDEX(Journal!$B$5:$B$1504,$B11))</f>
        <v>B-003</v>
      </c>
      <c r="E11" s="54" t="str">
        <f aca="false">IF($B11="","",INDEX(Journal!$C$5:$C$1504,$B11))</f>
        <v>BEISPIEL Zahlungseingang R-001</v>
      </c>
      <c r="F11" s="54" t="n">
        <f aca="false">IF($B11="","",IF(INDEX(Journal!$D$5:$D$1504,$B11)=$C$4,INDEX(Journal!$E$5:$E$1504,$B11),INDEX(Journal!$D$5:$D$1504,$B11)))</f>
        <v>1100</v>
      </c>
      <c r="G11" s="56" t="n">
        <f aca="false">IF($B11="","",IF(INDEX(Journal!$D$5:$D$1504,$B11)=$C$4,INDEX(Journal!$M$5:$M$1504,$B11),0))</f>
        <v>2486.3</v>
      </c>
      <c r="H11" s="56" t="n">
        <f aca="false">IF($B11="","",IF(INDEX(Journal!$E$5:$E$1504,$B11)=$C$4,INDEX(Journal!$N$5:$N$1504,$B11),0))</f>
        <v>0</v>
      </c>
      <c r="I11" s="56" t="n">
        <f aca="false">IF($B11="","",IF(OR($G$4="Aktiv",$G$4="Aufwand"),I10+G11-H11,I10+H11-G11))</f>
        <v>38849.7</v>
      </c>
    </row>
    <row r="12" customFormat="false" ht="15" hidden="false" customHeight="false" outlineLevel="0" collapsed="false">
      <c r="A12" s="54" t="n">
        <v>5</v>
      </c>
      <c r="B12" s="54" t="n">
        <f aca="false">IFERROR(MATCH(A12,Journal!$W$5:$W$1504,0),"")</f>
        <v>11</v>
      </c>
      <c r="C12" s="55" t="n">
        <f aca="false">IF($B12="","",INDEX(Journal!$A$5:$A$1504,$B12))</f>
        <v>46063</v>
      </c>
      <c r="D12" s="54" t="str">
        <f aca="false">IF($B12="","",INDEX(Journal!$B$5:$B$1504,$B12))</f>
        <v>F-001</v>
      </c>
      <c r="E12" s="54" t="str">
        <f aca="false">IF($B12="","",INDEX(Journal!$C$5:$C$1504,$B12))</f>
        <v>BEISPIEL Ankauf Occasion VW Golf von Privat</v>
      </c>
      <c r="F12" s="54" t="n">
        <f aca="false">IF($B12="","",IF(INDEX(Journal!$D$5:$D$1504,$B12)=$C$4,INDEX(Journal!$E$5:$E$1504,$B12),INDEX(Journal!$D$5:$D$1504,$B12)))</f>
        <v>4200</v>
      </c>
      <c r="G12" s="56" t="n">
        <f aca="false">IF($B12="","",IF(INDEX(Journal!$D$5:$D$1504,$B12)=$C$4,INDEX(Journal!$M$5:$M$1504,$B12),0))</f>
        <v>0</v>
      </c>
      <c r="H12" s="56" t="n">
        <f aca="false">IF($B12="","",IF(INDEX(Journal!$E$5:$E$1504,$B12)=$C$4,INDEX(Journal!$N$5:$N$1504,$B12),0))</f>
        <v>12000</v>
      </c>
      <c r="I12" s="56" t="n">
        <f aca="false">IF($B12="","",IF(OR($G$4="Aktiv",$G$4="Aufwand"),I11+G12-H12,I11+H12-G12))</f>
        <v>26849.7</v>
      </c>
    </row>
    <row r="13" customFormat="false" ht="15" hidden="false" customHeight="false" outlineLevel="0" collapsed="false">
      <c r="A13" s="54" t="n">
        <v>6</v>
      </c>
      <c r="B13" s="54" t="n">
        <f aca="false">IFERROR(MATCH(A13,Journal!$W$5:$W$1504,0),"")</f>
        <v>12</v>
      </c>
      <c r="C13" s="55" t="n">
        <f aca="false">IF($B13="","",INDEX(Journal!$A$5:$A$1504,$B13))</f>
        <v>46073</v>
      </c>
      <c r="D13" s="54" t="str">
        <f aca="false">IF($B13="","",INDEX(Journal!$B$5:$B$1504,$B13))</f>
        <v>B-004</v>
      </c>
      <c r="E13" s="54" t="str">
        <f aca="false">IF($B13="","",INDEX(Journal!$C$5:$C$1504,$B13))</f>
        <v>BEISPIEL Betriebshaftpflicht 2026</v>
      </c>
      <c r="F13" s="54" t="n">
        <f aca="false">IF($B13="","",IF(INDEX(Journal!$D$5:$D$1504,$B13)=$C$4,INDEX(Journal!$E$5:$E$1504,$B13),INDEX(Journal!$D$5:$D$1504,$B13)))</f>
        <v>6300</v>
      </c>
      <c r="G13" s="56" t="n">
        <f aca="false">IF($B13="","",IF(INDEX(Journal!$D$5:$D$1504,$B13)=$C$4,INDEX(Journal!$M$5:$M$1504,$B13),0))</f>
        <v>0</v>
      </c>
      <c r="H13" s="56" t="n">
        <f aca="false">IF($B13="","",IF(INDEX(Journal!$E$5:$E$1504,$B13)=$C$4,INDEX(Journal!$N$5:$N$1504,$B13),0))</f>
        <v>2400</v>
      </c>
      <c r="I13" s="56" t="n">
        <f aca="false">IF($B13="","",IF(OR($G$4="Aktiv",$G$4="Aufwand"),I12+G13-H13,I12+H13-G13))</f>
        <v>24449.7</v>
      </c>
    </row>
    <row r="14" customFormat="false" ht="15" hidden="false" customHeight="false" outlineLevel="0" collapsed="false">
      <c r="A14" s="54" t="n">
        <v>7</v>
      </c>
      <c r="B14" s="54" t="n">
        <f aca="false">IFERROR(MATCH(A14,Journal!$W$5:$W$1504,0),"")</f>
        <v>13</v>
      </c>
      <c r="C14" s="55" t="n">
        <f aca="false">IF($B14="","",INDEX(Journal!$A$5:$A$1504,$B14))</f>
        <v>46099</v>
      </c>
      <c r="D14" s="54" t="str">
        <f aca="false">IF($B14="","",INDEX(Journal!$B$5:$B$1504,$B14))</f>
        <v>F-002</v>
      </c>
      <c r="E14" s="54" t="str">
        <f aca="false">IF($B14="","",INDEX(Journal!$C$5:$C$1504,$B14))</f>
        <v>BEISPIEL Verkauf Occasion VW Golf</v>
      </c>
      <c r="F14" s="54" t="n">
        <f aca="false">IF($B14="","",IF(INDEX(Journal!$D$5:$D$1504,$B14)=$C$4,INDEX(Journal!$E$5:$E$1504,$B14),INDEX(Journal!$D$5:$D$1504,$B14)))</f>
        <v>3400</v>
      </c>
      <c r="G14" s="56" t="n">
        <f aca="false">IF($B14="","",IF(INDEX(Journal!$D$5:$D$1504,$B14)=$C$4,INDEX(Journal!$M$5:$M$1504,$B14),0))</f>
        <v>15900</v>
      </c>
      <c r="H14" s="56" t="n">
        <f aca="false">IF($B14="","",IF(INDEX(Journal!$E$5:$E$1504,$B14)=$C$4,INDEX(Journal!$N$5:$N$1504,$B14),0))</f>
        <v>0</v>
      </c>
      <c r="I14" s="56" t="n">
        <f aca="false">IF($B14="","",IF(OR($G$4="Aktiv",$G$4="Aufwand"),I13+G14-H14,I13+H14-G14))</f>
        <v>40349.7</v>
      </c>
    </row>
    <row r="15" customFormat="false" ht="15" hidden="false" customHeight="false" outlineLevel="0" collapsed="false">
      <c r="A15" s="54" t="n">
        <v>8</v>
      </c>
      <c r="B15" s="54" t="n">
        <f aca="false">IFERROR(MATCH(A15,Journal!$W$5:$W$1504,0),"")</f>
        <v>14</v>
      </c>
      <c r="C15" s="55" t="n">
        <f aca="false">IF($B15="","",INDEX(Journal!$A$5:$A$1504,$B15))</f>
        <v>46101</v>
      </c>
      <c r="D15" s="54" t="str">
        <f aca="false">IF($B15="","",INDEX(Journal!$B$5:$B$1504,$B15))</f>
        <v>B-005</v>
      </c>
      <c r="E15" s="54" t="str">
        <f aca="false">IF($B15="","",INDEX(Journal!$C$5:$C$1504,$B15))</f>
        <v>BEISPIEL Inserate AutoScout</v>
      </c>
      <c r="F15" s="54" t="n">
        <f aca="false">IF($B15="","",IF(INDEX(Journal!$D$5:$D$1504,$B15)=$C$4,INDEX(Journal!$E$5:$E$1504,$B15),INDEX(Journal!$D$5:$D$1504,$B15)))</f>
        <v>6600</v>
      </c>
      <c r="G15" s="56" t="n">
        <f aca="false">IF($B15="","",IF(INDEX(Journal!$D$5:$D$1504,$B15)=$C$4,INDEX(Journal!$M$5:$M$1504,$B15),0))</f>
        <v>0</v>
      </c>
      <c r="H15" s="56" t="n">
        <f aca="false">IF($B15="","",IF(INDEX(Journal!$E$5:$E$1504,$B15)=$C$4,INDEX(Journal!$N$5:$N$1504,$B15),0))</f>
        <v>540</v>
      </c>
      <c r="I15" s="56" t="n">
        <f aca="false">IF($B15="","",IF(OR($G$4="Aktiv",$G$4="Aufwand"),I14+G15-H15,I14+H15-G15))</f>
        <v>39809.7</v>
      </c>
    </row>
    <row r="16" customFormat="false" ht="15" hidden="false" customHeight="false" outlineLevel="0" collapsed="false">
      <c r="A16" s="54" t="n">
        <v>9</v>
      </c>
      <c r="B16" s="54" t="n">
        <f aca="false">IFERROR(MATCH(A16,Journal!$W$5:$W$1504,0),"")</f>
        <v>15</v>
      </c>
      <c r="C16" s="55" t="n">
        <f aca="false">IF($B16="","",INDEX(Journal!$A$5:$A$1504,$B16))</f>
        <v>46112</v>
      </c>
      <c r="D16" s="54" t="str">
        <f aca="false">IF($B16="","",INDEX(Journal!$B$5:$B$1504,$B16))</f>
        <v>P-001</v>
      </c>
      <c r="E16" s="54" t="str">
        <f aca="false">IF($B16="","",INDEX(Journal!$C$5:$C$1504,$B16))</f>
        <v>BEISPIEL Privatbezug Inhaber</v>
      </c>
      <c r="F16" s="54" t="n">
        <f aca="false">IF($B16="","",IF(INDEX(Journal!$D$5:$D$1504,$B16)=$C$4,INDEX(Journal!$E$5:$E$1504,$B16),INDEX(Journal!$D$5:$D$1504,$B16)))</f>
        <v>2850</v>
      </c>
      <c r="G16" s="56" t="n">
        <f aca="false">IF($B16="","",IF(INDEX(Journal!$D$5:$D$1504,$B16)=$C$4,INDEX(Journal!$M$5:$M$1504,$B16),0))</f>
        <v>0</v>
      </c>
      <c r="H16" s="56" t="n">
        <f aca="false">IF($B16="","",IF(INDEX(Journal!$E$5:$E$1504,$B16)=$C$4,INDEX(Journal!$N$5:$N$1504,$B16),0))</f>
        <v>4000</v>
      </c>
      <c r="I16" s="56" t="n">
        <f aca="false">IF($B16="","",IF(OR($G$4="Aktiv",$G$4="Aufwand"),I15+G16-H16,I15+H16-G16))</f>
        <v>35809.7</v>
      </c>
    </row>
    <row r="17" customFormat="false" ht="15" hidden="false" customHeight="false" outlineLevel="0" collapsed="false">
      <c r="A17" s="54" t="n">
        <v>10</v>
      </c>
      <c r="B17" s="54" t="n">
        <f aca="false">IFERROR(MATCH(A17,Journal!$W$5:$W$1504,0),"")</f>
        <v>16</v>
      </c>
      <c r="C17" s="55" t="n">
        <f aca="false">IF($B17="","",INDEX(Journal!$A$5:$A$1504,$B17))</f>
        <v>46112</v>
      </c>
      <c r="D17" s="54" t="str">
        <f aca="false">IF($B17="","",INDEX(Journal!$B$5:$B$1504,$B17))</f>
        <v>B-006</v>
      </c>
      <c r="E17" s="54" t="str">
        <f aca="false">IF($B17="","",INDEX(Journal!$C$5:$C$1504,$B17))</f>
        <v>BEISPIEL Bankspesen/Zins Q1</v>
      </c>
      <c r="F17" s="54" t="n">
        <f aca="false">IF($B17="","",IF(INDEX(Journal!$D$5:$D$1504,$B17)=$C$4,INDEX(Journal!$E$5:$E$1504,$B17),INDEX(Journal!$D$5:$D$1504,$B17)))</f>
        <v>6900</v>
      </c>
      <c r="G17" s="56" t="n">
        <f aca="false">IF($B17="","",IF(INDEX(Journal!$D$5:$D$1504,$B17)=$C$4,INDEX(Journal!$M$5:$M$1504,$B17),0))</f>
        <v>0</v>
      </c>
      <c r="H17" s="56" t="n">
        <f aca="false">IF($B17="","",IF(INDEX(Journal!$E$5:$E$1504,$B17)=$C$4,INDEX(Journal!$N$5:$N$1504,$B17),0))</f>
        <v>85</v>
      </c>
      <c r="I17" s="56" t="n">
        <f aca="false">IF($B17="","",IF(OR($G$4="Aktiv",$G$4="Aufwand"),I16+G17-H17,I16+H17-G17))</f>
        <v>35724.7</v>
      </c>
    </row>
    <row r="18" customFormat="false" ht="15" hidden="false" customHeight="false" outlineLevel="0" collapsed="false">
      <c r="A18" s="54" t="n">
        <v>11</v>
      </c>
      <c r="B18" s="54" t="str">
        <f aca="false">IFERROR(MATCH(A18,Journal!$W$5:$W$1504,0),"")</f>
        <v/>
      </c>
      <c r="C18" s="55" t="str">
        <f aca="false">IF($B18="","",INDEX(Journal!$A$5:$A$1504,$B18))</f>
        <v/>
      </c>
      <c r="D18" s="54" t="str">
        <f aca="false">IF($B18="","",INDEX(Journal!$B$5:$B$1504,$B18))</f>
        <v/>
      </c>
      <c r="E18" s="54" t="str">
        <f aca="false">IF($B18="","",INDEX(Journal!$C$5:$C$1504,$B18))</f>
        <v/>
      </c>
      <c r="F18" s="54" t="str">
        <f aca="false">IF($B18="","",IF(INDEX(Journal!$D$5:$D$1504,$B18)=$C$4,INDEX(Journal!$E$5:$E$1504,$B18),INDEX(Journal!$D$5:$D$1504,$B18)))</f>
        <v/>
      </c>
      <c r="G18" s="56" t="str">
        <f aca="false">IF($B18="","",IF(INDEX(Journal!$D$5:$D$1504,$B18)=$C$4,INDEX(Journal!$M$5:$M$1504,$B18),0))</f>
        <v/>
      </c>
      <c r="H18" s="56" t="str">
        <f aca="false">IF($B18="","",IF(INDEX(Journal!$E$5:$E$1504,$B18)=$C$4,INDEX(Journal!$N$5:$N$1504,$B18),0))</f>
        <v/>
      </c>
      <c r="I18" s="56" t="str">
        <f aca="false">IF($B18="","",IF(OR($G$4="Aktiv",$G$4="Aufwand"),I17+G18-H18,I17+H18-G18))</f>
        <v/>
      </c>
    </row>
    <row r="19" customFormat="false" ht="15" hidden="false" customHeight="false" outlineLevel="0" collapsed="false">
      <c r="A19" s="54" t="n">
        <v>12</v>
      </c>
      <c r="B19" s="54" t="str">
        <f aca="false">IFERROR(MATCH(A19,Journal!$W$5:$W$1504,0),"")</f>
        <v/>
      </c>
      <c r="C19" s="55" t="str">
        <f aca="false">IF($B19="","",INDEX(Journal!$A$5:$A$1504,$B19))</f>
        <v/>
      </c>
      <c r="D19" s="54" t="str">
        <f aca="false">IF($B19="","",INDEX(Journal!$B$5:$B$1504,$B19))</f>
        <v/>
      </c>
      <c r="E19" s="54" t="str">
        <f aca="false">IF($B19="","",INDEX(Journal!$C$5:$C$1504,$B19))</f>
        <v/>
      </c>
      <c r="F19" s="54" t="str">
        <f aca="false">IF($B19="","",IF(INDEX(Journal!$D$5:$D$1504,$B19)=$C$4,INDEX(Journal!$E$5:$E$1504,$B19),INDEX(Journal!$D$5:$D$1504,$B19)))</f>
        <v/>
      </c>
      <c r="G19" s="56" t="str">
        <f aca="false">IF($B19="","",IF(INDEX(Journal!$D$5:$D$1504,$B19)=$C$4,INDEX(Journal!$M$5:$M$1504,$B19),0))</f>
        <v/>
      </c>
      <c r="H19" s="56" t="str">
        <f aca="false">IF($B19="","",IF(INDEX(Journal!$E$5:$E$1504,$B19)=$C$4,INDEX(Journal!$N$5:$N$1504,$B19),0))</f>
        <v/>
      </c>
      <c r="I19" s="56" t="str">
        <f aca="false">IF($B19="","",IF(OR($G$4="Aktiv",$G$4="Aufwand"),I18+G19-H19,I18+H19-G19))</f>
        <v/>
      </c>
    </row>
    <row r="20" customFormat="false" ht="15" hidden="false" customHeight="false" outlineLevel="0" collapsed="false">
      <c r="A20" s="54" t="n">
        <v>13</v>
      </c>
      <c r="B20" s="54" t="str">
        <f aca="false">IFERROR(MATCH(A20,Journal!$W$5:$W$1504,0),"")</f>
        <v/>
      </c>
      <c r="C20" s="55" t="str">
        <f aca="false">IF($B20="","",INDEX(Journal!$A$5:$A$1504,$B20))</f>
        <v/>
      </c>
      <c r="D20" s="54" t="str">
        <f aca="false">IF($B20="","",INDEX(Journal!$B$5:$B$1504,$B20))</f>
        <v/>
      </c>
      <c r="E20" s="54" t="str">
        <f aca="false">IF($B20="","",INDEX(Journal!$C$5:$C$1504,$B20))</f>
        <v/>
      </c>
      <c r="F20" s="54" t="str">
        <f aca="false">IF($B20="","",IF(INDEX(Journal!$D$5:$D$1504,$B20)=$C$4,INDEX(Journal!$E$5:$E$1504,$B20),INDEX(Journal!$D$5:$D$1504,$B20)))</f>
        <v/>
      </c>
      <c r="G20" s="56" t="str">
        <f aca="false">IF($B20="","",IF(INDEX(Journal!$D$5:$D$1504,$B20)=$C$4,INDEX(Journal!$M$5:$M$1504,$B20),0))</f>
        <v/>
      </c>
      <c r="H20" s="56" t="str">
        <f aca="false">IF($B20="","",IF(INDEX(Journal!$E$5:$E$1504,$B20)=$C$4,INDEX(Journal!$N$5:$N$1504,$B20),0))</f>
        <v/>
      </c>
      <c r="I20" s="56" t="str">
        <f aca="false">IF($B20="","",IF(OR($G$4="Aktiv",$G$4="Aufwand"),I19+G20-H20,I19+H20-G20))</f>
        <v/>
      </c>
    </row>
    <row r="21" customFormat="false" ht="15" hidden="false" customHeight="false" outlineLevel="0" collapsed="false">
      <c r="A21" s="54" t="n">
        <v>14</v>
      </c>
      <c r="B21" s="54" t="str">
        <f aca="false">IFERROR(MATCH(A21,Journal!$W$5:$W$1504,0),"")</f>
        <v/>
      </c>
      <c r="C21" s="55" t="str">
        <f aca="false">IF($B21="","",INDEX(Journal!$A$5:$A$1504,$B21))</f>
        <v/>
      </c>
      <c r="D21" s="54" t="str">
        <f aca="false">IF($B21="","",INDEX(Journal!$B$5:$B$1504,$B21))</f>
        <v/>
      </c>
      <c r="E21" s="54" t="str">
        <f aca="false">IF($B21="","",INDEX(Journal!$C$5:$C$1504,$B21))</f>
        <v/>
      </c>
      <c r="F21" s="54" t="str">
        <f aca="false">IF($B21="","",IF(INDEX(Journal!$D$5:$D$1504,$B21)=$C$4,INDEX(Journal!$E$5:$E$1504,$B21),INDEX(Journal!$D$5:$D$1504,$B21)))</f>
        <v/>
      </c>
      <c r="G21" s="56" t="str">
        <f aca="false">IF($B21="","",IF(INDEX(Journal!$D$5:$D$1504,$B21)=$C$4,INDEX(Journal!$M$5:$M$1504,$B21),0))</f>
        <v/>
      </c>
      <c r="H21" s="56" t="str">
        <f aca="false">IF($B21="","",IF(INDEX(Journal!$E$5:$E$1504,$B21)=$C$4,INDEX(Journal!$N$5:$N$1504,$B21),0))</f>
        <v/>
      </c>
      <c r="I21" s="56" t="str">
        <f aca="false">IF($B21="","",IF(OR($G$4="Aktiv",$G$4="Aufwand"),I20+G21-H21,I20+H21-G21))</f>
        <v/>
      </c>
    </row>
    <row r="22" customFormat="false" ht="15" hidden="false" customHeight="false" outlineLevel="0" collapsed="false">
      <c r="A22" s="54" t="n">
        <v>15</v>
      </c>
      <c r="B22" s="54" t="str">
        <f aca="false">IFERROR(MATCH(A22,Journal!$W$5:$W$1504,0),"")</f>
        <v/>
      </c>
      <c r="C22" s="55" t="str">
        <f aca="false">IF($B22="","",INDEX(Journal!$A$5:$A$1504,$B22))</f>
        <v/>
      </c>
      <c r="D22" s="54" t="str">
        <f aca="false">IF($B22="","",INDEX(Journal!$B$5:$B$1504,$B22))</f>
        <v/>
      </c>
      <c r="E22" s="54" t="str">
        <f aca="false">IF($B22="","",INDEX(Journal!$C$5:$C$1504,$B22))</f>
        <v/>
      </c>
      <c r="F22" s="54" t="str">
        <f aca="false">IF($B22="","",IF(INDEX(Journal!$D$5:$D$1504,$B22)=$C$4,INDEX(Journal!$E$5:$E$1504,$B22),INDEX(Journal!$D$5:$D$1504,$B22)))</f>
        <v/>
      </c>
      <c r="G22" s="56" t="str">
        <f aca="false">IF($B22="","",IF(INDEX(Journal!$D$5:$D$1504,$B22)=$C$4,INDEX(Journal!$M$5:$M$1504,$B22),0))</f>
        <v/>
      </c>
      <c r="H22" s="56" t="str">
        <f aca="false">IF($B22="","",IF(INDEX(Journal!$E$5:$E$1504,$B22)=$C$4,INDEX(Journal!$N$5:$N$1504,$B22),0))</f>
        <v/>
      </c>
      <c r="I22" s="56" t="str">
        <f aca="false">IF($B22="","",IF(OR($G$4="Aktiv",$G$4="Aufwand"),I21+G22-H22,I21+H22-G22))</f>
        <v/>
      </c>
    </row>
    <row r="23" customFormat="false" ht="15" hidden="false" customHeight="false" outlineLevel="0" collapsed="false">
      <c r="A23" s="54" t="n">
        <v>16</v>
      </c>
      <c r="B23" s="54" t="str">
        <f aca="false">IFERROR(MATCH(A23,Journal!$W$5:$W$1504,0),"")</f>
        <v/>
      </c>
      <c r="C23" s="55" t="str">
        <f aca="false">IF($B23="","",INDEX(Journal!$A$5:$A$1504,$B23))</f>
        <v/>
      </c>
      <c r="D23" s="54" t="str">
        <f aca="false">IF($B23="","",INDEX(Journal!$B$5:$B$1504,$B23))</f>
        <v/>
      </c>
      <c r="E23" s="54" t="str">
        <f aca="false">IF($B23="","",INDEX(Journal!$C$5:$C$1504,$B23))</f>
        <v/>
      </c>
      <c r="F23" s="54" t="str">
        <f aca="false">IF($B23="","",IF(INDEX(Journal!$D$5:$D$1504,$B23)=$C$4,INDEX(Journal!$E$5:$E$1504,$B23),INDEX(Journal!$D$5:$D$1504,$B23)))</f>
        <v/>
      </c>
      <c r="G23" s="56" t="str">
        <f aca="false">IF($B23="","",IF(INDEX(Journal!$D$5:$D$1504,$B23)=$C$4,INDEX(Journal!$M$5:$M$1504,$B23),0))</f>
        <v/>
      </c>
      <c r="H23" s="56" t="str">
        <f aca="false">IF($B23="","",IF(INDEX(Journal!$E$5:$E$1504,$B23)=$C$4,INDEX(Journal!$N$5:$N$1504,$B23),0))</f>
        <v/>
      </c>
      <c r="I23" s="56" t="str">
        <f aca="false">IF($B23="","",IF(OR($G$4="Aktiv",$G$4="Aufwand"),I22+G23-H23,I22+H23-G23))</f>
        <v/>
      </c>
    </row>
    <row r="24" customFormat="false" ht="15" hidden="false" customHeight="false" outlineLevel="0" collapsed="false">
      <c r="A24" s="54" t="n">
        <v>17</v>
      </c>
      <c r="B24" s="54" t="str">
        <f aca="false">IFERROR(MATCH(A24,Journal!$W$5:$W$1504,0),"")</f>
        <v/>
      </c>
      <c r="C24" s="55" t="str">
        <f aca="false">IF($B24="","",INDEX(Journal!$A$5:$A$1504,$B24))</f>
        <v/>
      </c>
      <c r="D24" s="54" t="str">
        <f aca="false">IF($B24="","",INDEX(Journal!$B$5:$B$1504,$B24))</f>
        <v/>
      </c>
      <c r="E24" s="54" t="str">
        <f aca="false">IF($B24="","",INDEX(Journal!$C$5:$C$1504,$B24))</f>
        <v/>
      </c>
      <c r="F24" s="54" t="str">
        <f aca="false">IF($B24="","",IF(INDEX(Journal!$D$5:$D$1504,$B24)=$C$4,INDEX(Journal!$E$5:$E$1504,$B24),INDEX(Journal!$D$5:$D$1504,$B24)))</f>
        <v/>
      </c>
      <c r="G24" s="56" t="str">
        <f aca="false">IF($B24="","",IF(INDEX(Journal!$D$5:$D$1504,$B24)=$C$4,INDEX(Journal!$M$5:$M$1504,$B24),0))</f>
        <v/>
      </c>
      <c r="H24" s="56" t="str">
        <f aca="false">IF($B24="","",IF(INDEX(Journal!$E$5:$E$1504,$B24)=$C$4,INDEX(Journal!$N$5:$N$1504,$B24),0))</f>
        <v/>
      </c>
      <c r="I24" s="56" t="str">
        <f aca="false">IF($B24="","",IF(OR($G$4="Aktiv",$G$4="Aufwand"),I23+G24-H24,I23+H24-G24))</f>
        <v/>
      </c>
    </row>
    <row r="25" customFormat="false" ht="15" hidden="false" customHeight="false" outlineLevel="0" collapsed="false">
      <c r="A25" s="54" t="n">
        <v>18</v>
      </c>
      <c r="B25" s="54" t="str">
        <f aca="false">IFERROR(MATCH(A25,Journal!$W$5:$W$1504,0),"")</f>
        <v/>
      </c>
      <c r="C25" s="55" t="str">
        <f aca="false">IF($B25="","",INDEX(Journal!$A$5:$A$1504,$B25))</f>
        <v/>
      </c>
      <c r="D25" s="54" t="str">
        <f aca="false">IF($B25="","",INDEX(Journal!$B$5:$B$1504,$B25))</f>
        <v/>
      </c>
      <c r="E25" s="54" t="str">
        <f aca="false">IF($B25="","",INDEX(Journal!$C$5:$C$1504,$B25))</f>
        <v/>
      </c>
      <c r="F25" s="54" t="str">
        <f aca="false">IF($B25="","",IF(INDEX(Journal!$D$5:$D$1504,$B25)=$C$4,INDEX(Journal!$E$5:$E$1504,$B25),INDEX(Journal!$D$5:$D$1504,$B25)))</f>
        <v/>
      </c>
      <c r="G25" s="56" t="str">
        <f aca="false">IF($B25="","",IF(INDEX(Journal!$D$5:$D$1504,$B25)=$C$4,INDEX(Journal!$M$5:$M$1504,$B25),0))</f>
        <v/>
      </c>
      <c r="H25" s="56" t="str">
        <f aca="false">IF($B25="","",IF(INDEX(Journal!$E$5:$E$1504,$B25)=$C$4,INDEX(Journal!$N$5:$N$1504,$B25),0))</f>
        <v/>
      </c>
      <c r="I25" s="56" t="str">
        <f aca="false">IF($B25="","",IF(OR($G$4="Aktiv",$G$4="Aufwand"),I24+G25-H25,I24+H25-G25))</f>
        <v/>
      </c>
    </row>
    <row r="26" customFormat="false" ht="15" hidden="false" customHeight="false" outlineLevel="0" collapsed="false">
      <c r="A26" s="54" t="n">
        <v>19</v>
      </c>
      <c r="B26" s="54" t="str">
        <f aca="false">IFERROR(MATCH(A26,Journal!$W$5:$W$1504,0),"")</f>
        <v/>
      </c>
      <c r="C26" s="55" t="str">
        <f aca="false">IF($B26="","",INDEX(Journal!$A$5:$A$1504,$B26))</f>
        <v/>
      </c>
      <c r="D26" s="54" t="str">
        <f aca="false">IF($B26="","",INDEX(Journal!$B$5:$B$1504,$B26))</f>
        <v/>
      </c>
      <c r="E26" s="54" t="str">
        <f aca="false">IF($B26="","",INDEX(Journal!$C$5:$C$1504,$B26))</f>
        <v/>
      </c>
      <c r="F26" s="54" t="str">
        <f aca="false">IF($B26="","",IF(INDEX(Journal!$D$5:$D$1504,$B26)=$C$4,INDEX(Journal!$E$5:$E$1504,$B26),INDEX(Journal!$D$5:$D$1504,$B26)))</f>
        <v/>
      </c>
      <c r="G26" s="56" t="str">
        <f aca="false">IF($B26="","",IF(INDEX(Journal!$D$5:$D$1504,$B26)=$C$4,INDEX(Journal!$M$5:$M$1504,$B26),0))</f>
        <v/>
      </c>
      <c r="H26" s="56" t="str">
        <f aca="false">IF($B26="","",IF(INDEX(Journal!$E$5:$E$1504,$B26)=$C$4,INDEX(Journal!$N$5:$N$1504,$B26),0))</f>
        <v/>
      </c>
      <c r="I26" s="56" t="str">
        <f aca="false">IF($B26="","",IF(OR($G$4="Aktiv",$G$4="Aufwand"),I25+G26-H26,I25+H26-G26))</f>
        <v/>
      </c>
    </row>
    <row r="27" customFormat="false" ht="15" hidden="false" customHeight="false" outlineLevel="0" collapsed="false">
      <c r="A27" s="54" t="n">
        <v>20</v>
      </c>
      <c r="B27" s="54" t="str">
        <f aca="false">IFERROR(MATCH(A27,Journal!$W$5:$W$1504,0),"")</f>
        <v/>
      </c>
      <c r="C27" s="55" t="str">
        <f aca="false">IF($B27="","",INDEX(Journal!$A$5:$A$1504,$B27))</f>
        <v/>
      </c>
      <c r="D27" s="54" t="str">
        <f aca="false">IF($B27="","",INDEX(Journal!$B$5:$B$1504,$B27))</f>
        <v/>
      </c>
      <c r="E27" s="54" t="str">
        <f aca="false">IF($B27="","",INDEX(Journal!$C$5:$C$1504,$B27))</f>
        <v/>
      </c>
      <c r="F27" s="54" t="str">
        <f aca="false">IF($B27="","",IF(INDEX(Journal!$D$5:$D$1504,$B27)=$C$4,INDEX(Journal!$E$5:$E$1504,$B27),INDEX(Journal!$D$5:$D$1504,$B27)))</f>
        <v/>
      </c>
      <c r="G27" s="56" t="str">
        <f aca="false">IF($B27="","",IF(INDEX(Journal!$D$5:$D$1504,$B27)=$C$4,INDEX(Journal!$M$5:$M$1504,$B27),0))</f>
        <v/>
      </c>
      <c r="H27" s="56" t="str">
        <f aca="false">IF($B27="","",IF(INDEX(Journal!$E$5:$E$1504,$B27)=$C$4,INDEX(Journal!$N$5:$N$1504,$B27),0))</f>
        <v/>
      </c>
      <c r="I27" s="56" t="str">
        <f aca="false">IF($B27="","",IF(OR($G$4="Aktiv",$G$4="Aufwand"),I26+G27-H27,I26+H27-G27))</f>
        <v/>
      </c>
    </row>
    <row r="28" customFormat="false" ht="15" hidden="false" customHeight="false" outlineLevel="0" collapsed="false">
      <c r="A28" s="54" t="n">
        <v>21</v>
      </c>
      <c r="B28" s="54" t="str">
        <f aca="false">IFERROR(MATCH(A28,Journal!$W$5:$W$1504,0),"")</f>
        <v/>
      </c>
      <c r="C28" s="55" t="str">
        <f aca="false">IF($B28="","",INDEX(Journal!$A$5:$A$1504,$B28))</f>
        <v/>
      </c>
      <c r="D28" s="54" t="str">
        <f aca="false">IF($B28="","",INDEX(Journal!$B$5:$B$1504,$B28))</f>
        <v/>
      </c>
      <c r="E28" s="54" t="str">
        <f aca="false">IF($B28="","",INDEX(Journal!$C$5:$C$1504,$B28))</f>
        <v/>
      </c>
      <c r="F28" s="54" t="str">
        <f aca="false">IF($B28="","",IF(INDEX(Journal!$D$5:$D$1504,$B28)=$C$4,INDEX(Journal!$E$5:$E$1504,$B28),INDEX(Journal!$D$5:$D$1504,$B28)))</f>
        <v/>
      </c>
      <c r="G28" s="56" t="str">
        <f aca="false">IF($B28="","",IF(INDEX(Journal!$D$5:$D$1504,$B28)=$C$4,INDEX(Journal!$M$5:$M$1504,$B28),0))</f>
        <v/>
      </c>
      <c r="H28" s="56" t="str">
        <f aca="false">IF($B28="","",IF(INDEX(Journal!$E$5:$E$1504,$B28)=$C$4,INDEX(Journal!$N$5:$N$1504,$B28),0))</f>
        <v/>
      </c>
      <c r="I28" s="56" t="str">
        <f aca="false">IF($B28="","",IF(OR($G$4="Aktiv",$G$4="Aufwand"),I27+G28-H28,I27+H28-G28))</f>
        <v/>
      </c>
    </row>
    <row r="29" customFormat="false" ht="15" hidden="false" customHeight="false" outlineLevel="0" collapsed="false">
      <c r="A29" s="54" t="n">
        <v>22</v>
      </c>
      <c r="B29" s="54" t="str">
        <f aca="false">IFERROR(MATCH(A29,Journal!$W$5:$W$1504,0),"")</f>
        <v/>
      </c>
      <c r="C29" s="55" t="str">
        <f aca="false">IF($B29="","",INDEX(Journal!$A$5:$A$1504,$B29))</f>
        <v/>
      </c>
      <c r="D29" s="54" t="str">
        <f aca="false">IF($B29="","",INDEX(Journal!$B$5:$B$1504,$B29))</f>
        <v/>
      </c>
      <c r="E29" s="54" t="str">
        <f aca="false">IF($B29="","",INDEX(Journal!$C$5:$C$1504,$B29))</f>
        <v/>
      </c>
      <c r="F29" s="54" t="str">
        <f aca="false">IF($B29="","",IF(INDEX(Journal!$D$5:$D$1504,$B29)=$C$4,INDEX(Journal!$E$5:$E$1504,$B29),INDEX(Journal!$D$5:$D$1504,$B29)))</f>
        <v/>
      </c>
      <c r="G29" s="56" t="str">
        <f aca="false">IF($B29="","",IF(INDEX(Journal!$D$5:$D$1504,$B29)=$C$4,INDEX(Journal!$M$5:$M$1504,$B29),0))</f>
        <v/>
      </c>
      <c r="H29" s="56" t="str">
        <f aca="false">IF($B29="","",IF(INDEX(Journal!$E$5:$E$1504,$B29)=$C$4,INDEX(Journal!$N$5:$N$1504,$B29),0))</f>
        <v/>
      </c>
      <c r="I29" s="56" t="str">
        <f aca="false">IF($B29="","",IF(OR($G$4="Aktiv",$G$4="Aufwand"),I28+G29-H29,I28+H29-G29))</f>
        <v/>
      </c>
    </row>
    <row r="30" customFormat="false" ht="15" hidden="false" customHeight="false" outlineLevel="0" collapsed="false">
      <c r="A30" s="54" t="n">
        <v>23</v>
      </c>
      <c r="B30" s="54" t="str">
        <f aca="false">IFERROR(MATCH(A30,Journal!$W$5:$W$1504,0),"")</f>
        <v/>
      </c>
      <c r="C30" s="55" t="str">
        <f aca="false">IF($B30="","",INDEX(Journal!$A$5:$A$1504,$B30))</f>
        <v/>
      </c>
      <c r="D30" s="54" t="str">
        <f aca="false">IF($B30="","",INDEX(Journal!$B$5:$B$1504,$B30))</f>
        <v/>
      </c>
      <c r="E30" s="54" t="str">
        <f aca="false">IF($B30="","",INDEX(Journal!$C$5:$C$1504,$B30))</f>
        <v/>
      </c>
      <c r="F30" s="54" t="str">
        <f aca="false">IF($B30="","",IF(INDEX(Journal!$D$5:$D$1504,$B30)=$C$4,INDEX(Journal!$E$5:$E$1504,$B30),INDEX(Journal!$D$5:$D$1504,$B30)))</f>
        <v/>
      </c>
      <c r="G30" s="56" t="str">
        <f aca="false">IF($B30="","",IF(INDEX(Journal!$D$5:$D$1504,$B30)=$C$4,INDEX(Journal!$M$5:$M$1504,$B30),0))</f>
        <v/>
      </c>
      <c r="H30" s="56" t="str">
        <f aca="false">IF($B30="","",IF(INDEX(Journal!$E$5:$E$1504,$B30)=$C$4,INDEX(Journal!$N$5:$N$1504,$B30),0))</f>
        <v/>
      </c>
      <c r="I30" s="56" t="str">
        <f aca="false">IF($B30="","",IF(OR($G$4="Aktiv",$G$4="Aufwand"),I29+G30-H30,I29+H30-G30))</f>
        <v/>
      </c>
    </row>
    <row r="31" customFormat="false" ht="15" hidden="false" customHeight="false" outlineLevel="0" collapsed="false">
      <c r="A31" s="54" t="n">
        <v>24</v>
      </c>
      <c r="B31" s="54" t="str">
        <f aca="false">IFERROR(MATCH(A31,Journal!$W$5:$W$1504,0),"")</f>
        <v/>
      </c>
      <c r="C31" s="55" t="str">
        <f aca="false">IF($B31="","",INDEX(Journal!$A$5:$A$1504,$B31))</f>
        <v/>
      </c>
      <c r="D31" s="54" t="str">
        <f aca="false">IF($B31="","",INDEX(Journal!$B$5:$B$1504,$B31))</f>
        <v/>
      </c>
      <c r="E31" s="54" t="str">
        <f aca="false">IF($B31="","",INDEX(Journal!$C$5:$C$1504,$B31))</f>
        <v/>
      </c>
      <c r="F31" s="54" t="str">
        <f aca="false">IF($B31="","",IF(INDEX(Journal!$D$5:$D$1504,$B31)=$C$4,INDEX(Journal!$E$5:$E$1504,$B31),INDEX(Journal!$D$5:$D$1504,$B31)))</f>
        <v/>
      </c>
      <c r="G31" s="56" t="str">
        <f aca="false">IF($B31="","",IF(INDEX(Journal!$D$5:$D$1504,$B31)=$C$4,INDEX(Journal!$M$5:$M$1504,$B31),0))</f>
        <v/>
      </c>
      <c r="H31" s="56" t="str">
        <f aca="false">IF($B31="","",IF(INDEX(Journal!$E$5:$E$1504,$B31)=$C$4,INDEX(Journal!$N$5:$N$1504,$B31),0))</f>
        <v/>
      </c>
      <c r="I31" s="56" t="str">
        <f aca="false">IF($B31="","",IF(OR($G$4="Aktiv",$G$4="Aufwand"),I30+G31-H31,I30+H31-G31))</f>
        <v/>
      </c>
    </row>
    <row r="32" customFormat="false" ht="15" hidden="false" customHeight="false" outlineLevel="0" collapsed="false">
      <c r="A32" s="54" t="n">
        <v>25</v>
      </c>
      <c r="B32" s="54" t="str">
        <f aca="false">IFERROR(MATCH(A32,Journal!$W$5:$W$1504,0),"")</f>
        <v/>
      </c>
      <c r="C32" s="55" t="str">
        <f aca="false">IF($B32="","",INDEX(Journal!$A$5:$A$1504,$B32))</f>
        <v/>
      </c>
      <c r="D32" s="54" t="str">
        <f aca="false">IF($B32="","",INDEX(Journal!$B$5:$B$1504,$B32))</f>
        <v/>
      </c>
      <c r="E32" s="54" t="str">
        <f aca="false">IF($B32="","",INDEX(Journal!$C$5:$C$1504,$B32))</f>
        <v/>
      </c>
      <c r="F32" s="54" t="str">
        <f aca="false">IF($B32="","",IF(INDEX(Journal!$D$5:$D$1504,$B32)=$C$4,INDEX(Journal!$E$5:$E$1504,$B32),INDEX(Journal!$D$5:$D$1504,$B32)))</f>
        <v/>
      </c>
      <c r="G32" s="56" t="str">
        <f aca="false">IF($B32="","",IF(INDEX(Journal!$D$5:$D$1504,$B32)=$C$4,INDEX(Journal!$M$5:$M$1504,$B32),0))</f>
        <v/>
      </c>
      <c r="H32" s="56" t="str">
        <f aca="false">IF($B32="","",IF(INDEX(Journal!$E$5:$E$1504,$B32)=$C$4,INDEX(Journal!$N$5:$N$1504,$B32),0))</f>
        <v/>
      </c>
      <c r="I32" s="56" t="str">
        <f aca="false">IF($B32="","",IF(OR($G$4="Aktiv",$G$4="Aufwand"),I31+G32-H32,I31+H32-G32))</f>
        <v/>
      </c>
    </row>
    <row r="33" customFormat="false" ht="15" hidden="false" customHeight="false" outlineLevel="0" collapsed="false">
      <c r="A33" s="54" t="n">
        <v>26</v>
      </c>
      <c r="B33" s="54" t="str">
        <f aca="false">IFERROR(MATCH(A33,Journal!$W$5:$W$1504,0),"")</f>
        <v/>
      </c>
      <c r="C33" s="55" t="str">
        <f aca="false">IF($B33="","",INDEX(Journal!$A$5:$A$1504,$B33))</f>
        <v/>
      </c>
      <c r="D33" s="54" t="str">
        <f aca="false">IF($B33="","",INDEX(Journal!$B$5:$B$1504,$B33))</f>
        <v/>
      </c>
      <c r="E33" s="54" t="str">
        <f aca="false">IF($B33="","",INDEX(Journal!$C$5:$C$1504,$B33))</f>
        <v/>
      </c>
      <c r="F33" s="54" t="str">
        <f aca="false">IF($B33="","",IF(INDEX(Journal!$D$5:$D$1504,$B33)=$C$4,INDEX(Journal!$E$5:$E$1504,$B33),INDEX(Journal!$D$5:$D$1504,$B33)))</f>
        <v/>
      </c>
      <c r="G33" s="56" t="str">
        <f aca="false">IF($B33="","",IF(INDEX(Journal!$D$5:$D$1504,$B33)=$C$4,INDEX(Journal!$M$5:$M$1504,$B33),0))</f>
        <v/>
      </c>
      <c r="H33" s="56" t="str">
        <f aca="false">IF($B33="","",IF(INDEX(Journal!$E$5:$E$1504,$B33)=$C$4,INDEX(Journal!$N$5:$N$1504,$B33),0))</f>
        <v/>
      </c>
      <c r="I33" s="56" t="str">
        <f aca="false">IF($B33="","",IF(OR($G$4="Aktiv",$G$4="Aufwand"),I32+G33-H33,I32+H33-G33))</f>
        <v/>
      </c>
    </row>
    <row r="34" customFormat="false" ht="15" hidden="false" customHeight="false" outlineLevel="0" collapsed="false">
      <c r="A34" s="54" t="n">
        <v>27</v>
      </c>
      <c r="B34" s="54" t="str">
        <f aca="false">IFERROR(MATCH(A34,Journal!$W$5:$W$1504,0),"")</f>
        <v/>
      </c>
      <c r="C34" s="55" t="str">
        <f aca="false">IF($B34="","",INDEX(Journal!$A$5:$A$1504,$B34))</f>
        <v/>
      </c>
      <c r="D34" s="54" t="str">
        <f aca="false">IF($B34="","",INDEX(Journal!$B$5:$B$1504,$B34))</f>
        <v/>
      </c>
      <c r="E34" s="54" t="str">
        <f aca="false">IF($B34="","",INDEX(Journal!$C$5:$C$1504,$B34))</f>
        <v/>
      </c>
      <c r="F34" s="54" t="str">
        <f aca="false">IF($B34="","",IF(INDEX(Journal!$D$5:$D$1504,$B34)=$C$4,INDEX(Journal!$E$5:$E$1504,$B34),INDEX(Journal!$D$5:$D$1504,$B34)))</f>
        <v/>
      </c>
      <c r="G34" s="56" t="str">
        <f aca="false">IF($B34="","",IF(INDEX(Journal!$D$5:$D$1504,$B34)=$C$4,INDEX(Journal!$M$5:$M$1504,$B34),0))</f>
        <v/>
      </c>
      <c r="H34" s="56" t="str">
        <f aca="false">IF($B34="","",IF(INDEX(Journal!$E$5:$E$1504,$B34)=$C$4,INDEX(Journal!$N$5:$N$1504,$B34),0))</f>
        <v/>
      </c>
      <c r="I34" s="56" t="str">
        <f aca="false">IF($B34="","",IF(OR($G$4="Aktiv",$G$4="Aufwand"),I33+G34-H34,I33+H34-G34))</f>
        <v/>
      </c>
    </row>
    <row r="35" customFormat="false" ht="15" hidden="false" customHeight="false" outlineLevel="0" collapsed="false">
      <c r="A35" s="54" t="n">
        <v>28</v>
      </c>
      <c r="B35" s="54" t="str">
        <f aca="false">IFERROR(MATCH(A35,Journal!$W$5:$W$1504,0),"")</f>
        <v/>
      </c>
      <c r="C35" s="55" t="str">
        <f aca="false">IF($B35="","",INDEX(Journal!$A$5:$A$1504,$B35))</f>
        <v/>
      </c>
      <c r="D35" s="54" t="str">
        <f aca="false">IF($B35="","",INDEX(Journal!$B$5:$B$1504,$B35))</f>
        <v/>
      </c>
      <c r="E35" s="54" t="str">
        <f aca="false">IF($B35="","",INDEX(Journal!$C$5:$C$1504,$B35))</f>
        <v/>
      </c>
      <c r="F35" s="54" t="str">
        <f aca="false">IF($B35="","",IF(INDEX(Journal!$D$5:$D$1504,$B35)=$C$4,INDEX(Journal!$E$5:$E$1504,$B35),INDEX(Journal!$D$5:$D$1504,$B35)))</f>
        <v/>
      </c>
      <c r="G35" s="56" t="str">
        <f aca="false">IF($B35="","",IF(INDEX(Journal!$D$5:$D$1504,$B35)=$C$4,INDEX(Journal!$M$5:$M$1504,$B35),0))</f>
        <v/>
      </c>
      <c r="H35" s="56" t="str">
        <f aca="false">IF($B35="","",IF(INDEX(Journal!$E$5:$E$1504,$B35)=$C$4,INDEX(Journal!$N$5:$N$1504,$B35),0))</f>
        <v/>
      </c>
      <c r="I35" s="56" t="str">
        <f aca="false">IF($B35="","",IF(OR($G$4="Aktiv",$G$4="Aufwand"),I34+G35-H35,I34+H35-G35))</f>
        <v/>
      </c>
    </row>
    <row r="36" customFormat="false" ht="15" hidden="false" customHeight="false" outlineLevel="0" collapsed="false">
      <c r="A36" s="54" t="n">
        <v>29</v>
      </c>
      <c r="B36" s="54" t="str">
        <f aca="false">IFERROR(MATCH(A36,Journal!$W$5:$W$1504,0),"")</f>
        <v/>
      </c>
      <c r="C36" s="55" t="str">
        <f aca="false">IF($B36="","",INDEX(Journal!$A$5:$A$1504,$B36))</f>
        <v/>
      </c>
      <c r="D36" s="54" t="str">
        <f aca="false">IF($B36="","",INDEX(Journal!$B$5:$B$1504,$B36))</f>
        <v/>
      </c>
      <c r="E36" s="54" t="str">
        <f aca="false">IF($B36="","",INDEX(Journal!$C$5:$C$1504,$B36))</f>
        <v/>
      </c>
      <c r="F36" s="54" t="str">
        <f aca="false">IF($B36="","",IF(INDEX(Journal!$D$5:$D$1504,$B36)=$C$4,INDEX(Journal!$E$5:$E$1504,$B36),INDEX(Journal!$D$5:$D$1504,$B36)))</f>
        <v/>
      </c>
      <c r="G36" s="56" t="str">
        <f aca="false">IF($B36="","",IF(INDEX(Journal!$D$5:$D$1504,$B36)=$C$4,INDEX(Journal!$M$5:$M$1504,$B36),0))</f>
        <v/>
      </c>
      <c r="H36" s="56" t="str">
        <f aca="false">IF($B36="","",IF(INDEX(Journal!$E$5:$E$1504,$B36)=$C$4,INDEX(Journal!$N$5:$N$1504,$B36),0))</f>
        <v/>
      </c>
      <c r="I36" s="56" t="str">
        <f aca="false">IF($B36="","",IF(OR($G$4="Aktiv",$G$4="Aufwand"),I35+G36-H36,I35+H36-G36))</f>
        <v/>
      </c>
    </row>
    <row r="37" customFormat="false" ht="15" hidden="false" customHeight="false" outlineLevel="0" collapsed="false">
      <c r="A37" s="54" t="n">
        <v>30</v>
      </c>
      <c r="B37" s="54" t="str">
        <f aca="false">IFERROR(MATCH(A37,Journal!$W$5:$W$1504,0),"")</f>
        <v/>
      </c>
      <c r="C37" s="55" t="str">
        <f aca="false">IF($B37="","",INDEX(Journal!$A$5:$A$1504,$B37))</f>
        <v/>
      </c>
      <c r="D37" s="54" t="str">
        <f aca="false">IF($B37="","",INDEX(Journal!$B$5:$B$1504,$B37))</f>
        <v/>
      </c>
      <c r="E37" s="54" t="str">
        <f aca="false">IF($B37="","",INDEX(Journal!$C$5:$C$1504,$B37))</f>
        <v/>
      </c>
      <c r="F37" s="54" t="str">
        <f aca="false">IF($B37="","",IF(INDEX(Journal!$D$5:$D$1504,$B37)=$C$4,INDEX(Journal!$E$5:$E$1504,$B37),INDEX(Journal!$D$5:$D$1504,$B37)))</f>
        <v/>
      </c>
      <c r="G37" s="56" t="str">
        <f aca="false">IF($B37="","",IF(INDEX(Journal!$D$5:$D$1504,$B37)=$C$4,INDEX(Journal!$M$5:$M$1504,$B37),0))</f>
        <v/>
      </c>
      <c r="H37" s="56" t="str">
        <f aca="false">IF($B37="","",IF(INDEX(Journal!$E$5:$E$1504,$B37)=$C$4,INDEX(Journal!$N$5:$N$1504,$B37),0))</f>
        <v/>
      </c>
      <c r="I37" s="56" t="str">
        <f aca="false">IF($B37="","",IF(OR($G$4="Aktiv",$G$4="Aufwand"),I36+G37-H37,I36+H37-G37))</f>
        <v/>
      </c>
    </row>
    <row r="38" customFormat="false" ht="15" hidden="false" customHeight="false" outlineLevel="0" collapsed="false">
      <c r="A38" s="54" t="n">
        <v>31</v>
      </c>
      <c r="B38" s="54" t="str">
        <f aca="false">IFERROR(MATCH(A38,Journal!$W$5:$W$1504,0),"")</f>
        <v/>
      </c>
      <c r="C38" s="55" t="str">
        <f aca="false">IF($B38="","",INDEX(Journal!$A$5:$A$1504,$B38))</f>
        <v/>
      </c>
      <c r="D38" s="54" t="str">
        <f aca="false">IF($B38="","",INDEX(Journal!$B$5:$B$1504,$B38))</f>
        <v/>
      </c>
      <c r="E38" s="54" t="str">
        <f aca="false">IF($B38="","",INDEX(Journal!$C$5:$C$1504,$B38))</f>
        <v/>
      </c>
      <c r="F38" s="54" t="str">
        <f aca="false">IF($B38="","",IF(INDEX(Journal!$D$5:$D$1504,$B38)=$C$4,INDEX(Journal!$E$5:$E$1504,$B38),INDEX(Journal!$D$5:$D$1504,$B38)))</f>
        <v/>
      </c>
      <c r="G38" s="56" t="str">
        <f aca="false">IF($B38="","",IF(INDEX(Journal!$D$5:$D$1504,$B38)=$C$4,INDEX(Journal!$M$5:$M$1504,$B38),0))</f>
        <v/>
      </c>
      <c r="H38" s="56" t="str">
        <f aca="false">IF($B38="","",IF(INDEX(Journal!$E$5:$E$1504,$B38)=$C$4,INDEX(Journal!$N$5:$N$1504,$B38),0))</f>
        <v/>
      </c>
      <c r="I38" s="56" t="str">
        <f aca="false">IF($B38="","",IF(OR($G$4="Aktiv",$G$4="Aufwand"),I37+G38-H38,I37+H38-G38))</f>
        <v/>
      </c>
    </row>
    <row r="39" customFormat="false" ht="15" hidden="false" customHeight="false" outlineLevel="0" collapsed="false">
      <c r="A39" s="54" t="n">
        <v>32</v>
      </c>
      <c r="B39" s="54" t="str">
        <f aca="false">IFERROR(MATCH(A39,Journal!$W$5:$W$1504,0),"")</f>
        <v/>
      </c>
      <c r="C39" s="55" t="str">
        <f aca="false">IF($B39="","",INDEX(Journal!$A$5:$A$1504,$B39))</f>
        <v/>
      </c>
      <c r="D39" s="54" t="str">
        <f aca="false">IF($B39="","",INDEX(Journal!$B$5:$B$1504,$B39))</f>
        <v/>
      </c>
      <c r="E39" s="54" t="str">
        <f aca="false">IF($B39="","",INDEX(Journal!$C$5:$C$1504,$B39))</f>
        <v/>
      </c>
      <c r="F39" s="54" t="str">
        <f aca="false">IF($B39="","",IF(INDEX(Journal!$D$5:$D$1504,$B39)=$C$4,INDEX(Journal!$E$5:$E$1504,$B39),INDEX(Journal!$D$5:$D$1504,$B39)))</f>
        <v/>
      </c>
      <c r="G39" s="56" t="str">
        <f aca="false">IF($B39="","",IF(INDEX(Journal!$D$5:$D$1504,$B39)=$C$4,INDEX(Journal!$M$5:$M$1504,$B39),0))</f>
        <v/>
      </c>
      <c r="H39" s="56" t="str">
        <f aca="false">IF($B39="","",IF(INDEX(Journal!$E$5:$E$1504,$B39)=$C$4,INDEX(Journal!$N$5:$N$1504,$B39),0))</f>
        <v/>
      </c>
      <c r="I39" s="56" t="str">
        <f aca="false">IF($B39="","",IF(OR($G$4="Aktiv",$G$4="Aufwand"),I38+G39-H39,I38+H39-G39))</f>
        <v/>
      </c>
    </row>
    <row r="40" customFormat="false" ht="15" hidden="false" customHeight="false" outlineLevel="0" collapsed="false">
      <c r="A40" s="54" t="n">
        <v>33</v>
      </c>
      <c r="B40" s="54" t="str">
        <f aca="false">IFERROR(MATCH(A40,Journal!$W$5:$W$1504,0),"")</f>
        <v/>
      </c>
      <c r="C40" s="55" t="str">
        <f aca="false">IF($B40="","",INDEX(Journal!$A$5:$A$1504,$B40))</f>
        <v/>
      </c>
      <c r="D40" s="54" t="str">
        <f aca="false">IF($B40="","",INDEX(Journal!$B$5:$B$1504,$B40))</f>
        <v/>
      </c>
      <c r="E40" s="54" t="str">
        <f aca="false">IF($B40="","",INDEX(Journal!$C$5:$C$1504,$B40))</f>
        <v/>
      </c>
      <c r="F40" s="54" t="str">
        <f aca="false">IF($B40="","",IF(INDEX(Journal!$D$5:$D$1504,$B40)=$C$4,INDEX(Journal!$E$5:$E$1504,$B40),INDEX(Journal!$D$5:$D$1504,$B40)))</f>
        <v/>
      </c>
      <c r="G40" s="56" t="str">
        <f aca="false">IF($B40="","",IF(INDEX(Journal!$D$5:$D$1504,$B40)=$C$4,INDEX(Journal!$M$5:$M$1504,$B40),0))</f>
        <v/>
      </c>
      <c r="H40" s="56" t="str">
        <f aca="false">IF($B40="","",IF(INDEX(Journal!$E$5:$E$1504,$B40)=$C$4,INDEX(Journal!$N$5:$N$1504,$B40),0))</f>
        <v/>
      </c>
      <c r="I40" s="56" t="str">
        <f aca="false">IF($B40="","",IF(OR($G$4="Aktiv",$G$4="Aufwand"),I39+G40-H40,I39+H40-G40))</f>
        <v/>
      </c>
    </row>
    <row r="41" customFormat="false" ht="15" hidden="false" customHeight="false" outlineLevel="0" collapsed="false">
      <c r="A41" s="54" t="n">
        <v>34</v>
      </c>
      <c r="B41" s="54" t="str">
        <f aca="false">IFERROR(MATCH(A41,Journal!$W$5:$W$1504,0),"")</f>
        <v/>
      </c>
      <c r="C41" s="55" t="str">
        <f aca="false">IF($B41="","",INDEX(Journal!$A$5:$A$1504,$B41))</f>
        <v/>
      </c>
      <c r="D41" s="54" t="str">
        <f aca="false">IF($B41="","",INDEX(Journal!$B$5:$B$1504,$B41))</f>
        <v/>
      </c>
      <c r="E41" s="54" t="str">
        <f aca="false">IF($B41="","",INDEX(Journal!$C$5:$C$1504,$B41))</f>
        <v/>
      </c>
      <c r="F41" s="54" t="str">
        <f aca="false">IF($B41="","",IF(INDEX(Journal!$D$5:$D$1504,$B41)=$C$4,INDEX(Journal!$E$5:$E$1504,$B41),INDEX(Journal!$D$5:$D$1504,$B41)))</f>
        <v/>
      </c>
      <c r="G41" s="56" t="str">
        <f aca="false">IF($B41="","",IF(INDEX(Journal!$D$5:$D$1504,$B41)=$C$4,INDEX(Journal!$M$5:$M$1504,$B41),0))</f>
        <v/>
      </c>
      <c r="H41" s="56" t="str">
        <f aca="false">IF($B41="","",IF(INDEX(Journal!$E$5:$E$1504,$B41)=$C$4,INDEX(Journal!$N$5:$N$1504,$B41),0))</f>
        <v/>
      </c>
      <c r="I41" s="56" t="str">
        <f aca="false">IF($B41="","",IF(OR($G$4="Aktiv",$G$4="Aufwand"),I40+G41-H41,I40+H41-G41))</f>
        <v/>
      </c>
    </row>
    <row r="42" customFormat="false" ht="15" hidden="false" customHeight="false" outlineLevel="0" collapsed="false">
      <c r="A42" s="54" t="n">
        <v>35</v>
      </c>
      <c r="B42" s="54" t="str">
        <f aca="false">IFERROR(MATCH(A42,Journal!$W$5:$W$1504,0),"")</f>
        <v/>
      </c>
      <c r="C42" s="55" t="str">
        <f aca="false">IF($B42="","",INDEX(Journal!$A$5:$A$1504,$B42))</f>
        <v/>
      </c>
      <c r="D42" s="54" t="str">
        <f aca="false">IF($B42="","",INDEX(Journal!$B$5:$B$1504,$B42))</f>
        <v/>
      </c>
      <c r="E42" s="54" t="str">
        <f aca="false">IF($B42="","",INDEX(Journal!$C$5:$C$1504,$B42))</f>
        <v/>
      </c>
      <c r="F42" s="54" t="str">
        <f aca="false">IF($B42="","",IF(INDEX(Journal!$D$5:$D$1504,$B42)=$C$4,INDEX(Journal!$E$5:$E$1504,$B42),INDEX(Journal!$D$5:$D$1504,$B42)))</f>
        <v/>
      </c>
      <c r="G42" s="56" t="str">
        <f aca="false">IF($B42="","",IF(INDEX(Journal!$D$5:$D$1504,$B42)=$C$4,INDEX(Journal!$M$5:$M$1504,$B42),0))</f>
        <v/>
      </c>
      <c r="H42" s="56" t="str">
        <f aca="false">IF($B42="","",IF(INDEX(Journal!$E$5:$E$1504,$B42)=$C$4,INDEX(Journal!$N$5:$N$1504,$B42),0))</f>
        <v/>
      </c>
      <c r="I42" s="56" t="str">
        <f aca="false">IF($B42="","",IF(OR($G$4="Aktiv",$G$4="Aufwand"),I41+G42-H42,I41+H42-G42))</f>
        <v/>
      </c>
    </row>
    <row r="43" customFormat="false" ht="15" hidden="false" customHeight="false" outlineLevel="0" collapsed="false">
      <c r="A43" s="54" t="n">
        <v>36</v>
      </c>
      <c r="B43" s="54" t="str">
        <f aca="false">IFERROR(MATCH(A43,Journal!$W$5:$W$1504,0),"")</f>
        <v/>
      </c>
      <c r="C43" s="55" t="str">
        <f aca="false">IF($B43="","",INDEX(Journal!$A$5:$A$1504,$B43))</f>
        <v/>
      </c>
      <c r="D43" s="54" t="str">
        <f aca="false">IF($B43="","",INDEX(Journal!$B$5:$B$1504,$B43))</f>
        <v/>
      </c>
      <c r="E43" s="54" t="str">
        <f aca="false">IF($B43="","",INDEX(Journal!$C$5:$C$1504,$B43))</f>
        <v/>
      </c>
      <c r="F43" s="54" t="str">
        <f aca="false">IF($B43="","",IF(INDEX(Journal!$D$5:$D$1504,$B43)=$C$4,INDEX(Journal!$E$5:$E$1504,$B43),INDEX(Journal!$D$5:$D$1504,$B43)))</f>
        <v/>
      </c>
      <c r="G43" s="56" t="str">
        <f aca="false">IF($B43="","",IF(INDEX(Journal!$D$5:$D$1504,$B43)=$C$4,INDEX(Journal!$M$5:$M$1504,$B43),0))</f>
        <v/>
      </c>
      <c r="H43" s="56" t="str">
        <f aca="false">IF($B43="","",IF(INDEX(Journal!$E$5:$E$1504,$B43)=$C$4,INDEX(Journal!$N$5:$N$1504,$B43),0))</f>
        <v/>
      </c>
      <c r="I43" s="56" t="str">
        <f aca="false">IF($B43="","",IF(OR($G$4="Aktiv",$G$4="Aufwand"),I42+G43-H43,I42+H43-G43))</f>
        <v/>
      </c>
    </row>
    <row r="44" customFormat="false" ht="15" hidden="false" customHeight="false" outlineLevel="0" collapsed="false">
      <c r="A44" s="54" t="n">
        <v>37</v>
      </c>
      <c r="B44" s="54" t="str">
        <f aca="false">IFERROR(MATCH(A44,Journal!$W$5:$W$1504,0),"")</f>
        <v/>
      </c>
      <c r="C44" s="55" t="str">
        <f aca="false">IF($B44="","",INDEX(Journal!$A$5:$A$1504,$B44))</f>
        <v/>
      </c>
      <c r="D44" s="54" t="str">
        <f aca="false">IF($B44="","",INDEX(Journal!$B$5:$B$1504,$B44))</f>
        <v/>
      </c>
      <c r="E44" s="54" t="str">
        <f aca="false">IF($B44="","",INDEX(Journal!$C$5:$C$1504,$B44))</f>
        <v/>
      </c>
      <c r="F44" s="54" t="str">
        <f aca="false">IF($B44="","",IF(INDEX(Journal!$D$5:$D$1504,$B44)=$C$4,INDEX(Journal!$E$5:$E$1504,$B44),INDEX(Journal!$D$5:$D$1504,$B44)))</f>
        <v/>
      </c>
      <c r="G44" s="56" t="str">
        <f aca="false">IF($B44="","",IF(INDEX(Journal!$D$5:$D$1504,$B44)=$C$4,INDEX(Journal!$M$5:$M$1504,$B44),0))</f>
        <v/>
      </c>
      <c r="H44" s="56" t="str">
        <f aca="false">IF($B44="","",IF(INDEX(Journal!$E$5:$E$1504,$B44)=$C$4,INDEX(Journal!$N$5:$N$1504,$B44),0))</f>
        <v/>
      </c>
      <c r="I44" s="56" t="str">
        <f aca="false">IF($B44="","",IF(OR($G$4="Aktiv",$G$4="Aufwand"),I43+G44-H44,I43+H44-G44))</f>
        <v/>
      </c>
    </row>
    <row r="45" customFormat="false" ht="15" hidden="false" customHeight="false" outlineLevel="0" collapsed="false">
      <c r="A45" s="54" t="n">
        <v>38</v>
      </c>
      <c r="B45" s="54" t="str">
        <f aca="false">IFERROR(MATCH(A45,Journal!$W$5:$W$1504,0),"")</f>
        <v/>
      </c>
      <c r="C45" s="55" t="str">
        <f aca="false">IF($B45="","",INDEX(Journal!$A$5:$A$1504,$B45))</f>
        <v/>
      </c>
      <c r="D45" s="54" t="str">
        <f aca="false">IF($B45="","",INDEX(Journal!$B$5:$B$1504,$B45))</f>
        <v/>
      </c>
      <c r="E45" s="54" t="str">
        <f aca="false">IF($B45="","",INDEX(Journal!$C$5:$C$1504,$B45))</f>
        <v/>
      </c>
      <c r="F45" s="54" t="str">
        <f aca="false">IF($B45="","",IF(INDEX(Journal!$D$5:$D$1504,$B45)=$C$4,INDEX(Journal!$E$5:$E$1504,$B45),INDEX(Journal!$D$5:$D$1504,$B45)))</f>
        <v/>
      </c>
      <c r="G45" s="56" t="str">
        <f aca="false">IF($B45="","",IF(INDEX(Journal!$D$5:$D$1504,$B45)=$C$4,INDEX(Journal!$M$5:$M$1504,$B45),0))</f>
        <v/>
      </c>
      <c r="H45" s="56" t="str">
        <f aca="false">IF($B45="","",IF(INDEX(Journal!$E$5:$E$1504,$B45)=$C$4,INDEX(Journal!$N$5:$N$1504,$B45),0))</f>
        <v/>
      </c>
      <c r="I45" s="56" t="str">
        <f aca="false">IF($B45="","",IF(OR($G$4="Aktiv",$G$4="Aufwand"),I44+G45-H45,I44+H45-G45))</f>
        <v/>
      </c>
    </row>
    <row r="46" customFormat="false" ht="15" hidden="false" customHeight="false" outlineLevel="0" collapsed="false">
      <c r="A46" s="54" t="n">
        <v>39</v>
      </c>
      <c r="B46" s="54" t="str">
        <f aca="false">IFERROR(MATCH(A46,Journal!$W$5:$W$1504,0),"")</f>
        <v/>
      </c>
      <c r="C46" s="55" t="str">
        <f aca="false">IF($B46="","",INDEX(Journal!$A$5:$A$1504,$B46))</f>
        <v/>
      </c>
      <c r="D46" s="54" t="str">
        <f aca="false">IF($B46="","",INDEX(Journal!$B$5:$B$1504,$B46))</f>
        <v/>
      </c>
      <c r="E46" s="54" t="str">
        <f aca="false">IF($B46="","",INDEX(Journal!$C$5:$C$1504,$B46))</f>
        <v/>
      </c>
      <c r="F46" s="54" t="str">
        <f aca="false">IF($B46="","",IF(INDEX(Journal!$D$5:$D$1504,$B46)=$C$4,INDEX(Journal!$E$5:$E$1504,$B46),INDEX(Journal!$D$5:$D$1504,$B46)))</f>
        <v/>
      </c>
      <c r="G46" s="56" t="str">
        <f aca="false">IF($B46="","",IF(INDEX(Journal!$D$5:$D$1504,$B46)=$C$4,INDEX(Journal!$M$5:$M$1504,$B46),0))</f>
        <v/>
      </c>
      <c r="H46" s="56" t="str">
        <f aca="false">IF($B46="","",IF(INDEX(Journal!$E$5:$E$1504,$B46)=$C$4,INDEX(Journal!$N$5:$N$1504,$B46),0))</f>
        <v/>
      </c>
      <c r="I46" s="56" t="str">
        <f aca="false">IF($B46="","",IF(OR($G$4="Aktiv",$G$4="Aufwand"),I45+G46-H46,I45+H46-G46))</f>
        <v/>
      </c>
    </row>
    <row r="47" customFormat="false" ht="15" hidden="false" customHeight="false" outlineLevel="0" collapsed="false">
      <c r="A47" s="54" t="n">
        <v>40</v>
      </c>
      <c r="B47" s="54" t="str">
        <f aca="false">IFERROR(MATCH(A47,Journal!$W$5:$W$1504,0),"")</f>
        <v/>
      </c>
      <c r="C47" s="55" t="str">
        <f aca="false">IF($B47="","",INDEX(Journal!$A$5:$A$1504,$B47))</f>
        <v/>
      </c>
      <c r="D47" s="54" t="str">
        <f aca="false">IF($B47="","",INDEX(Journal!$B$5:$B$1504,$B47))</f>
        <v/>
      </c>
      <c r="E47" s="54" t="str">
        <f aca="false">IF($B47="","",INDEX(Journal!$C$5:$C$1504,$B47))</f>
        <v/>
      </c>
      <c r="F47" s="54" t="str">
        <f aca="false">IF($B47="","",IF(INDEX(Journal!$D$5:$D$1504,$B47)=$C$4,INDEX(Journal!$E$5:$E$1504,$B47),INDEX(Journal!$D$5:$D$1504,$B47)))</f>
        <v/>
      </c>
      <c r="G47" s="56" t="str">
        <f aca="false">IF($B47="","",IF(INDEX(Journal!$D$5:$D$1504,$B47)=$C$4,INDEX(Journal!$M$5:$M$1504,$B47),0))</f>
        <v/>
      </c>
      <c r="H47" s="56" t="str">
        <f aca="false">IF($B47="","",IF(INDEX(Journal!$E$5:$E$1504,$B47)=$C$4,INDEX(Journal!$N$5:$N$1504,$B47),0))</f>
        <v/>
      </c>
      <c r="I47" s="56" t="str">
        <f aca="false">IF($B47="","",IF(OR($G$4="Aktiv",$G$4="Aufwand"),I46+G47-H47,I46+H47-G47))</f>
        <v/>
      </c>
    </row>
    <row r="48" customFormat="false" ht="15" hidden="false" customHeight="false" outlineLevel="0" collapsed="false">
      <c r="A48" s="54" t="n">
        <v>41</v>
      </c>
      <c r="B48" s="54" t="str">
        <f aca="false">IFERROR(MATCH(A48,Journal!$W$5:$W$1504,0),"")</f>
        <v/>
      </c>
      <c r="C48" s="55" t="str">
        <f aca="false">IF($B48="","",INDEX(Journal!$A$5:$A$1504,$B48))</f>
        <v/>
      </c>
      <c r="D48" s="54" t="str">
        <f aca="false">IF($B48="","",INDEX(Journal!$B$5:$B$1504,$B48))</f>
        <v/>
      </c>
      <c r="E48" s="54" t="str">
        <f aca="false">IF($B48="","",INDEX(Journal!$C$5:$C$1504,$B48))</f>
        <v/>
      </c>
      <c r="F48" s="54" t="str">
        <f aca="false">IF($B48="","",IF(INDEX(Journal!$D$5:$D$1504,$B48)=$C$4,INDEX(Journal!$E$5:$E$1504,$B48),INDEX(Journal!$D$5:$D$1504,$B48)))</f>
        <v/>
      </c>
      <c r="G48" s="56" t="str">
        <f aca="false">IF($B48="","",IF(INDEX(Journal!$D$5:$D$1504,$B48)=$C$4,INDEX(Journal!$M$5:$M$1504,$B48),0))</f>
        <v/>
      </c>
      <c r="H48" s="56" t="str">
        <f aca="false">IF($B48="","",IF(INDEX(Journal!$E$5:$E$1504,$B48)=$C$4,INDEX(Journal!$N$5:$N$1504,$B48),0))</f>
        <v/>
      </c>
      <c r="I48" s="56" t="str">
        <f aca="false">IF($B48="","",IF(OR($G$4="Aktiv",$G$4="Aufwand"),I47+G48-H48,I47+H48-G48))</f>
        <v/>
      </c>
    </row>
    <row r="49" customFormat="false" ht="15" hidden="false" customHeight="false" outlineLevel="0" collapsed="false">
      <c r="A49" s="54" t="n">
        <v>42</v>
      </c>
      <c r="B49" s="54" t="str">
        <f aca="false">IFERROR(MATCH(A49,Journal!$W$5:$W$1504,0),"")</f>
        <v/>
      </c>
      <c r="C49" s="55" t="str">
        <f aca="false">IF($B49="","",INDEX(Journal!$A$5:$A$1504,$B49))</f>
        <v/>
      </c>
      <c r="D49" s="54" t="str">
        <f aca="false">IF($B49="","",INDEX(Journal!$B$5:$B$1504,$B49))</f>
        <v/>
      </c>
      <c r="E49" s="54" t="str">
        <f aca="false">IF($B49="","",INDEX(Journal!$C$5:$C$1504,$B49))</f>
        <v/>
      </c>
      <c r="F49" s="54" t="str">
        <f aca="false">IF($B49="","",IF(INDEX(Journal!$D$5:$D$1504,$B49)=$C$4,INDEX(Journal!$E$5:$E$1504,$B49),INDEX(Journal!$D$5:$D$1504,$B49)))</f>
        <v/>
      </c>
      <c r="G49" s="56" t="str">
        <f aca="false">IF($B49="","",IF(INDEX(Journal!$D$5:$D$1504,$B49)=$C$4,INDEX(Journal!$M$5:$M$1504,$B49),0))</f>
        <v/>
      </c>
      <c r="H49" s="56" t="str">
        <f aca="false">IF($B49="","",IF(INDEX(Journal!$E$5:$E$1504,$B49)=$C$4,INDEX(Journal!$N$5:$N$1504,$B49),0))</f>
        <v/>
      </c>
      <c r="I49" s="56" t="str">
        <f aca="false">IF($B49="","",IF(OR($G$4="Aktiv",$G$4="Aufwand"),I48+G49-H49,I48+H49-G49))</f>
        <v/>
      </c>
    </row>
    <row r="50" customFormat="false" ht="15" hidden="false" customHeight="false" outlineLevel="0" collapsed="false">
      <c r="A50" s="54" t="n">
        <v>43</v>
      </c>
      <c r="B50" s="54" t="str">
        <f aca="false">IFERROR(MATCH(A50,Journal!$W$5:$W$1504,0),"")</f>
        <v/>
      </c>
      <c r="C50" s="55" t="str">
        <f aca="false">IF($B50="","",INDEX(Journal!$A$5:$A$1504,$B50))</f>
        <v/>
      </c>
      <c r="D50" s="54" t="str">
        <f aca="false">IF($B50="","",INDEX(Journal!$B$5:$B$1504,$B50))</f>
        <v/>
      </c>
      <c r="E50" s="54" t="str">
        <f aca="false">IF($B50="","",INDEX(Journal!$C$5:$C$1504,$B50))</f>
        <v/>
      </c>
      <c r="F50" s="54" t="str">
        <f aca="false">IF($B50="","",IF(INDEX(Journal!$D$5:$D$1504,$B50)=$C$4,INDEX(Journal!$E$5:$E$1504,$B50),INDEX(Journal!$D$5:$D$1504,$B50)))</f>
        <v/>
      </c>
      <c r="G50" s="56" t="str">
        <f aca="false">IF($B50="","",IF(INDEX(Journal!$D$5:$D$1504,$B50)=$C$4,INDEX(Journal!$M$5:$M$1504,$B50),0))</f>
        <v/>
      </c>
      <c r="H50" s="56" t="str">
        <f aca="false">IF($B50="","",IF(INDEX(Journal!$E$5:$E$1504,$B50)=$C$4,INDEX(Journal!$N$5:$N$1504,$B50),0))</f>
        <v/>
      </c>
      <c r="I50" s="56" t="str">
        <f aca="false">IF($B50="","",IF(OR($G$4="Aktiv",$G$4="Aufwand"),I49+G50-H50,I49+H50-G50))</f>
        <v/>
      </c>
    </row>
    <row r="51" customFormat="false" ht="15" hidden="false" customHeight="false" outlineLevel="0" collapsed="false">
      <c r="A51" s="54" t="n">
        <v>44</v>
      </c>
      <c r="B51" s="54" t="str">
        <f aca="false">IFERROR(MATCH(A51,Journal!$W$5:$W$1504,0),"")</f>
        <v/>
      </c>
      <c r="C51" s="55" t="str">
        <f aca="false">IF($B51="","",INDEX(Journal!$A$5:$A$1504,$B51))</f>
        <v/>
      </c>
      <c r="D51" s="54" t="str">
        <f aca="false">IF($B51="","",INDEX(Journal!$B$5:$B$1504,$B51))</f>
        <v/>
      </c>
      <c r="E51" s="54" t="str">
        <f aca="false">IF($B51="","",INDEX(Journal!$C$5:$C$1504,$B51))</f>
        <v/>
      </c>
      <c r="F51" s="54" t="str">
        <f aca="false">IF($B51="","",IF(INDEX(Journal!$D$5:$D$1504,$B51)=$C$4,INDEX(Journal!$E$5:$E$1504,$B51),INDEX(Journal!$D$5:$D$1504,$B51)))</f>
        <v/>
      </c>
      <c r="G51" s="56" t="str">
        <f aca="false">IF($B51="","",IF(INDEX(Journal!$D$5:$D$1504,$B51)=$C$4,INDEX(Journal!$M$5:$M$1504,$B51),0))</f>
        <v/>
      </c>
      <c r="H51" s="56" t="str">
        <f aca="false">IF($B51="","",IF(INDEX(Journal!$E$5:$E$1504,$B51)=$C$4,INDEX(Journal!$N$5:$N$1504,$B51),0))</f>
        <v/>
      </c>
      <c r="I51" s="56" t="str">
        <f aca="false">IF($B51="","",IF(OR($G$4="Aktiv",$G$4="Aufwand"),I50+G51-H51,I50+H51-G51))</f>
        <v/>
      </c>
    </row>
    <row r="52" customFormat="false" ht="15" hidden="false" customHeight="false" outlineLevel="0" collapsed="false">
      <c r="A52" s="54" t="n">
        <v>45</v>
      </c>
      <c r="B52" s="54" t="str">
        <f aca="false">IFERROR(MATCH(A52,Journal!$W$5:$W$1504,0),"")</f>
        <v/>
      </c>
      <c r="C52" s="55" t="str">
        <f aca="false">IF($B52="","",INDEX(Journal!$A$5:$A$1504,$B52))</f>
        <v/>
      </c>
      <c r="D52" s="54" t="str">
        <f aca="false">IF($B52="","",INDEX(Journal!$B$5:$B$1504,$B52))</f>
        <v/>
      </c>
      <c r="E52" s="54" t="str">
        <f aca="false">IF($B52="","",INDEX(Journal!$C$5:$C$1504,$B52))</f>
        <v/>
      </c>
      <c r="F52" s="54" t="str">
        <f aca="false">IF($B52="","",IF(INDEX(Journal!$D$5:$D$1504,$B52)=$C$4,INDEX(Journal!$E$5:$E$1504,$B52),INDEX(Journal!$D$5:$D$1504,$B52)))</f>
        <v/>
      </c>
      <c r="G52" s="56" t="str">
        <f aca="false">IF($B52="","",IF(INDEX(Journal!$D$5:$D$1504,$B52)=$C$4,INDEX(Journal!$M$5:$M$1504,$B52),0))</f>
        <v/>
      </c>
      <c r="H52" s="56" t="str">
        <f aca="false">IF($B52="","",IF(INDEX(Journal!$E$5:$E$1504,$B52)=$C$4,INDEX(Journal!$N$5:$N$1504,$B52),0))</f>
        <v/>
      </c>
      <c r="I52" s="56" t="str">
        <f aca="false">IF($B52="","",IF(OR($G$4="Aktiv",$G$4="Aufwand"),I51+G52-H52,I51+H52-G52))</f>
        <v/>
      </c>
    </row>
    <row r="53" customFormat="false" ht="15" hidden="false" customHeight="false" outlineLevel="0" collapsed="false">
      <c r="A53" s="54" t="n">
        <v>46</v>
      </c>
      <c r="B53" s="54" t="str">
        <f aca="false">IFERROR(MATCH(A53,Journal!$W$5:$W$1504,0),"")</f>
        <v/>
      </c>
      <c r="C53" s="55" t="str">
        <f aca="false">IF($B53="","",INDEX(Journal!$A$5:$A$1504,$B53))</f>
        <v/>
      </c>
      <c r="D53" s="54" t="str">
        <f aca="false">IF($B53="","",INDEX(Journal!$B$5:$B$1504,$B53))</f>
        <v/>
      </c>
      <c r="E53" s="54" t="str">
        <f aca="false">IF($B53="","",INDEX(Journal!$C$5:$C$1504,$B53))</f>
        <v/>
      </c>
      <c r="F53" s="54" t="str">
        <f aca="false">IF($B53="","",IF(INDEX(Journal!$D$5:$D$1504,$B53)=$C$4,INDEX(Journal!$E$5:$E$1504,$B53),INDEX(Journal!$D$5:$D$1504,$B53)))</f>
        <v/>
      </c>
      <c r="G53" s="56" t="str">
        <f aca="false">IF($B53="","",IF(INDEX(Journal!$D$5:$D$1504,$B53)=$C$4,INDEX(Journal!$M$5:$M$1504,$B53),0))</f>
        <v/>
      </c>
      <c r="H53" s="56" t="str">
        <f aca="false">IF($B53="","",IF(INDEX(Journal!$E$5:$E$1504,$B53)=$C$4,INDEX(Journal!$N$5:$N$1504,$B53),0))</f>
        <v/>
      </c>
      <c r="I53" s="56" t="str">
        <f aca="false">IF($B53="","",IF(OR($G$4="Aktiv",$G$4="Aufwand"),I52+G53-H53,I52+H53-G53))</f>
        <v/>
      </c>
    </row>
    <row r="54" customFormat="false" ht="15" hidden="false" customHeight="false" outlineLevel="0" collapsed="false">
      <c r="A54" s="54" t="n">
        <v>47</v>
      </c>
      <c r="B54" s="54" t="str">
        <f aca="false">IFERROR(MATCH(A54,Journal!$W$5:$W$1504,0),"")</f>
        <v/>
      </c>
      <c r="C54" s="55" t="str">
        <f aca="false">IF($B54="","",INDEX(Journal!$A$5:$A$1504,$B54))</f>
        <v/>
      </c>
      <c r="D54" s="54" t="str">
        <f aca="false">IF($B54="","",INDEX(Journal!$B$5:$B$1504,$B54))</f>
        <v/>
      </c>
      <c r="E54" s="54" t="str">
        <f aca="false">IF($B54="","",INDEX(Journal!$C$5:$C$1504,$B54))</f>
        <v/>
      </c>
      <c r="F54" s="54" t="str">
        <f aca="false">IF($B54="","",IF(INDEX(Journal!$D$5:$D$1504,$B54)=$C$4,INDEX(Journal!$E$5:$E$1504,$B54),INDEX(Journal!$D$5:$D$1504,$B54)))</f>
        <v/>
      </c>
      <c r="G54" s="56" t="str">
        <f aca="false">IF($B54="","",IF(INDEX(Journal!$D$5:$D$1504,$B54)=$C$4,INDEX(Journal!$M$5:$M$1504,$B54),0))</f>
        <v/>
      </c>
      <c r="H54" s="56" t="str">
        <f aca="false">IF($B54="","",IF(INDEX(Journal!$E$5:$E$1504,$B54)=$C$4,INDEX(Journal!$N$5:$N$1504,$B54),0))</f>
        <v/>
      </c>
      <c r="I54" s="56" t="str">
        <f aca="false">IF($B54="","",IF(OR($G$4="Aktiv",$G$4="Aufwand"),I53+G54-H54,I53+H54-G54))</f>
        <v/>
      </c>
    </row>
    <row r="55" customFormat="false" ht="15" hidden="false" customHeight="false" outlineLevel="0" collapsed="false">
      <c r="A55" s="54" t="n">
        <v>48</v>
      </c>
      <c r="B55" s="54" t="str">
        <f aca="false">IFERROR(MATCH(A55,Journal!$W$5:$W$1504,0),"")</f>
        <v/>
      </c>
      <c r="C55" s="55" t="str">
        <f aca="false">IF($B55="","",INDEX(Journal!$A$5:$A$1504,$B55))</f>
        <v/>
      </c>
      <c r="D55" s="54" t="str">
        <f aca="false">IF($B55="","",INDEX(Journal!$B$5:$B$1504,$B55))</f>
        <v/>
      </c>
      <c r="E55" s="54" t="str">
        <f aca="false">IF($B55="","",INDEX(Journal!$C$5:$C$1504,$B55))</f>
        <v/>
      </c>
      <c r="F55" s="54" t="str">
        <f aca="false">IF($B55="","",IF(INDEX(Journal!$D$5:$D$1504,$B55)=$C$4,INDEX(Journal!$E$5:$E$1504,$B55),INDEX(Journal!$D$5:$D$1504,$B55)))</f>
        <v/>
      </c>
      <c r="G55" s="56" t="str">
        <f aca="false">IF($B55="","",IF(INDEX(Journal!$D$5:$D$1504,$B55)=$C$4,INDEX(Journal!$M$5:$M$1504,$B55),0))</f>
        <v/>
      </c>
      <c r="H55" s="56" t="str">
        <f aca="false">IF($B55="","",IF(INDEX(Journal!$E$5:$E$1504,$B55)=$C$4,INDEX(Journal!$N$5:$N$1504,$B55),0))</f>
        <v/>
      </c>
      <c r="I55" s="56" t="str">
        <f aca="false">IF($B55="","",IF(OR($G$4="Aktiv",$G$4="Aufwand"),I54+G55-H55,I54+H55-G55))</f>
        <v/>
      </c>
    </row>
    <row r="56" customFormat="false" ht="15" hidden="false" customHeight="false" outlineLevel="0" collapsed="false">
      <c r="A56" s="54" t="n">
        <v>49</v>
      </c>
      <c r="B56" s="54" t="str">
        <f aca="false">IFERROR(MATCH(A56,Journal!$W$5:$W$1504,0),"")</f>
        <v/>
      </c>
      <c r="C56" s="55" t="str">
        <f aca="false">IF($B56="","",INDEX(Journal!$A$5:$A$1504,$B56))</f>
        <v/>
      </c>
      <c r="D56" s="54" t="str">
        <f aca="false">IF($B56="","",INDEX(Journal!$B$5:$B$1504,$B56))</f>
        <v/>
      </c>
      <c r="E56" s="54" t="str">
        <f aca="false">IF($B56="","",INDEX(Journal!$C$5:$C$1504,$B56))</f>
        <v/>
      </c>
      <c r="F56" s="54" t="str">
        <f aca="false">IF($B56="","",IF(INDEX(Journal!$D$5:$D$1504,$B56)=$C$4,INDEX(Journal!$E$5:$E$1504,$B56),INDEX(Journal!$D$5:$D$1504,$B56)))</f>
        <v/>
      </c>
      <c r="G56" s="56" t="str">
        <f aca="false">IF($B56="","",IF(INDEX(Journal!$D$5:$D$1504,$B56)=$C$4,INDEX(Journal!$M$5:$M$1504,$B56),0))</f>
        <v/>
      </c>
      <c r="H56" s="56" t="str">
        <f aca="false">IF($B56="","",IF(INDEX(Journal!$E$5:$E$1504,$B56)=$C$4,INDEX(Journal!$N$5:$N$1504,$B56),0))</f>
        <v/>
      </c>
      <c r="I56" s="56" t="str">
        <f aca="false">IF($B56="","",IF(OR($G$4="Aktiv",$G$4="Aufwand"),I55+G56-H56,I55+H56-G56))</f>
        <v/>
      </c>
    </row>
    <row r="57" customFormat="false" ht="15" hidden="false" customHeight="false" outlineLevel="0" collapsed="false">
      <c r="A57" s="54" t="n">
        <v>50</v>
      </c>
      <c r="B57" s="54" t="str">
        <f aca="false">IFERROR(MATCH(A57,Journal!$W$5:$W$1504,0),"")</f>
        <v/>
      </c>
      <c r="C57" s="55" t="str">
        <f aca="false">IF($B57="","",INDEX(Journal!$A$5:$A$1504,$B57))</f>
        <v/>
      </c>
      <c r="D57" s="54" t="str">
        <f aca="false">IF($B57="","",INDEX(Journal!$B$5:$B$1504,$B57))</f>
        <v/>
      </c>
      <c r="E57" s="54" t="str">
        <f aca="false">IF($B57="","",INDEX(Journal!$C$5:$C$1504,$B57))</f>
        <v/>
      </c>
      <c r="F57" s="54" t="str">
        <f aca="false">IF($B57="","",IF(INDEX(Journal!$D$5:$D$1504,$B57)=$C$4,INDEX(Journal!$E$5:$E$1504,$B57),INDEX(Journal!$D$5:$D$1504,$B57)))</f>
        <v/>
      </c>
      <c r="G57" s="56" t="str">
        <f aca="false">IF($B57="","",IF(INDEX(Journal!$D$5:$D$1504,$B57)=$C$4,INDEX(Journal!$M$5:$M$1504,$B57),0))</f>
        <v/>
      </c>
      <c r="H57" s="56" t="str">
        <f aca="false">IF($B57="","",IF(INDEX(Journal!$E$5:$E$1504,$B57)=$C$4,INDEX(Journal!$N$5:$N$1504,$B57),0))</f>
        <v/>
      </c>
      <c r="I57" s="56" t="str">
        <f aca="false">IF($B57="","",IF(OR($G$4="Aktiv",$G$4="Aufwand"),I56+G57-H57,I56+H57-G57))</f>
        <v/>
      </c>
    </row>
    <row r="58" customFormat="false" ht="15" hidden="false" customHeight="false" outlineLevel="0" collapsed="false">
      <c r="A58" s="54" t="n">
        <v>51</v>
      </c>
      <c r="B58" s="54" t="str">
        <f aca="false">IFERROR(MATCH(A58,Journal!$W$5:$W$1504,0),"")</f>
        <v/>
      </c>
      <c r="C58" s="55" t="str">
        <f aca="false">IF($B58="","",INDEX(Journal!$A$5:$A$1504,$B58))</f>
        <v/>
      </c>
      <c r="D58" s="54" t="str">
        <f aca="false">IF($B58="","",INDEX(Journal!$B$5:$B$1504,$B58))</f>
        <v/>
      </c>
      <c r="E58" s="54" t="str">
        <f aca="false">IF($B58="","",INDEX(Journal!$C$5:$C$1504,$B58))</f>
        <v/>
      </c>
      <c r="F58" s="54" t="str">
        <f aca="false">IF($B58="","",IF(INDEX(Journal!$D$5:$D$1504,$B58)=$C$4,INDEX(Journal!$E$5:$E$1504,$B58),INDEX(Journal!$D$5:$D$1504,$B58)))</f>
        <v/>
      </c>
      <c r="G58" s="56" t="str">
        <f aca="false">IF($B58="","",IF(INDEX(Journal!$D$5:$D$1504,$B58)=$C$4,INDEX(Journal!$M$5:$M$1504,$B58),0))</f>
        <v/>
      </c>
      <c r="H58" s="56" t="str">
        <f aca="false">IF($B58="","",IF(INDEX(Journal!$E$5:$E$1504,$B58)=$C$4,INDEX(Journal!$N$5:$N$1504,$B58),0))</f>
        <v/>
      </c>
      <c r="I58" s="56" t="str">
        <f aca="false">IF($B58="","",IF(OR($G$4="Aktiv",$G$4="Aufwand"),I57+G58-H58,I57+H58-G58))</f>
        <v/>
      </c>
    </row>
    <row r="59" customFormat="false" ht="15" hidden="false" customHeight="false" outlineLevel="0" collapsed="false">
      <c r="A59" s="54" t="n">
        <v>52</v>
      </c>
      <c r="B59" s="54" t="str">
        <f aca="false">IFERROR(MATCH(A59,Journal!$W$5:$W$1504,0),"")</f>
        <v/>
      </c>
      <c r="C59" s="55" t="str">
        <f aca="false">IF($B59="","",INDEX(Journal!$A$5:$A$1504,$B59))</f>
        <v/>
      </c>
      <c r="D59" s="54" t="str">
        <f aca="false">IF($B59="","",INDEX(Journal!$B$5:$B$1504,$B59))</f>
        <v/>
      </c>
      <c r="E59" s="54" t="str">
        <f aca="false">IF($B59="","",INDEX(Journal!$C$5:$C$1504,$B59))</f>
        <v/>
      </c>
      <c r="F59" s="54" t="str">
        <f aca="false">IF($B59="","",IF(INDEX(Journal!$D$5:$D$1504,$B59)=$C$4,INDEX(Journal!$E$5:$E$1504,$B59),INDEX(Journal!$D$5:$D$1504,$B59)))</f>
        <v/>
      </c>
      <c r="G59" s="56" t="str">
        <f aca="false">IF($B59="","",IF(INDEX(Journal!$D$5:$D$1504,$B59)=$C$4,INDEX(Journal!$M$5:$M$1504,$B59),0))</f>
        <v/>
      </c>
      <c r="H59" s="56" t="str">
        <f aca="false">IF($B59="","",IF(INDEX(Journal!$E$5:$E$1504,$B59)=$C$4,INDEX(Journal!$N$5:$N$1504,$B59),0))</f>
        <v/>
      </c>
      <c r="I59" s="56" t="str">
        <f aca="false">IF($B59="","",IF(OR($G$4="Aktiv",$G$4="Aufwand"),I58+G59-H59,I58+H59-G59))</f>
        <v/>
      </c>
    </row>
    <row r="60" customFormat="false" ht="15" hidden="false" customHeight="false" outlineLevel="0" collapsed="false">
      <c r="A60" s="54" t="n">
        <v>53</v>
      </c>
      <c r="B60" s="54" t="str">
        <f aca="false">IFERROR(MATCH(A60,Journal!$W$5:$W$1504,0),"")</f>
        <v/>
      </c>
      <c r="C60" s="55" t="str">
        <f aca="false">IF($B60="","",INDEX(Journal!$A$5:$A$1504,$B60))</f>
        <v/>
      </c>
      <c r="D60" s="54" t="str">
        <f aca="false">IF($B60="","",INDEX(Journal!$B$5:$B$1504,$B60))</f>
        <v/>
      </c>
      <c r="E60" s="54" t="str">
        <f aca="false">IF($B60="","",INDEX(Journal!$C$5:$C$1504,$B60))</f>
        <v/>
      </c>
      <c r="F60" s="54" t="str">
        <f aca="false">IF($B60="","",IF(INDEX(Journal!$D$5:$D$1504,$B60)=$C$4,INDEX(Journal!$E$5:$E$1504,$B60),INDEX(Journal!$D$5:$D$1504,$B60)))</f>
        <v/>
      </c>
      <c r="G60" s="56" t="str">
        <f aca="false">IF($B60="","",IF(INDEX(Journal!$D$5:$D$1504,$B60)=$C$4,INDEX(Journal!$M$5:$M$1504,$B60),0))</f>
        <v/>
      </c>
      <c r="H60" s="56" t="str">
        <f aca="false">IF($B60="","",IF(INDEX(Journal!$E$5:$E$1504,$B60)=$C$4,INDEX(Journal!$N$5:$N$1504,$B60),0))</f>
        <v/>
      </c>
      <c r="I60" s="56" t="str">
        <f aca="false">IF($B60="","",IF(OR($G$4="Aktiv",$G$4="Aufwand"),I59+G60-H60,I59+H60-G60))</f>
        <v/>
      </c>
    </row>
    <row r="61" customFormat="false" ht="15" hidden="false" customHeight="false" outlineLevel="0" collapsed="false">
      <c r="A61" s="54" t="n">
        <v>54</v>
      </c>
      <c r="B61" s="54" t="str">
        <f aca="false">IFERROR(MATCH(A61,Journal!$W$5:$W$1504,0),"")</f>
        <v/>
      </c>
      <c r="C61" s="55" t="str">
        <f aca="false">IF($B61="","",INDEX(Journal!$A$5:$A$1504,$B61))</f>
        <v/>
      </c>
      <c r="D61" s="54" t="str">
        <f aca="false">IF($B61="","",INDEX(Journal!$B$5:$B$1504,$B61))</f>
        <v/>
      </c>
      <c r="E61" s="54" t="str">
        <f aca="false">IF($B61="","",INDEX(Journal!$C$5:$C$1504,$B61))</f>
        <v/>
      </c>
      <c r="F61" s="54" t="str">
        <f aca="false">IF($B61="","",IF(INDEX(Journal!$D$5:$D$1504,$B61)=$C$4,INDEX(Journal!$E$5:$E$1504,$B61),INDEX(Journal!$D$5:$D$1504,$B61)))</f>
        <v/>
      </c>
      <c r="G61" s="56" t="str">
        <f aca="false">IF($B61="","",IF(INDEX(Journal!$D$5:$D$1504,$B61)=$C$4,INDEX(Journal!$M$5:$M$1504,$B61),0))</f>
        <v/>
      </c>
      <c r="H61" s="56" t="str">
        <f aca="false">IF($B61="","",IF(INDEX(Journal!$E$5:$E$1504,$B61)=$C$4,INDEX(Journal!$N$5:$N$1504,$B61),0))</f>
        <v/>
      </c>
      <c r="I61" s="56" t="str">
        <f aca="false">IF($B61="","",IF(OR($G$4="Aktiv",$G$4="Aufwand"),I60+G61-H61,I60+H61-G61))</f>
        <v/>
      </c>
    </row>
    <row r="62" customFormat="false" ht="15" hidden="false" customHeight="false" outlineLevel="0" collapsed="false">
      <c r="A62" s="54" t="n">
        <v>55</v>
      </c>
      <c r="B62" s="54" t="str">
        <f aca="false">IFERROR(MATCH(A62,Journal!$W$5:$W$1504,0),"")</f>
        <v/>
      </c>
      <c r="C62" s="55" t="str">
        <f aca="false">IF($B62="","",INDEX(Journal!$A$5:$A$1504,$B62))</f>
        <v/>
      </c>
      <c r="D62" s="54" t="str">
        <f aca="false">IF($B62="","",INDEX(Journal!$B$5:$B$1504,$B62))</f>
        <v/>
      </c>
      <c r="E62" s="54" t="str">
        <f aca="false">IF($B62="","",INDEX(Journal!$C$5:$C$1504,$B62))</f>
        <v/>
      </c>
      <c r="F62" s="54" t="str">
        <f aca="false">IF($B62="","",IF(INDEX(Journal!$D$5:$D$1504,$B62)=$C$4,INDEX(Journal!$E$5:$E$1504,$B62),INDEX(Journal!$D$5:$D$1504,$B62)))</f>
        <v/>
      </c>
      <c r="G62" s="56" t="str">
        <f aca="false">IF($B62="","",IF(INDEX(Journal!$D$5:$D$1504,$B62)=$C$4,INDEX(Journal!$M$5:$M$1504,$B62),0))</f>
        <v/>
      </c>
      <c r="H62" s="56" t="str">
        <f aca="false">IF($B62="","",IF(INDEX(Journal!$E$5:$E$1504,$B62)=$C$4,INDEX(Journal!$N$5:$N$1504,$B62),0))</f>
        <v/>
      </c>
      <c r="I62" s="56" t="str">
        <f aca="false">IF($B62="","",IF(OR($G$4="Aktiv",$G$4="Aufwand"),I61+G62-H62,I61+H62-G62))</f>
        <v/>
      </c>
    </row>
    <row r="63" customFormat="false" ht="15" hidden="false" customHeight="false" outlineLevel="0" collapsed="false">
      <c r="A63" s="54" t="n">
        <v>56</v>
      </c>
      <c r="B63" s="54" t="str">
        <f aca="false">IFERROR(MATCH(A63,Journal!$W$5:$W$1504,0),"")</f>
        <v/>
      </c>
      <c r="C63" s="55" t="str">
        <f aca="false">IF($B63="","",INDEX(Journal!$A$5:$A$1504,$B63))</f>
        <v/>
      </c>
      <c r="D63" s="54" t="str">
        <f aca="false">IF($B63="","",INDEX(Journal!$B$5:$B$1504,$B63))</f>
        <v/>
      </c>
      <c r="E63" s="54" t="str">
        <f aca="false">IF($B63="","",INDEX(Journal!$C$5:$C$1504,$B63))</f>
        <v/>
      </c>
      <c r="F63" s="54" t="str">
        <f aca="false">IF($B63="","",IF(INDEX(Journal!$D$5:$D$1504,$B63)=$C$4,INDEX(Journal!$E$5:$E$1504,$B63),INDEX(Journal!$D$5:$D$1504,$B63)))</f>
        <v/>
      </c>
      <c r="G63" s="56" t="str">
        <f aca="false">IF($B63="","",IF(INDEX(Journal!$D$5:$D$1504,$B63)=$C$4,INDEX(Journal!$M$5:$M$1504,$B63),0))</f>
        <v/>
      </c>
      <c r="H63" s="56" t="str">
        <f aca="false">IF($B63="","",IF(INDEX(Journal!$E$5:$E$1504,$B63)=$C$4,INDEX(Journal!$N$5:$N$1504,$B63),0))</f>
        <v/>
      </c>
      <c r="I63" s="56" t="str">
        <f aca="false">IF($B63="","",IF(OR($G$4="Aktiv",$G$4="Aufwand"),I62+G63-H63,I62+H63-G63))</f>
        <v/>
      </c>
    </row>
    <row r="64" customFormat="false" ht="15" hidden="false" customHeight="false" outlineLevel="0" collapsed="false">
      <c r="A64" s="54" t="n">
        <v>57</v>
      </c>
      <c r="B64" s="54" t="str">
        <f aca="false">IFERROR(MATCH(A64,Journal!$W$5:$W$1504,0),"")</f>
        <v/>
      </c>
      <c r="C64" s="55" t="str">
        <f aca="false">IF($B64="","",INDEX(Journal!$A$5:$A$1504,$B64))</f>
        <v/>
      </c>
      <c r="D64" s="54" t="str">
        <f aca="false">IF($B64="","",INDEX(Journal!$B$5:$B$1504,$B64))</f>
        <v/>
      </c>
      <c r="E64" s="54" t="str">
        <f aca="false">IF($B64="","",INDEX(Journal!$C$5:$C$1504,$B64))</f>
        <v/>
      </c>
      <c r="F64" s="54" t="str">
        <f aca="false">IF($B64="","",IF(INDEX(Journal!$D$5:$D$1504,$B64)=$C$4,INDEX(Journal!$E$5:$E$1504,$B64),INDEX(Journal!$D$5:$D$1504,$B64)))</f>
        <v/>
      </c>
      <c r="G64" s="56" t="str">
        <f aca="false">IF($B64="","",IF(INDEX(Journal!$D$5:$D$1504,$B64)=$C$4,INDEX(Journal!$M$5:$M$1504,$B64),0))</f>
        <v/>
      </c>
      <c r="H64" s="56" t="str">
        <f aca="false">IF($B64="","",IF(INDEX(Journal!$E$5:$E$1504,$B64)=$C$4,INDEX(Journal!$N$5:$N$1504,$B64),0))</f>
        <v/>
      </c>
      <c r="I64" s="56" t="str">
        <f aca="false">IF($B64="","",IF(OR($G$4="Aktiv",$G$4="Aufwand"),I63+G64-H64,I63+H64-G64))</f>
        <v/>
      </c>
    </row>
    <row r="65" customFormat="false" ht="15" hidden="false" customHeight="false" outlineLevel="0" collapsed="false">
      <c r="A65" s="54" t="n">
        <v>58</v>
      </c>
      <c r="B65" s="54" t="str">
        <f aca="false">IFERROR(MATCH(A65,Journal!$W$5:$W$1504,0),"")</f>
        <v/>
      </c>
      <c r="C65" s="55" t="str">
        <f aca="false">IF($B65="","",INDEX(Journal!$A$5:$A$1504,$B65))</f>
        <v/>
      </c>
      <c r="D65" s="54" t="str">
        <f aca="false">IF($B65="","",INDEX(Journal!$B$5:$B$1504,$B65))</f>
        <v/>
      </c>
      <c r="E65" s="54" t="str">
        <f aca="false">IF($B65="","",INDEX(Journal!$C$5:$C$1504,$B65))</f>
        <v/>
      </c>
      <c r="F65" s="54" t="str">
        <f aca="false">IF($B65="","",IF(INDEX(Journal!$D$5:$D$1504,$B65)=$C$4,INDEX(Journal!$E$5:$E$1504,$B65),INDEX(Journal!$D$5:$D$1504,$B65)))</f>
        <v/>
      </c>
      <c r="G65" s="56" t="str">
        <f aca="false">IF($B65="","",IF(INDEX(Journal!$D$5:$D$1504,$B65)=$C$4,INDEX(Journal!$M$5:$M$1504,$B65),0))</f>
        <v/>
      </c>
      <c r="H65" s="56" t="str">
        <f aca="false">IF($B65="","",IF(INDEX(Journal!$E$5:$E$1504,$B65)=$C$4,INDEX(Journal!$N$5:$N$1504,$B65),0))</f>
        <v/>
      </c>
      <c r="I65" s="56" t="str">
        <f aca="false">IF($B65="","",IF(OR($G$4="Aktiv",$G$4="Aufwand"),I64+G65-H65,I64+H65-G65))</f>
        <v/>
      </c>
    </row>
    <row r="66" customFormat="false" ht="15" hidden="false" customHeight="false" outlineLevel="0" collapsed="false">
      <c r="A66" s="54" t="n">
        <v>59</v>
      </c>
      <c r="B66" s="54" t="str">
        <f aca="false">IFERROR(MATCH(A66,Journal!$W$5:$W$1504,0),"")</f>
        <v/>
      </c>
      <c r="C66" s="55" t="str">
        <f aca="false">IF($B66="","",INDEX(Journal!$A$5:$A$1504,$B66))</f>
        <v/>
      </c>
      <c r="D66" s="54" t="str">
        <f aca="false">IF($B66="","",INDEX(Journal!$B$5:$B$1504,$B66))</f>
        <v/>
      </c>
      <c r="E66" s="54" t="str">
        <f aca="false">IF($B66="","",INDEX(Journal!$C$5:$C$1504,$B66))</f>
        <v/>
      </c>
      <c r="F66" s="54" t="str">
        <f aca="false">IF($B66="","",IF(INDEX(Journal!$D$5:$D$1504,$B66)=$C$4,INDEX(Journal!$E$5:$E$1504,$B66),INDEX(Journal!$D$5:$D$1504,$B66)))</f>
        <v/>
      </c>
      <c r="G66" s="56" t="str">
        <f aca="false">IF($B66="","",IF(INDEX(Journal!$D$5:$D$1504,$B66)=$C$4,INDEX(Journal!$M$5:$M$1504,$B66),0))</f>
        <v/>
      </c>
      <c r="H66" s="56" t="str">
        <f aca="false">IF($B66="","",IF(INDEX(Journal!$E$5:$E$1504,$B66)=$C$4,INDEX(Journal!$N$5:$N$1504,$B66),0))</f>
        <v/>
      </c>
      <c r="I66" s="56" t="str">
        <f aca="false">IF($B66="","",IF(OR($G$4="Aktiv",$G$4="Aufwand"),I65+G66-H66,I65+H66-G66))</f>
        <v/>
      </c>
    </row>
    <row r="67" customFormat="false" ht="15" hidden="false" customHeight="false" outlineLevel="0" collapsed="false">
      <c r="A67" s="54" t="n">
        <v>60</v>
      </c>
      <c r="B67" s="54" t="str">
        <f aca="false">IFERROR(MATCH(A67,Journal!$W$5:$W$1504,0),"")</f>
        <v/>
      </c>
      <c r="C67" s="55" t="str">
        <f aca="false">IF($B67="","",INDEX(Journal!$A$5:$A$1504,$B67))</f>
        <v/>
      </c>
      <c r="D67" s="54" t="str">
        <f aca="false">IF($B67="","",INDEX(Journal!$B$5:$B$1504,$B67))</f>
        <v/>
      </c>
      <c r="E67" s="54" t="str">
        <f aca="false">IF($B67="","",INDEX(Journal!$C$5:$C$1504,$B67))</f>
        <v/>
      </c>
      <c r="F67" s="54" t="str">
        <f aca="false">IF($B67="","",IF(INDEX(Journal!$D$5:$D$1504,$B67)=$C$4,INDEX(Journal!$E$5:$E$1504,$B67),INDEX(Journal!$D$5:$D$1504,$B67)))</f>
        <v/>
      </c>
      <c r="G67" s="56" t="str">
        <f aca="false">IF($B67="","",IF(INDEX(Journal!$D$5:$D$1504,$B67)=$C$4,INDEX(Journal!$M$5:$M$1504,$B67),0))</f>
        <v/>
      </c>
      <c r="H67" s="56" t="str">
        <f aca="false">IF($B67="","",IF(INDEX(Journal!$E$5:$E$1504,$B67)=$C$4,INDEX(Journal!$N$5:$N$1504,$B67),0))</f>
        <v/>
      </c>
      <c r="I67" s="56" t="str">
        <f aca="false">IF($B67="","",IF(OR($G$4="Aktiv",$G$4="Aufwand"),I66+G67-H67,I66+H67-G67))</f>
        <v/>
      </c>
    </row>
    <row r="68" customFormat="false" ht="15" hidden="false" customHeight="false" outlineLevel="0" collapsed="false">
      <c r="A68" s="54" t="n">
        <v>61</v>
      </c>
      <c r="B68" s="54" t="str">
        <f aca="false">IFERROR(MATCH(A68,Journal!$W$5:$W$1504,0),"")</f>
        <v/>
      </c>
      <c r="C68" s="55" t="str">
        <f aca="false">IF($B68="","",INDEX(Journal!$A$5:$A$1504,$B68))</f>
        <v/>
      </c>
      <c r="D68" s="54" t="str">
        <f aca="false">IF($B68="","",INDEX(Journal!$B$5:$B$1504,$B68))</f>
        <v/>
      </c>
      <c r="E68" s="54" t="str">
        <f aca="false">IF($B68="","",INDEX(Journal!$C$5:$C$1504,$B68))</f>
        <v/>
      </c>
      <c r="F68" s="54" t="str">
        <f aca="false">IF($B68="","",IF(INDEX(Journal!$D$5:$D$1504,$B68)=$C$4,INDEX(Journal!$E$5:$E$1504,$B68),INDEX(Journal!$D$5:$D$1504,$B68)))</f>
        <v/>
      </c>
      <c r="G68" s="56" t="str">
        <f aca="false">IF($B68="","",IF(INDEX(Journal!$D$5:$D$1504,$B68)=$C$4,INDEX(Journal!$M$5:$M$1504,$B68),0))</f>
        <v/>
      </c>
      <c r="H68" s="56" t="str">
        <f aca="false">IF($B68="","",IF(INDEX(Journal!$E$5:$E$1504,$B68)=$C$4,INDEX(Journal!$N$5:$N$1504,$B68),0))</f>
        <v/>
      </c>
      <c r="I68" s="56" t="str">
        <f aca="false">IF($B68="","",IF(OR($G$4="Aktiv",$G$4="Aufwand"),I67+G68-H68,I67+H68-G68))</f>
        <v/>
      </c>
    </row>
    <row r="69" customFormat="false" ht="15" hidden="false" customHeight="false" outlineLevel="0" collapsed="false">
      <c r="A69" s="54" t="n">
        <v>62</v>
      </c>
      <c r="B69" s="54" t="str">
        <f aca="false">IFERROR(MATCH(A69,Journal!$W$5:$W$1504,0),"")</f>
        <v/>
      </c>
      <c r="C69" s="55" t="str">
        <f aca="false">IF($B69="","",INDEX(Journal!$A$5:$A$1504,$B69))</f>
        <v/>
      </c>
      <c r="D69" s="54" t="str">
        <f aca="false">IF($B69="","",INDEX(Journal!$B$5:$B$1504,$B69))</f>
        <v/>
      </c>
      <c r="E69" s="54" t="str">
        <f aca="false">IF($B69="","",INDEX(Journal!$C$5:$C$1504,$B69))</f>
        <v/>
      </c>
      <c r="F69" s="54" t="str">
        <f aca="false">IF($B69="","",IF(INDEX(Journal!$D$5:$D$1504,$B69)=$C$4,INDEX(Journal!$E$5:$E$1504,$B69),INDEX(Journal!$D$5:$D$1504,$B69)))</f>
        <v/>
      </c>
      <c r="G69" s="56" t="str">
        <f aca="false">IF($B69="","",IF(INDEX(Journal!$D$5:$D$1504,$B69)=$C$4,INDEX(Journal!$M$5:$M$1504,$B69),0))</f>
        <v/>
      </c>
      <c r="H69" s="56" t="str">
        <f aca="false">IF($B69="","",IF(INDEX(Journal!$E$5:$E$1504,$B69)=$C$4,INDEX(Journal!$N$5:$N$1504,$B69),0))</f>
        <v/>
      </c>
      <c r="I69" s="56" t="str">
        <f aca="false">IF($B69="","",IF(OR($G$4="Aktiv",$G$4="Aufwand"),I68+G69-H69,I68+H69-G69))</f>
        <v/>
      </c>
    </row>
    <row r="70" customFormat="false" ht="15" hidden="false" customHeight="false" outlineLevel="0" collapsed="false">
      <c r="A70" s="54" t="n">
        <v>63</v>
      </c>
      <c r="B70" s="54" t="str">
        <f aca="false">IFERROR(MATCH(A70,Journal!$W$5:$W$1504,0),"")</f>
        <v/>
      </c>
      <c r="C70" s="55" t="str">
        <f aca="false">IF($B70="","",INDEX(Journal!$A$5:$A$1504,$B70))</f>
        <v/>
      </c>
      <c r="D70" s="54" t="str">
        <f aca="false">IF($B70="","",INDEX(Journal!$B$5:$B$1504,$B70))</f>
        <v/>
      </c>
      <c r="E70" s="54" t="str">
        <f aca="false">IF($B70="","",INDEX(Journal!$C$5:$C$1504,$B70))</f>
        <v/>
      </c>
      <c r="F70" s="54" t="str">
        <f aca="false">IF($B70="","",IF(INDEX(Journal!$D$5:$D$1504,$B70)=$C$4,INDEX(Journal!$E$5:$E$1504,$B70),INDEX(Journal!$D$5:$D$1504,$B70)))</f>
        <v/>
      </c>
      <c r="G70" s="56" t="str">
        <f aca="false">IF($B70="","",IF(INDEX(Journal!$D$5:$D$1504,$B70)=$C$4,INDEX(Journal!$M$5:$M$1504,$B70),0))</f>
        <v/>
      </c>
      <c r="H70" s="56" t="str">
        <f aca="false">IF($B70="","",IF(INDEX(Journal!$E$5:$E$1504,$B70)=$C$4,INDEX(Journal!$N$5:$N$1504,$B70),0))</f>
        <v/>
      </c>
      <c r="I70" s="56" t="str">
        <f aca="false">IF($B70="","",IF(OR($G$4="Aktiv",$G$4="Aufwand"),I69+G70-H70,I69+H70-G70))</f>
        <v/>
      </c>
    </row>
    <row r="71" customFormat="false" ht="15" hidden="false" customHeight="false" outlineLevel="0" collapsed="false">
      <c r="A71" s="54" t="n">
        <v>64</v>
      </c>
      <c r="B71" s="54" t="str">
        <f aca="false">IFERROR(MATCH(A71,Journal!$W$5:$W$1504,0),"")</f>
        <v/>
      </c>
      <c r="C71" s="55" t="str">
        <f aca="false">IF($B71="","",INDEX(Journal!$A$5:$A$1504,$B71))</f>
        <v/>
      </c>
      <c r="D71" s="54" t="str">
        <f aca="false">IF($B71="","",INDEX(Journal!$B$5:$B$1504,$B71))</f>
        <v/>
      </c>
      <c r="E71" s="54" t="str">
        <f aca="false">IF($B71="","",INDEX(Journal!$C$5:$C$1504,$B71))</f>
        <v/>
      </c>
      <c r="F71" s="54" t="str">
        <f aca="false">IF($B71="","",IF(INDEX(Journal!$D$5:$D$1504,$B71)=$C$4,INDEX(Journal!$E$5:$E$1504,$B71),INDEX(Journal!$D$5:$D$1504,$B71)))</f>
        <v/>
      </c>
      <c r="G71" s="56" t="str">
        <f aca="false">IF($B71="","",IF(INDEX(Journal!$D$5:$D$1504,$B71)=$C$4,INDEX(Journal!$M$5:$M$1504,$B71),0))</f>
        <v/>
      </c>
      <c r="H71" s="56" t="str">
        <f aca="false">IF($B71="","",IF(INDEX(Journal!$E$5:$E$1504,$B71)=$C$4,INDEX(Journal!$N$5:$N$1504,$B71),0))</f>
        <v/>
      </c>
      <c r="I71" s="56" t="str">
        <f aca="false">IF($B71="","",IF(OR($G$4="Aktiv",$G$4="Aufwand"),I70+G71-H71,I70+H71-G71))</f>
        <v/>
      </c>
    </row>
    <row r="72" customFormat="false" ht="15" hidden="false" customHeight="false" outlineLevel="0" collapsed="false">
      <c r="A72" s="54" t="n">
        <v>65</v>
      </c>
      <c r="B72" s="54" t="str">
        <f aca="false">IFERROR(MATCH(A72,Journal!$W$5:$W$1504,0),"")</f>
        <v/>
      </c>
      <c r="C72" s="55" t="str">
        <f aca="false">IF($B72="","",INDEX(Journal!$A$5:$A$1504,$B72))</f>
        <v/>
      </c>
      <c r="D72" s="54" t="str">
        <f aca="false">IF($B72="","",INDEX(Journal!$B$5:$B$1504,$B72))</f>
        <v/>
      </c>
      <c r="E72" s="54" t="str">
        <f aca="false">IF($B72="","",INDEX(Journal!$C$5:$C$1504,$B72))</f>
        <v/>
      </c>
      <c r="F72" s="54" t="str">
        <f aca="false">IF($B72="","",IF(INDEX(Journal!$D$5:$D$1504,$B72)=$C$4,INDEX(Journal!$E$5:$E$1504,$B72),INDEX(Journal!$D$5:$D$1504,$B72)))</f>
        <v/>
      </c>
      <c r="G72" s="56" t="str">
        <f aca="false">IF($B72="","",IF(INDEX(Journal!$D$5:$D$1504,$B72)=$C$4,INDEX(Journal!$M$5:$M$1504,$B72),0))</f>
        <v/>
      </c>
      <c r="H72" s="56" t="str">
        <f aca="false">IF($B72="","",IF(INDEX(Journal!$E$5:$E$1504,$B72)=$C$4,INDEX(Journal!$N$5:$N$1504,$B72),0))</f>
        <v/>
      </c>
      <c r="I72" s="56" t="str">
        <f aca="false">IF($B72="","",IF(OR($G$4="Aktiv",$G$4="Aufwand"),I71+G72-H72,I71+H72-G72))</f>
        <v/>
      </c>
    </row>
    <row r="73" customFormat="false" ht="15" hidden="false" customHeight="false" outlineLevel="0" collapsed="false">
      <c r="A73" s="54" t="n">
        <v>66</v>
      </c>
      <c r="B73" s="54" t="str">
        <f aca="false">IFERROR(MATCH(A73,Journal!$W$5:$W$1504,0),"")</f>
        <v/>
      </c>
      <c r="C73" s="55" t="str">
        <f aca="false">IF($B73="","",INDEX(Journal!$A$5:$A$1504,$B73))</f>
        <v/>
      </c>
      <c r="D73" s="54" t="str">
        <f aca="false">IF($B73="","",INDEX(Journal!$B$5:$B$1504,$B73))</f>
        <v/>
      </c>
      <c r="E73" s="54" t="str">
        <f aca="false">IF($B73="","",INDEX(Journal!$C$5:$C$1504,$B73))</f>
        <v/>
      </c>
      <c r="F73" s="54" t="str">
        <f aca="false">IF($B73="","",IF(INDEX(Journal!$D$5:$D$1504,$B73)=$C$4,INDEX(Journal!$E$5:$E$1504,$B73),INDEX(Journal!$D$5:$D$1504,$B73)))</f>
        <v/>
      </c>
      <c r="G73" s="56" t="str">
        <f aca="false">IF($B73="","",IF(INDEX(Journal!$D$5:$D$1504,$B73)=$C$4,INDEX(Journal!$M$5:$M$1504,$B73),0))</f>
        <v/>
      </c>
      <c r="H73" s="56" t="str">
        <f aca="false">IF($B73="","",IF(INDEX(Journal!$E$5:$E$1504,$B73)=$C$4,INDEX(Journal!$N$5:$N$1504,$B73),0))</f>
        <v/>
      </c>
      <c r="I73" s="56" t="str">
        <f aca="false">IF($B73="","",IF(OR($G$4="Aktiv",$G$4="Aufwand"),I72+G73-H73,I72+H73-G73))</f>
        <v/>
      </c>
    </row>
    <row r="74" customFormat="false" ht="15" hidden="false" customHeight="false" outlineLevel="0" collapsed="false">
      <c r="A74" s="54" t="n">
        <v>67</v>
      </c>
      <c r="B74" s="54" t="str">
        <f aca="false">IFERROR(MATCH(A74,Journal!$W$5:$W$1504,0),"")</f>
        <v/>
      </c>
      <c r="C74" s="55" t="str">
        <f aca="false">IF($B74="","",INDEX(Journal!$A$5:$A$1504,$B74))</f>
        <v/>
      </c>
      <c r="D74" s="54" t="str">
        <f aca="false">IF($B74="","",INDEX(Journal!$B$5:$B$1504,$B74))</f>
        <v/>
      </c>
      <c r="E74" s="54" t="str">
        <f aca="false">IF($B74="","",INDEX(Journal!$C$5:$C$1504,$B74))</f>
        <v/>
      </c>
      <c r="F74" s="54" t="str">
        <f aca="false">IF($B74="","",IF(INDEX(Journal!$D$5:$D$1504,$B74)=$C$4,INDEX(Journal!$E$5:$E$1504,$B74),INDEX(Journal!$D$5:$D$1504,$B74)))</f>
        <v/>
      </c>
      <c r="G74" s="56" t="str">
        <f aca="false">IF($B74="","",IF(INDEX(Journal!$D$5:$D$1504,$B74)=$C$4,INDEX(Journal!$M$5:$M$1504,$B74),0))</f>
        <v/>
      </c>
      <c r="H74" s="56" t="str">
        <f aca="false">IF($B74="","",IF(INDEX(Journal!$E$5:$E$1504,$B74)=$C$4,INDEX(Journal!$N$5:$N$1504,$B74),0))</f>
        <v/>
      </c>
      <c r="I74" s="56" t="str">
        <f aca="false">IF($B74="","",IF(OR($G$4="Aktiv",$G$4="Aufwand"),I73+G74-H74,I73+H74-G74))</f>
        <v/>
      </c>
    </row>
    <row r="75" customFormat="false" ht="15" hidden="false" customHeight="false" outlineLevel="0" collapsed="false">
      <c r="A75" s="54" t="n">
        <v>68</v>
      </c>
      <c r="B75" s="54" t="str">
        <f aca="false">IFERROR(MATCH(A75,Journal!$W$5:$W$1504,0),"")</f>
        <v/>
      </c>
      <c r="C75" s="55" t="str">
        <f aca="false">IF($B75="","",INDEX(Journal!$A$5:$A$1504,$B75))</f>
        <v/>
      </c>
      <c r="D75" s="54" t="str">
        <f aca="false">IF($B75="","",INDEX(Journal!$B$5:$B$1504,$B75))</f>
        <v/>
      </c>
      <c r="E75" s="54" t="str">
        <f aca="false">IF($B75="","",INDEX(Journal!$C$5:$C$1504,$B75))</f>
        <v/>
      </c>
      <c r="F75" s="54" t="str">
        <f aca="false">IF($B75="","",IF(INDEX(Journal!$D$5:$D$1504,$B75)=$C$4,INDEX(Journal!$E$5:$E$1504,$B75),INDEX(Journal!$D$5:$D$1504,$B75)))</f>
        <v/>
      </c>
      <c r="G75" s="56" t="str">
        <f aca="false">IF($B75="","",IF(INDEX(Journal!$D$5:$D$1504,$B75)=$C$4,INDEX(Journal!$M$5:$M$1504,$B75),0))</f>
        <v/>
      </c>
      <c r="H75" s="56" t="str">
        <f aca="false">IF($B75="","",IF(INDEX(Journal!$E$5:$E$1504,$B75)=$C$4,INDEX(Journal!$N$5:$N$1504,$B75),0))</f>
        <v/>
      </c>
      <c r="I75" s="56" t="str">
        <f aca="false">IF($B75="","",IF(OR($G$4="Aktiv",$G$4="Aufwand"),I74+G75-H75,I74+H75-G75))</f>
        <v/>
      </c>
    </row>
    <row r="76" customFormat="false" ht="15" hidden="false" customHeight="false" outlineLevel="0" collapsed="false">
      <c r="A76" s="54" t="n">
        <v>69</v>
      </c>
      <c r="B76" s="54" t="str">
        <f aca="false">IFERROR(MATCH(A76,Journal!$W$5:$W$1504,0),"")</f>
        <v/>
      </c>
      <c r="C76" s="55" t="str">
        <f aca="false">IF($B76="","",INDEX(Journal!$A$5:$A$1504,$B76))</f>
        <v/>
      </c>
      <c r="D76" s="54" t="str">
        <f aca="false">IF($B76="","",INDEX(Journal!$B$5:$B$1504,$B76))</f>
        <v/>
      </c>
      <c r="E76" s="54" t="str">
        <f aca="false">IF($B76="","",INDEX(Journal!$C$5:$C$1504,$B76))</f>
        <v/>
      </c>
      <c r="F76" s="54" t="str">
        <f aca="false">IF($B76="","",IF(INDEX(Journal!$D$5:$D$1504,$B76)=$C$4,INDEX(Journal!$E$5:$E$1504,$B76),INDEX(Journal!$D$5:$D$1504,$B76)))</f>
        <v/>
      </c>
      <c r="G76" s="56" t="str">
        <f aca="false">IF($B76="","",IF(INDEX(Journal!$D$5:$D$1504,$B76)=$C$4,INDEX(Journal!$M$5:$M$1504,$B76),0))</f>
        <v/>
      </c>
      <c r="H76" s="56" t="str">
        <f aca="false">IF($B76="","",IF(INDEX(Journal!$E$5:$E$1504,$B76)=$C$4,INDEX(Journal!$N$5:$N$1504,$B76),0))</f>
        <v/>
      </c>
      <c r="I76" s="56" t="str">
        <f aca="false">IF($B76="","",IF(OR($G$4="Aktiv",$G$4="Aufwand"),I75+G76-H76,I75+H76-G76))</f>
        <v/>
      </c>
    </row>
    <row r="77" customFormat="false" ht="15" hidden="false" customHeight="false" outlineLevel="0" collapsed="false">
      <c r="A77" s="54" t="n">
        <v>70</v>
      </c>
      <c r="B77" s="54" t="str">
        <f aca="false">IFERROR(MATCH(A77,Journal!$W$5:$W$1504,0),"")</f>
        <v/>
      </c>
      <c r="C77" s="55" t="str">
        <f aca="false">IF($B77="","",INDEX(Journal!$A$5:$A$1504,$B77))</f>
        <v/>
      </c>
      <c r="D77" s="54" t="str">
        <f aca="false">IF($B77="","",INDEX(Journal!$B$5:$B$1504,$B77))</f>
        <v/>
      </c>
      <c r="E77" s="54" t="str">
        <f aca="false">IF($B77="","",INDEX(Journal!$C$5:$C$1504,$B77))</f>
        <v/>
      </c>
      <c r="F77" s="54" t="str">
        <f aca="false">IF($B77="","",IF(INDEX(Journal!$D$5:$D$1504,$B77)=$C$4,INDEX(Journal!$E$5:$E$1504,$B77),INDEX(Journal!$D$5:$D$1504,$B77)))</f>
        <v/>
      </c>
      <c r="G77" s="56" t="str">
        <f aca="false">IF($B77="","",IF(INDEX(Journal!$D$5:$D$1504,$B77)=$C$4,INDEX(Journal!$M$5:$M$1504,$B77),0))</f>
        <v/>
      </c>
      <c r="H77" s="56" t="str">
        <f aca="false">IF($B77="","",IF(INDEX(Journal!$E$5:$E$1504,$B77)=$C$4,INDEX(Journal!$N$5:$N$1504,$B77),0))</f>
        <v/>
      </c>
      <c r="I77" s="56" t="str">
        <f aca="false">IF($B77="","",IF(OR($G$4="Aktiv",$G$4="Aufwand"),I76+G77-H77,I76+H77-G77))</f>
        <v/>
      </c>
    </row>
    <row r="78" customFormat="false" ht="15" hidden="false" customHeight="false" outlineLevel="0" collapsed="false">
      <c r="A78" s="54" t="n">
        <v>71</v>
      </c>
      <c r="B78" s="54" t="str">
        <f aca="false">IFERROR(MATCH(A78,Journal!$W$5:$W$1504,0),"")</f>
        <v/>
      </c>
      <c r="C78" s="55" t="str">
        <f aca="false">IF($B78="","",INDEX(Journal!$A$5:$A$1504,$B78))</f>
        <v/>
      </c>
      <c r="D78" s="54" t="str">
        <f aca="false">IF($B78="","",INDEX(Journal!$B$5:$B$1504,$B78))</f>
        <v/>
      </c>
      <c r="E78" s="54" t="str">
        <f aca="false">IF($B78="","",INDEX(Journal!$C$5:$C$1504,$B78))</f>
        <v/>
      </c>
      <c r="F78" s="54" t="str">
        <f aca="false">IF($B78="","",IF(INDEX(Journal!$D$5:$D$1504,$B78)=$C$4,INDEX(Journal!$E$5:$E$1504,$B78),INDEX(Journal!$D$5:$D$1504,$B78)))</f>
        <v/>
      </c>
      <c r="G78" s="56" t="str">
        <f aca="false">IF($B78="","",IF(INDEX(Journal!$D$5:$D$1504,$B78)=$C$4,INDEX(Journal!$M$5:$M$1504,$B78),0))</f>
        <v/>
      </c>
      <c r="H78" s="56" t="str">
        <f aca="false">IF($B78="","",IF(INDEX(Journal!$E$5:$E$1504,$B78)=$C$4,INDEX(Journal!$N$5:$N$1504,$B78),0))</f>
        <v/>
      </c>
      <c r="I78" s="56" t="str">
        <f aca="false">IF($B78="","",IF(OR($G$4="Aktiv",$G$4="Aufwand"),I77+G78-H78,I77+H78-G78))</f>
        <v/>
      </c>
    </row>
    <row r="79" customFormat="false" ht="15" hidden="false" customHeight="false" outlineLevel="0" collapsed="false">
      <c r="A79" s="54" t="n">
        <v>72</v>
      </c>
      <c r="B79" s="54" t="str">
        <f aca="false">IFERROR(MATCH(A79,Journal!$W$5:$W$1504,0),"")</f>
        <v/>
      </c>
      <c r="C79" s="55" t="str">
        <f aca="false">IF($B79="","",INDEX(Journal!$A$5:$A$1504,$B79))</f>
        <v/>
      </c>
      <c r="D79" s="54" t="str">
        <f aca="false">IF($B79="","",INDEX(Journal!$B$5:$B$1504,$B79))</f>
        <v/>
      </c>
      <c r="E79" s="54" t="str">
        <f aca="false">IF($B79="","",INDEX(Journal!$C$5:$C$1504,$B79))</f>
        <v/>
      </c>
      <c r="F79" s="54" t="str">
        <f aca="false">IF($B79="","",IF(INDEX(Journal!$D$5:$D$1504,$B79)=$C$4,INDEX(Journal!$E$5:$E$1504,$B79),INDEX(Journal!$D$5:$D$1504,$B79)))</f>
        <v/>
      </c>
      <c r="G79" s="56" t="str">
        <f aca="false">IF($B79="","",IF(INDEX(Journal!$D$5:$D$1504,$B79)=$C$4,INDEX(Journal!$M$5:$M$1504,$B79),0))</f>
        <v/>
      </c>
      <c r="H79" s="56" t="str">
        <f aca="false">IF($B79="","",IF(INDEX(Journal!$E$5:$E$1504,$B79)=$C$4,INDEX(Journal!$N$5:$N$1504,$B79),0))</f>
        <v/>
      </c>
      <c r="I79" s="56" t="str">
        <f aca="false">IF($B79="","",IF(OR($G$4="Aktiv",$G$4="Aufwand"),I78+G79-H79,I78+H79-G79))</f>
        <v/>
      </c>
    </row>
    <row r="80" customFormat="false" ht="15" hidden="false" customHeight="false" outlineLevel="0" collapsed="false">
      <c r="A80" s="54" t="n">
        <v>73</v>
      </c>
      <c r="B80" s="54" t="str">
        <f aca="false">IFERROR(MATCH(A80,Journal!$W$5:$W$1504,0),"")</f>
        <v/>
      </c>
      <c r="C80" s="55" t="str">
        <f aca="false">IF($B80="","",INDEX(Journal!$A$5:$A$1504,$B80))</f>
        <v/>
      </c>
      <c r="D80" s="54" t="str">
        <f aca="false">IF($B80="","",INDEX(Journal!$B$5:$B$1504,$B80))</f>
        <v/>
      </c>
      <c r="E80" s="54" t="str">
        <f aca="false">IF($B80="","",INDEX(Journal!$C$5:$C$1504,$B80))</f>
        <v/>
      </c>
      <c r="F80" s="54" t="str">
        <f aca="false">IF($B80="","",IF(INDEX(Journal!$D$5:$D$1504,$B80)=$C$4,INDEX(Journal!$E$5:$E$1504,$B80),INDEX(Journal!$D$5:$D$1504,$B80)))</f>
        <v/>
      </c>
      <c r="G80" s="56" t="str">
        <f aca="false">IF($B80="","",IF(INDEX(Journal!$D$5:$D$1504,$B80)=$C$4,INDEX(Journal!$M$5:$M$1504,$B80),0))</f>
        <v/>
      </c>
      <c r="H80" s="56" t="str">
        <f aca="false">IF($B80="","",IF(INDEX(Journal!$E$5:$E$1504,$B80)=$C$4,INDEX(Journal!$N$5:$N$1504,$B80),0))</f>
        <v/>
      </c>
      <c r="I80" s="56" t="str">
        <f aca="false">IF($B80="","",IF(OR($G$4="Aktiv",$G$4="Aufwand"),I79+G80-H80,I79+H80-G80))</f>
        <v/>
      </c>
    </row>
    <row r="81" customFormat="false" ht="15" hidden="false" customHeight="false" outlineLevel="0" collapsed="false">
      <c r="A81" s="54" t="n">
        <v>74</v>
      </c>
      <c r="B81" s="54" t="str">
        <f aca="false">IFERROR(MATCH(A81,Journal!$W$5:$W$1504,0),"")</f>
        <v/>
      </c>
      <c r="C81" s="55" t="str">
        <f aca="false">IF($B81="","",INDEX(Journal!$A$5:$A$1504,$B81))</f>
        <v/>
      </c>
      <c r="D81" s="54" t="str">
        <f aca="false">IF($B81="","",INDEX(Journal!$B$5:$B$1504,$B81))</f>
        <v/>
      </c>
      <c r="E81" s="54" t="str">
        <f aca="false">IF($B81="","",INDEX(Journal!$C$5:$C$1504,$B81))</f>
        <v/>
      </c>
      <c r="F81" s="54" t="str">
        <f aca="false">IF($B81="","",IF(INDEX(Journal!$D$5:$D$1504,$B81)=$C$4,INDEX(Journal!$E$5:$E$1504,$B81),INDEX(Journal!$D$5:$D$1504,$B81)))</f>
        <v/>
      </c>
      <c r="G81" s="56" t="str">
        <f aca="false">IF($B81="","",IF(INDEX(Journal!$D$5:$D$1504,$B81)=$C$4,INDEX(Journal!$M$5:$M$1504,$B81),0))</f>
        <v/>
      </c>
      <c r="H81" s="56" t="str">
        <f aca="false">IF($B81="","",IF(INDEX(Journal!$E$5:$E$1504,$B81)=$C$4,INDEX(Journal!$N$5:$N$1504,$B81),0))</f>
        <v/>
      </c>
      <c r="I81" s="56" t="str">
        <f aca="false">IF($B81="","",IF(OR($G$4="Aktiv",$G$4="Aufwand"),I80+G81-H81,I80+H81-G81))</f>
        <v/>
      </c>
    </row>
    <row r="82" customFormat="false" ht="15" hidden="false" customHeight="false" outlineLevel="0" collapsed="false">
      <c r="A82" s="54" t="n">
        <v>75</v>
      </c>
      <c r="B82" s="54" t="str">
        <f aca="false">IFERROR(MATCH(A82,Journal!$W$5:$W$1504,0),"")</f>
        <v/>
      </c>
      <c r="C82" s="55" t="str">
        <f aca="false">IF($B82="","",INDEX(Journal!$A$5:$A$1504,$B82))</f>
        <v/>
      </c>
      <c r="D82" s="54" t="str">
        <f aca="false">IF($B82="","",INDEX(Journal!$B$5:$B$1504,$B82))</f>
        <v/>
      </c>
      <c r="E82" s="54" t="str">
        <f aca="false">IF($B82="","",INDEX(Journal!$C$5:$C$1504,$B82))</f>
        <v/>
      </c>
      <c r="F82" s="54" t="str">
        <f aca="false">IF($B82="","",IF(INDEX(Journal!$D$5:$D$1504,$B82)=$C$4,INDEX(Journal!$E$5:$E$1504,$B82),INDEX(Journal!$D$5:$D$1504,$B82)))</f>
        <v/>
      </c>
      <c r="G82" s="56" t="str">
        <f aca="false">IF($B82="","",IF(INDEX(Journal!$D$5:$D$1504,$B82)=$C$4,INDEX(Journal!$M$5:$M$1504,$B82),0))</f>
        <v/>
      </c>
      <c r="H82" s="56" t="str">
        <f aca="false">IF($B82="","",IF(INDEX(Journal!$E$5:$E$1504,$B82)=$C$4,INDEX(Journal!$N$5:$N$1504,$B82),0))</f>
        <v/>
      </c>
      <c r="I82" s="56" t="str">
        <f aca="false">IF($B82="","",IF(OR($G$4="Aktiv",$G$4="Aufwand"),I81+G82-H82,I81+H82-G82))</f>
        <v/>
      </c>
    </row>
    <row r="83" customFormat="false" ht="15" hidden="false" customHeight="false" outlineLevel="0" collapsed="false">
      <c r="A83" s="54" t="n">
        <v>76</v>
      </c>
      <c r="B83" s="54" t="str">
        <f aca="false">IFERROR(MATCH(A83,Journal!$W$5:$W$1504,0),"")</f>
        <v/>
      </c>
      <c r="C83" s="55" t="str">
        <f aca="false">IF($B83="","",INDEX(Journal!$A$5:$A$1504,$B83))</f>
        <v/>
      </c>
      <c r="D83" s="54" t="str">
        <f aca="false">IF($B83="","",INDEX(Journal!$B$5:$B$1504,$B83))</f>
        <v/>
      </c>
      <c r="E83" s="54" t="str">
        <f aca="false">IF($B83="","",INDEX(Journal!$C$5:$C$1504,$B83))</f>
        <v/>
      </c>
      <c r="F83" s="54" t="str">
        <f aca="false">IF($B83="","",IF(INDEX(Journal!$D$5:$D$1504,$B83)=$C$4,INDEX(Journal!$E$5:$E$1504,$B83),INDEX(Journal!$D$5:$D$1504,$B83)))</f>
        <v/>
      </c>
      <c r="G83" s="56" t="str">
        <f aca="false">IF($B83="","",IF(INDEX(Journal!$D$5:$D$1504,$B83)=$C$4,INDEX(Journal!$M$5:$M$1504,$B83),0))</f>
        <v/>
      </c>
      <c r="H83" s="56" t="str">
        <f aca="false">IF($B83="","",IF(INDEX(Journal!$E$5:$E$1504,$B83)=$C$4,INDEX(Journal!$N$5:$N$1504,$B83),0))</f>
        <v/>
      </c>
      <c r="I83" s="56" t="str">
        <f aca="false">IF($B83="","",IF(OR($G$4="Aktiv",$G$4="Aufwand"),I82+G83-H83,I82+H83-G83))</f>
        <v/>
      </c>
    </row>
    <row r="84" customFormat="false" ht="15" hidden="false" customHeight="false" outlineLevel="0" collapsed="false">
      <c r="A84" s="54" t="n">
        <v>77</v>
      </c>
      <c r="B84" s="54" t="str">
        <f aca="false">IFERROR(MATCH(A84,Journal!$W$5:$W$1504,0),"")</f>
        <v/>
      </c>
      <c r="C84" s="55" t="str">
        <f aca="false">IF($B84="","",INDEX(Journal!$A$5:$A$1504,$B84))</f>
        <v/>
      </c>
      <c r="D84" s="54" t="str">
        <f aca="false">IF($B84="","",INDEX(Journal!$B$5:$B$1504,$B84))</f>
        <v/>
      </c>
      <c r="E84" s="54" t="str">
        <f aca="false">IF($B84="","",INDEX(Journal!$C$5:$C$1504,$B84))</f>
        <v/>
      </c>
      <c r="F84" s="54" t="str">
        <f aca="false">IF($B84="","",IF(INDEX(Journal!$D$5:$D$1504,$B84)=$C$4,INDEX(Journal!$E$5:$E$1504,$B84),INDEX(Journal!$D$5:$D$1504,$B84)))</f>
        <v/>
      </c>
      <c r="G84" s="56" t="str">
        <f aca="false">IF($B84="","",IF(INDEX(Journal!$D$5:$D$1504,$B84)=$C$4,INDEX(Journal!$M$5:$M$1504,$B84),0))</f>
        <v/>
      </c>
      <c r="H84" s="56" t="str">
        <f aca="false">IF($B84="","",IF(INDEX(Journal!$E$5:$E$1504,$B84)=$C$4,INDEX(Journal!$N$5:$N$1504,$B84),0))</f>
        <v/>
      </c>
      <c r="I84" s="56" t="str">
        <f aca="false">IF($B84="","",IF(OR($G$4="Aktiv",$G$4="Aufwand"),I83+G84-H84,I83+H84-G84))</f>
        <v/>
      </c>
    </row>
    <row r="85" customFormat="false" ht="15" hidden="false" customHeight="false" outlineLevel="0" collapsed="false">
      <c r="A85" s="54" t="n">
        <v>78</v>
      </c>
      <c r="B85" s="54" t="str">
        <f aca="false">IFERROR(MATCH(A85,Journal!$W$5:$W$1504,0),"")</f>
        <v/>
      </c>
      <c r="C85" s="55" t="str">
        <f aca="false">IF($B85="","",INDEX(Journal!$A$5:$A$1504,$B85))</f>
        <v/>
      </c>
      <c r="D85" s="54" t="str">
        <f aca="false">IF($B85="","",INDEX(Journal!$B$5:$B$1504,$B85))</f>
        <v/>
      </c>
      <c r="E85" s="54" t="str">
        <f aca="false">IF($B85="","",INDEX(Journal!$C$5:$C$1504,$B85))</f>
        <v/>
      </c>
      <c r="F85" s="54" t="str">
        <f aca="false">IF($B85="","",IF(INDEX(Journal!$D$5:$D$1504,$B85)=$C$4,INDEX(Journal!$E$5:$E$1504,$B85),INDEX(Journal!$D$5:$D$1504,$B85)))</f>
        <v/>
      </c>
      <c r="G85" s="56" t="str">
        <f aca="false">IF($B85="","",IF(INDEX(Journal!$D$5:$D$1504,$B85)=$C$4,INDEX(Journal!$M$5:$M$1504,$B85),0))</f>
        <v/>
      </c>
      <c r="H85" s="56" t="str">
        <f aca="false">IF($B85="","",IF(INDEX(Journal!$E$5:$E$1504,$B85)=$C$4,INDEX(Journal!$N$5:$N$1504,$B85),0))</f>
        <v/>
      </c>
      <c r="I85" s="56" t="str">
        <f aca="false">IF($B85="","",IF(OR($G$4="Aktiv",$G$4="Aufwand"),I84+G85-H85,I84+H85-G85))</f>
        <v/>
      </c>
    </row>
    <row r="86" customFormat="false" ht="15" hidden="false" customHeight="false" outlineLevel="0" collapsed="false">
      <c r="A86" s="54" t="n">
        <v>79</v>
      </c>
      <c r="B86" s="54" t="str">
        <f aca="false">IFERROR(MATCH(A86,Journal!$W$5:$W$1504,0),"")</f>
        <v/>
      </c>
      <c r="C86" s="55" t="str">
        <f aca="false">IF($B86="","",INDEX(Journal!$A$5:$A$1504,$B86))</f>
        <v/>
      </c>
      <c r="D86" s="54" t="str">
        <f aca="false">IF($B86="","",INDEX(Journal!$B$5:$B$1504,$B86))</f>
        <v/>
      </c>
      <c r="E86" s="54" t="str">
        <f aca="false">IF($B86="","",INDEX(Journal!$C$5:$C$1504,$B86))</f>
        <v/>
      </c>
      <c r="F86" s="54" t="str">
        <f aca="false">IF($B86="","",IF(INDEX(Journal!$D$5:$D$1504,$B86)=$C$4,INDEX(Journal!$E$5:$E$1504,$B86),INDEX(Journal!$D$5:$D$1504,$B86)))</f>
        <v/>
      </c>
      <c r="G86" s="56" t="str">
        <f aca="false">IF($B86="","",IF(INDEX(Journal!$D$5:$D$1504,$B86)=$C$4,INDEX(Journal!$M$5:$M$1504,$B86),0))</f>
        <v/>
      </c>
      <c r="H86" s="56" t="str">
        <f aca="false">IF($B86="","",IF(INDEX(Journal!$E$5:$E$1504,$B86)=$C$4,INDEX(Journal!$N$5:$N$1504,$B86),0))</f>
        <v/>
      </c>
      <c r="I86" s="56" t="str">
        <f aca="false">IF($B86="","",IF(OR($G$4="Aktiv",$G$4="Aufwand"),I85+G86-H86,I85+H86-G86))</f>
        <v/>
      </c>
    </row>
    <row r="87" customFormat="false" ht="15" hidden="false" customHeight="false" outlineLevel="0" collapsed="false">
      <c r="A87" s="54" t="n">
        <v>80</v>
      </c>
      <c r="B87" s="54" t="str">
        <f aca="false">IFERROR(MATCH(A87,Journal!$W$5:$W$1504,0),"")</f>
        <v/>
      </c>
      <c r="C87" s="55" t="str">
        <f aca="false">IF($B87="","",INDEX(Journal!$A$5:$A$1504,$B87))</f>
        <v/>
      </c>
      <c r="D87" s="54" t="str">
        <f aca="false">IF($B87="","",INDEX(Journal!$B$5:$B$1504,$B87))</f>
        <v/>
      </c>
      <c r="E87" s="54" t="str">
        <f aca="false">IF($B87="","",INDEX(Journal!$C$5:$C$1504,$B87))</f>
        <v/>
      </c>
      <c r="F87" s="54" t="str">
        <f aca="false">IF($B87="","",IF(INDEX(Journal!$D$5:$D$1504,$B87)=$C$4,INDEX(Journal!$E$5:$E$1504,$B87),INDEX(Journal!$D$5:$D$1504,$B87)))</f>
        <v/>
      </c>
      <c r="G87" s="56" t="str">
        <f aca="false">IF($B87="","",IF(INDEX(Journal!$D$5:$D$1504,$B87)=$C$4,INDEX(Journal!$M$5:$M$1504,$B87),0))</f>
        <v/>
      </c>
      <c r="H87" s="56" t="str">
        <f aca="false">IF($B87="","",IF(INDEX(Journal!$E$5:$E$1504,$B87)=$C$4,INDEX(Journal!$N$5:$N$1504,$B87),0))</f>
        <v/>
      </c>
      <c r="I87" s="56" t="str">
        <f aca="false">IF($B87="","",IF(OR($G$4="Aktiv",$G$4="Aufwand"),I86+G87-H87,I86+H87-G87))</f>
        <v/>
      </c>
    </row>
    <row r="88" customFormat="false" ht="15" hidden="false" customHeight="false" outlineLevel="0" collapsed="false">
      <c r="A88" s="54" t="n">
        <v>81</v>
      </c>
      <c r="B88" s="54" t="str">
        <f aca="false">IFERROR(MATCH(A88,Journal!$W$5:$W$1504,0),"")</f>
        <v/>
      </c>
      <c r="C88" s="55" t="str">
        <f aca="false">IF($B88="","",INDEX(Journal!$A$5:$A$1504,$B88))</f>
        <v/>
      </c>
      <c r="D88" s="54" t="str">
        <f aca="false">IF($B88="","",INDEX(Journal!$B$5:$B$1504,$B88))</f>
        <v/>
      </c>
      <c r="E88" s="54" t="str">
        <f aca="false">IF($B88="","",INDEX(Journal!$C$5:$C$1504,$B88))</f>
        <v/>
      </c>
      <c r="F88" s="54" t="str">
        <f aca="false">IF($B88="","",IF(INDEX(Journal!$D$5:$D$1504,$B88)=$C$4,INDEX(Journal!$E$5:$E$1504,$B88),INDEX(Journal!$D$5:$D$1504,$B88)))</f>
        <v/>
      </c>
      <c r="G88" s="56" t="str">
        <f aca="false">IF($B88="","",IF(INDEX(Journal!$D$5:$D$1504,$B88)=$C$4,INDEX(Journal!$M$5:$M$1504,$B88),0))</f>
        <v/>
      </c>
      <c r="H88" s="56" t="str">
        <f aca="false">IF($B88="","",IF(INDEX(Journal!$E$5:$E$1504,$B88)=$C$4,INDEX(Journal!$N$5:$N$1504,$B88),0))</f>
        <v/>
      </c>
      <c r="I88" s="56" t="str">
        <f aca="false">IF($B88="","",IF(OR($G$4="Aktiv",$G$4="Aufwand"),I87+G88-H88,I87+H88-G88))</f>
        <v/>
      </c>
    </row>
    <row r="89" customFormat="false" ht="15" hidden="false" customHeight="false" outlineLevel="0" collapsed="false">
      <c r="A89" s="54" t="n">
        <v>82</v>
      </c>
      <c r="B89" s="54" t="str">
        <f aca="false">IFERROR(MATCH(A89,Journal!$W$5:$W$1504,0),"")</f>
        <v/>
      </c>
      <c r="C89" s="55" t="str">
        <f aca="false">IF($B89="","",INDEX(Journal!$A$5:$A$1504,$B89))</f>
        <v/>
      </c>
      <c r="D89" s="54" t="str">
        <f aca="false">IF($B89="","",INDEX(Journal!$B$5:$B$1504,$B89))</f>
        <v/>
      </c>
      <c r="E89" s="54" t="str">
        <f aca="false">IF($B89="","",INDEX(Journal!$C$5:$C$1504,$B89))</f>
        <v/>
      </c>
      <c r="F89" s="54" t="str">
        <f aca="false">IF($B89="","",IF(INDEX(Journal!$D$5:$D$1504,$B89)=$C$4,INDEX(Journal!$E$5:$E$1504,$B89),INDEX(Journal!$D$5:$D$1504,$B89)))</f>
        <v/>
      </c>
      <c r="G89" s="56" t="str">
        <f aca="false">IF($B89="","",IF(INDEX(Journal!$D$5:$D$1504,$B89)=$C$4,INDEX(Journal!$M$5:$M$1504,$B89),0))</f>
        <v/>
      </c>
      <c r="H89" s="56" t="str">
        <f aca="false">IF($B89="","",IF(INDEX(Journal!$E$5:$E$1504,$B89)=$C$4,INDEX(Journal!$N$5:$N$1504,$B89),0))</f>
        <v/>
      </c>
      <c r="I89" s="56" t="str">
        <f aca="false">IF($B89="","",IF(OR($G$4="Aktiv",$G$4="Aufwand"),I88+G89-H89,I88+H89-G89))</f>
        <v/>
      </c>
    </row>
    <row r="90" customFormat="false" ht="15" hidden="false" customHeight="false" outlineLevel="0" collapsed="false">
      <c r="A90" s="54" t="n">
        <v>83</v>
      </c>
      <c r="B90" s="54" t="str">
        <f aca="false">IFERROR(MATCH(A90,Journal!$W$5:$W$1504,0),"")</f>
        <v/>
      </c>
      <c r="C90" s="55" t="str">
        <f aca="false">IF($B90="","",INDEX(Journal!$A$5:$A$1504,$B90))</f>
        <v/>
      </c>
      <c r="D90" s="54" t="str">
        <f aca="false">IF($B90="","",INDEX(Journal!$B$5:$B$1504,$B90))</f>
        <v/>
      </c>
      <c r="E90" s="54" t="str">
        <f aca="false">IF($B90="","",INDEX(Journal!$C$5:$C$1504,$B90))</f>
        <v/>
      </c>
      <c r="F90" s="54" t="str">
        <f aca="false">IF($B90="","",IF(INDEX(Journal!$D$5:$D$1504,$B90)=$C$4,INDEX(Journal!$E$5:$E$1504,$B90),INDEX(Journal!$D$5:$D$1504,$B90)))</f>
        <v/>
      </c>
      <c r="G90" s="56" t="str">
        <f aca="false">IF($B90="","",IF(INDEX(Journal!$D$5:$D$1504,$B90)=$C$4,INDEX(Journal!$M$5:$M$1504,$B90),0))</f>
        <v/>
      </c>
      <c r="H90" s="56" t="str">
        <f aca="false">IF($B90="","",IF(INDEX(Journal!$E$5:$E$1504,$B90)=$C$4,INDEX(Journal!$N$5:$N$1504,$B90),0))</f>
        <v/>
      </c>
      <c r="I90" s="56" t="str">
        <f aca="false">IF($B90="","",IF(OR($G$4="Aktiv",$G$4="Aufwand"),I89+G90-H90,I89+H90-G90))</f>
        <v/>
      </c>
    </row>
    <row r="91" customFormat="false" ht="15" hidden="false" customHeight="false" outlineLevel="0" collapsed="false">
      <c r="A91" s="54" t="n">
        <v>84</v>
      </c>
      <c r="B91" s="54" t="str">
        <f aca="false">IFERROR(MATCH(A91,Journal!$W$5:$W$1504,0),"")</f>
        <v/>
      </c>
      <c r="C91" s="55" t="str">
        <f aca="false">IF($B91="","",INDEX(Journal!$A$5:$A$1504,$B91))</f>
        <v/>
      </c>
      <c r="D91" s="54" t="str">
        <f aca="false">IF($B91="","",INDEX(Journal!$B$5:$B$1504,$B91))</f>
        <v/>
      </c>
      <c r="E91" s="54" t="str">
        <f aca="false">IF($B91="","",INDEX(Journal!$C$5:$C$1504,$B91))</f>
        <v/>
      </c>
      <c r="F91" s="54" t="str">
        <f aca="false">IF($B91="","",IF(INDEX(Journal!$D$5:$D$1504,$B91)=$C$4,INDEX(Journal!$E$5:$E$1504,$B91),INDEX(Journal!$D$5:$D$1504,$B91)))</f>
        <v/>
      </c>
      <c r="G91" s="56" t="str">
        <f aca="false">IF($B91="","",IF(INDEX(Journal!$D$5:$D$1504,$B91)=$C$4,INDEX(Journal!$M$5:$M$1504,$B91),0))</f>
        <v/>
      </c>
      <c r="H91" s="56" t="str">
        <f aca="false">IF($B91="","",IF(INDEX(Journal!$E$5:$E$1504,$B91)=$C$4,INDEX(Journal!$N$5:$N$1504,$B91),0))</f>
        <v/>
      </c>
      <c r="I91" s="56" t="str">
        <f aca="false">IF($B91="","",IF(OR($G$4="Aktiv",$G$4="Aufwand"),I90+G91-H91,I90+H91-G91))</f>
        <v/>
      </c>
    </row>
    <row r="92" customFormat="false" ht="15" hidden="false" customHeight="false" outlineLevel="0" collapsed="false">
      <c r="A92" s="54" t="n">
        <v>85</v>
      </c>
      <c r="B92" s="54" t="str">
        <f aca="false">IFERROR(MATCH(A92,Journal!$W$5:$W$1504,0),"")</f>
        <v/>
      </c>
      <c r="C92" s="55" t="str">
        <f aca="false">IF($B92="","",INDEX(Journal!$A$5:$A$1504,$B92))</f>
        <v/>
      </c>
      <c r="D92" s="54" t="str">
        <f aca="false">IF($B92="","",INDEX(Journal!$B$5:$B$1504,$B92))</f>
        <v/>
      </c>
      <c r="E92" s="54" t="str">
        <f aca="false">IF($B92="","",INDEX(Journal!$C$5:$C$1504,$B92))</f>
        <v/>
      </c>
      <c r="F92" s="54" t="str">
        <f aca="false">IF($B92="","",IF(INDEX(Journal!$D$5:$D$1504,$B92)=$C$4,INDEX(Journal!$E$5:$E$1504,$B92),INDEX(Journal!$D$5:$D$1504,$B92)))</f>
        <v/>
      </c>
      <c r="G92" s="56" t="str">
        <f aca="false">IF($B92="","",IF(INDEX(Journal!$D$5:$D$1504,$B92)=$C$4,INDEX(Journal!$M$5:$M$1504,$B92),0))</f>
        <v/>
      </c>
      <c r="H92" s="56" t="str">
        <f aca="false">IF($B92="","",IF(INDEX(Journal!$E$5:$E$1504,$B92)=$C$4,INDEX(Journal!$N$5:$N$1504,$B92),0))</f>
        <v/>
      </c>
      <c r="I92" s="56" t="str">
        <f aca="false">IF($B92="","",IF(OR($G$4="Aktiv",$G$4="Aufwand"),I91+G92-H92,I91+H92-G92))</f>
        <v/>
      </c>
    </row>
    <row r="93" customFormat="false" ht="15" hidden="false" customHeight="false" outlineLevel="0" collapsed="false">
      <c r="A93" s="54" t="n">
        <v>86</v>
      </c>
      <c r="B93" s="54" t="str">
        <f aca="false">IFERROR(MATCH(A93,Journal!$W$5:$W$1504,0),"")</f>
        <v/>
      </c>
      <c r="C93" s="55" t="str">
        <f aca="false">IF($B93="","",INDEX(Journal!$A$5:$A$1504,$B93))</f>
        <v/>
      </c>
      <c r="D93" s="54" t="str">
        <f aca="false">IF($B93="","",INDEX(Journal!$B$5:$B$1504,$B93))</f>
        <v/>
      </c>
      <c r="E93" s="54" t="str">
        <f aca="false">IF($B93="","",INDEX(Journal!$C$5:$C$1504,$B93))</f>
        <v/>
      </c>
      <c r="F93" s="54" t="str">
        <f aca="false">IF($B93="","",IF(INDEX(Journal!$D$5:$D$1504,$B93)=$C$4,INDEX(Journal!$E$5:$E$1504,$B93),INDEX(Journal!$D$5:$D$1504,$B93)))</f>
        <v/>
      </c>
      <c r="G93" s="56" t="str">
        <f aca="false">IF($B93="","",IF(INDEX(Journal!$D$5:$D$1504,$B93)=$C$4,INDEX(Journal!$M$5:$M$1504,$B93),0))</f>
        <v/>
      </c>
      <c r="H93" s="56" t="str">
        <f aca="false">IF($B93="","",IF(INDEX(Journal!$E$5:$E$1504,$B93)=$C$4,INDEX(Journal!$N$5:$N$1504,$B93),0))</f>
        <v/>
      </c>
      <c r="I93" s="56" t="str">
        <f aca="false">IF($B93="","",IF(OR($G$4="Aktiv",$G$4="Aufwand"),I92+G93-H93,I92+H93-G93))</f>
        <v/>
      </c>
    </row>
    <row r="94" customFormat="false" ht="15" hidden="false" customHeight="false" outlineLevel="0" collapsed="false">
      <c r="A94" s="54" t="n">
        <v>87</v>
      </c>
      <c r="B94" s="54" t="str">
        <f aca="false">IFERROR(MATCH(A94,Journal!$W$5:$W$1504,0),"")</f>
        <v/>
      </c>
      <c r="C94" s="55" t="str">
        <f aca="false">IF($B94="","",INDEX(Journal!$A$5:$A$1504,$B94))</f>
        <v/>
      </c>
      <c r="D94" s="54" t="str">
        <f aca="false">IF($B94="","",INDEX(Journal!$B$5:$B$1504,$B94))</f>
        <v/>
      </c>
      <c r="E94" s="54" t="str">
        <f aca="false">IF($B94="","",INDEX(Journal!$C$5:$C$1504,$B94))</f>
        <v/>
      </c>
      <c r="F94" s="54" t="str">
        <f aca="false">IF($B94="","",IF(INDEX(Journal!$D$5:$D$1504,$B94)=$C$4,INDEX(Journal!$E$5:$E$1504,$B94),INDEX(Journal!$D$5:$D$1504,$B94)))</f>
        <v/>
      </c>
      <c r="G94" s="56" t="str">
        <f aca="false">IF($B94="","",IF(INDEX(Journal!$D$5:$D$1504,$B94)=$C$4,INDEX(Journal!$M$5:$M$1504,$B94),0))</f>
        <v/>
      </c>
      <c r="H94" s="56" t="str">
        <f aca="false">IF($B94="","",IF(INDEX(Journal!$E$5:$E$1504,$B94)=$C$4,INDEX(Journal!$N$5:$N$1504,$B94),0))</f>
        <v/>
      </c>
      <c r="I94" s="56" t="str">
        <f aca="false">IF($B94="","",IF(OR($G$4="Aktiv",$G$4="Aufwand"),I93+G94-H94,I93+H94-G94))</f>
        <v/>
      </c>
    </row>
    <row r="95" customFormat="false" ht="15" hidden="false" customHeight="false" outlineLevel="0" collapsed="false">
      <c r="A95" s="54" t="n">
        <v>88</v>
      </c>
      <c r="B95" s="54" t="str">
        <f aca="false">IFERROR(MATCH(A95,Journal!$W$5:$W$1504,0),"")</f>
        <v/>
      </c>
      <c r="C95" s="55" t="str">
        <f aca="false">IF($B95="","",INDEX(Journal!$A$5:$A$1504,$B95))</f>
        <v/>
      </c>
      <c r="D95" s="54" t="str">
        <f aca="false">IF($B95="","",INDEX(Journal!$B$5:$B$1504,$B95))</f>
        <v/>
      </c>
      <c r="E95" s="54" t="str">
        <f aca="false">IF($B95="","",INDEX(Journal!$C$5:$C$1504,$B95))</f>
        <v/>
      </c>
      <c r="F95" s="54" t="str">
        <f aca="false">IF($B95="","",IF(INDEX(Journal!$D$5:$D$1504,$B95)=$C$4,INDEX(Journal!$E$5:$E$1504,$B95),INDEX(Journal!$D$5:$D$1504,$B95)))</f>
        <v/>
      </c>
      <c r="G95" s="56" t="str">
        <f aca="false">IF($B95="","",IF(INDEX(Journal!$D$5:$D$1504,$B95)=$C$4,INDEX(Journal!$M$5:$M$1504,$B95),0))</f>
        <v/>
      </c>
      <c r="H95" s="56" t="str">
        <f aca="false">IF($B95="","",IF(INDEX(Journal!$E$5:$E$1504,$B95)=$C$4,INDEX(Journal!$N$5:$N$1504,$B95),0))</f>
        <v/>
      </c>
      <c r="I95" s="56" t="str">
        <f aca="false">IF($B95="","",IF(OR($G$4="Aktiv",$G$4="Aufwand"),I94+G95-H95,I94+H95-G95))</f>
        <v/>
      </c>
    </row>
    <row r="96" customFormat="false" ht="15" hidden="false" customHeight="false" outlineLevel="0" collapsed="false">
      <c r="A96" s="54" t="n">
        <v>89</v>
      </c>
      <c r="B96" s="54" t="str">
        <f aca="false">IFERROR(MATCH(A96,Journal!$W$5:$W$1504,0),"")</f>
        <v/>
      </c>
      <c r="C96" s="55" t="str">
        <f aca="false">IF($B96="","",INDEX(Journal!$A$5:$A$1504,$B96))</f>
        <v/>
      </c>
      <c r="D96" s="54" t="str">
        <f aca="false">IF($B96="","",INDEX(Journal!$B$5:$B$1504,$B96))</f>
        <v/>
      </c>
      <c r="E96" s="54" t="str">
        <f aca="false">IF($B96="","",INDEX(Journal!$C$5:$C$1504,$B96))</f>
        <v/>
      </c>
      <c r="F96" s="54" t="str">
        <f aca="false">IF($B96="","",IF(INDEX(Journal!$D$5:$D$1504,$B96)=$C$4,INDEX(Journal!$E$5:$E$1504,$B96),INDEX(Journal!$D$5:$D$1504,$B96)))</f>
        <v/>
      </c>
      <c r="G96" s="56" t="str">
        <f aca="false">IF($B96="","",IF(INDEX(Journal!$D$5:$D$1504,$B96)=$C$4,INDEX(Journal!$M$5:$M$1504,$B96),0))</f>
        <v/>
      </c>
      <c r="H96" s="56" t="str">
        <f aca="false">IF($B96="","",IF(INDEX(Journal!$E$5:$E$1504,$B96)=$C$4,INDEX(Journal!$N$5:$N$1504,$B96),0))</f>
        <v/>
      </c>
      <c r="I96" s="56" t="str">
        <f aca="false">IF($B96="","",IF(OR($G$4="Aktiv",$G$4="Aufwand"),I95+G96-H96,I95+H96-G96))</f>
        <v/>
      </c>
    </row>
    <row r="97" customFormat="false" ht="15" hidden="false" customHeight="false" outlineLevel="0" collapsed="false">
      <c r="A97" s="54" t="n">
        <v>90</v>
      </c>
      <c r="B97" s="54" t="str">
        <f aca="false">IFERROR(MATCH(A97,Journal!$W$5:$W$1504,0),"")</f>
        <v/>
      </c>
      <c r="C97" s="55" t="str">
        <f aca="false">IF($B97="","",INDEX(Journal!$A$5:$A$1504,$B97))</f>
        <v/>
      </c>
      <c r="D97" s="54" t="str">
        <f aca="false">IF($B97="","",INDEX(Journal!$B$5:$B$1504,$B97))</f>
        <v/>
      </c>
      <c r="E97" s="54" t="str">
        <f aca="false">IF($B97="","",INDEX(Journal!$C$5:$C$1504,$B97))</f>
        <v/>
      </c>
      <c r="F97" s="54" t="str">
        <f aca="false">IF($B97="","",IF(INDEX(Journal!$D$5:$D$1504,$B97)=$C$4,INDEX(Journal!$E$5:$E$1504,$B97),INDEX(Journal!$D$5:$D$1504,$B97)))</f>
        <v/>
      </c>
      <c r="G97" s="56" t="str">
        <f aca="false">IF($B97="","",IF(INDEX(Journal!$D$5:$D$1504,$B97)=$C$4,INDEX(Journal!$M$5:$M$1504,$B97),0))</f>
        <v/>
      </c>
      <c r="H97" s="56" t="str">
        <f aca="false">IF($B97="","",IF(INDEX(Journal!$E$5:$E$1504,$B97)=$C$4,INDEX(Journal!$N$5:$N$1504,$B97),0))</f>
        <v/>
      </c>
      <c r="I97" s="56" t="str">
        <f aca="false">IF($B97="","",IF(OR($G$4="Aktiv",$G$4="Aufwand"),I96+G97-H97,I96+H97-G97))</f>
        <v/>
      </c>
    </row>
    <row r="98" customFormat="false" ht="15" hidden="false" customHeight="false" outlineLevel="0" collapsed="false">
      <c r="A98" s="54" t="n">
        <v>91</v>
      </c>
      <c r="B98" s="54" t="str">
        <f aca="false">IFERROR(MATCH(A98,Journal!$W$5:$W$1504,0),"")</f>
        <v/>
      </c>
      <c r="C98" s="55" t="str">
        <f aca="false">IF($B98="","",INDEX(Journal!$A$5:$A$1504,$B98))</f>
        <v/>
      </c>
      <c r="D98" s="54" t="str">
        <f aca="false">IF($B98="","",INDEX(Journal!$B$5:$B$1504,$B98))</f>
        <v/>
      </c>
      <c r="E98" s="54" t="str">
        <f aca="false">IF($B98="","",INDEX(Journal!$C$5:$C$1504,$B98))</f>
        <v/>
      </c>
      <c r="F98" s="54" t="str">
        <f aca="false">IF($B98="","",IF(INDEX(Journal!$D$5:$D$1504,$B98)=$C$4,INDEX(Journal!$E$5:$E$1504,$B98),INDEX(Journal!$D$5:$D$1504,$B98)))</f>
        <v/>
      </c>
      <c r="G98" s="56" t="str">
        <f aca="false">IF($B98="","",IF(INDEX(Journal!$D$5:$D$1504,$B98)=$C$4,INDEX(Journal!$M$5:$M$1504,$B98),0))</f>
        <v/>
      </c>
      <c r="H98" s="56" t="str">
        <f aca="false">IF($B98="","",IF(INDEX(Journal!$E$5:$E$1504,$B98)=$C$4,INDEX(Journal!$N$5:$N$1504,$B98),0))</f>
        <v/>
      </c>
      <c r="I98" s="56" t="str">
        <f aca="false">IF($B98="","",IF(OR($G$4="Aktiv",$G$4="Aufwand"),I97+G98-H98,I97+H98-G98))</f>
        <v/>
      </c>
    </row>
    <row r="99" customFormat="false" ht="15" hidden="false" customHeight="false" outlineLevel="0" collapsed="false">
      <c r="A99" s="54" t="n">
        <v>92</v>
      </c>
      <c r="B99" s="54" t="str">
        <f aca="false">IFERROR(MATCH(A99,Journal!$W$5:$W$1504,0),"")</f>
        <v/>
      </c>
      <c r="C99" s="55" t="str">
        <f aca="false">IF($B99="","",INDEX(Journal!$A$5:$A$1504,$B99))</f>
        <v/>
      </c>
      <c r="D99" s="54" t="str">
        <f aca="false">IF($B99="","",INDEX(Journal!$B$5:$B$1504,$B99))</f>
        <v/>
      </c>
      <c r="E99" s="54" t="str">
        <f aca="false">IF($B99="","",INDEX(Journal!$C$5:$C$1504,$B99))</f>
        <v/>
      </c>
      <c r="F99" s="54" t="str">
        <f aca="false">IF($B99="","",IF(INDEX(Journal!$D$5:$D$1504,$B99)=$C$4,INDEX(Journal!$E$5:$E$1504,$B99),INDEX(Journal!$D$5:$D$1504,$B99)))</f>
        <v/>
      </c>
      <c r="G99" s="56" t="str">
        <f aca="false">IF($B99="","",IF(INDEX(Journal!$D$5:$D$1504,$B99)=$C$4,INDEX(Journal!$M$5:$M$1504,$B99),0))</f>
        <v/>
      </c>
      <c r="H99" s="56" t="str">
        <f aca="false">IF($B99="","",IF(INDEX(Journal!$E$5:$E$1504,$B99)=$C$4,INDEX(Journal!$N$5:$N$1504,$B99),0))</f>
        <v/>
      </c>
      <c r="I99" s="56" t="str">
        <f aca="false">IF($B99="","",IF(OR($G$4="Aktiv",$G$4="Aufwand"),I98+G99-H99,I98+H99-G99))</f>
        <v/>
      </c>
    </row>
    <row r="100" customFormat="false" ht="15" hidden="false" customHeight="false" outlineLevel="0" collapsed="false">
      <c r="A100" s="54" t="n">
        <v>93</v>
      </c>
      <c r="B100" s="54" t="str">
        <f aca="false">IFERROR(MATCH(A100,Journal!$W$5:$W$1504,0),"")</f>
        <v/>
      </c>
      <c r="C100" s="55" t="str">
        <f aca="false">IF($B100="","",INDEX(Journal!$A$5:$A$1504,$B100))</f>
        <v/>
      </c>
      <c r="D100" s="54" t="str">
        <f aca="false">IF($B100="","",INDEX(Journal!$B$5:$B$1504,$B100))</f>
        <v/>
      </c>
      <c r="E100" s="54" t="str">
        <f aca="false">IF($B100="","",INDEX(Journal!$C$5:$C$1504,$B100))</f>
        <v/>
      </c>
      <c r="F100" s="54" t="str">
        <f aca="false">IF($B100="","",IF(INDEX(Journal!$D$5:$D$1504,$B100)=$C$4,INDEX(Journal!$E$5:$E$1504,$B100),INDEX(Journal!$D$5:$D$1504,$B100)))</f>
        <v/>
      </c>
      <c r="G100" s="56" t="str">
        <f aca="false">IF($B100="","",IF(INDEX(Journal!$D$5:$D$1504,$B100)=$C$4,INDEX(Journal!$M$5:$M$1504,$B100),0))</f>
        <v/>
      </c>
      <c r="H100" s="56" t="str">
        <f aca="false">IF($B100="","",IF(INDEX(Journal!$E$5:$E$1504,$B100)=$C$4,INDEX(Journal!$N$5:$N$1504,$B100),0))</f>
        <v/>
      </c>
      <c r="I100" s="56" t="str">
        <f aca="false">IF($B100="","",IF(OR($G$4="Aktiv",$G$4="Aufwand"),I99+G100-H100,I99+H100-G100))</f>
        <v/>
      </c>
    </row>
    <row r="101" customFormat="false" ht="15" hidden="false" customHeight="false" outlineLevel="0" collapsed="false">
      <c r="A101" s="54" t="n">
        <v>94</v>
      </c>
      <c r="B101" s="54" t="str">
        <f aca="false">IFERROR(MATCH(A101,Journal!$W$5:$W$1504,0),"")</f>
        <v/>
      </c>
      <c r="C101" s="55" t="str">
        <f aca="false">IF($B101="","",INDEX(Journal!$A$5:$A$1504,$B101))</f>
        <v/>
      </c>
      <c r="D101" s="54" t="str">
        <f aca="false">IF($B101="","",INDEX(Journal!$B$5:$B$1504,$B101))</f>
        <v/>
      </c>
      <c r="E101" s="54" t="str">
        <f aca="false">IF($B101="","",INDEX(Journal!$C$5:$C$1504,$B101))</f>
        <v/>
      </c>
      <c r="F101" s="54" t="str">
        <f aca="false">IF($B101="","",IF(INDEX(Journal!$D$5:$D$1504,$B101)=$C$4,INDEX(Journal!$E$5:$E$1504,$B101),INDEX(Journal!$D$5:$D$1504,$B101)))</f>
        <v/>
      </c>
      <c r="G101" s="56" t="str">
        <f aca="false">IF($B101="","",IF(INDEX(Journal!$D$5:$D$1504,$B101)=$C$4,INDEX(Journal!$M$5:$M$1504,$B101),0))</f>
        <v/>
      </c>
      <c r="H101" s="56" t="str">
        <f aca="false">IF($B101="","",IF(INDEX(Journal!$E$5:$E$1504,$B101)=$C$4,INDEX(Journal!$N$5:$N$1504,$B101),0))</f>
        <v/>
      </c>
      <c r="I101" s="56" t="str">
        <f aca="false">IF($B101="","",IF(OR($G$4="Aktiv",$G$4="Aufwand"),I100+G101-H101,I100+H101-G101))</f>
        <v/>
      </c>
    </row>
    <row r="102" customFormat="false" ht="15" hidden="false" customHeight="false" outlineLevel="0" collapsed="false">
      <c r="A102" s="54" t="n">
        <v>95</v>
      </c>
      <c r="B102" s="54" t="str">
        <f aca="false">IFERROR(MATCH(A102,Journal!$W$5:$W$1504,0),"")</f>
        <v/>
      </c>
      <c r="C102" s="55" t="str">
        <f aca="false">IF($B102="","",INDEX(Journal!$A$5:$A$1504,$B102))</f>
        <v/>
      </c>
      <c r="D102" s="54" t="str">
        <f aca="false">IF($B102="","",INDEX(Journal!$B$5:$B$1504,$B102))</f>
        <v/>
      </c>
      <c r="E102" s="54" t="str">
        <f aca="false">IF($B102="","",INDEX(Journal!$C$5:$C$1504,$B102))</f>
        <v/>
      </c>
      <c r="F102" s="54" t="str">
        <f aca="false">IF($B102="","",IF(INDEX(Journal!$D$5:$D$1504,$B102)=$C$4,INDEX(Journal!$E$5:$E$1504,$B102),INDEX(Journal!$D$5:$D$1504,$B102)))</f>
        <v/>
      </c>
      <c r="G102" s="56" t="str">
        <f aca="false">IF($B102="","",IF(INDEX(Journal!$D$5:$D$1504,$B102)=$C$4,INDEX(Journal!$M$5:$M$1504,$B102),0))</f>
        <v/>
      </c>
      <c r="H102" s="56" t="str">
        <f aca="false">IF($B102="","",IF(INDEX(Journal!$E$5:$E$1504,$B102)=$C$4,INDEX(Journal!$N$5:$N$1504,$B102),0))</f>
        <v/>
      </c>
      <c r="I102" s="56" t="str">
        <f aca="false">IF($B102="","",IF(OR($G$4="Aktiv",$G$4="Aufwand"),I101+G102-H102,I101+H102-G102))</f>
        <v/>
      </c>
    </row>
    <row r="103" customFormat="false" ht="15" hidden="false" customHeight="false" outlineLevel="0" collapsed="false">
      <c r="A103" s="54" t="n">
        <v>96</v>
      </c>
      <c r="B103" s="54" t="str">
        <f aca="false">IFERROR(MATCH(A103,Journal!$W$5:$W$1504,0),"")</f>
        <v/>
      </c>
      <c r="C103" s="55" t="str">
        <f aca="false">IF($B103="","",INDEX(Journal!$A$5:$A$1504,$B103))</f>
        <v/>
      </c>
      <c r="D103" s="54" t="str">
        <f aca="false">IF($B103="","",INDEX(Journal!$B$5:$B$1504,$B103))</f>
        <v/>
      </c>
      <c r="E103" s="54" t="str">
        <f aca="false">IF($B103="","",INDEX(Journal!$C$5:$C$1504,$B103))</f>
        <v/>
      </c>
      <c r="F103" s="54" t="str">
        <f aca="false">IF($B103="","",IF(INDEX(Journal!$D$5:$D$1504,$B103)=$C$4,INDEX(Journal!$E$5:$E$1504,$B103),INDEX(Journal!$D$5:$D$1504,$B103)))</f>
        <v/>
      </c>
      <c r="G103" s="56" t="str">
        <f aca="false">IF($B103="","",IF(INDEX(Journal!$D$5:$D$1504,$B103)=$C$4,INDEX(Journal!$M$5:$M$1504,$B103),0))</f>
        <v/>
      </c>
      <c r="H103" s="56" t="str">
        <f aca="false">IF($B103="","",IF(INDEX(Journal!$E$5:$E$1504,$B103)=$C$4,INDEX(Journal!$N$5:$N$1504,$B103),0))</f>
        <v/>
      </c>
      <c r="I103" s="56" t="str">
        <f aca="false">IF($B103="","",IF(OR($G$4="Aktiv",$G$4="Aufwand"),I102+G103-H103,I102+H103-G103))</f>
        <v/>
      </c>
    </row>
    <row r="104" customFormat="false" ht="15" hidden="false" customHeight="false" outlineLevel="0" collapsed="false">
      <c r="A104" s="54" t="n">
        <v>97</v>
      </c>
      <c r="B104" s="54" t="str">
        <f aca="false">IFERROR(MATCH(A104,Journal!$W$5:$W$1504,0),"")</f>
        <v/>
      </c>
      <c r="C104" s="55" t="str">
        <f aca="false">IF($B104="","",INDEX(Journal!$A$5:$A$1504,$B104))</f>
        <v/>
      </c>
      <c r="D104" s="54" t="str">
        <f aca="false">IF($B104="","",INDEX(Journal!$B$5:$B$1504,$B104))</f>
        <v/>
      </c>
      <c r="E104" s="54" t="str">
        <f aca="false">IF($B104="","",INDEX(Journal!$C$5:$C$1504,$B104))</f>
        <v/>
      </c>
      <c r="F104" s="54" t="str">
        <f aca="false">IF($B104="","",IF(INDEX(Journal!$D$5:$D$1504,$B104)=$C$4,INDEX(Journal!$E$5:$E$1504,$B104),INDEX(Journal!$D$5:$D$1504,$B104)))</f>
        <v/>
      </c>
      <c r="G104" s="56" t="str">
        <f aca="false">IF($B104="","",IF(INDEX(Journal!$D$5:$D$1504,$B104)=$C$4,INDEX(Journal!$M$5:$M$1504,$B104),0))</f>
        <v/>
      </c>
      <c r="H104" s="56" t="str">
        <f aca="false">IF($B104="","",IF(INDEX(Journal!$E$5:$E$1504,$B104)=$C$4,INDEX(Journal!$N$5:$N$1504,$B104),0))</f>
        <v/>
      </c>
      <c r="I104" s="56" t="str">
        <f aca="false">IF($B104="","",IF(OR($G$4="Aktiv",$G$4="Aufwand"),I103+G104-H104,I103+H104-G104))</f>
        <v/>
      </c>
    </row>
    <row r="105" customFormat="false" ht="15" hidden="false" customHeight="false" outlineLevel="0" collapsed="false">
      <c r="A105" s="54" t="n">
        <v>98</v>
      </c>
      <c r="B105" s="54" t="str">
        <f aca="false">IFERROR(MATCH(A105,Journal!$W$5:$W$1504,0),"")</f>
        <v/>
      </c>
      <c r="C105" s="55" t="str">
        <f aca="false">IF($B105="","",INDEX(Journal!$A$5:$A$1504,$B105))</f>
        <v/>
      </c>
      <c r="D105" s="54" t="str">
        <f aca="false">IF($B105="","",INDEX(Journal!$B$5:$B$1504,$B105))</f>
        <v/>
      </c>
      <c r="E105" s="54" t="str">
        <f aca="false">IF($B105="","",INDEX(Journal!$C$5:$C$1504,$B105))</f>
        <v/>
      </c>
      <c r="F105" s="54" t="str">
        <f aca="false">IF($B105="","",IF(INDEX(Journal!$D$5:$D$1504,$B105)=$C$4,INDEX(Journal!$E$5:$E$1504,$B105),INDEX(Journal!$D$5:$D$1504,$B105)))</f>
        <v/>
      </c>
      <c r="G105" s="56" t="str">
        <f aca="false">IF($B105="","",IF(INDEX(Journal!$D$5:$D$1504,$B105)=$C$4,INDEX(Journal!$M$5:$M$1504,$B105),0))</f>
        <v/>
      </c>
      <c r="H105" s="56" t="str">
        <f aca="false">IF($B105="","",IF(INDEX(Journal!$E$5:$E$1504,$B105)=$C$4,INDEX(Journal!$N$5:$N$1504,$B105),0))</f>
        <v/>
      </c>
      <c r="I105" s="56" t="str">
        <f aca="false">IF($B105="","",IF(OR($G$4="Aktiv",$G$4="Aufwand"),I104+G105-H105,I104+H105-G105))</f>
        <v/>
      </c>
    </row>
    <row r="106" customFormat="false" ht="15" hidden="false" customHeight="false" outlineLevel="0" collapsed="false">
      <c r="A106" s="54" t="n">
        <v>99</v>
      </c>
      <c r="B106" s="54" t="str">
        <f aca="false">IFERROR(MATCH(A106,Journal!$W$5:$W$1504,0),"")</f>
        <v/>
      </c>
      <c r="C106" s="55" t="str">
        <f aca="false">IF($B106="","",INDEX(Journal!$A$5:$A$1504,$B106))</f>
        <v/>
      </c>
      <c r="D106" s="54" t="str">
        <f aca="false">IF($B106="","",INDEX(Journal!$B$5:$B$1504,$B106))</f>
        <v/>
      </c>
      <c r="E106" s="54" t="str">
        <f aca="false">IF($B106="","",INDEX(Journal!$C$5:$C$1504,$B106))</f>
        <v/>
      </c>
      <c r="F106" s="54" t="str">
        <f aca="false">IF($B106="","",IF(INDEX(Journal!$D$5:$D$1504,$B106)=$C$4,INDEX(Journal!$E$5:$E$1504,$B106),INDEX(Journal!$D$5:$D$1504,$B106)))</f>
        <v/>
      </c>
      <c r="G106" s="56" t="str">
        <f aca="false">IF($B106="","",IF(INDEX(Journal!$D$5:$D$1504,$B106)=$C$4,INDEX(Journal!$M$5:$M$1504,$B106),0))</f>
        <v/>
      </c>
      <c r="H106" s="56" t="str">
        <f aca="false">IF($B106="","",IF(INDEX(Journal!$E$5:$E$1504,$B106)=$C$4,INDEX(Journal!$N$5:$N$1504,$B106),0))</f>
        <v/>
      </c>
      <c r="I106" s="56" t="str">
        <f aca="false">IF($B106="","",IF(OR($G$4="Aktiv",$G$4="Aufwand"),I105+G106-H106,I105+H106-G106))</f>
        <v/>
      </c>
    </row>
    <row r="107" customFormat="false" ht="15" hidden="false" customHeight="false" outlineLevel="0" collapsed="false">
      <c r="A107" s="54" t="n">
        <v>100</v>
      </c>
      <c r="B107" s="54" t="str">
        <f aca="false">IFERROR(MATCH(A107,Journal!$W$5:$W$1504,0),"")</f>
        <v/>
      </c>
      <c r="C107" s="55" t="str">
        <f aca="false">IF($B107="","",INDEX(Journal!$A$5:$A$1504,$B107))</f>
        <v/>
      </c>
      <c r="D107" s="54" t="str">
        <f aca="false">IF($B107="","",INDEX(Journal!$B$5:$B$1504,$B107))</f>
        <v/>
      </c>
      <c r="E107" s="54" t="str">
        <f aca="false">IF($B107="","",INDEX(Journal!$C$5:$C$1504,$B107))</f>
        <v/>
      </c>
      <c r="F107" s="54" t="str">
        <f aca="false">IF($B107="","",IF(INDEX(Journal!$D$5:$D$1504,$B107)=$C$4,INDEX(Journal!$E$5:$E$1504,$B107),INDEX(Journal!$D$5:$D$1504,$B107)))</f>
        <v/>
      </c>
      <c r="G107" s="56" t="str">
        <f aca="false">IF($B107="","",IF(INDEX(Journal!$D$5:$D$1504,$B107)=$C$4,INDEX(Journal!$M$5:$M$1504,$B107),0))</f>
        <v/>
      </c>
      <c r="H107" s="56" t="str">
        <f aca="false">IF($B107="","",IF(INDEX(Journal!$E$5:$E$1504,$B107)=$C$4,INDEX(Journal!$N$5:$N$1504,$B107),0))</f>
        <v/>
      </c>
      <c r="I107" s="56" t="str">
        <f aca="false">IF($B107="","",IF(OR($G$4="Aktiv",$G$4="Aufwand"),I106+G107-H107,I106+H107-G107))</f>
        <v/>
      </c>
    </row>
    <row r="108" customFormat="false" ht="15" hidden="false" customHeight="false" outlineLevel="0" collapsed="false">
      <c r="A108" s="54" t="n">
        <v>101</v>
      </c>
      <c r="B108" s="54" t="str">
        <f aca="false">IFERROR(MATCH(A108,Journal!$W$5:$W$1504,0),"")</f>
        <v/>
      </c>
      <c r="C108" s="55" t="str">
        <f aca="false">IF($B108="","",INDEX(Journal!$A$5:$A$1504,$B108))</f>
        <v/>
      </c>
      <c r="D108" s="54" t="str">
        <f aca="false">IF($B108="","",INDEX(Journal!$B$5:$B$1504,$B108))</f>
        <v/>
      </c>
      <c r="E108" s="54" t="str">
        <f aca="false">IF($B108="","",INDEX(Journal!$C$5:$C$1504,$B108))</f>
        <v/>
      </c>
      <c r="F108" s="54" t="str">
        <f aca="false">IF($B108="","",IF(INDEX(Journal!$D$5:$D$1504,$B108)=$C$4,INDEX(Journal!$E$5:$E$1504,$B108),INDEX(Journal!$D$5:$D$1504,$B108)))</f>
        <v/>
      </c>
      <c r="G108" s="56" t="str">
        <f aca="false">IF($B108="","",IF(INDEX(Journal!$D$5:$D$1504,$B108)=$C$4,INDEX(Journal!$M$5:$M$1504,$B108),0))</f>
        <v/>
      </c>
      <c r="H108" s="56" t="str">
        <f aca="false">IF($B108="","",IF(INDEX(Journal!$E$5:$E$1504,$B108)=$C$4,INDEX(Journal!$N$5:$N$1504,$B108),0))</f>
        <v/>
      </c>
      <c r="I108" s="56" t="str">
        <f aca="false">IF($B108="","",IF(OR($G$4="Aktiv",$G$4="Aufwand"),I107+G108-H108,I107+H108-G108))</f>
        <v/>
      </c>
    </row>
    <row r="109" customFormat="false" ht="15" hidden="false" customHeight="false" outlineLevel="0" collapsed="false">
      <c r="A109" s="54" t="n">
        <v>102</v>
      </c>
      <c r="B109" s="54" t="str">
        <f aca="false">IFERROR(MATCH(A109,Journal!$W$5:$W$1504,0),"")</f>
        <v/>
      </c>
      <c r="C109" s="55" t="str">
        <f aca="false">IF($B109="","",INDEX(Journal!$A$5:$A$1504,$B109))</f>
        <v/>
      </c>
      <c r="D109" s="54" t="str">
        <f aca="false">IF($B109="","",INDEX(Journal!$B$5:$B$1504,$B109))</f>
        <v/>
      </c>
      <c r="E109" s="54" t="str">
        <f aca="false">IF($B109="","",INDEX(Journal!$C$5:$C$1504,$B109))</f>
        <v/>
      </c>
      <c r="F109" s="54" t="str">
        <f aca="false">IF($B109="","",IF(INDEX(Journal!$D$5:$D$1504,$B109)=$C$4,INDEX(Journal!$E$5:$E$1504,$B109),INDEX(Journal!$D$5:$D$1504,$B109)))</f>
        <v/>
      </c>
      <c r="G109" s="56" t="str">
        <f aca="false">IF($B109="","",IF(INDEX(Journal!$D$5:$D$1504,$B109)=$C$4,INDEX(Journal!$M$5:$M$1504,$B109),0))</f>
        <v/>
      </c>
      <c r="H109" s="56" t="str">
        <f aca="false">IF($B109="","",IF(INDEX(Journal!$E$5:$E$1504,$B109)=$C$4,INDEX(Journal!$N$5:$N$1504,$B109),0))</f>
        <v/>
      </c>
      <c r="I109" s="56" t="str">
        <f aca="false">IF($B109="","",IF(OR($G$4="Aktiv",$G$4="Aufwand"),I108+G109-H109,I108+H109-G109))</f>
        <v/>
      </c>
    </row>
    <row r="110" customFormat="false" ht="15" hidden="false" customHeight="false" outlineLevel="0" collapsed="false">
      <c r="A110" s="54" t="n">
        <v>103</v>
      </c>
      <c r="B110" s="54" t="str">
        <f aca="false">IFERROR(MATCH(A110,Journal!$W$5:$W$1504,0),"")</f>
        <v/>
      </c>
      <c r="C110" s="55" t="str">
        <f aca="false">IF($B110="","",INDEX(Journal!$A$5:$A$1504,$B110))</f>
        <v/>
      </c>
      <c r="D110" s="54" t="str">
        <f aca="false">IF($B110="","",INDEX(Journal!$B$5:$B$1504,$B110))</f>
        <v/>
      </c>
      <c r="E110" s="54" t="str">
        <f aca="false">IF($B110="","",INDEX(Journal!$C$5:$C$1504,$B110))</f>
        <v/>
      </c>
      <c r="F110" s="54" t="str">
        <f aca="false">IF($B110="","",IF(INDEX(Journal!$D$5:$D$1504,$B110)=$C$4,INDEX(Journal!$E$5:$E$1504,$B110),INDEX(Journal!$D$5:$D$1504,$B110)))</f>
        <v/>
      </c>
      <c r="G110" s="56" t="str">
        <f aca="false">IF($B110="","",IF(INDEX(Journal!$D$5:$D$1504,$B110)=$C$4,INDEX(Journal!$M$5:$M$1504,$B110),0))</f>
        <v/>
      </c>
      <c r="H110" s="56" t="str">
        <f aca="false">IF($B110="","",IF(INDEX(Journal!$E$5:$E$1504,$B110)=$C$4,INDEX(Journal!$N$5:$N$1504,$B110),0))</f>
        <v/>
      </c>
      <c r="I110" s="56" t="str">
        <f aca="false">IF($B110="","",IF(OR($G$4="Aktiv",$G$4="Aufwand"),I109+G110-H110,I109+H110-G110))</f>
        <v/>
      </c>
    </row>
    <row r="111" customFormat="false" ht="15" hidden="false" customHeight="false" outlineLevel="0" collapsed="false">
      <c r="A111" s="54" t="n">
        <v>104</v>
      </c>
      <c r="B111" s="54" t="str">
        <f aca="false">IFERROR(MATCH(A111,Journal!$W$5:$W$1504,0),"")</f>
        <v/>
      </c>
      <c r="C111" s="55" t="str">
        <f aca="false">IF($B111="","",INDEX(Journal!$A$5:$A$1504,$B111))</f>
        <v/>
      </c>
      <c r="D111" s="54" t="str">
        <f aca="false">IF($B111="","",INDEX(Journal!$B$5:$B$1504,$B111))</f>
        <v/>
      </c>
      <c r="E111" s="54" t="str">
        <f aca="false">IF($B111="","",INDEX(Journal!$C$5:$C$1504,$B111))</f>
        <v/>
      </c>
      <c r="F111" s="54" t="str">
        <f aca="false">IF($B111="","",IF(INDEX(Journal!$D$5:$D$1504,$B111)=$C$4,INDEX(Journal!$E$5:$E$1504,$B111),INDEX(Journal!$D$5:$D$1504,$B111)))</f>
        <v/>
      </c>
      <c r="G111" s="56" t="str">
        <f aca="false">IF($B111="","",IF(INDEX(Journal!$D$5:$D$1504,$B111)=$C$4,INDEX(Journal!$M$5:$M$1504,$B111),0))</f>
        <v/>
      </c>
      <c r="H111" s="56" t="str">
        <f aca="false">IF($B111="","",IF(INDEX(Journal!$E$5:$E$1504,$B111)=$C$4,INDEX(Journal!$N$5:$N$1504,$B111),0))</f>
        <v/>
      </c>
      <c r="I111" s="56" t="str">
        <f aca="false">IF($B111="","",IF(OR($G$4="Aktiv",$G$4="Aufwand"),I110+G111-H111,I110+H111-G111))</f>
        <v/>
      </c>
    </row>
    <row r="112" customFormat="false" ht="15" hidden="false" customHeight="false" outlineLevel="0" collapsed="false">
      <c r="A112" s="54" t="n">
        <v>105</v>
      </c>
      <c r="B112" s="54" t="str">
        <f aca="false">IFERROR(MATCH(A112,Journal!$W$5:$W$1504,0),"")</f>
        <v/>
      </c>
      <c r="C112" s="55" t="str">
        <f aca="false">IF($B112="","",INDEX(Journal!$A$5:$A$1504,$B112))</f>
        <v/>
      </c>
      <c r="D112" s="54" t="str">
        <f aca="false">IF($B112="","",INDEX(Journal!$B$5:$B$1504,$B112))</f>
        <v/>
      </c>
      <c r="E112" s="54" t="str">
        <f aca="false">IF($B112="","",INDEX(Journal!$C$5:$C$1504,$B112))</f>
        <v/>
      </c>
      <c r="F112" s="54" t="str">
        <f aca="false">IF($B112="","",IF(INDEX(Journal!$D$5:$D$1504,$B112)=$C$4,INDEX(Journal!$E$5:$E$1504,$B112),INDEX(Journal!$D$5:$D$1504,$B112)))</f>
        <v/>
      </c>
      <c r="G112" s="56" t="str">
        <f aca="false">IF($B112="","",IF(INDEX(Journal!$D$5:$D$1504,$B112)=$C$4,INDEX(Journal!$M$5:$M$1504,$B112),0))</f>
        <v/>
      </c>
      <c r="H112" s="56" t="str">
        <f aca="false">IF($B112="","",IF(INDEX(Journal!$E$5:$E$1504,$B112)=$C$4,INDEX(Journal!$N$5:$N$1504,$B112),0))</f>
        <v/>
      </c>
      <c r="I112" s="56" t="str">
        <f aca="false">IF($B112="","",IF(OR($G$4="Aktiv",$G$4="Aufwand"),I111+G112-H112,I111+H112-G112))</f>
        <v/>
      </c>
    </row>
    <row r="113" customFormat="false" ht="15" hidden="false" customHeight="false" outlineLevel="0" collapsed="false">
      <c r="A113" s="54" t="n">
        <v>106</v>
      </c>
      <c r="B113" s="54" t="str">
        <f aca="false">IFERROR(MATCH(A113,Journal!$W$5:$W$1504,0),"")</f>
        <v/>
      </c>
      <c r="C113" s="55" t="str">
        <f aca="false">IF($B113="","",INDEX(Journal!$A$5:$A$1504,$B113))</f>
        <v/>
      </c>
      <c r="D113" s="54" t="str">
        <f aca="false">IF($B113="","",INDEX(Journal!$B$5:$B$1504,$B113))</f>
        <v/>
      </c>
      <c r="E113" s="54" t="str">
        <f aca="false">IF($B113="","",INDEX(Journal!$C$5:$C$1504,$B113))</f>
        <v/>
      </c>
      <c r="F113" s="54" t="str">
        <f aca="false">IF($B113="","",IF(INDEX(Journal!$D$5:$D$1504,$B113)=$C$4,INDEX(Journal!$E$5:$E$1504,$B113),INDEX(Journal!$D$5:$D$1504,$B113)))</f>
        <v/>
      </c>
      <c r="G113" s="56" t="str">
        <f aca="false">IF($B113="","",IF(INDEX(Journal!$D$5:$D$1504,$B113)=$C$4,INDEX(Journal!$M$5:$M$1504,$B113),0))</f>
        <v/>
      </c>
      <c r="H113" s="56" t="str">
        <f aca="false">IF($B113="","",IF(INDEX(Journal!$E$5:$E$1504,$B113)=$C$4,INDEX(Journal!$N$5:$N$1504,$B113),0))</f>
        <v/>
      </c>
      <c r="I113" s="56" t="str">
        <f aca="false">IF($B113="","",IF(OR($G$4="Aktiv",$G$4="Aufwand"),I112+G113-H113,I112+H113-G113))</f>
        <v/>
      </c>
    </row>
    <row r="114" customFormat="false" ht="15" hidden="false" customHeight="false" outlineLevel="0" collapsed="false">
      <c r="A114" s="54" t="n">
        <v>107</v>
      </c>
      <c r="B114" s="54" t="str">
        <f aca="false">IFERROR(MATCH(A114,Journal!$W$5:$W$1504,0),"")</f>
        <v/>
      </c>
      <c r="C114" s="55" t="str">
        <f aca="false">IF($B114="","",INDEX(Journal!$A$5:$A$1504,$B114))</f>
        <v/>
      </c>
      <c r="D114" s="54" t="str">
        <f aca="false">IF($B114="","",INDEX(Journal!$B$5:$B$1504,$B114))</f>
        <v/>
      </c>
      <c r="E114" s="54" t="str">
        <f aca="false">IF($B114="","",INDEX(Journal!$C$5:$C$1504,$B114))</f>
        <v/>
      </c>
      <c r="F114" s="54" t="str">
        <f aca="false">IF($B114="","",IF(INDEX(Journal!$D$5:$D$1504,$B114)=$C$4,INDEX(Journal!$E$5:$E$1504,$B114),INDEX(Journal!$D$5:$D$1504,$B114)))</f>
        <v/>
      </c>
      <c r="G114" s="56" t="str">
        <f aca="false">IF($B114="","",IF(INDEX(Journal!$D$5:$D$1504,$B114)=$C$4,INDEX(Journal!$M$5:$M$1504,$B114),0))</f>
        <v/>
      </c>
      <c r="H114" s="56" t="str">
        <f aca="false">IF($B114="","",IF(INDEX(Journal!$E$5:$E$1504,$B114)=$C$4,INDEX(Journal!$N$5:$N$1504,$B114),0))</f>
        <v/>
      </c>
      <c r="I114" s="56" t="str">
        <f aca="false">IF($B114="","",IF(OR($G$4="Aktiv",$G$4="Aufwand"),I113+G114-H114,I113+H114-G114))</f>
        <v/>
      </c>
    </row>
    <row r="115" customFormat="false" ht="15" hidden="false" customHeight="false" outlineLevel="0" collapsed="false">
      <c r="A115" s="54" t="n">
        <v>108</v>
      </c>
      <c r="B115" s="54" t="str">
        <f aca="false">IFERROR(MATCH(A115,Journal!$W$5:$W$1504,0),"")</f>
        <v/>
      </c>
      <c r="C115" s="55" t="str">
        <f aca="false">IF($B115="","",INDEX(Journal!$A$5:$A$1504,$B115))</f>
        <v/>
      </c>
      <c r="D115" s="54" t="str">
        <f aca="false">IF($B115="","",INDEX(Journal!$B$5:$B$1504,$B115))</f>
        <v/>
      </c>
      <c r="E115" s="54" t="str">
        <f aca="false">IF($B115="","",INDEX(Journal!$C$5:$C$1504,$B115))</f>
        <v/>
      </c>
      <c r="F115" s="54" t="str">
        <f aca="false">IF($B115="","",IF(INDEX(Journal!$D$5:$D$1504,$B115)=$C$4,INDEX(Journal!$E$5:$E$1504,$B115),INDEX(Journal!$D$5:$D$1504,$B115)))</f>
        <v/>
      </c>
      <c r="G115" s="56" t="str">
        <f aca="false">IF($B115="","",IF(INDEX(Journal!$D$5:$D$1504,$B115)=$C$4,INDEX(Journal!$M$5:$M$1504,$B115),0))</f>
        <v/>
      </c>
      <c r="H115" s="56" t="str">
        <f aca="false">IF($B115="","",IF(INDEX(Journal!$E$5:$E$1504,$B115)=$C$4,INDEX(Journal!$N$5:$N$1504,$B115),0))</f>
        <v/>
      </c>
      <c r="I115" s="56" t="str">
        <f aca="false">IF($B115="","",IF(OR($G$4="Aktiv",$G$4="Aufwand"),I114+G115-H115,I114+H115-G115))</f>
        <v/>
      </c>
    </row>
    <row r="116" customFormat="false" ht="15" hidden="false" customHeight="false" outlineLevel="0" collapsed="false">
      <c r="A116" s="54" t="n">
        <v>109</v>
      </c>
      <c r="B116" s="54" t="str">
        <f aca="false">IFERROR(MATCH(A116,Journal!$W$5:$W$1504,0),"")</f>
        <v/>
      </c>
      <c r="C116" s="55" t="str">
        <f aca="false">IF($B116="","",INDEX(Journal!$A$5:$A$1504,$B116))</f>
        <v/>
      </c>
      <c r="D116" s="54" t="str">
        <f aca="false">IF($B116="","",INDEX(Journal!$B$5:$B$1504,$B116))</f>
        <v/>
      </c>
      <c r="E116" s="54" t="str">
        <f aca="false">IF($B116="","",INDEX(Journal!$C$5:$C$1504,$B116))</f>
        <v/>
      </c>
      <c r="F116" s="54" t="str">
        <f aca="false">IF($B116="","",IF(INDEX(Journal!$D$5:$D$1504,$B116)=$C$4,INDEX(Journal!$E$5:$E$1504,$B116),INDEX(Journal!$D$5:$D$1504,$B116)))</f>
        <v/>
      </c>
      <c r="G116" s="56" t="str">
        <f aca="false">IF($B116="","",IF(INDEX(Journal!$D$5:$D$1504,$B116)=$C$4,INDEX(Journal!$M$5:$M$1504,$B116),0))</f>
        <v/>
      </c>
      <c r="H116" s="56" t="str">
        <f aca="false">IF($B116="","",IF(INDEX(Journal!$E$5:$E$1504,$B116)=$C$4,INDEX(Journal!$N$5:$N$1504,$B116),0))</f>
        <v/>
      </c>
      <c r="I116" s="56" t="str">
        <f aca="false">IF($B116="","",IF(OR($G$4="Aktiv",$G$4="Aufwand"),I115+G116-H116,I115+H116-G116))</f>
        <v/>
      </c>
    </row>
    <row r="117" customFormat="false" ht="15" hidden="false" customHeight="false" outlineLevel="0" collapsed="false">
      <c r="A117" s="54" t="n">
        <v>110</v>
      </c>
      <c r="B117" s="54" t="str">
        <f aca="false">IFERROR(MATCH(A117,Journal!$W$5:$W$1504,0),"")</f>
        <v/>
      </c>
      <c r="C117" s="55" t="str">
        <f aca="false">IF($B117="","",INDEX(Journal!$A$5:$A$1504,$B117))</f>
        <v/>
      </c>
      <c r="D117" s="54" t="str">
        <f aca="false">IF($B117="","",INDEX(Journal!$B$5:$B$1504,$B117))</f>
        <v/>
      </c>
      <c r="E117" s="54" t="str">
        <f aca="false">IF($B117="","",INDEX(Journal!$C$5:$C$1504,$B117))</f>
        <v/>
      </c>
      <c r="F117" s="54" t="str">
        <f aca="false">IF($B117="","",IF(INDEX(Journal!$D$5:$D$1504,$B117)=$C$4,INDEX(Journal!$E$5:$E$1504,$B117),INDEX(Journal!$D$5:$D$1504,$B117)))</f>
        <v/>
      </c>
      <c r="G117" s="56" t="str">
        <f aca="false">IF($B117="","",IF(INDEX(Journal!$D$5:$D$1504,$B117)=$C$4,INDEX(Journal!$M$5:$M$1504,$B117),0))</f>
        <v/>
      </c>
      <c r="H117" s="56" t="str">
        <f aca="false">IF($B117="","",IF(INDEX(Journal!$E$5:$E$1504,$B117)=$C$4,INDEX(Journal!$N$5:$N$1504,$B117),0))</f>
        <v/>
      </c>
      <c r="I117" s="56" t="str">
        <f aca="false">IF($B117="","",IF(OR($G$4="Aktiv",$G$4="Aufwand"),I116+G117-H117,I116+H117-G117))</f>
        <v/>
      </c>
    </row>
    <row r="118" customFormat="false" ht="15" hidden="false" customHeight="false" outlineLevel="0" collapsed="false">
      <c r="A118" s="54" t="n">
        <v>111</v>
      </c>
      <c r="B118" s="54" t="str">
        <f aca="false">IFERROR(MATCH(A118,Journal!$W$5:$W$1504,0),"")</f>
        <v/>
      </c>
      <c r="C118" s="55" t="str">
        <f aca="false">IF($B118="","",INDEX(Journal!$A$5:$A$1504,$B118))</f>
        <v/>
      </c>
      <c r="D118" s="54" t="str">
        <f aca="false">IF($B118="","",INDEX(Journal!$B$5:$B$1504,$B118))</f>
        <v/>
      </c>
      <c r="E118" s="54" t="str">
        <f aca="false">IF($B118="","",INDEX(Journal!$C$5:$C$1504,$B118))</f>
        <v/>
      </c>
      <c r="F118" s="54" t="str">
        <f aca="false">IF($B118="","",IF(INDEX(Journal!$D$5:$D$1504,$B118)=$C$4,INDEX(Journal!$E$5:$E$1504,$B118),INDEX(Journal!$D$5:$D$1504,$B118)))</f>
        <v/>
      </c>
      <c r="G118" s="56" t="str">
        <f aca="false">IF($B118="","",IF(INDEX(Journal!$D$5:$D$1504,$B118)=$C$4,INDEX(Journal!$M$5:$M$1504,$B118),0))</f>
        <v/>
      </c>
      <c r="H118" s="56" t="str">
        <f aca="false">IF($B118="","",IF(INDEX(Journal!$E$5:$E$1504,$B118)=$C$4,INDEX(Journal!$N$5:$N$1504,$B118),0))</f>
        <v/>
      </c>
      <c r="I118" s="56" t="str">
        <f aca="false">IF($B118="","",IF(OR($G$4="Aktiv",$G$4="Aufwand"),I117+G118-H118,I117+H118-G118))</f>
        <v/>
      </c>
    </row>
    <row r="119" customFormat="false" ht="15" hidden="false" customHeight="false" outlineLevel="0" collapsed="false">
      <c r="A119" s="54" t="n">
        <v>112</v>
      </c>
      <c r="B119" s="54" t="str">
        <f aca="false">IFERROR(MATCH(A119,Journal!$W$5:$W$1504,0),"")</f>
        <v/>
      </c>
      <c r="C119" s="55" t="str">
        <f aca="false">IF($B119="","",INDEX(Journal!$A$5:$A$1504,$B119))</f>
        <v/>
      </c>
      <c r="D119" s="54" t="str">
        <f aca="false">IF($B119="","",INDEX(Journal!$B$5:$B$1504,$B119))</f>
        <v/>
      </c>
      <c r="E119" s="54" t="str">
        <f aca="false">IF($B119="","",INDEX(Journal!$C$5:$C$1504,$B119))</f>
        <v/>
      </c>
      <c r="F119" s="54" t="str">
        <f aca="false">IF($B119="","",IF(INDEX(Journal!$D$5:$D$1504,$B119)=$C$4,INDEX(Journal!$E$5:$E$1504,$B119),INDEX(Journal!$D$5:$D$1504,$B119)))</f>
        <v/>
      </c>
      <c r="G119" s="56" t="str">
        <f aca="false">IF($B119="","",IF(INDEX(Journal!$D$5:$D$1504,$B119)=$C$4,INDEX(Journal!$M$5:$M$1504,$B119),0))</f>
        <v/>
      </c>
      <c r="H119" s="56" t="str">
        <f aca="false">IF($B119="","",IF(INDEX(Journal!$E$5:$E$1504,$B119)=$C$4,INDEX(Journal!$N$5:$N$1504,$B119),0))</f>
        <v/>
      </c>
      <c r="I119" s="56" t="str">
        <f aca="false">IF($B119="","",IF(OR($G$4="Aktiv",$G$4="Aufwand"),I118+G119-H119,I118+H119-G119))</f>
        <v/>
      </c>
    </row>
    <row r="120" customFormat="false" ht="15" hidden="false" customHeight="false" outlineLevel="0" collapsed="false">
      <c r="A120" s="54" t="n">
        <v>113</v>
      </c>
      <c r="B120" s="54" t="str">
        <f aca="false">IFERROR(MATCH(A120,Journal!$W$5:$W$1504,0),"")</f>
        <v/>
      </c>
      <c r="C120" s="55" t="str">
        <f aca="false">IF($B120="","",INDEX(Journal!$A$5:$A$1504,$B120))</f>
        <v/>
      </c>
      <c r="D120" s="54" t="str">
        <f aca="false">IF($B120="","",INDEX(Journal!$B$5:$B$1504,$B120))</f>
        <v/>
      </c>
      <c r="E120" s="54" t="str">
        <f aca="false">IF($B120="","",INDEX(Journal!$C$5:$C$1504,$B120))</f>
        <v/>
      </c>
      <c r="F120" s="54" t="str">
        <f aca="false">IF($B120="","",IF(INDEX(Journal!$D$5:$D$1504,$B120)=$C$4,INDEX(Journal!$E$5:$E$1504,$B120),INDEX(Journal!$D$5:$D$1504,$B120)))</f>
        <v/>
      </c>
      <c r="G120" s="56" t="str">
        <f aca="false">IF($B120="","",IF(INDEX(Journal!$D$5:$D$1504,$B120)=$C$4,INDEX(Journal!$M$5:$M$1504,$B120),0))</f>
        <v/>
      </c>
      <c r="H120" s="56" t="str">
        <f aca="false">IF($B120="","",IF(INDEX(Journal!$E$5:$E$1504,$B120)=$C$4,INDEX(Journal!$N$5:$N$1504,$B120),0))</f>
        <v/>
      </c>
      <c r="I120" s="56" t="str">
        <f aca="false">IF($B120="","",IF(OR($G$4="Aktiv",$G$4="Aufwand"),I119+G120-H120,I119+H120-G120))</f>
        <v/>
      </c>
    </row>
    <row r="121" customFormat="false" ht="15" hidden="false" customHeight="false" outlineLevel="0" collapsed="false">
      <c r="A121" s="54" t="n">
        <v>114</v>
      </c>
      <c r="B121" s="54" t="str">
        <f aca="false">IFERROR(MATCH(A121,Journal!$W$5:$W$1504,0),"")</f>
        <v/>
      </c>
      <c r="C121" s="55" t="str">
        <f aca="false">IF($B121="","",INDEX(Journal!$A$5:$A$1504,$B121))</f>
        <v/>
      </c>
      <c r="D121" s="54" t="str">
        <f aca="false">IF($B121="","",INDEX(Journal!$B$5:$B$1504,$B121))</f>
        <v/>
      </c>
      <c r="E121" s="54" t="str">
        <f aca="false">IF($B121="","",INDEX(Journal!$C$5:$C$1504,$B121))</f>
        <v/>
      </c>
      <c r="F121" s="54" t="str">
        <f aca="false">IF($B121="","",IF(INDEX(Journal!$D$5:$D$1504,$B121)=$C$4,INDEX(Journal!$E$5:$E$1504,$B121),INDEX(Journal!$D$5:$D$1504,$B121)))</f>
        <v/>
      </c>
      <c r="G121" s="56" t="str">
        <f aca="false">IF($B121="","",IF(INDEX(Journal!$D$5:$D$1504,$B121)=$C$4,INDEX(Journal!$M$5:$M$1504,$B121),0))</f>
        <v/>
      </c>
      <c r="H121" s="56" t="str">
        <f aca="false">IF($B121="","",IF(INDEX(Journal!$E$5:$E$1504,$B121)=$C$4,INDEX(Journal!$N$5:$N$1504,$B121),0))</f>
        <v/>
      </c>
      <c r="I121" s="56" t="str">
        <f aca="false">IF($B121="","",IF(OR($G$4="Aktiv",$G$4="Aufwand"),I120+G121-H121,I120+H121-G121))</f>
        <v/>
      </c>
    </row>
    <row r="122" customFormat="false" ht="15" hidden="false" customHeight="false" outlineLevel="0" collapsed="false">
      <c r="A122" s="54" t="n">
        <v>115</v>
      </c>
      <c r="B122" s="54" t="str">
        <f aca="false">IFERROR(MATCH(A122,Journal!$W$5:$W$1504,0),"")</f>
        <v/>
      </c>
      <c r="C122" s="55" t="str">
        <f aca="false">IF($B122="","",INDEX(Journal!$A$5:$A$1504,$B122))</f>
        <v/>
      </c>
      <c r="D122" s="54" t="str">
        <f aca="false">IF($B122="","",INDEX(Journal!$B$5:$B$1504,$B122))</f>
        <v/>
      </c>
      <c r="E122" s="54" t="str">
        <f aca="false">IF($B122="","",INDEX(Journal!$C$5:$C$1504,$B122))</f>
        <v/>
      </c>
      <c r="F122" s="54" t="str">
        <f aca="false">IF($B122="","",IF(INDEX(Journal!$D$5:$D$1504,$B122)=$C$4,INDEX(Journal!$E$5:$E$1504,$B122),INDEX(Journal!$D$5:$D$1504,$B122)))</f>
        <v/>
      </c>
      <c r="G122" s="56" t="str">
        <f aca="false">IF($B122="","",IF(INDEX(Journal!$D$5:$D$1504,$B122)=$C$4,INDEX(Journal!$M$5:$M$1504,$B122),0))</f>
        <v/>
      </c>
      <c r="H122" s="56" t="str">
        <f aca="false">IF($B122="","",IF(INDEX(Journal!$E$5:$E$1504,$B122)=$C$4,INDEX(Journal!$N$5:$N$1504,$B122),0))</f>
        <v/>
      </c>
      <c r="I122" s="56" t="str">
        <f aca="false">IF($B122="","",IF(OR($G$4="Aktiv",$G$4="Aufwand"),I121+G122-H122,I121+H122-G122))</f>
        <v/>
      </c>
    </row>
    <row r="123" customFormat="false" ht="15" hidden="false" customHeight="false" outlineLevel="0" collapsed="false">
      <c r="A123" s="54" t="n">
        <v>116</v>
      </c>
      <c r="B123" s="54" t="str">
        <f aca="false">IFERROR(MATCH(A123,Journal!$W$5:$W$1504,0),"")</f>
        <v/>
      </c>
      <c r="C123" s="55" t="str">
        <f aca="false">IF($B123="","",INDEX(Journal!$A$5:$A$1504,$B123))</f>
        <v/>
      </c>
      <c r="D123" s="54" t="str">
        <f aca="false">IF($B123="","",INDEX(Journal!$B$5:$B$1504,$B123))</f>
        <v/>
      </c>
      <c r="E123" s="54" t="str">
        <f aca="false">IF($B123="","",INDEX(Journal!$C$5:$C$1504,$B123))</f>
        <v/>
      </c>
      <c r="F123" s="54" t="str">
        <f aca="false">IF($B123="","",IF(INDEX(Journal!$D$5:$D$1504,$B123)=$C$4,INDEX(Journal!$E$5:$E$1504,$B123),INDEX(Journal!$D$5:$D$1504,$B123)))</f>
        <v/>
      </c>
      <c r="G123" s="56" t="str">
        <f aca="false">IF($B123="","",IF(INDEX(Journal!$D$5:$D$1504,$B123)=$C$4,INDEX(Journal!$M$5:$M$1504,$B123),0))</f>
        <v/>
      </c>
      <c r="H123" s="56" t="str">
        <f aca="false">IF($B123="","",IF(INDEX(Journal!$E$5:$E$1504,$B123)=$C$4,INDEX(Journal!$N$5:$N$1504,$B123),0))</f>
        <v/>
      </c>
      <c r="I123" s="56" t="str">
        <f aca="false">IF($B123="","",IF(OR($G$4="Aktiv",$G$4="Aufwand"),I122+G123-H123,I122+H123-G123))</f>
        <v/>
      </c>
    </row>
    <row r="124" customFormat="false" ht="15" hidden="false" customHeight="false" outlineLevel="0" collapsed="false">
      <c r="A124" s="54" t="n">
        <v>117</v>
      </c>
      <c r="B124" s="54" t="str">
        <f aca="false">IFERROR(MATCH(A124,Journal!$W$5:$W$1504,0),"")</f>
        <v/>
      </c>
      <c r="C124" s="55" t="str">
        <f aca="false">IF($B124="","",INDEX(Journal!$A$5:$A$1504,$B124))</f>
        <v/>
      </c>
      <c r="D124" s="54" t="str">
        <f aca="false">IF($B124="","",INDEX(Journal!$B$5:$B$1504,$B124))</f>
        <v/>
      </c>
      <c r="E124" s="54" t="str">
        <f aca="false">IF($B124="","",INDEX(Journal!$C$5:$C$1504,$B124))</f>
        <v/>
      </c>
      <c r="F124" s="54" t="str">
        <f aca="false">IF($B124="","",IF(INDEX(Journal!$D$5:$D$1504,$B124)=$C$4,INDEX(Journal!$E$5:$E$1504,$B124),INDEX(Journal!$D$5:$D$1504,$B124)))</f>
        <v/>
      </c>
      <c r="G124" s="56" t="str">
        <f aca="false">IF($B124="","",IF(INDEX(Journal!$D$5:$D$1504,$B124)=$C$4,INDEX(Journal!$M$5:$M$1504,$B124),0))</f>
        <v/>
      </c>
      <c r="H124" s="56" t="str">
        <f aca="false">IF($B124="","",IF(INDEX(Journal!$E$5:$E$1504,$B124)=$C$4,INDEX(Journal!$N$5:$N$1504,$B124),0))</f>
        <v/>
      </c>
      <c r="I124" s="56" t="str">
        <f aca="false">IF($B124="","",IF(OR($G$4="Aktiv",$G$4="Aufwand"),I123+G124-H124,I123+H124-G124))</f>
        <v/>
      </c>
    </row>
    <row r="125" customFormat="false" ht="15" hidden="false" customHeight="false" outlineLevel="0" collapsed="false">
      <c r="A125" s="54" t="n">
        <v>118</v>
      </c>
      <c r="B125" s="54" t="str">
        <f aca="false">IFERROR(MATCH(A125,Journal!$W$5:$W$1504,0),"")</f>
        <v/>
      </c>
      <c r="C125" s="55" t="str">
        <f aca="false">IF($B125="","",INDEX(Journal!$A$5:$A$1504,$B125))</f>
        <v/>
      </c>
      <c r="D125" s="54" t="str">
        <f aca="false">IF($B125="","",INDEX(Journal!$B$5:$B$1504,$B125))</f>
        <v/>
      </c>
      <c r="E125" s="54" t="str">
        <f aca="false">IF($B125="","",INDEX(Journal!$C$5:$C$1504,$B125))</f>
        <v/>
      </c>
      <c r="F125" s="54" t="str">
        <f aca="false">IF($B125="","",IF(INDEX(Journal!$D$5:$D$1504,$B125)=$C$4,INDEX(Journal!$E$5:$E$1504,$B125),INDEX(Journal!$D$5:$D$1504,$B125)))</f>
        <v/>
      </c>
      <c r="G125" s="56" t="str">
        <f aca="false">IF($B125="","",IF(INDEX(Journal!$D$5:$D$1504,$B125)=$C$4,INDEX(Journal!$M$5:$M$1504,$B125),0))</f>
        <v/>
      </c>
      <c r="H125" s="56" t="str">
        <f aca="false">IF($B125="","",IF(INDEX(Journal!$E$5:$E$1504,$B125)=$C$4,INDEX(Journal!$N$5:$N$1504,$B125),0))</f>
        <v/>
      </c>
      <c r="I125" s="56" t="str">
        <f aca="false">IF($B125="","",IF(OR($G$4="Aktiv",$G$4="Aufwand"),I124+G125-H125,I124+H125-G125))</f>
        <v/>
      </c>
    </row>
    <row r="126" customFormat="false" ht="15" hidden="false" customHeight="false" outlineLevel="0" collapsed="false">
      <c r="A126" s="54" t="n">
        <v>119</v>
      </c>
      <c r="B126" s="54" t="str">
        <f aca="false">IFERROR(MATCH(A126,Journal!$W$5:$W$1504,0),"")</f>
        <v/>
      </c>
      <c r="C126" s="55" t="str">
        <f aca="false">IF($B126="","",INDEX(Journal!$A$5:$A$1504,$B126))</f>
        <v/>
      </c>
      <c r="D126" s="54" t="str">
        <f aca="false">IF($B126="","",INDEX(Journal!$B$5:$B$1504,$B126))</f>
        <v/>
      </c>
      <c r="E126" s="54" t="str">
        <f aca="false">IF($B126="","",INDEX(Journal!$C$5:$C$1504,$B126))</f>
        <v/>
      </c>
      <c r="F126" s="54" t="str">
        <f aca="false">IF($B126="","",IF(INDEX(Journal!$D$5:$D$1504,$B126)=$C$4,INDEX(Journal!$E$5:$E$1504,$B126),INDEX(Journal!$D$5:$D$1504,$B126)))</f>
        <v/>
      </c>
      <c r="G126" s="56" t="str">
        <f aca="false">IF($B126="","",IF(INDEX(Journal!$D$5:$D$1504,$B126)=$C$4,INDEX(Journal!$M$5:$M$1504,$B126),0))</f>
        <v/>
      </c>
      <c r="H126" s="56" t="str">
        <f aca="false">IF($B126="","",IF(INDEX(Journal!$E$5:$E$1504,$B126)=$C$4,INDEX(Journal!$N$5:$N$1504,$B126),0))</f>
        <v/>
      </c>
      <c r="I126" s="56" t="str">
        <f aca="false">IF($B126="","",IF(OR($G$4="Aktiv",$G$4="Aufwand"),I125+G126-H126,I125+H126-G126))</f>
        <v/>
      </c>
    </row>
    <row r="127" customFormat="false" ht="15" hidden="false" customHeight="false" outlineLevel="0" collapsed="false">
      <c r="A127" s="54" t="n">
        <v>120</v>
      </c>
      <c r="B127" s="54" t="str">
        <f aca="false">IFERROR(MATCH(A127,Journal!$W$5:$W$1504,0),"")</f>
        <v/>
      </c>
      <c r="C127" s="55" t="str">
        <f aca="false">IF($B127="","",INDEX(Journal!$A$5:$A$1504,$B127))</f>
        <v/>
      </c>
      <c r="D127" s="54" t="str">
        <f aca="false">IF($B127="","",INDEX(Journal!$B$5:$B$1504,$B127))</f>
        <v/>
      </c>
      <c r="E127" s="54" t="str">
        <f aca="false">IF($B127="","",INDEX(Journal!$C$5:$C$1504,$B127))</f>
        <v/>
      </c>
      <c r="F127" s="54" t="str">
        <f aca="false">IF($B127="","",IF(INDEX(Journal!$D$5:$D$1504,$B127)=$C$4,INDEX(Journal!$E$5:$E$1504,$B127),INDEX(Journal!$D$5:$D$1504,$B127)))</f>
        <v/>
      </c>
      <c r="G127" s="56" t="str">
        <f aca="false">IF($B127="","",IF(INDEX(Journal!$D$5:$D$1504,$B127)=$C$4,INDEX(Journal!$M$5:$M$1504,$B127),0))</f>
        <v/>
      </c>
      <c r="H127" s="56" t="str">
        <f aca="false">IF($B127="","",IF(INDEX(Journal!$E$5:$E$1504,$B127)=$C$4,INDEX(Journal!$N$5:$N$1504,$B127),0))</f>
        <v/>
      </c>
      <c r="I127" s="56" t="str">
        <f aca="false">IF($B127="","",IF(OR($G$4="Aktiv",$G$4="Aufwand"),I126+G127-H127,I126+H127-G127))</f>
        <v/>
      </c>
    </row>
    <row r="128" customFormat="false" ht="15" hidden="false" customHeight="false" outlineLevel="0" collapsed="false">
      <c r="A128" s="54" t="n">
        <v>121</v>
      </c>
      <c r="B128" s="54" t="str">
        <f aca="false">IFERROR(MATCH(A128,Journal!$W$5:$W$1504,0),"")</f>
        <v/>
      </c>
      <c r="C128" s="55" t="str">
        <f aca="false">IF($B128="","",INDEX(Journal!$A$5:$A$1504,$B128))</f>
        <v/>
      </c>
      <c r="D128" s="54" t="str">
        <f aca="false">IF($B128="","",INDEX(Journal!$B$5:$B$1504,$B128))</f>
        <v/>
      </c>
      <c r="E128" s="54" t="str">
        <f aca="false">IF($B128="","",INDEX(Journal!$C$5:$C$1504,$B128))</f>
        <v/>
      </c>
      <c r="F128" s="54" t="str">
        <f aca="false">IF($B128="","",IF(INDEX(Journal!$D$5:$D$1504,$B128)=$C$4,INDEX(Journal!$E$5:$E$1504,$B128),INDEX(Journal!$D$5:$D$1504,$B128)))</f>
        <v/>
      </c>
      <c r="G128" s="56" t="str">
        <f aca="false">IF($B128="","",IF(INDEX(Journal!$D$5:$D$1504,$B128)=$C$4,INDEX(Journal!$M$5:$M$1504,$B128),0))</f>
        <v/>
      </c>
      <c r="H128" s="56" t="str">
        <f aca="false">IF($B128="","",IF(INDEX(Journal!$E$5:$E$1504,$B128)=$C$4,INDEX(Journal!$N$5:$N$1504,$B128),0))</f>
        <v/>
      </c>
      <c r="I128" s="56" t="str">
        <f aca="false">IF($B128="","",IF(OR($G$4="Aktiv",$G$4="Aufwand"),I127+G128-H128,I127+H128-G128))</f>
        <v/>
      </c>
    </row>
    <row r="129" customFormat="false" ht="15" hidden="false" customHeight="false" outlineLevel="0" collapsed="false">
      <c r="A129" s="54" t="n">
        <v>122</v>
      </c>
      <c r="B129" s="54" t="str">
        <f aca="false">IFERROR(MATCH(A129,Journal!$W$5:$W$1504,0),"")</f>
        <v/>
      </c>
      <c r="C129" s="55" t="str">
        <f aca="false">IF($B129="","",INDEX(Journal!$A$5:$A$1504,$B129))</f>
        <v/>
      </c>
      <c r="D129" s="54" t="str">
        <f aca="false">IF($B129="","",INDEX(Journal!$B$5:$B$1504,$B129))</f>
        <v/>
      </c>
      <c r="E129" s="54" t="str">
        <f aca="false">IF($B129="","",INDEX(Journal!$C$5:$C$1504,$B129))</f>
        <v/>
      </c>
      <c r="F129" s="54" t="str">
        <f aca="false">IF($B129="","",IF(INDEX(Journal!$D$5:$D$1504,$B129)=$C$4,INDEX(Journal!$E$5:$E$1504,$B129),INDEX(Journal!$D$5:$D$1504,$B129)))</f>
        <v/>
      </c>
      <c r="G129" s="56" t="str">
        <f aca="false">IF($B129="","",IF(INDEX(Journal!$D$5:$D$1504,$B129)=$C$4,INDEX(Journal!$M$5:$M$1504,$B129),0))</f>
        <v/>
      </c>
      <c r="H129" s="56" t="str">
        <f aca="false">IF($B129="","",IF(INDEX(Journal!$E$5:$E$1504,$B129)=$C$4,INDEX(Journal!$N$5:$N$1504,$B129),0))</f>
        <v/>
      </c>
      <c r="I129" s="56" t="str">
        <f aca="false">IF($B129="","",IF(OR($G$4="Aktiv",$G$4="Aufwand"),I128+G129-H129,I128+H129-G129))</f>
        <v/>
      </c>
    </row>
    <row r="130" customFormat="false" ht="15" hidden="false" customHeight="false" outlineLevel="0" collapsed="false">
      <c r="A130" s="54" t="n">
        <v>123</v>
      </c>
      <c r="B130" s="54" t="str">
        <f aca="false">IFERROR(MATCH(A130,Journal!$W$5:$W$1504,0),"")</f>
        <v/>
      </c>
      <c r="C130" s="55" t="str">
        <f aca="false">IF($B130="","",INDEX(Journal!$A$5:$A$1504,$B130))</f>
        <v/>
      </c>
      <c r="D130" s="54" t="str">
        <f aca="false">IF($B130="","",INDEX(Journal!$B$5:$B$1504,$B130))</f>
        <v/>
      </c>
      <c r="E130" s="54" t="str">
        <f aca="false">IF($B130="","",INDEX(Journal!$C$5:$C$1504,$B130))</f>
        <v/>
      </c>
      <c r="F130" s="54" t="str">
        <f aca="false">IF($B130="","",IF(INDEX(Journal!$D$5:$D$1504,$B130)=$C$4,INDEX(Journal!$E$5:$E$1504,$B130),INDEX(Journal!$D$5:$D$1504,$B130)))</f>
        <v/>
      </c>
      <c r="G130" s="56" t="str">
        <f aca="false">IF($B130="","",IF(INDEX(Journal!$D$5:$D$1504,$B130)=$C$4,INDEX(Journal!$M$5:$M$1504,$B130),0))</f>
        <v/>
      </c>
      <c r="H130" s="56" t="str">
        <f aca="false">IF($B130="","",IF(INDEX(Journal!$E$5:$E$1504,$B130)=$C$4,INDEX(Journal!$N$5:$N$1504,$B130),0))</f>
        <v/>
      </c>
      <c r="I130" s="56" t="str">
        <f aca="false">IF($B130="","",IF(OR($G$4="Aktiv",$G$4="Aufwand"),I129+G130-H130,I129+H130-G130))</f>
        <v/>
      </c>
    </row>
    <row r="131" customFormat="false" ht="15" hidden="false" customHeight="false" outlineLevel="0" collapsed="false">
      <c r="A131" s="54" t="n">
        <v>124</v>
      </c>
      <c r="B131" s="54" t="str">
        <f aca="false">IFERROR(MATCH(A131,Journal!$W$5:$W$1504,0),"")</f>
        <v/>
      </c>
      <c r="C131" s="55" t="str">
        <f aca="false">IF($B131="","",INDEX(Journal!$A$5:$A$1504,$B131))</f>
        <v/>
      </c>
      <c r="D131" s="54" t="str">
        <f aca="false">IF($B131="","",INDEX(Journal!$B$5:$B$1504,$B131))</f>
        <v/>
      </c>
      <c r="E131" s="54" t="str">
        <f aca="false">IF($B131="","",INDEX(Journal!$C$5:$C$1504,$B131))</f>
        <v/>
      </c>
      <c r="F131" s="54" t="str">
        <f aca="false">IF($B131="","",IF(INDEX(Journal!$D$5:$D$1504,$B131)=$C$4,INDEX(Journal!$E$5:$E$1504,$B131),INDEX(Journal!$D$5:$D$1504,$B131)))</f>
        <v/>
      </c>
      <c r="G131" s="56" t="str">
        <f aca="false">IF($B131="","",IF(INDEX(Journal!$D$5:$D$1504,$B131)=$C$4,INDEX(Journal!$M$5:$M$1504,$B131),0))</f>
        <v/>
      </c>
      <c r="H131" s="56" t="str">
        <f aca="false">IF($B131="","",IF(INDEX(Journal!$E$5:$E$1504,$B131)=$C$4,INDEX(Journal!$N$5:$N$1504,$B131),0))</f>
        <v/>
      </c>
      <c r="I131" s="56" t="str">
        <f aca="false">IF($B131="","",IF(OR($G$4="Aktiv",$G$4="Aufwand"),I130+G131-H131,I130+H131-G131))</f>
        <v/>
      </c>
    </row>
    <row r="132" customFormat="false" ht="15" hidden="false" customHeight="false" outlineLevel="0" collapsed="false">
      <c r="A132" s="54" t="n">
        <v>125</v>
      </c>
      <c r="B132" s="54" t="str">
        <f aca="false">IFERROR(MATCH(A132,Journal!$W$5:$W$1504,0),"")</f>
        <v/>
      </c>
      <c r="C132" s="55" t="str">
        <f aca="false">IF($B132="","",INDEX(Journal!$A$5:$A$1504,$B132))</f>
        <v/>
      </c>
      <c r="D132" s="54" t="str">
        <f aca="false">IF($B132="","",INDEX(Journal!$B$5:$B$1504,$B132))</f>
        <v/>
      </c>
      <c r="E132" s="54" t="str">
        <f aca="false">IF($B132="","",INDEX(Journal!$C$5:$C$1504,$B132))</f>
        <v/>
      </c>
      <c r="F132" s="54" t="str">
        <f aca="false">IF($B132="","",IF(INDEX(Journal!$D$5:$D$1504,$B132)=$C$4,INDEX(Journal!$E$5:$E$1504,$B132),INDEX(Journal!$D$5:$D$1504,$B132)))</f>
        <v/>
      </c>
      <c r="G132" s="56" t="str">
        <f aca="false">IF($B132="","",IF(INDEX(Journal!$D$5:$D$1504,$B132)=$C$4,INDEX(Journal!$M$5:$M$1504,$B132),0))</f>
        <v/>
      </c>
      <c r="H132" s="56" t="str">
        <f aca="false">IF($B132="","",IF(INDEX(Journal!$E$5:$E$1504,$B132)=$C$4,INDEX(Journal!$N$5:$N$1504,$B132),0))</f>
        <v/>
      </c>
      <c r="I132" s="56" t="str">
        <f aca="false">IF($B132="","",IF(OR($G$4="Aktiv",$G$4="Aufwand"),I131+G132-H132,I131+H132-G132))</f>
        <v/>
      </c>
    </row>
    <row r="133" customFormat="false" ht="15" hidden="false" customHeight="false" outlineLevel="0" collapsed="false">
      <c r="A133" s="54" t="n">
        <v>126</v>
      </c>
      <c r="B133" s="54" t="str">
        <f aca="false">IFERROR(MATCH(A133,Journal!$W$5:$W$1504,0),"")</f>
        <v/>
      </c>
      <c r="C133" s="55" t="str">
        <f aca="false">IF($B133="","",INDEX(Journal!$A$5:$A$1504,$B133))</f>
        <v/>
      </c>
      <c r="D133" s="54" t="str">
        <f aca="false">IF($B133="","",INDEX(Journal!$B$5:$B$1504,$B133))</f>
        <v/>
      </c>
      <c r="E133" s="54" t="str">
        <f aca="false">IF($B133="","",INDEX(Journal!$C$5:$C$1504,$B133))</f>
        <v/>
      </c>
      <c r="F133" s="54" t="str">
        <f aca="false">IF($B133="","",IF(INDEX(Journal!$D$5:$D$1504,$B133)=$C$4,INDEX(Journal!$E$5:$E$1504,$B133),INDEX(Journal!$D$5:$D$1504,$B133)))</f>
        <v/>
      </c>
      <c r="G133" s="56" t="str">
        <f aca="false">IF($B133="","",IF(INDEX(Journal!$D$5:$D$1504,$B133)=$C$4,INDEX(Journal!$M$5:$M$1504,$B133),0))</f>
        <v/>
      </c>
      <c r="H133" s="56" t="str">
        <f aca="false">IF($B133="","",IF(INDEX(Journal!$E$5:$E$1504,$B133)=$C$4,INDEX(Journal!$N$5:$N$1504,$B133),0))</f>
        <v/>
      </c>
      <c r="I133" s="56" t="str">
        <f aca="false">IF($B133="","",IF(OR($G$4="Aktiv",$G$4="Aufwand"),I132+G133-H133,I132+H133-G133))</f>
        <v/>
      </c>
    </row>
    <row r="134" customFormat="false" ht="15" hidden="false" customHeight="false" outlineLevel="0" collapsed="false">
      <c r="A134" s="54" t="n">
        <v>127</v>
      </c>
      <c r="B134" s="54" t="str">
        <f aca="false">IFERROR(MATCH(A134,Journal!$W$5:$W$1504,0),"")</f>
        <v/>
      </c>
      <c r="C134" s="55" t="str">
        <f aca="false">IF($B134="","",INDEX(Journal!$A$5:$A$1504,$B134))</f>
        <v/>
      </c>
      <c r="D134" s="54" t="str">
        <f aca="false">IF($B134="","",INDEX(Journal!$B$5:$B$1504,$B134))</f>
        <v/>
      </c>
      <c r="E134" s="54" t="str">
        <f aca="false">IF($B134="","",INDEX(Journal!$C$5:$C$1504,$B134))</f>
        <v/>
      </c>
      <c r="F134" s="54" t="str">
        <f aca="false">IF($B134="","",IF(INDEX(Journal!$D$5:$D$1504,$B134)=$C$4,INDEX(Journal!$E$5:$E$1504,$B134),INDEX(Journal!$D$5:$D$1504,$B134)))</f>
        <v/>
      </c>
      <c r="G134" s="56" t="str">
        <f aca="false">IF($B134="","",IF(INDEX(Journal!$D$5:$D$1504,$B134)=$C$4,INDEX(Journal!$M$5:$M$1504,$B134),0))</f>
        <v/>
      </c>
      <c r="H134" s="56" t="str">
        <f aca="false">IF($B134="","",IF(INDEX(Journal!$E$5:$E$1504,$B134)=$C$4,INDEX(Journal!$N$5:$N$1504,$B134),0))</f>
        <v/>
      </c>
      <c r="I134" s="56" t="str">
        <f aca="false">IF($B134="","",IF(OR($G$4="Aktiv",$G$4="Aufwand"),I133+G134-H134,I133+H134-G134))</f>
        <v/>
      </c>
    </row>
    <row r="135" customFormat="false" ht="15" hidden="false" customHeight="false" outlineLevel="0" collapsed="false">
      <c r="A135" s="54" t="n">
        <v>128</v>
      </c>
      <c r="B135" s="54" t="str">
        <f aca="false">IFERROR(MATCH(A135,Journal!$W$5:$W$1504,0),"")</f>
        <v/>
      </c>
      <c r="C135" s="55" t="str">
        <f aca="false">IF($B135="","",INDEX(Journal!$A$5:$A$1504,$B135))</f>
        <v/>
      </c>
      <c r="D135" s="54" t="str">
        <f aca="false">IF($B135="","",INDEX(Journal!$B$5:$B$1504,$B135))</f>
        <v/>
      </c>
      <c r="E135" s="54" t="str">
        <f aca="false">IF($B135="","",INDEX(Journal!$C$5:$C$1504,$B135))</f>
        <v/>
      </c>
      <c r="F135" s="54" t="str">
        <f aca="false">IF($B135="","",IF(INDEX(Journal!$D$5:$D$1504,$B135)=$C$4,INDEX(Journal!$E$5:$E$1504,$B135),INDEX(Journal!$D$5:$D$1504,$B135)))</f>
        <v/>
      </c>
      <c r="G135" s="56" t="str">
        <f aca="false">IF($B135="","",IF(INDEX(Journal!$D$5:$D$1504,$B135)=$C$4,INDEX(Journal!$M$5:$M$1504,$B135),0))</f>
        <v/>
      </c>
      <c r="H135" s="56" t="str">
        <f aca="false">IF($B135="","",IF(INDEX(Journal!$E$5:$E$1504,$B135)=$C$4,INDEX(Journal!$N$5:$N$1504,$B135),0))</f>
        <v/>
      </c>
      <c r="I135" s="56" t="str">
        <f aca="false">IF($B135="","",IF(OR($G$4="Aktiv",$G$4="Aufwand"),I134+G135-H135,I134+H135-G135))</f>
        <v/>
      </c>
    </row>
    <row r="136" customFormat="false" ht="15" hidden="false" customHeight="false" outlineLevel="0" collapsed="false">
      <c r="A136" s="54" t="n">
        <v>129</v>
      </c>
      <c r="B136" s="54" t="str">
        <f aca="false">IFERROR(MATCH(A136,Journal!$W$5:$W$1504,0),"")</f>
        <v/>
      </c>
      <c r="C136" s="55" t="str">
        <f aca="false">IF($B136="","",INDEX(Journal!$A$5:$A$1504,$B136))</f>
        <v/>
      </c>
      <c r="D136" s="54" t="str">
        <f aca="false">IF($B136="","",INDEX(Journal!$B$5:$B$1504,$B136))</f>
        <v/>
      </c>
      <c r="E136" s="54" t="str">
        <f aca="false">IF($B136="","",INDEX(Journal!$C$5:$C$1504,$B136))</f>
        <v/>
      </c>
      <c r="F136" s="54" t="str">
        <f aca="false">IF($B136="","",IF(INDEX(Journal!$D$5:$D$1504,$B136)=$C$4,INDEX(Journal!$E$5:$E$1504,$B136),INDEX(Journal!$D$5:$D$1504,$B136)))</f>
        <v/>
      </c>
      <c r="G136" s="56" t="str">
        <f aca="false">IF($B136="","",IF(INDEX(Journal!$D$5:$D$1504,$B136)=$C$4,INDEX(Journal!$M$5:$M$1504,$B136),0))</f>
        <v/>
      </c>
      <c r="H136" s="56" t="str">
        <f aca="false">IF($B136="","",IF(INDEX(Journal!$E$5:$E$1504,$B136)=$C$4,INDEX(Journal!$N$5:$N$1504,$B136),0))</f>
        <v/>
      </c>
      <c r="I136" s="56" t="str">
        <f aca="false">IF($B136="","",IF(OR($G$4="Aktiv",$G$4="Aufwand"),I135+G136-H136,I135+H136-G136))</f>
        <v/>
      </c>
    </row>
    <row r="137" customFormat="false" ht="15" hidden="false" customHeight="false" outlineLevel="0" collapsed="false">
      <c r="A137" s="54" t="n">
        <v>130</v>
      </c>
      <c r="B137" s="54" t="str">
        <f aca="false">IFERROR(MATCH(A137,Journal!$W$5:$W$1504,0),"")</f>
        <v/>
      </c>
      <c r="C137" s="55" t="str">
        <f aca="false">IF($B137="","",INDEX(Journal!$A$5:$A$1504,$B137))</f>
        <v/>
      </c>
      <c r="D137" s="54" t="str">
        <f aca="false">IF($B137="","",INDEX(Journal!$B$5:$B$1504,$B137))</f>
        <v/>
      </c>
      <c r="E137" s="54" t="str">
        <f aca="false">IF($B137="","",INDEX(Journal!$C$5:$C$1504,$B137))</f>
        <v/>
      </c>
      <c r="F137" s="54" t="str">
        <f aca="false">IF($B137="","",IF(INDEX(Journal!$D$5:$D$1504,$B137)=$C$4,INDEX(Journal!$E$5:$E$1504,$B137),INDEX(Journal!$D$5:$D$1504,$B137)))</f>
        <v/>
      </c>
      <c r="G137" s="56" t="str">
        <f aca="false">IF($B137="","",IF(INDEX(Journal!$D$5:$D$1504,$B137)=$C$4,INDEX(Journal!$M$5:$M$1504,$B137),0))</f>
        <v/>
      </c>
      <c r="H137" s="56" t="str">
        <f aca="false">IF($B137="","",IF(INDEX(Journal!$E$5:$E$1504,$B137)=$C$4,INDEX(Journal!$N$5:$N$1504,$B137),0))</f>
        <v/>
      </c>
      <c r="I137" s="56" t="str">
        <f aca="false">IF($B137="","",IF(OR($G$4="Aktiv",$G$4="Aufwand"),I136+G137-H137,I136+H137-G137))</f>
        <v/>
      </c>
    </row>
    <row r="138" customFormat="false" ht="15" hidden="false" customHeight="false" outlineLevel="0" collapsed="false">
      <c r="A138" s="54" t="n">
        <v>131</v>
      </c>
      <c r="B138" s="54" t="str">
        <f aca="false">IFERROR(MATCH(A138,Journal!$W$5:$W$1504,0),"")</f>
        <v/>
      </c>
      <c r="C138" s="55" t="str">
        <f aca="false">IF($B138="","",INDEX(Journal!$A$5:$A$1504,$B138))</f>
        <v/>
      </c>
      <c r="D138" s="54" t="str">
        <f aca="false">IF($B138="","",INDEX(Journal!$B$5:$B$1504,$B138))</f>
        <v/>
      </c>
      <c r="E138" s="54" t="str">
        <f aca="false">IF($B138="","",INDEX(Journal!$C$5:$C$1504,$B138))</f>
        <v/>
      </c>
      <c r="F138" s="54" t="str">
        <f aca="false">IF($B138="","",IF(INDEX(Journal!$D$5:$D$1504,$B138)=$C$4,INDEX(Journal!$E$5:$E$1504,$B138),INDEX(Journal!$D$5:$D$1504,$B138)))</f>
        <v/>
      </c>
      <c r="G138" s="56" t="str">
        <f aca="false">IF($B138="","",IF(INDEX(Journal!$D$5:$D$1504,$B138)=$C$4,INDEX(Journal!$M$5:$M$1504,$B138),0))</f>
        <v/>
      </c>
      <c r="H138" s="56" t="str">
        <f aca="false">IF($B138="","",IF(INDEX(Journal!$E$5:$E$1504,$B138)=$C$4,INDEX(Journal!$N$5:$N$1504,$B138),0))</f>
        <v/>
      </c>
      <c r="I138" s="56" t="str">
        <f aca="false">IF($B138="","",IF(OR($G$4="Aktiv",$G$4="Aufwand"),I137+G138-H138,I137+H138-G138))</f>
        <v/>
      </c>
    </row>
    <row r="139" customFormat="false" ht="15" hidden="false" customHeight="false" outlineLevel="0" collapsed="false">
      <c r="A139" s="54" t="n">
        <v>132</v>
      </c>
      <c r="B139" s="54" t="str">
        <f aca="false">IFERROR(MATCH(A139,Journal!$W$5:$W$1504,0),"")</f>
        <v/>
      </c>
      <c r="C139" s="55" t="str">
        <f aca="false">IF($B139="","",INDEX(Journal!$A$5:$A$1504,$B139))</f>
        <v/>
      </c>
      <c r="D139" s="54" t="str">
        <f aca="false">IF($B139="","",INDEX(Journal!$B$5:$B$1504,$B139))</f>
        <v/>
      </c>
      <c r="E139" s="54" t="str">
        <f aca="false">IF($B139="","",INDEX(Journal!$C$5:$C$1504,$B139))</f>
        <v/>
      </c>
      <c r="F139" s="54" t="str">
        <f aca="false">IF($B139="","",IF(INDEX(Journal!$D$5:$D$1504,$B139)=$C$4,INDEX(Journal!$E$5:$E$1504,$B139),INDEX(Journal!$D$5:$D$1504,$B139)))</f>
        <v/>
      </c>
      <c r="G139" s="56" t="str">
        <f aca="false">IF($B139="","",IF(INDEX(Journal!$D$5:$D$1504,$B139)=$C$4,INDEX(Journal!$M$5:$M$1504,$B139),0))</f>
        <v/>
      </c>
      <c r="H139" s="56" t="str">
        <f aca="false">IF($B139="","",IF(INDEX(Journal!$E$5:$E$1504,$B139)=$C$4,INDEX(Journal!$N$5:$N$1504,$B139),0))</f>
        <v/>
      </c>
      <c r="I139" s="56" t="str">
        <f aca="false">IF($B139="","",IF(OR($G$4="Aktiv",$G$4="Aufwand"),I138+G139-H139,I138+H139-G139))</f>
        <v/>
      </c>
    </row>
    <row r="140" customFormat="false" ht="15" hidden="false" customHeight="false" outlineLevel="0" collapsed="false">
      <c r="A140" s="54" t="n">
        <v>133</v>
      </c>
      <c r="B140" s="54" t="str">
        <f aca="false">IFERROR(MATCH(A140,Journal!$W$5:$W$1504,0),"")</f>
        <v/>
      </c>
      <c r="C140" s="55" t="str">
        <f aca="false">IF($B140="","",INDEX(Journal!$A$5:$A$1504,$B140))</f>
        <v/>
      </c>
      <c r="D140" s="54" t="str">
        <f aca="false">IF($B140="","",INDEX(Journal!$B$5:$B$1504,$B140))</f>
        <v/>
      </c>
      <c r="E140" s="54" t="str">
        <f aca="false">IF($B140="","",INDEX(Journal!$C$5:$C$1504,$B140))</f>
        <v/>
      </c>
      <c r="F140" s="54" t="str">
        <f aca="false">IF($B140="","",IF(INDEX(Journal!$D$5:$D$1504,$B140)=$C$4,INDEX(Journal!$E$5:$E$1504,$B140),INDEX(Journal!$D$5:$D$1504,$B140)))</f>
        <v/>
      </c>
      <c r="G140" s="56" t="str">
        <f aca="false">IF($B140="","",IF(INDEX(Journal!$D$5:$D$1504,$B140)=$C$4,INDEX(Journal!$M$5:$M$1504,$B140),0))</f>
        <v/>
      </c>
      <c r="H140" s="56" t="str">
        <f aca="false">IF($B140="","",IF(INDEX(Journal!$E$5:$E$1504,$B140)=$C$4,INDEX(Journal!$N$5:$N$1504,$B140),0))</f>
        <v/>
      </c>
      <c r="I140" s="56" t="str">
        <f aca="false">IF($B140="","",IF(OR($G$4="Aktiv",$G$4="Aufwand"),I139+G140-H140,I139+H140-G140))</f>
        <v/>
      </c>
    </row>
    <row r="141" customFormat="false" ht="15" hidden="false" customHeight="false" outlineLevel="0" collapsed="false">
      <c r="A141" s="54" t="n">
        <v>134</v>
      </c>
      <c r="B141" s="54" t="str">
        <f aca="false">IFERROR(MATCH(A141,Journal!$W$5:$W$1504,0),"")</f>
        <v/>
      </c>
      <c r="C141" s="55" t="str">
        <f aca="false">IF($B141="","",INDEX(Journal!$A$5:$A$1504,$B141))</f>
        <v/>
      </c>
      <c r="D141" s="54" t="str">
        <f aca="false">IF($B141="","",INDEX(Journal!$B$5:$B$1504,$B141))</f>
        <v/>
      </c>
      <c r="E141" s="54" t="str">
        <f aca="false">IF($B141="","",INDEX(Journal!$C$5:$C$1504,$B141))</f>
        <v/>
      </c>
      <c r="F141" s="54" t="str">
        <f aca="false">IF($B141="","",IF(INDEX(Journal!$D$5:$D$1504,$B141)=$C$4,INDEX(Journal!$E$5:$E$1504,$B141),INDEX(Journal!$D$5:$D$1504,$B141)))</f>
        <v/>
      </c>
      <c r="G141" s="56" t="str">
        <f aca="false">IF($B141="","",IF(INDEX(Journal!$D$5:$D$1504,$B141)=$C$4,INDEX(Journal!$M$5:$M$1504,$B141),0))</f>
        <v/>
      </c>
      <c r="H141" s="56" t="str">
        <f aca="false">IF($B141="","",IF(INDEX(Journal!$E$5:$E$1504,$B141)=$C$4,INDEX(Journal!$N$5:$N$1504,$B141),0))</f>
        <v/>
      </c>
      <c r="I141" s="56" t="str">
        <f aca="false">IF($B141="","",IF(OR($G$4="Aktiv",$G$4="Aufwand"),I140+G141-H141,I140+H141-G141))</f>
        <v/>
      </c>
    </row>
    <row r="142" customFormat="false" ht="15" hidden="false" customHeight="false" outlineLevel="0" collapsed="false">
      <c r="A142" s="54" t="n">
        <v>135</v>
      </c>
      <c r="B142" s="54" t="str">
        <f aca="false">IFERROR(MATCH(A142,Journal!$W$5:$W$1504,0),"")</f>
        <v/>
      </c>
      <c r="C142" s="55" t="str">
        <f aca="false">IF($B142="","",INDEX(Journal!$A$5:$A$1504,$B142))</f>
        <v/>
      </c>
      <c r="D142" s="54" t="str">
        <f aca="false">IF($B142="","",INDEX(Journal!$B$5:$B$1504,$B142))</f>
        <v/>
      </c>
      <c r="E142" s="54" t="str">
        <f aca="false">IF($B142="","",INDEX(Journal!$C$5:$C$1504,$B142))</f>
        <v/>
      </c>
      <c r="F142" s="54" t="str">
        <f aca="false">IF($B142="","",IF(INDEX(Journal!$D$5:$D$1504,$B142)=$C$4,INDEX(Journal!$E$5:$E$1504,$B142),INDEX(Journal!$D$5:$D$1504,$B142)))</f>
        <v/>
      </c>
      <c r="G142" s="56" t="str">
        <f aca="false">IF($B142="","",IF(INDEX(Journal!$D$5:$D$1504,$B142)=$C$4,INDEX(Journal!$M$5:$M$1504,$B142),0))</f>
        <v/>
      </c>
      <c r="H142" s="56" t="str">
        <f aca="false">IF($B142="","",IF(INDEX(Journal!$E$5:$E$1504,$B142)=$C$4,INDEX(Journal!$N$5:$N$1504,$B142),0))</f>
        <v/>
      </c>
      <c r="I142" s="56" t="str">
        <f aca="false">IF($B142="","",IF(OR($G$4="Aktiv",$G$4="Aufwand"),I141+G142-H142,I141+H142-G142))</f>
        <v/>
      </c>
    </row>
    <row r="143" customFormat="false" ht="15" hidden="false" customHeight="false" outlineLevel="0" collapsed="false">
      <c r="A143" s="54" t="n">
        <v>136</v>
      </c>
      <c r="B143" s="54" t="str">
        <f aca="false">IFERROR(MATCH(A143,Journal!$W$5:$W$1504,0),"")</f>
        <v/>
      </c>
      <c r="C143" s="55" t="str">
        <f aca="false">IF($B143="","",INDEX(Journal!$A$5:$A$1504,$B143))</f>
        <v/>
      </c>
      <c r="D143" s="54" t="str">
        <f aca="false">IF($B143="","",INDEX(Journal!$B$5:$B$1504,$B143))</f>
        <v/>
      </c>
      <c r="E143" s="54" t="str">
        <f aca="false">IF($B143="","",INDEX(Journal!$C$5:$C$1504,$B143))</f>
        <v/>
      </c>
      <c r="F143" s="54" t="str">
        <f aca="false">IF($B143="","",IF(INDEX(Journal!$D$5:$D$1504,$B143)=$C$4,INDEX(Journal!$E$5:$E$1504,$B143),INDEX(Journal!$D$5:$D$1504,$B143)))</f>
        <v/>
      </c>
      <c r="G143" s="56" t="str">
        <f aca="false">IF($B143="","",IF(INDEX(Journal!$D$5:$D$1504,$B143)=$C$4,INDEX(Journal!$M$5:$M$1504,$B143),0))</f>
        <v/>
      </c>
      <c r="H143" s="56" t="str">
        <f aca="false">IF($B143="","",IF(INDEX(Journal!$E$5:$E$1504,$B143)=$C$4,INDEX(Journal!$N$5:$N$1504,$B143),0))</f>
        <v/>
      </c>
      <c r="I143" s="56" t="str">
        <f aca="false">IF($B143="","",IF(OR($G$4="Aktiv",$G$4="Aufwand"),I142+G143-H143,I142+H143-G143))</f>
        <v/>
      </c>
    </row>
    <row r="144" customFormat="false" ht="15" hidden="false" customHeight="false" outlineLevel="0" collapsed="false">
      <c r="A144" s="54" t="n">
        <v>137</v>
      </c>
      <c r="B144" s="54" t="str">
        <f aca="false">IFERROR(MATCH(A144,Journal!$W$5:$W$1504,0),"")</f>
        <v/>
      </c>
      <c r="C144" s="55" t="str">
        <f aca="false">IF($B144="","",INDEX(Journal!$A$5:$A$1504,$B144))</f>
        <v/>
      </c>
      <c r="D144" s="54" t="str">
        <f aca="false">IF($B144="","",INDEX(Journal!$B$5:$B$1504,$B144))</f>
        <v/>
      </c>
      <c r="E144" s="54" t="str">
        <f aca="false">IF($B144="","",INDEX(Journal!$C$5:$C$1504,$B144))</f>
        <v/>
      </c>
      <c r="F144" s="54" t="str">
        <f aca="false">IF($B144="","",IF(INDEX(Journal!$D$5:$D$1504,$B144)=$C$4,INDEX(Journal!$E$5:$E$1504,$B144),INDEX(Journal!$D$5:$D$1504,$B144)))</f>
        <v/>
      </c>
      <c r="G144" s="56" t="str">
        <f aca="false">IF($B144="","",IF(INDEX(Journal!$D$5:$D$1504,$B144)=$C$4,INDEX(Journal!$M$5:$M$1504,$B144),0))</f>
        <v/>
      </c>
      <c r="H144" s="56" t="str">
        <f aca="false">IF($B144="","",IF(INDEX(Journal!$E$5:$E$1504,$B144)=$C$4,INDEX(Journal!$N$5:$N$1504,$B144),0))</f>
        <v/>
      </c>
      <c r="I144" s="56" t="str">
        <f aca="false">IF($B144="","",IF(OR($G$4="Aktiv",$G$4="Aufwand"),I143+G144-H144,I143+H144-G144))</f>
        <v/>
      </c>
    </row>
    <row r="145" customFormat="false" ht="15" hidden="false" customHeight="false" outlineLevel="0" collapsed="false">
      <c r="A145" s="54" t="n">
        <v>138</v>
      </c>
      <c r="B145" s="54" t="str">
        <f aca="false">IFERROR(MATCH(A145,Journal!$W$5:$W$1504,0),"")</f>
        <v/>
      </c>
      <c r="C145" s="55" t="str">
        <f aca="false">IF($B145="","",INDEX(Journal!$A$5:$A$1504,$B145))</f>
        <v/>
      </c>
      <c r="D145" s="54" t="str">
        <f aca="false">IF($B145="","",INDEX(Journal!$B$5:$B$1504,$B145))</f>
        <v/>
      </c>
      <c r="E145" s="54" t="str">
        <f aca="false">IF($B145="","",INDEX(Journal!$C$5:$C$1504,$B145))</f>
        <v/>
      </c>
      <c r="F145" s="54" t="str">
        <f aca="false">IF($B145="","",IF(INDEX(Journal!$D$5:$D$1504,$B145)=$C$4,INDEX(Journal!$E$5:$E$1504,$B145),INDEX(Journal!$D$5:$D$1504,$B145)))</f>
        <v/>
      </c>
      <c r="G145" s="56" t="str">
        <f aca="false">IF($B145="","",IF(INDEX(Journal!$D$5:$D$1504,$B145)=$C$4,INDEX(Journal!$M$5:$M$1504,$B145),0))</f>
        <v/>
      </c>
      <c r="H145" s="56" t="str">
        <f aca="false">IF($B145="","",IF(INDEX(Journal!$E$5:$E$1504,$B145)=$C$4,INDEX(Journal!$N$5:$N$1504,$B145),0))</f>
        <v/>
      </c>
      <c r="I145" s="56" t="str">
        <f aca="false">IF($B145="","",IF(OR($G$4="Aktiv",$G$4="Aufwand"),I144+G145-H145,I144+H145-G145))</f>
        <v/>
      </c>
    </row>
    <row r="146" customFormat="false" ht="15" hidden="false" customHeight="false" outlineLevel="0" collapsed="false">
      <c r="A146" s="54" t="n">
        <v>139</v>
      </c>
      <c r="B146" s="54" t="str">
        <f aca="false">IFERROR(MATCH(A146,Journal!$W$5:$W$1504,0),"")</f>
        <v/>
      </c>
      <c r="C146" s="55" t="str">
        <f aca="false">IF($B146="","",INDEX(Journal!$A$5:$A$1504,$B146))</f>
        <v/>
      </c>
      <c r="D146" s="54" t="str">
        <f aca="false">IF($B146="","",INDEX(Journal!$B$5:$B$1504,$B146))</f>
        <v/>
      </c>
      <c r="E146" s="54" t="str">
        <f aca="false">IF($B146="","",INDEX(Journal!$C$5:$C$1504,$B146))</f>
        <v/>
      </c>
      <c r="F146" s="54" t="str">
        <f aca="false">IF($B146="","",IF(INDEX(Journal!$D$5:$D$1504,$B146)=$C$4,INDEX(Journal!$E$5:$E$1504,$B146),INDEX(Journal!$D$5:$D$1504,$B146)))</f>
        <v/>
      </c>
      <c r="G146" s="56" t="str">
        <f aca="false">IF($B146="","",IF(INDEX(Journal!$D$5:$D$1504,$B146)=$C$4,INDEX(Journal!$M$5:$M$1504,$B146),0))</f>
        <v/>
      </c>
      <c r="H146" s="56" t="str">
        <f aca="false">IF($B146="","",IF(INDEX(Journal!$E$5:$E$1504,$B146)=$C$4,INDEX(Journal!$N$5:$N$1504,$B146),0))</f>
        <v/>
      </c>
      <c r="I146" s="56" t="str">
        <f aca="false">IF($B146="","",IF(OR($G$4="Aktiv",$G$4="Aufwand"),I145+G146-H146,I145+H146-G146))</f>
        <v/>
      </c>
    </row>
    <row r="147" customFormat="false" ht="15" hidden="false" customHeight="false" outlineLevel="0" collapsed="false">
      <c r="A147" s="54" t="n">
        <v>140</v>
      </c>
      <c r="B147" s="54" t="str">
        <f aca="false">IFERROR(MATCH(A147,Journal!$W$5:$W$1504,0),"")</f>
        <v/>
      </c>
      <c r="C147" s="55" t="str">
        <f aca="false">IF($B147="","",INDEX(Journal!$A$5:$A$1504,$B147))</f>
        <v/>
      </c>
      <c r="D147" s="54" t="str">
        <f aca="false">IF($B147="","",INDEX(Journal!$B$5:$B$1504,$B147))</f>
        <v/>
      </c>
      <c r="E147" s="54" t="str">
        <f aca="false">IF($B147="","",INDEX(Journal!$C$5:$C$1504,$B147))</f>
        <v/>
      </c>
      <c r="F147" s="54" t="str">
        <f aca="false">IF($B147="","",IF(INDEX(Journal!$D$5:$D$1504,$B147)=$C$4,INDEX(Journal!$E$5:$E$1504,$B147),INDEX(Journal!$D$5:$D$1504,$B147)))</f>
        <v/>
      </c>
      <c r="G147" s="56" t="str">
        <f aca="false">IF($B147="","",IF(INDEX(Journal!$D$5:$D$1504,$B147)=$C$4,INDEX(Journal!$M$5:$M$1504,$B147),0))</f>
        <v/>
      </c>
      <c r="H147" s="56" t="str">
        <f aca="false">IF($B147="","",IF(INDEX(Journal!$E$5:$E$1504,$B147)=$C$4,INDEX(Journal!$N$5:$N$1504,$B147),0))</f>
        <v/>
      </c>
      <c r="I147" s="56" t="str">
        <f aca="false">IF($B147="","",IF(OR($G$4="Aktiv",$G$4="Aufwand"),I146+G147-H147,I146+H147-G147))</f>
        <v/>
      </c>
    </row>
    <row r="148" customFormat="false" ht="15" hidden="false" customHeight="false" outlineLevel="0" collapsed="false">
      <c r="A148" s="54" t="n">
        <v>141</v>
      </c>
      <c r="B148" s="54" t="str">
        <f aca="false">IFERROR(MATCH(A148,Journal!$W$5:$W$1504,0),"")</f>
        <v/>
      </c>
      <c r="C148" s="55" t="str">
        <f aca="false">IF($B148="","",INDEX(Journal!$A$5:$A$1504,$B148))</f>
        <v/>
      </c>
      <c r="D148" s="54" t="str">
        <f aca="false">IF($B148="","",INDEX(Journal!$B$5:$B$1504,$B148))</f>
        <v/>
      </c>
      <c r="E148" s="54" t="str">
        <f aca="false">IF($B148="","",INDEX(Journal!$C$5:$C$1504,$B148))</f>
        <v/>
      </c>
      <c r="F148" s="54" t="str">
        <f aca="false">IF($B148="","",IF(INDEX(Journal!$D$5:$D$1504,$B148)=$C$4,INDEX(Journal!$E$5:$E$1504,$B148),INDEX(Journal!$D$5:$D$1504,$B148)))</f>
        <v/>
      </c>
      <c r="G148" s="56" t="str">
        <f aca="false">IF($B148="","",IF(INDEX(Journal!$D$5:$D$1504,$B148)=$C$4,INDEX(Journal!$M$5:$M$1504,$B148),0))</f>
        <v/>
      </c>
      <c r="H148" s="56" t="str">
        <f aca="false">IF($B148="","",IF(INDEX(Journal!$E$5:$E$1504,$B148)=$C$4,INDEX(Journal!$N$5:$N$1504,$B148),0))</f>
        <v/>
      </c>
      <c r="I148" s="56" t="str">
        <f aca="false">IF($B148="","",IF(OR($G$4="Aktiv",$G$4="Aufwand"),I147+G148-H148,I147+H148-G148))</f>
        <v/>
      </c>
    </row>
    <row r="149" customFormat="false" ht="15" hidden="false" customHeight="false" outlineLevel="0" collapsed="false">
      <c r="A149" s="54" t="n">
        <v>142</v>
      </c>
      <c r="B149" s="54" t="str">
        <f aca="false">IFERROR(MATCH(A149,Journal!$W$5:$W$1504,0),"")</f>
        <v/>
      </c>
      <c r="C149" s="55" t="str">
        <f aca="false">IF($B149="","",INDEX(Journal!$A$5:$A$1504,$B149))</f>
        <v/>
      </c>
      <c r="D149" s="54" t="str">
        <f aca="false">IF($B149="","",INDEX(Journal!$B$5:$B$1504,$B149))</f>
        <v/>
      </c>
      <c r="E149" s="54" t="str">
        <f aca="false">IF($B149="","",INDEX(Journal!$C$5:$C$1504,$B149))</f>
        <v/>
      </c>
      <c r="F149" s="54" t="str">
        <f aca="false">IF($B149="","",IF(INDEX(Journal!$D$5:$D$1504,$B149)=$C$4,INDEX(Journal!$E$5:$E$1504,$B149),INDEX(Journal!$D$5:$D$1504,$B149)))</f>
        <v/>
      </c>
      <c r="G149" s="56" t="str">
        <f aca="false">IF($B149="","",IF(INDEX(Journal!$D$5:$D$1504,$B149)=$C$4,INDEX(Journal!$M$5:$M$1504,$B149),0))</f>
        <v/>
      </c>
      <c r="H149" s="56" t="str">
        <f aca="false">IF($B149="","",IF(INDEX(Journal!$E$5:$E$1504,$B149)=$C$4,INDEX(Journal!$N$5:$N$1504,$B149),0))</f>
        <v/>
      </c>
      <c r="I149" s="56" t="str">
        <f aca="false">IF($B149="","",IF(OR($G$4="Aktiv",$G$4="Aufwand"),I148+G149-H149,I148+H149-G149))</f>
        <v/>
      </c>
    </row>
    <row r="150" customFormat="false" ht="15" hidden="false" customHeight="false" outlineLevel="0" collapsed="false">
      <c r="A150" s="54" t="n">
        <v>143</v>
      </c>
      <c r="B150" s="54" t="str">
        <f aca="false">IFERROR(MATCH(A150,Journal!$W$5:$W$1504,0),"")</f>
        <v/>
      </c>
      <c r="C150" s="55" t="str">
        <f aca="false">IF($B150="","",INDEX(Journal!$A$5:$A$1504,$B150))</f>
        <v/>
      </c>
      <c r="D150" s="54" t="str">
        <f aca="false">IF($B150="","",INDEX(Journal!$B$5:$B$1504,$B150))</f>
        <v/>
      </c>
      <c r="E150" s="54" t="str">
        <f aca="false">IF($B150="","",INDEX(Journal!$C$5:$C$1504,$B150))</f>
        <v/>
      </c>
      <c r="F150" s="54" t="str">
        <f aca="false">IF($B150="","",IF(INDEX(Journal!$D$5:$D$1504,$B150)=$C$4,INDEX(Journal!$E$5:$E$1504,$B150),INDEX(Journal!$D$5:$D$1504,$B150)))</f>
        <v/>
      </c>
      <c r="G150" s="56" t="str">
        <f aca="false">IF($B150="","",IF(INDEX(Journal!$D$5:$D$1504,$B150)=$C$4,INDEX(Journal!$M$5:$M$1504,$B150),0))</f>
        <v/>
      </c>
      <c r="H150" s="56" t="str">
        <f aca="false">IF($B150="","",IF(INDEX(Journal!$E$5:$E$1504,$B150)=$C$4,INDEX(Journal!$N$5:$N$1504,$B150),0))</f>
        <v/>
      </c>
      <c r="I150" s="56" t="str">
        <f aca="false">IF($B150="","",IF(OR($G$4="Aktiv",$G$4="Aufwand"),I149+G150-H150,I149+H150-G150))</f>
        <v/>
      </c>
    </row>
    <row r="151" customFormat="false" ht="15" hidden="false" customHeight="false" outlineLevel="0" collapsed="false">
      <c r="A151" s="54" t="n">
        <v>144</v>
      </c>
      <c r="B151" s="54" t="str">
        <f aca="false">IFERROR(MATCH(A151,Journal!$W$5:$W$1504,0),"")</f>
        <v/>
      </c>
      <c r="C151" s="55" t="str">
        <f aca="false">IF($B151="","",INDEX(Journal!$A$5:$A$1504,$B151))</f>
        <v/>
      </c>
      <c r="D151" s="54" t="str">
        <f aca="false">IF($B151="","",INDEX(Journal!$B$5:$B$1504,$B151))</f>
        <v/>
      </c>
      <c r="E151" s="54" t="str">
        <f aca="false">IF($B151="","",INDEX(Journal!$C$5:$C$1504,$B151))</f>
        <v/>
      </c>
      <c r="F151" s="54" t="str">
        <f aca="false">IF($B151="","",IF(INDEX(Journal!$D$5:$D$1504,$B151)=$C$4,INDEX(Journal!$E$5:$E$1504,$B151),INDEX(Journal!$D$5:$D$1504,$B151)))</f>
        <v/>
      </c>
      <c r="G151" s="56" t="str">
        <f aca="false">IF($B151="","",IF(INDEX(Journal!$D$5:$D$1504,$B151)=$C$4,INDEX(Journal!$M$5:$M$1504,$B151),0))</f>
        <v/>
      </c>
      <c r="H151" s="56" t="str">
        <f aca="false">IF($B151="","",IF(INDEX(Journal!$E$5:$E$1504,$B151)=$C$4,INDEX(Journal!$N$5:$N$1504,$B151),0))</f>
        <v/>
      </c>
      <c r="I151" s="56" t="str">
        <f aca="false">IF($B151="","",IF(OR($G$4="Aktiv",$G$4="Aufwand"),I150+G151-H151,I150+H151-G151))</f>
        <v/>
      </c>
    </row>
    <row r="152" customFormat="false" ht="15" hidden="false" customHeight="false" outlineLevel="0" collapsed="false">
      <c r="A152" s="54" t="n">
        <v>145</v>
      </c>
      <c r="B152" s="54" t="str">
        <f aca="false">IFERROR(MATCH(A152,Journal!$W$5:$W$1504,0),"")</f>
        <v/>
      </c>
      <c r="C152" s="55" t="str">
        <f aca="false">IF($B152="","",INDEX(Journal!$A$5:$A$1504,$B152))</f>
        <v/>
      </c>
      <c r="D152" s="54" t="str">
        <f aca="false">IF($B152="","",INDEX(Journal!$B$5:$B$1504,$B152))</f>
        <v/>
      </c>
      <c r="E152" s="54" t="str">
        <f aca="false">IF($B152="","",INDEX(Journal!$C$5:$C$1504,$B152))</f>
        <v/>
      </c>
      <c r="F152" s="54" t="str">
        <f aca="false">IF($B152="","",IF(INDEX(Journal!$D$5:$D$1504,$B152)=$C$4,INDEX(Journal!$E$5:$E$1504,$B152),INDEX(Journal!$D$5:$D$1504,$B152)))</f>
        <v/>
      </c>
      <c r="G152" s="56" t="str">
        <f aca="false">IF($B152="","",IF(INDEX(Journal!$D$5:$D$1504,$B152)=$C$4,INDEX(Journal!$M$5:$M$1504,$B152),0))</f>
        <v/>
      </c>
      <c r="H152" s="56" t="str">
        <f aca="false">IF($B152="","",IF(INDEX(Journal!$E$5:$E$1504,$B152)=$C$4,INDEX(Journal!$N$5:$N$1504,$B152),0))</f>
        <v/>
      </c>
      <c r="I152" s="56" t="str">
        <f aca="false">IF($B152="","",IF(OR($G$4="Aktiv",$G$4="Aufwand"),I151+G152-H152,I151+H152-G152))</f>
        <v/>
      </c>
    </row>
    <row r="153" customFormat="false" ht="15" hidden="false" customHeight="false" outlineLevel="0" collapsed="false">
      <c r="A153" s="54" t="n">
        <v>146</v>
      </c>
      <c r="B153" s="54" t="str">
        <f aca="false">IFERROR(MATCH(A153,Journal!$W$5:$W$1504,0),"")</f>
        <v/>
      </c>
      <c r="C153" s="55" t="str">
        <f aca="false">IF($B153="","",INDEX(Journal!$A$5:$A$1504,$B153))</f>
        <v/>
      </c>
      <c r="D153" s="54" t="str">
        <f aca="false">IF($B153="","",INDEX(Journal!$B$5:$B$1504,$B153))</f>
        <v/>
      </c>
      <c r="E153" s="54" t="str">
        <f aca="false">IF($B153="","",INDEX(Journal!$C$5:$C$1504,$B153))</f>
        <v/>
      </c>
      <c r="F153" s="54" t="str">
        <f aca="false">IF($B153="","",IF(INDEX(Journal!$D$5:$D$1504,$B153)=$C$4,INDEX(Journal!$E$5:$E$1504,$B153),INDEX(Journal!$D$5:$D$1504,$B153)))</f>
        <v/>
      </c>
      <c r="G153" s="56" t="str">
        <f aca="false">IF($B153="","",IF(INDEX(Journal!$D$5:$D$1504,$B153)=$C$4,INDEX(Journal!$M$5:$M$1504,$B153),0))</f>
        <v/>
      </c>
      <c r="H153" s="56" t="str">
        <f aca="false">IF($B153="","",IF(INDEX(Journal!$E$5:$E$1504,$B153)=$C$4,INDEX(Journal!$N$5:$N$1504,$B153),0))</f>
        <v/>
      </c>
      <c r="I153" s="56" t="str">
        <f aca="false">IF($B153="","",IF(OR($G$4="Aktiv",$G$4="Aufwand"),I152+G153-H153,I152+H153-G153))</f>
        <v/>
      </c>
    </row>
    <row r="154" customFormat="false" ht="15" hidden="false" customHeight="false" outlineLevel="0" collapsed="false">
      <c r="A154" s="54" t="n">
        <v>147</v>
      </c>
      <c r="B154" s="54" t="str">
        <f aca="false">IFERROR(MATCH(A154,Journal!$W$5:$W$1504,0),"")</f>
        <v/>
      </c>
      <c r="C154" s="55" t="str">
        <f aca="false">IF($B154="","",INDEX(Journal!$A$5:$A$1504,$B154))</f>
        <v/>
      </c>
      <c r="D154" s="54" t="str">
        <f aca="false">IF($B154="","",INDEX(Journal!$B$5:$B$1504,$B154))</f>
        <v/>
      </c>
      <c r="E154" s="54" t="str">
        <f aca="false">IF($B154="","",INDEX(Journal!$C$5:$C$1504,$B154))</f>
        <v/>
      </c>
      <c r="F154" s="54" t="str">
        <f aca="false">IF($B154="","",IF(INDEX(Journal!$D$5:$D$1504,$B154)=$C$4,INDEX(Journal!$E$5:$E$1504,$B154),INDEX(Journal!$D$5:$D$1504,$B154)))</f>
        <v/>
      </c>
      <c r="G154" s="56" t="str">
        <f aca="false">IF($B154="","",IF(INDEX(Journal!$D$5:$D$1504,$B154)=$C$4,INDEX(Journal!$M$5:$M$1504,$B154),0))</f>
        <v/>
      </c>
      <c r="H154" s="56" t="str">
        <f aca="false">IF($B154="","",IF(INDEX(Journal!$E$5:$E$1504,$B154)=$C$4,INDEX(Journal!$N$5:$N$1504,$B154),0))</f>
        <v/>
      </c>
      <c r="I154" s="56" t="str">
        <f aca="false">IF($B154="","",IF(OR($G$4="Aktiv",$G$4="Aufwand"),I153+G154-H154,I153+H154-G154))</f>
        <v/>
      </c>
    </row>
    <row r="155" customFormat="false" ht="15" hidden="false" customHeight="false" outlineLevel="0" collapsed="false">
      <c r="A155" s="54" t="n">
        <v>148</v>
      </c>
      <c r="B155" s="54" t="str">
        <f aca="false">IFERROR(MATCH(A155,Journal!$W$5:$W$1504,0),"")</f>
        <v/>
      </c>
      <c r="C155" s="55" t="str">
        <f aca="false">IF($B155="","",INDEX(Journal!$A$5:$A$1504,$B155))</f>
        <v/>
      </c>
      <c r="D155" s="54" t="str">
        <f aca="false">IF($B155="","",INDEX(Journal!$B$5:$B$1504,$B155))</f>
        <v/>
      </c>
      <c r="E155" s="54" t="str">
        <f aca="false">IF($B155="","",INDEX(Journal!$C$5:$C$1504,$B155))</f>
        <v/>
      </c>
      <c r="F155" s="54" t="str">
        <f aca="false">IF($B155="","",IF(INDEX(Journal!$D$5:$D$1504,$B155)=$C$4,INDEX(Journal!$E$5:$E$1504,$B155),INDEX(Journal!$D$5:$D$1504,$B155)))</f>
        <v/>
      </c>
      <c r="G155" s="56" t="str">
        <f aca="false">IF($B155="","",IF(INDEX(Journal!$D$5:$D$1504,$B155)=$C$4,INDEX(Journal!$M$5:$M$1504,$B155),0))</f>
        <v/>
      </c>
      <c r="H155" s="56" t="str">
        <f aca="false">IF($B155="","",IF(INDEX(Journal!$E$5:$E$1504,$B155)=$C$4,INDEX(Journal!$N$5:$N$1504,$B155),0))</f>
        <v/>
      </c>
      <c r="I155" s="56" t="str">
        <f aca="false">IF($B155="","",IF(OR($G$4="Aktiv",$G$4="Aufwand"),I154+G155-H155,I154+H155-G155))</f>
        <v/>
      </c>
    </row>
    <row r="156" customFormat="false" ht="15" hidden="false" customHeight="false" outlineLevel="0" collapsed="false">
      <c r="A156" s="54" t="n">
        <v>149</v>
      </c>
      <c r="B156" s="54" t="str">
        <f aca="false">IFERROR(MATCH(A156,Journal!$W$5:$W$1504,0),"")</f>
        <v/>
      </c>
      <c r="C156" s="55" t="str">
        <f aca="false">IF($B156="","",INDEX(Journal!$A$5:$A$1504,$B156))</f>
        <v/>
      </c>
      <c r="D156" s="54" t="str">
        <f aca="false">IF($B156="","",INDEX(Journal!$B$5:$B$1504,$B156))</f>
        <v/>
      </c>
      <c r="E156" s="54" t="str">
        <f aca="false">IF($B156="","",INDEX(Journal!$C$5:$C$1504,$B156))</f>
        <v/>
      </c>
      <c r="F156" s="54" t="str">
        <f aca="false">IF($B156="","",IF(INDEX(Journal!$D$5:$D$1504,$B156)=$C$4,INDEX(Journal!$E$5:$E$1504,$B156),INDEX(Journal!$D$5:$D$1504,$B156)))</f>
        <v/>
      </c>
      <c r="G156" s="56" t="str">
        <f aca="false">IF($B156="","",IF(INDEX(Journal!$D$5:$D$1504,$B156)=$C$4,INDEX(Journal!$M$5:$M$1504,$B156),0))</f>
        <v/>
      </c>
      <c r="H156" s="56" t="str">
        <f aca="false">IF($B156="","",IF(INDEX(Journal!$E$5:$E$1504,$B156)=$C$4,INDEX(Journal!$N$5:$N$1504,$B156),0))</f>
        <v/>
      </c>
      <c r="I156" s="56" t="str">
        <f aca="false">IF($B156="","",IF(OR($G$4="Aktiv",$G$4="Aufwand"),I155+G156-H156,I155+H156-G156))</f>
        <v/>
      </c>
    </row>
    <row r="157" customFormat="false" ht="15" hidden="false" customHeight="false" outlineLevel="0" collapsed="false">
      <c r="A157" s="54" t="n">
        <v>150</v>
      </c>
      <c r="B157" s="54" t="str">
        <f aca="false">IFERROR(MATCH(A157,Journal!$W$5:$W$1504,0),"")</f>
        <v/>
      </c>
      <c r="C157" s="55" t="str">
        <f aca="false">IF($B157="","",INDEX(Journal!$A$5:$A$1504,$B157))</f>
        <v/>
      </c>
      <c r="D157" s="54" t="str">
        <f aca="false">IF($B157="","",INDEX(Journal!$B$5:$B$1504,$B157))</f>
        <v/>
      </c>
      <c r="E157" s="54" t="str">
        <f aca="false">IF($B157="","",INDEX(Journal!$C$5:$C$1504,$B157))</f>
        <v/>
      </c>
      <c r="F157" s="54" t="str">
        <f aca="false">IF($B157="","",IF(INDEX(Journal!$D$5:$D$1504,$B157)=$C$4,INDEX(Journal!$E$5:$E$1504,$B157),INDEX(Journal!$D$5:$D$1504,$B157)))</f>
        <v/>
      </c>
      <c r="G157" s="56" t="str">
        <f aca="false">IF($B157="","",IF(INDEX(Journal!$D$5:$D$1504,$B157)=$C$4,INDEX(Journal!$M$5:$M$1504,$B157),0))</f>
        <v/>
      </c>
      <c r="H157" s="56" t="str">
        <f aca="false">IF($B157="","",IF(INDEX(Journal!$E$5:$E$1504,$B157)=$C$4,INDEX(Journal!$N$5:$N$1504,$B157),0))</f>
        <v/>
      </c>
      <c r="I157" s="56" t="str">
        <f aca="false">IF($B157="","",IF(OR($G$4="Aktiv",$G$4="Aufwand"),I156+G157-H157,I156+H157-G157))</f>
        <v/>
      </c>
    </row>
    <row r="158" customFormat="false" ht="15" hidden="false" customHeight="false" outlineLevel="0" collapsed="false">
      <c r="A158" s="54" t="n">
        <v>151</v>
      </c>
      <c r="B158" s="54" t="str">
        <f aca="false">IFERROR(MATCH(A158,Journal!$W$5:$W$1504,0),"")</f>
        <v/>
      </c>
      <c r="C158" s="55" t="str">
        <f aca="false">IF($B158="","",INDEX(Journal!$A$5:$A$1504,$B158))</f>
        <v/>
      </c>
      <c r="D158" s="54" t="str">
        <f aca="false">IF($B158="","",INDEX(Journal!$B$5:$B$1504,$B158))</f>
        <v/>
      </c>
      <c r="E158" s="54" t="str">
        <f aca="false">IF($B158="","",INDEX(Journal!$C$5:$C$1504,$B158))</f>
        <v/>
      </c>
      <c r="F158" s="54" t="str">
        <f aca="false">IF($B158="","",IF(INDEX(Journal!$D$5:$D$1504,$B158)=$C$4,INDEX(Journal!$E$5:$E$1504,$B158),INDEX(Journal!$D$5:$D$1504,$B158)))</f>
        <v/>
      </c>
      <c r="G158" s="56" t="str">
        <f aca="false">IF($B158="","",IF(INDEX(Journal!$D$5:$D$1504,$B158)=$C$4,INDEX(Journal!$M$5:$M$1504,$B158),0))</f>
        <v/>
      </c>
      <c r="H158" s="56" t="str">
        <f aca="false">IF($B158="","",IF(INDEX(Journal!$E$5:$E$1504,$B158)=$C$4,INDEX(Journal!$N$5:$N$1504,$B158),0))</f>
        <v/>
      </c>
      <c r="I158" s="56" t="str">
        <f aca="false">IF($B158="","",IF(OR($G$4="Aktiv",$G$4="Aufwand"),I157+G158-H158,I157+H158-G158))</f>
        <v/>
      </c>
    </row>
    <row r="159" customFormat="false" ht="15" hidden="false" customHeight="false" outlineLevel="0" collapsed="false">
      <c r="A159" s="54" t="n">
        <v>152</v>
      </c>
      <c r="B159" s="54" t="str">
        <f aca="false">IFERROR(MATCH(A159,Journal!$W$5:$W$1504,0),"")</f>
        <v/>
      </c>
      <c r="C159" s="55" t="str">
        <f aca="false">IF($B159="","",INDEX(Journal!$A$5:$A$1504,$B159))</f>
        <v/>
      </c>
      <c r="D159" s="54" t="str">
        <f aca="false">IF($B159="","",INDEX(Journal!$B$5:$B$1504,$B159))</f>
        <v/>
      </c>
      <c r="E159" s="54" t="str">
        <f aca="false">IF($B159="","",INDEX(Journal!$C$5:$C$1504,$B159))</f>
        <v/>
      </c>
      <c r="F159" s="54" t="str">
        <f aca="false">IF($B159="","",IF(INDEX(Journal!$D$5:$D$1504,$B159)=$C$4,INDEX(Journal!$E$5:$E$1504,$B159),INDEX(Journal!$D$5:$D$1504,$B159)))</f>
        <v/>
      </c>
      <c r="G159" s="56" t="str">
        <f aca="false">IF($B159="","",IF(INDEX(Journal!$D$5:$D$1504,$B159)=$C$4,INDEX(Journal!$M$5:$M$1504,$B159),0))</f>
        <v/>
      </c>
      <c r="H159" s="56" t="str">
        <f aca="false">IF($B159="","",IF(INDEX(Journal!$E$5:$E$1504,$B159)=$C$4,INDEX(Journal!$N$5:$N$1504,$B159),0))</f>
        <v/>
      </c>
      <c r="I159" s="56" t="str">
        <f aca="false">IF($B159="","",IF(OR($G$4="Aktiv",$G$4="Aufwand"),I158+G159-H159,I158+H159-G159))</f>
        <v/>
      </c>
    </row>
    <row r="160" customFormat="false" ht="15" hidden="false" customHeight="false" outlineLevel="0" collapsed="false">
      <c r="A160" s="54" t="n">
        <v>153</v>
      </c>
      <c r="B160" s="54" t="str">
        <f aca="false">IFERROR(MATCH(A160,Journal!$W$5:$W$1504,0),"")</f>
        <v/>
      </c>
      <c r="C160" s="55" t="str">
        <f aca="false">IF($B160="","",INDEX(Journal!$A$5:$A$1504,$B160))</f>
        <v/>
      </c>
      <c r="D160" s="54" t="str">
        <f aca="false">IF($B160="","",INDEX(Journal!$B$5:$B$1504,$B160))</f>
        <v/>
      </c>
      <c r="E160" s="54" t="str">
        <f aca="false">IF($B160="","",INDEX(Journal!$C$5:$C$1504,$B160))</f>
        <v/>
      </c>
      <c r="F160" s="54" t="str">
        <f aca="false">IF($B160="","",IF(INDEX(Journal!$D$5:$D$1504,$B160)=$C$4,INDEX(Journal!$E$5:$E$1504,$B160),INDEX(Journal!$D$5:$D$1504,$B160)))</f>
        <v/>
      </c>
      <c r="G160" s="56" t="str">
        <f aca="false">IF($B160="","",IF(INDEX(Journal!$D$5:$D$1504,$B160)=$C$4,INDEX(Journal!$M$5:$M$1504,$B160),0))</f>
        <v/>
      </c>
      <c r="H160" s="56" t="str">
        <f aca="false">IF($B160="","",IF(INDEX(Journal!$E$5:$E$1504,$B160)=$C$4,INDEX(Journal!$N$5:$N$1504,$B160),0))</f>
        <v/>
      </c>
      <c r="I160" s="56" t="str">
        <f aca="false">IF($B160="","",IF(OR($G$4="Aktiv",$G$4="Aufwand"),I159+G160-H160,I159+H160-G160))</f>
        <v/>
      </c>
    </row>
    <row r="161" customFormat="false" ht="15" hidden="false" customHeight="false" outlineLevel="0" collapsed="false">
      <c r="A161" s="54" t="n">
        <v>154</v>
      </c>
      <c r="B161" s="54" t="str">
        <f aca="false">IFERROR(MATCH(A161,Journal!$W$5:$W$1504,0),"")</f>
        <v/>
      </c>
      <c r="C161" s="55" t="str">
        <f aca="false">IF($B161="","",INDEX(Journal!$A$5:$A$1504,$B161))</f>
        <v/>
      </c>
      <c r="D161" s="54" t="str">
        <f aca="false">IF($B161="","",INDEX(Journal!$B$5:$B$1504,$B161))</f>
        <v/>
      </c>
      <c r="E161" s="54" t="str">
        <f aca="false">IF($B161="","",INDEX(Journal!$C$5:$C$1504,$B161))</f>
        <v/>
      </c>
      <c r="F161" s="54" t="str">
        <f aca="false">IF($B161="","",IF(INDEX(Journal!$D$5:$D$1504,$B161)=$C$4,INDEX(Journal!$E$5:$E$1504,$B161),INDEX(Journal!$D$5:$D$1504,$B161)))</f>
        <v/>
      </c>
      <c r="G161" s="56" t="str">
        <f aca="false">IF($B161="","",IF(INDEX(Journal!$D$5:$D$1504,$B161)=$C$4,INDEX(Journal!$M$5:$M$1504,$B161),0))</f>
        <v/>
      </c>
      <c r="H161" s="56" t="str">
        <f aca="false">IF($B161="","",IF(INDEX(Journal!$E$5:$E$1504,$B161)=$C$4,INDEX(Journal!$N$5:$N$1504,$B161),0))</f>
        <v/>
      </c>
      <c r="I161" s="56" t="str">
        <f aca="false">IF($B161="","",IF(OR($G$4="Aktiv",$G$4="Aufwand"),I160+G161-H161,I160+H161-G161))</f>
        <v/>
      </c>
    </row>
    <row r="162" customFormat="false" ht="15" hidden="false" customHeight="false" outlineLevel="0" collapsed="false">
      <c r="A162" s="54" t="n">
        <v>155</v>
      </c>
      <c r="B162" s="54" t="str">
        <f aca="false">IFERROR(MATCH(A162,Journal!$W$5:$W$1504,0),"")</f>
        <v/>
      </c>
      <c r="C162" s="55" t="str">
        <f aca="false">IF($B162="","",INDEX(Journal!$A$5:$A$1504,$B162))</f>
        <v/>
      </c>
      <c r="D162" s="54" t="str">
        <f aca="false">IF($B162="","",INDEX(Journal!$B$5:$B$1504,$B162))</f>
        <v/>
      </c>
      <c r="E162" s="54" t="str">
        <f aca="false">IF($B162="","",INDEX(Journal!$C$5:$C$1504,$B162))</f>
        <v/>
      </c>
      <c r="F162" s="54" t="str">
        <f aca="false">IF($B162="","",IF(INDEX(Journal!$D$5:$D$1504,$B162)=$C$4,INDEX(Journal!$E$5:$E$1504,$B162),INDEX(Journal!$D$5:$D$1504,$B162)))</f>
        <v/>
      </c>
      <c r="G162" s="56" t="str">
        <f aca="false">IF($B162="","",IF(INDEX(Journal!$D$5:$D$1504,$B162)=$C$4,INDEX(Journal!$M$5:$M$1504,$B162),0))</f>
        <v/>
      </c>
      <c r="H162" s="56" t="str">
        <f aca="false">IF($B162="","",IF(INDEX(Journal!$E$5:$E$1504,$B162)=$C$4,INDEX(Journal!$N$5:$N$1504,$B162),0))</f>
        <v/>
      </c>
      <c r="I162" s="56" t="str">
        <f aca="false">IF($B162="","",IF(OR($G$4="Aktiv",$G$4="Aufwand"),I161+G162-H162,I161+H162-G162))</f>
        <v/>
      </c>
    </row>
    <row r="163" customFormat="false" ht="15" hidden="false" customHeight="false" outlineLevel="0" collapsed="false">
      <c r="A163" s="54" t="n">
        <v>156</v>
      </c>
      <c r="B163" s="54" t="str">
        <f aca="false">IFERROR(MATCH(A163,Journal!$W$5:$W$1504,0),"")</f>
        <v/>
      </c>
      <c r="C163" s="55" t="str">
        <f aca="false">IF($B163="","",INDEX(Journal!$A$5:$A$1504,$B163))</f>
        <v/>
      </c>
      <c r="D163" s="54" t="str">
        <f aca="false">IF($B163="","",INDEX(Journal!$B$5:$B$1504,$B163))</f>
        <v/>
      </c>
      <c r="E163" s="54" t="str">
        <f aca="false">IF($B163="","",INDEX(Journal!$C$5:$C$1504,$B163))</f>
        <v/>
      </c>
      <c r="F163" s="54" t="str">
        <f aca="false">IF($B163="","",IF(INDEX(Journal!$D$5:$D$1504,$B163)=$C$4,INDEX(Journal!$E$5:$E$1504,$B163),INDEX(Journal!$D$5:$D$1504,$B163)))</f>
        <v/>
      </c>
      <c r="G163" s="56" t="str">
        <f aca="false">IF($B163="","",IF(INDEX(Journal!$D$5:$D$1504,$B163)=$C$4,INDEX(Journal!$M$5:$M$1504,$B163),0))</f>
        <v/>
      </c>
      <c r="H163" s="56" t="str">
        <f aca="false">IF($B163="","",IF(INDEX(Journal!$E$5:$E$1504,$B163)=$C$4,INDEX(Journal!$N$5:$N$1504,$B163),0))</f>
        <v/>
      </c>
      <c r="I163" s="56" t="str">
        <f aca="false">IF($B163="","",IF(OR($G$4="Aktiv",$G$4="Aufwand"),I162+G163-H163,I162+H163-G163))</f>
        <v/>
      </c>
    </row>
    <row r="164" customFormat="false" ht="15" hidden="false" customHeight="false" outlineLevel="0" collapsed="false">
      <c r="A164" s="54" t="n">
        <v>157</v>
      </c>
      <c r="B164" s="54" t="str">
        <f aca="false">IFERROR(MATCH(A164,Journal!$W$5:$W$1504,0),"")</f>
        <v/>
      </c>
      <c r="C164" s="55" t="str">
        <f aca="false">IF($B164="","",INDEX(Journal!$A$5:$A$1504,$B164))</f>
        <v/>
      </c>
      <c r="D164" s="54" t="str">
        <f aca="false">IF($B164="","",INDEX(Journal!$B$5:$B$1504,$B164))</f>
        <v/>
      </c>
      <c r="E164" s="54" t="str">
        <f aca="false">IF($B164="","",INDEX(Journal!$C$5:$C$1504,$B164))</f>
        <v/>
      </c>
      <c r="F164" s="54" t="str">
        <f aca="false">IF($B164="","",IF(INDEX(Journal!$D$5:$D$1504,$B164)=$C$4,INDEX(Journal!$E$5:$E$1504,$B164),INDEX(Journal!$D$5:$D$1504,$B164)))</f>
        <v/>
      </c>
      <c r="G164" s="56" t="str">
        <f aca="false">IF($B164="","",IF(INDEX(Journal!$D$5:$D$1504,$B164)=$C$4,INDEX(Journal!$M$5:$M$1504,$B164),0))</f>
        <v/>
      </c>
      <c r="H164" s="56" t="str">
        <f aca="false">IF($B164="","",IF(INDEX(Journal!$E$5:$E$1504,$B164)=$C$4,INDEX(Journal!$N$5:$N$1504,$B164),0))</f>
        <v/>
      </c>
      <c r="I164" s="56" t="str">
        <f aca="false">IF($B164="","",IF(OR($G$4="Aktiv",$G$4="Aufwand"),I163+G164-H164,I163+H164-G164))</f>
        <v/>
      </c>
    </row>
    <row r="165" customFormat="false" ht="15" hidden="false" customHeight="false" outlineLevel="0" collapsed="false">
      <c r="A165" s="54" t="n">
        <v>158</v>
      </c>
      <c r="B165" s="54" t="str">
        <f aca="false">IFERROR(MATCH(A165,Journal!$W$5:$W$1504,0),"")</f>
        <v/>
      </c>
      <c r="C165" s="55" t="str">
        <f aca="false">IF($B165="","",INDEX(Journal!$A$5:$A$1504,$B165))</f>
        <v/>
      </c>
      <c r="D165" s="54" t="str">
        <f aca="false">IF($B165="","",INDEX(Journal!$B$5:$B$1504,$B165))</f>
        <v/>
      </c>
      <c r="E165" s="54" t="str">
        <f aca="false">IF($B165="","",INDEX(Journal!$C$5:$C$1504,$B165))</f>
        <v/>
      </c>
      <c r="F165" s="54" t="str">
        <f aca="false">IF($B165="","",IF(INDEX(Journal!$D$5:$D$1504,$B165)=$C$4,INDEX(Journal!$E$5:$E$1504,$B165),INDEX(Journal!$D$5:$D$1504,$B165)))</f>
        <v/>
      </c>
      <c r="G165" s="56" t="str">
        <f aca="false">IF($B165="","",IF(INDEX(Journal!$D$5:$D$1504,$B165)=$C$4,INDEX(Journal!$M$5:$M$1504,$B165),0))</f>
        <v/>
      </c>
      <c r="H165" s="56" t="str">
        <f aca="false">IF($B165="","",IF(INDEX(Journal!$E$5:$E$1504,$B165)=$C$4,INDEX(Journal!$N$5:$N$1504,$B165),0))</f>
        <v/>
      </c>
      <c r="I165" s="56" t="str">
        <f aca="false">IF($B165="","",IF(OR($G$4="Aktiv",$G$4="Aufwand"),I164+G165-H165,I164+H165-G165))</f>
        <v/>
      </c>
    </row>
    <row r="166" customFormat="false" ht="15" hidden="false" customHeight="false" outlineLevel="0" collapsed="false">
      <c r="A166" s="54" t="n">
        <v>159</v>
      </c>
      <c r="B166" s="54" t="str">
        <f aca="false">IFERROR(MATCH(A166,Journal!$W$5:$W$1504,0),"")</f>
        <v/>
      </c>
      <c r="C166" s="55" t="str">
        <f aca="false">IF($B166="","",INDEX(Journal!$A$5:$A$1504,$B166))</f>
        <v/>
      </c>
      <c r="D166" s="54" t="str">
        <f aca="false">IF($B166="","",INDEX(Journal!$B$5:$B$1504,$B166))</f>
        <v/>
      </c>
      <c r="E166" s="54" t="str">
        <f aca="false">IF($B166="","",INDEX(Journal!$C$5:$C$1504,$B166))</f>
        <v/>
      </c>
      <c r="F166" s="54" t="str">
        <f aca="false">IF($B166="","",IF(INDEX(Journal!$D$5:$D$1504,$B166)=$C$4,INDEX(Journal!$E$5:$E$1504,$B166),INDEX(Journal!$D$5:$D$1504,$B166)))</f>
        <v/>
      </c>
      <c r="G166" s="56" t="str">
        <f aca="false">IF($B166="","",IF(INDEX(Journal!$D$5:$D$1504,$B166)=$C$4,INDEX(Journal!$M$5:$M$1504,$B166),0))</f>
        <v/>
      </c>
      <c r="H166" s="56" t="str">
        <f aca="false">IF($B166="","",IF(INDEX(Journal!$E$5:$E$1504,$B166)=$C$4,INDEX(Journal!$N$5:$N$1504,$B166),0))</f>
        <v/>
      </c>
      <c r="I166" s="56" t="str">
        <f aca="false">IF($B166="","",IF(OR($G$4="Aktiv",$G$4="Aufwand"),I165+G166-H166,I165+H166-G166))</f>
        <v/>
      </c>
    </row>
    <row r="167" customFormat="false" ht="15" hidden="false" customHeight="false" outlineLevel="0" collapsed="false">
      <c r="A167" s="54" t="n">
        <v>160</v>
      </c>
      <c r="B167" s="54" t="str">
        <f aca="false">IFERROR(MATCH(A167,Journal!$W$5:$W$1504,0),"")</f>
        <v/>
      </c>
      <c r="C167" s="55" t="str">
        <f aca="false">IF($B167="","",INDEX(Journal!$A$5:$A$1504,$B167))</f>
        <v/>
      </c>
      <c r="D167" s="54" t="str">
        <f aca="false">IF($B167="","",INDEX(Journal!$B$5:$B$1504,$B167))</f>
        <v/>
      </c>
      <c r="E167" s="54" t="str">
        <f aca="false">IF($B167="","",INDEX(Journal!$C$5:$C$1504,$B167))</f>
        <v/>
      </c>
      <c r="F167" s="54" t="str">
        <f aca="false">IF($B167="","",IF(INDEX(Journal!$D$5:$D$1504,$B167)=$C$4,INDEX(Journal!$E$5:$E$1504,$B167),INDEX(Journal!$D$5:$D$1504,$B167)))</f>
        <v/>
      </c>
      <c r="G167" s="56" t="str">
        <f aca="false">IF($B167="","",IF(INDEX(Journal!$D$5:$D$1504,$B167)=$C$4,INDEX(Journal!$M$5:$M$1504,$B167),0))</f>
        <v/>
      </c>
      <c r="H167" s="56" t="str">
        <f aca="false">IF($B167="","",IF(INDEX(Journal!$E$5:$E$1504,$B167)=$C$4,INDEX(Journal!$N$5:$N$1504,$B167),0))</f>
        <v/>
      </c>
      <c r="I167" s="56" t="str">
        <f aca="false">IF($B167="","",IF(OR($G$4="Aktiv",$G$4="Aufwand"),I166+G167-H167,I166+H167-G167))</f>
        <v/>
      </c>
    </row>
    <row r="168" customFormat="false" ht="15" hidden="false" customHeight="false" outlineLevel="0" collapsed="false">
      <c r="A168" s="54" t="n">
        <v>161</v>
      </c>
      <c r="B168" s="54" t="str">
        <f aca="false">IFERROR(MATCH(A168,Journal!$W$5:$W$1504,0),"")</f>
        <v/>
      </c>
      <c r="C168" s="55" t="str">
        <f aca="false">IF($B168="","",INDEX(Journal!$A$5:$A$1504,$B168))</f>
        <v/>
      </c>
      <c r="D168" s="54" t="str">
        <f aca="false">IF($B168="","",INDEX(Journal!$B$5:$B$1504,$B168))</f>
        <v/>
      </c>
      <c r="E168" s="54" t="str">
        <f aca="false">IF($B168="","",INDEX(Journal!$C$5:$C$1504,$B168))</f>
        <v/>
      </c>
      <c r="F168" s="54" t="str">
        <f aca="false">IF($B168="","",IF(INDEX(Journal!$D$5:$D$1504,$B168)=$C$4,INDEX(Journal!$E$5:$E$1504,$B168),INDEX(Journal!$D$5:$D$1504,$B168)))</f>
        <v/>
      </c>
      <c r="G168" s="56" t="str">
        <f aca="false">IF($B168="","",IF(INDEX(Journal!$D$5:$D$1504,$B168)=$C$4,INDEX(Journal!$M$5:$M$1504,$B168),0))</f>
        <v/>
      </c>
      <c r="H168" s="56" t="str">
        <f aca="false">IF($B168="","",IF(INDEX(Journal!$E$5:$E$1504,$B168)=$C$4,INDEX(Journal!$N$5:$N$1504,$B168),0))</f>
        <v/>
      </c>
      <c r="I168" s="56" t="str">
        <f aca="false">IF($B168="","",IF(OR($G$4="Aktiv",$G$4="Aufwand"),I167+G168-H168,I167+H168-G168))</f>
        <v/>
      </c>
    </row>
    <row r="169" customFormat="false" ht="15" hidden="false" customHeight="false" outlineLevel="0" collapsed="false">
      <c r="A169" s="54" t="n">
        <v>162</v>
      </c>
      <c r="B169" s="54" t="str">
        <f aca="false">IFERROR(MATCH(A169,Journal!$W$5:$W$1504,0),"")</f>
        <v/>
      </c>
      <c r="C169" s="55" t="str">
        <f aca="false">IF($B169="","",INDEX(Journal!$A$5:$A$1504,$B169))</f>
        <v/>
      </c>
      <c r="D169" s="54" t="str">
        <f aca="false">IF($B169="","",INDEX(Journal!$B$5:$B$1504,$B169))</f>
        <v/>
      </c>
      <c r="E169" s="54" t="str">
        <f aca="false">IF($B169="","",INDEX(Journal!$C$5:$C$1504,$B169))</f>
        <v/>
      </c>
      <c r="F169" s="54" t="str">
        <f aca="false">IF($B169="","",IF(INDEX(Journal!$D$5:$D$1504,$B169)=$C$4,INDEX(Journal!$E$5:$E$1504,$B169),INDEX(Journal!$D$5:$D$1504,$B169)))</f>
        <v/>
      </c>
      <c r="G169" s="56" t="str">
        <f aca="false">IF($B169="","",IF(INDEX(Journal!$D$5:$D$1504,$B169)=$C$4,INDEX(Journal!$M$5:$M$1504,$B169),0))</f>
        <v/>
      </c>
      <c r="H169" s="56" t="str">
        <f aca="false">IF($B169="","",IF(INDEX(Journal!$E$5:$E$1504,$B169)=$C$4,INDEX(Journal!$N$5:$N$1504,$B169),0))</f>
        <v/>
      </c>
      <c r="I169" s="56" t="str">
        <f aca="false">IF($B169="","",IF(OR($G$4="Aktiv",$G$4="Aufwand"),I168+G169-H169,I168+H169-G169))</f>
        <v/>
      </c>
    </row>
    <row r="170" customFormat="false" ht="15" hidden="false" customHeight="false" outlineLevel="0" collapsed="false">
      <c r="A170" s="54" t="n">
        <v>163</v>
      </c>
      <c r="B170" s="54" t="str">
        <f aca="false">IFERROR(MATCH(A170,Journal!$W$5:$W$1504,0),"")</f>
        <v/>
      </c>
      <c r="C170" s="55" t="str">
        <f aca="false">IF($B170="","",INDEX(Journal!$A$5:$A$1504,$B170))</f>
        <v/>
      </c>
      <c r="D170" s="54" t="str">
        <f aca="false">IF($B170="","",INDEX(Journal!$B$5:$B$1504,$B170))</f>
        <v/>
      </c>
      <c r="E170" s="54" t="str">
        <f aca="false">IF($B170="","",INDEX(Journal!$C$5:$C$1504,$B170))</f>
        <v/>
      </c>
      <c r="F170" s="54" t="str">
        <f aca="false">IF($B170="","",IF(INDEX(Journal!$D$5:$D$1504,$B170)=$C$4,INDEX(Journal!$E$5:$E$1504,$B170),INDEX(Journal!$D$5:$D$1504,$B170)))</f>
        <v/>
      </c>
      <c r="G170" s="56" t="str">
        <f aca="false">IF($B170="","",IF(INDEX(Journal!$D$5:$D$1504,$B170)=$C$4,INDEX(Journal!$M$5:$M$1504,$B170),0))</f>
        <v/>
      </c>
      <c r="H170" s="56" t="str">
        <f aca="false">IF($B170="","",IF(INDEX(Journal!$E$5:$E$1504,$B170)=$C$4,INDEX(Journal!$N$5:$N$1504,$B170),0))</f>
        <v/>
      </c>
      <c r="I170" s="56" t="str">
        <f aca="false">IF($B170="","",IF(OR($G$4="Aktiv",$G$4="Aufwand"),I169+G170-H170,I169+H170-G170))</f>
        <v/>
      </c>
    </row>
    <row r="171" customFormat="false" ht="15" hidden="false" customHeight="false" outlineLevel="0" collapsed="false">
      <c r="A171" s="54" t="n">
        <v>164</v>
      </c>
      <c r="B171" s="54" t="str">
        <f aca="false">IFERROR(MATCH(A171,Journal!$W$5:$W$1504,0),"")</f>
        <v/>
      </c>
      <c r="C171" s="55" t="str">
        <f aca="false">IF($B171="","",INDEX(Journal!$A$5:$A$1504,$B171))</f>
        <v/>
      </c>
      <c r="D171" s="54" t="str">
        <f aca="false">IF($B171="","",INDEX(Journal!$B$5:$B$1504,$B171))</f>
        <v/>
      </c>
      <c r="E171" s="54" t="str">
        <f aca="false">IF($B171="","",INDEX(Journal!$C$5:$C$1504,$B171))</f>
        <v/>
      </c>
      <c r="F171" s="54" t="str">
        <f aca="false">IF($B171="","",IF(INDEX(Journal!$D$5:$D$1504,$B171)=$C$4,INDEX(Journal!$E$5:$E$1504,$B171),INDEX(Journal!$D$5:$D$1504,$B171)))</f>
        <v/>
      </c>
      <c r="G171" s="56" t="str">
        <f aca="false">IF($B171="","",IF(INDEX(Journal!$D$5:$D$1504,$B171)=$C$4,INDEX(Journal!$M$5:$M$1504,$B171),0))</f>
        <v/>
      </c>
      <c r="H171" s="56" t="str">
        <f aca="false">IF($B171="","",IF(INDEX(Journal!$E$5:$E$1504,$B171)=$C$4,INDEX(Journal!$N$5:$N$1504,$B171),0))</f>
        <v/>
      </c>
      <c r="I171" s="56" t="str">
        <f aca="false">IF($B171="","",IF(OR($G$4="Aktiv",$G$4="Aufwand"),I170+G171-H171,I170+H171-G171))</f>
        <v/>
      </c>
    </row>
    <row r="172" customFormat="false" ht="15" hidden="false" customHeight="false" outlineLevel="0" collapsed="false">
      <c r="A172" s="54" t="n">
        <v>165</v>
      </c>
      <c r="B172" s="54" t="str">
        <f aca="false">IFERROR(MATCH(A172,Journal!$W$5:$W$1504,0),"")</f>
        <v/>
      </c>
      <c r="C172" s="55" t="str">
        <f aca="false">IF($B172="","",INDEX(Journal!$A$5:$A$1504,$B172))</f>
        <v/>
      </c>
      <c r="D172" s="54" t="str">
        <f aca="false">IF($B172="","",INDEX(Journal!$B$5:$B$1504,$B172))</f>
        <v/>
      </c>
      <c r="E172" s="54" t="str">
        <f aca="false">IF($B172="","",INDEX(Journal!$C$5:$C$1504,$B172))</f>
        <v/>
      </c>
      <c r="F172" s="54" t="str">
        <f aca="false">IF($B172="","",IF(INDEX(Journal!$D$5:$D$1504,$B172)=$C$4,INDEX(Journal!$E$5:$E$1504,$B172),INDEX(Journal!$D$5:$D$1504,$B172)))</f>
        <v/>
      </c>
      <c r="G172" s="56" t="str">
        <f aca="false">IF($B172="","",IF(INDEX(Journal!$D$5:$D$1504,$B172)=$C$4,INDEX(Journal!$M$5:$M$1504,$B172),0))</f>
        <v/>
      </c>
      <c r="H172" s="56" t="str">
        <f aca="false">IF($B172="","",IF(INDEX(Journal!$E$5:$E$1504,$B172)=$C$4,INDEX(Journal!$N$5:$N$1504,$B172),0))</f>
        <v/>
      </c>
      <c r="I172" s="56" t="str">
        <f aca="false">IF($B172="","",IF(OR($G$4="Aktiv",$G$4="Aufwand"),I171+G172-H172,I171+H172-G172))</f>
        <v/>
      </c>
    </row>
    <row r="173" customFormat="false" ht="15" hidden="false" customHeight="false" outlineLevel="0" collapsed="false">
      <c r="A173" s="54" t="n">
        <v>166</v>
      </c>
      <c r="B173" s="54" t="str">
        <f aca="false">IFERROR(MATCH(A173,Journal!$W$5:$W$1504,0),"")</f>
        <v/>
      </c>
      <c r="C173" s="55" t="str">
        <f aca="false">IF($B173="","",INDEX(Journal!$A$5:$A$1504,$B173))</f>
        <v/>
      </c>
      <c r="D173" s="54" t="str">
        <f aca="false">IF($B173="","",INDEX(Journal!$B$5:$B$1504,$B173))</f>
        <v/>
      </c>
      <c r="E173" s="54" t="str">
        <f aca="false">IF($B173="","",INDEX(Journal!$C$5:$C$1504,$B173))</f>
        <v/>
      </c>
      <c r="F173" s="54" t="str">
        <f aca="false">IF($B173="","",IF(INDEX(Journal!$D$5:$D$1504,$B173)=$C$4,INDEX(Journal!$E$5:$E$1504,$B173),INDEX(Journal!$D$5:$D$1504,$B173)))</f>
        <v/>
      </c>
      <c r="G173" s="56" t="str">
        <f aca="false">IF($B173="","",IF(INDEX(Journal!$D$5:$D$1504,$B173)=$C$4,INDEX(Journal!$M$5:$M$1504,$B173),0))</f>
        <v/>
      </c>
      <c r="H173" s="56" t="str">
        <f aca="false">IF($B173="","",IF(INDEX(Journal!$E$5:$E$1504,$B173)=$C$4,INDEX(Journal!$N$5:$N$1504,$B173),0))</f>
        <v/>
      </c>
      <c r="I173" s="56" t="str">
        <f aca="false">IF($B173="","",IF(OR($G$4="Aktiv",$G$4="Aufwand"),I172+G173-H173,I172+H173-G173))</f>
        <v/>
      </c>
    </row>
    <row r="174" customFormat="false" ht="15" hidden="false" customHeight="false" outlineLevel="0" collapsed="false">
      <c r="A174" s="54" t="n">
        <v>167</v>
      </c>
      <c r="B174" s="54" t="str">
        <f aca="false">IFERROR(MATCH(A174,Journal!$W$5:$W$1504,0),"")</f>
        <v/>
      </c>
      <c r="C174" s="55" t="str">
        <f aca="false">IF($B174="","",INDEX(Journal!$A$5:$A$1504,$B174))</f>
        <v/>
      </c>
      <c r="D174" s="54" t="str">
        <f aca="false">IF($B174="","",INDEX(Journal!$B$5:$B$1504,$B174))</f>
        <v/>
      </c>
      <c r="E174" s="54" t="str">
        <f aca="false">IF($B174="","",INDEX(Journal!$C$5:$C$1504,$B174))</f>
        <v/>
      </c>
      <c r="F174" s="54" t="str">
        <f aca="false">IF($B174="","",IF(INDEX(Journal!$D$5:$D$1504,$B174)=$C$4,INDEX(Journal!$E$5:$E$1504,$B174),INDEX(Journal!$D$5:$D$1504,$B174)))</f>
        <v/>
      </c>
      <c r="G174" s="56" t="str">
        <f aca="false">IF($B174="","",IF(INDEX(Journal!$D$5:$D$1504,$B174)=$C$4,INDEX(Journal!$M$5:$M$1504,$B174),0))</f>
        <v/>
      </c>
      <c r="H174" s="56" t="str">
        <f aca="false">IF($B174="","",IF(INDEX(Journal!$E$5:$E$1504,$B174)=$C$4,INDEX(Journal!$N$5:$N$1504,$B174),0))</f>
        <v/>
      </c>
      <c r="I174" s="56" t="str">
        <f aca="false">IF($B174="","",IF(OR($G$4="Aktiv",$G$4="Aufwand"),I173+G174-H174,I173+H174-G174))</f>
        <v/>
      </c>
    </row>
    <row r="175" customFormat="false" ht="15" hidden="false" customHeight="false" outlineLevel="0" collapsed="false">
      <c r="A175" s="54" t="n">
        <v>168</v>
      </c>
      <c r="B175" s="54" t="str">
        <f aca="false">IFERROR(MATCH(A175,Journal!$W$5:$W$1504,0),"")</f>
        <v/>
      </c>
      <c r="C175" s="55" t="str">
        <f aca="false">IF($B175="","",INDEX(Journal!$A$5:$A$1504,$B175))</f>
        <v/>
      </c>
      <c r="D175" s="54" t="str">
        <f aca="false">IF($B175="","",INDEX(Journal!$B$5:$B$1504,$B175))</f>
        <v/>
      </c>
      <c r="E175" s="54" t="str">
        <f aca="false">IF($B175="","",INDEX(Journal!$C$5:$C$1504,$B175))</f>
        <v/>
      </c>
      <c r="F175" s="54" t="str">
        <f aca="false">IF($B175="","",IF(INDEX(Journal!$D$5:$D$1504,$B175)=$C$4,INDEX(Journal!$E$5:$E$1504,$B175),INDEX(Journal!$D$5:$D$1504,$B175)))</f>
        <v/>
      </c>
      <c r="G175" s="56" t="str">
        <f aca="false">IF($B175="","",IF(INDEX(Journal!$D$5:$D$1504,$B175)=$C$4,INDEX(Journal!$M$5:$M$1504,$B175),0))</f>
        <v/>
      </c>
      <c r="H175" s="56" t="str">
        <f aca="false">IF($B175="","",IF(INDEX(Journal!$E$5:$E$1504,$B175)=$C$4,INDEX(Journal!$N$5:$N$1504,$B175),0))</f>
        <v/>
      </c>
      <c r="I175" s="56" t="str">
        <f aca="false">IF($B175="","",IF(OR($G$4="Aktiv",$G$4="Aufwand"),I174+G175-H175,I174+H175-G175))</f>
        <v/>
      </c>
    </row>
    <row r="176" customFormat="false" ht="15" hidden="false" customHeight="false" outlineLevel="0" collapsed="false">
      <c r="A176" s="54" t="n">
        <v>169</v>
      </c>
      <c r="B176" s="54" t="str">
        <f aca="false">IFERROR(MATCH(A176,Journal!$W$5:$W$1504,0),"")</f>
        <v/>
      </c>
      <c r="C176" s="55" t="str">
        <f aca="false">IF($B176="","",INDEX(Journal!$A$5:$A$1504,$B176))</f>
        <v/>
      </c>
      <c r="D176" s="54" t="str">
        <f aca="false">IF($B176="","",INDEX(Journal!$B$5:$B$1504,$B176))</f>
        <v/>
      </c>
      <c r="E176" s="54" t="str">
        <f aca="false">IF($B176="","",INDEX(Journal!$C$5:$C$1504,$B176))</f>
        <v/>
      </c>
      <c r="F176" s="54" t="str">
        <f aca="false">IF($B176="","",IF(INDEX(Journal!$D$5:$D$1504,$B176)=$C$4,INDEX(Journal!$E$5:$E$1504,$B176),INDEX(Journal!$D$5:$D$1504,$B176)))</f>
        <v/>
      </c>
      <c r="G176" s="56" t="str">
        <f aca="false">IF($B176="","",IF(INDEX(Journal!$D$5:$D$1504,$B176)=$C$4,INDEX(Journal!$M$5:$M$1504,$B176),0))</f>
        <v/>
      </c>
      <c r="H176" s="56" t="str">
        <f aca="false">IF($B176="","",IF(INDEX(Journal!$E$5:$E$1504,$B176)=$C$4,INDEX(Journal!$N$5:$N$1504,$B176),0))</f>
        <v/>
      </c>
      <c r="I176" s="56" t="str">
        <f aca="false">IF($B176="","",IF(OR($G$4="Aktiv",$G$4="Aufwand"),I175+G176-H176,I175+H176-G176))</f>
        <v/>
      </c>
    </row>
    <row r="177" customFormat="false" ht="15" hidden="false" customHeight="false" outlineLevel="0" collapsed="false">
      <c r="A177" s="54" t="n">
        <v>170</v>
      </c>
      <c r="B177" s="54" t="str">
        <f aca="false">IFERROR(MATCH(A177,Journal!$W$5:$W$1504,0),"")</f>
        <v/>
      </c>
      <c r="C177" s="55" t="str">
        <f aca="false">IF($B177="","",INDEX(Journal!$A$5:$A$1504,$B177))</f>
        <v/>
      </c>
      <c r="D177" s="54" t="str">
        <f aca="false">IF($B177="","",INDEX(Journal!$B$5:$B$1504,$B177))</f>
        <v/>
      </c>
      <c r="E177" s="54" t="str">
        <f aca="false">IF($B177="","",INDEX(Journal!$C$5:$C$1504,$B177))</f>
        <v/>
      </c>
      <c r="F177" s="54" t="str">
        <f aca="false">IF($B177="","",IF(INDEX(Journal!$D$5:$D$1504,$B177)=$C$4,INDEX(Journal!$E$5:$E$1504,$B177),INDEX(Journal!$D$5:$D$1504,$B177)))</f>
        <v/>
      </c>
      <c r="G177" s="56" t="str">
        <f aca="false">IF($B177="","",IF(INDEX(Journal!$D$5:$D$1504,$B177)=$C$4,INDEX(Journal!$M$5:$M$1504,$B177),0))</f>
        <v/>
      </c>
      <c r="H177" s="56" t="str">
        <f aca="false">IF($B177="","",IF(INDEX(Journal!$E$5:$E$1504,$B177)=$C$4,INDEX(Journal!$N$5:$N$1504,$B177),0))</f>
        <v/>
      </c>
      <c r="I177" s="56" t="str">
        <f aca="false">IF($B177="","",IF(OR($G$4="Aktiv",$G$4="Aufwand"),I176+G177-H177,I176+H177-G177))</f>
        <v/>
      </c>
    </row>
    <row r="178" customFormat="false" ht="15" hidden="false" customHeight="false" outlineLevel="0" collapsed="false">
      <c r="A178" s="54" t="n">
        <v>171</v>
      </c>
      <c r="B178" s="54" t="str">
        <f aca="false">IFERROR(MATCH(A178,Journal!$W$5:$W$1504,0),"")</f>
        <v/>
      </c>
      <c r="C178" s="55" t="str">
        <f aca="false">IF($B178="","",INDEX(Journal!$A$5:$A$1504,$B178))</f>
        <v/>
      </c>
      <c r="D178" s="54" t="str">
        <f aca="false">IF($B178="","",INDEX(Journal!$B$5:$B$1504,$B178))</f>
        <v/>
      </c>
      <c r="E178" s="54" t="str">
        <f aca="false">IF($B178="","",INDEX(Journal!$C$5:$C$1504,$B178))</f>
        <v/>
      </c>
      <c r="F178" s="54" t="str">
        <f aca="false">IF($B178="","",IF(INDEX(Journal!$D$5:$D$1504,$B178)=$C$4,INDEX(Journal!$E$5:$E$1504,$B178),INDEX(Journal!$D$5:$D$1504,$B178)))</f>
        <v/>
      </c>
      <c r="G178" s="56" t="str">
        <f aca="false">IF($B178="","",IF(INDEX(Journal!$D$5:$D$1504,$B178)=$C$4,INDEX(Journal!$M$5:$M$1504,$B178),0))</f>
        <v/>
      </c>
      <c r="H178" s="56" t="str">
        <f aca="false">IF($B178="","",IF(INDEX(Journal!$E$5:$E$1504,$B178)=$C$4,INDEX(Journal!$N$5:$N$1504,$B178),0))</f>
        <v/>
      </c>
      <c r="I178" s="56" t="str">
        <f aca="false">IF($B178="","",IF(OR($G$4="Aktiv",$G$4="Aufwand"),I177+G178-H178,I177+H178-G178))</f>
        <v/>
      </c>
    </row>
    <row r="179" customFormat="false" ht="15" hidden="false" customHeight="false" outlineLevel="0" collapsed="false">
      <c r="A179" s="54" t="n">
        <v>172</v>
      </c>
      <c r="B179" s="54" t="str">
        <f aca="false">IFERROR(MATCH(A179,Journal!$W$5:$W$1504,0),"")</f>
        <v/>
      </c>
      <c r="C179" s="55" t="str">
        <f aca="false">IF($B179="","",INDEX(Journal!$A$5:$A$1504,$B179))</f>
        <v/>
      </c>
      <c r="D179" s="54" t="str">
        <f aca="false">IF($B179="","",INDEX(Journal!$B$5:$B$1504,$B179))</f>
        <v/>
      </c>
      <c r="E179" s="54" t="str">
        <f aca="false">IF($B179="","",INDEX(Journal!$C$5:$C$1504,$B179))</f>
        <v/>
      </c>
      <c r="F179" s="54" t="str">
        <f aca="false">IF($B179="","",IF(INDEX(Journal!$D$5:$D$1504,$B179)=$C$4,INDEX(Journal!$E$5:$E$1504,$B179),INDEX(Journal!$D$5:$D$1504,$B179)))</f>
        <v/>
      </c>
      <c r="G179" s="56" t="str">
        <f aca="false">IF($B179="","",IF(INDEX(Journal!$D$5:$D$1504,$B179)=$C$4,INDEX(Journal!$M$5:$M$1504,$B179),0))</f>
        <v/>
      </c>
      <c r="H179" s="56" t="str">
        <f aca="false">IF($B179="","",IF(INDEX(Journal!$E$5:$E$1504,$B179)=$C$4,INDEX(Journal!$N$5:$N$1504,$B179),0))</f>
        <v/>
      </c>
      <c r="I179" s="56" t="str">
        <f aca="false">IF($B179="","",IF(OR($G$4="Aktiv",$G$4="Aufwand"),I178+G179-H179,I178+H179-G179))</f>
        <v/>
      </c>
    </row>
    <row r="180" customFormat="false" ht="15" hidden="false" customHeight="false" outlineLevel="0" collapsed="false">
      <c r="A180" s="54" t="n">
        <v>173</v>
      </c>
      <c r="B180" s="54" t="str">
        <f aca="false">IFERROR(MATCH(A180,Journal!$W$5:$W$1504,0),"")</f>
        <v/>
      </c>
      <c r="C180" s="55" t="str">
        <f aca="false">IF($B180="","",INDEX(Journal!$A$5:$A$1504,$B180))</f>
        <v/>
      </c>
      <c r="D180" s="54" t="str">
        <f aca="false">IF($B180="","",INDEX(Journal!$B$5:$B$1504,$B180))</f>
        <v/>
      </c>
      <c r="E180" s="54" t="str">
        <f aca="false">IF($B180="","",INDEX(Journal!$C$5:$C$1504,$B180))</f>
        <v/>
      </c>
      <c r="F180" s="54" t="str">
        <f aca="false">IF($B180="","",IF(INDEX(Journal!$D$5:$D$1504,$B180)=$C$4,INDEX(Journal!$E$5:$E$1504,$B180),INDEX(Journal!$D$5:$D$1504,$B180)))</f>
        <v/>
      </c>
      <c r="G180" s="56" t="str">
        <f aca="false">IF($B180="","",IF(INDEX(Journal!$D$5:$D$1504,$B180)=$C$4,INDEX(Journal!$M$5:$M$1504,$B180),0))</f>
        <v/>
      </c>
      <c r="H180" s="56" t="str">
        <f aca="false">IF($B180="","",IF(INDEX(Journal!$E$5:$E$1504,$B180)=$C$4,INDEX(Journal!$N$5:$N$1504,$B180),0))</f>
        <v/>
      </c>
      <c r="I180" s="56" t="str">
        <f aca="false">IF($B180="","",IF(OR($G$4="Aktiv",$G$4="Aufwand"),I179+G180-H180,I179+H180-G180))</f>
        <v/>
      </c>
    </row>
    <row r="181" customFormat="false" ht="15" hidden="false" customHeight="false" outlineLevel="0" collapsed="false">
      <c r="A181" s="54" t="n">
        <v>174</v>
      </c>
      <c r="B181" s="54" t="str">
        <f aca="false">IFERROR(MATCH(A181,Journal!$W$5:$W$1504,0),"")</f>
        <v/>
      </c>
      <c r="C181" s="55" t="str">
        <f aca="false">IF($B181="","",INDEX(Journal!$A$5:$A$1504,$B181))</f>
        <v/>
      </c>
      <c r="D181" s="54" t="str">
        <f aca="false">IF($B181="","",INDEX(Journal!$B$5:$B$1504,$B181))</f>
        <v/>
      </c>
      <c r="E181" s="54" t="str">
        <f aca="false">IF($B181="","",INDEX(Journal!$C$5:$C$1504,$B181))</f>
        <v/>
      </c>
      <c r="F181" s="54" t="str">
        <f aca="false">IF($B181="","",IF(INDEX(Journal!$D$5:$D$1504,$B181)=$C$4,INDEX(Journal!$E$5:$E$1504,$B181),INDEX(Journal!$D$5:$D$1504,$B181)))</f>
        <v/>
      </c>
      <c r="G181" s="56" t="str">
        <f aca="false">IF($B181="","",IF(INDEX(Journal!$D$5:$D$1504,$B181)=$C$4,INDEX(Journal!$M$5:$M$1504,$B181),0))</f>
        <v/>
      </c>
      <c r="H181" s="56" t="str">
        <f aca="false">IF($B181="","",IF(INDEX(Journal!$E$5:$E$1504,$B181)=$C$4,INDEX(Journal!$N$5:$N$1504,$B181),0))</f>
        <v/>
      </c>
      <c r="I181" s="56" t="str">
        <f aca="false">IF($B181="","",IF(OR($G$4="Aktiv",$G$4="Aufwand"),I180+G181-H181,I180+H181-G181))</f>
        <v/>
      </c>
    </row>
    <row r="182" customFormat="false" ht="15" hidden="false" customHeight="false" outlineLevel="0" collapsed="false">
      <c r="A182" s="54" t="n">
        <v>175</v>
      </c>
      <c r="B182" s="54" t="str">
        <f aca="false">IFERROR(MATCH(A182,Journal!$W$5:$W$1504,0),"")</f>
        <v/>
      </c>
      <c r="C182" s="55" t="str">
        <f aca="false">IF($B182="","",INDEX(Journal!$A$5:$A$1504,$B182))</f>
        <v/>
      </c>
      <c r="D182" s="54" t="str">
        <f aca="false">IF($B182="","",INDEX(Journal!$B$5:$B$1504,$B182))</f>
        <v/>
      </c>
      <c r="E182" s="54" t="str">
        <f aca="false">IF($B182="","",INDEX(Journal!$C$5:$C$1504,$B182))</f>
        <v/>
      </c>
      <c r="F182" s="54" t="str">
        <f aca="false">IF($B182="","",IF(INDEX(Journal!$D$5:$D$1504,$B182)=$C$4,INDEX(Journal!$E$5:$E$1504,$B182),INDEX(Journal!$D$5:$D$1504,$B182)))</f>
        <v/>
      </c>
      <c r="G182" s="56" t="str">
        <f aca="false">IF($B182="","",IF(INDEX(Journal!$D$5:$D$1504,$B182)=$C$4,INDEX(Journal!$M$5:$M$1504,$B182),0))</f>
        <v/>
      </c>
      <c r="H182" s="56" t="str">
        <f aca="false">IF($B182="","",IF(INDEX(Journal!$E$5:$E$1504,$B182)=$C$4,INDEX(Journal!$N$5:$N$1504,$B182),0))</f>
        <v/>
      </c>
      <c r="I182" s="56" t="str">
        <f aca="false">IF($B182="","",IF(OR($G$4="Aktiv",$G$4="Aufwand"),I181+G182-H182,I181+H182-G182))</f>
        <v/>
      </c>
    </row>
    <row r="183" customFormat="false" ht="15" hidden="false" customHeight="false" outlineLevel="0" collapsed="false">
      <c r="A183" s="54" t="n">
        <v>176</v>
      </c>
      <c r="B183" s="54" t="str">
        <f aca="false">IFERROR(MATCH(A183,Journal!$W$5:$W$1504,0),"")</f>
        <v/>
      </c>
      <c r="C183" s="55" t="str">
        <f aca="false">IF($B183="","",INDEX(Journal!$A$5:$A$1504,$B183))</f>
        <v/>
      </c>
      <c r="D183" s="54" t="str">
        <f aca="false">IF($B183="","",INDEX(Journal!$B$5:$B$1504,$B183))</f>
        <v/>
      </c>
      <c r="E183" s="54" t="str">
        <f aca="false">IF($B183="","",INDEX(Journal!$C$5:$C$1504,$B183))</f>
        <v/>
      </c>
      <c r="F183" s="54" t="str">
        <f aca="false">IF($B183="","",IF(INDEX(Journal!$D$5:$D$1504,$B183)=$C$4,INDEX(Journal!$E$5:$E$1504,$B183),INDEX(Journal!$D$5:$D$1504,$B183)))</f>
        <v/>
      </c>
      <c r="G183" s="56" t="str">
        <f aca="false">IF($B183="","",IF(INDEX(Journal!$D$5:$D$1504,$B183)=$C$4,INDEX(Journal!$M$5:$M$1504,$B183),0))</f>
        <v/>
      </c>
      <c r="H183" s="56" t="str">
        <f aca="false">IF($B183="","",IF(INDEX(Journal!$E$5:$E$1504,$B183)=$C$4,INDEX(Journal!$N$5:$N$1504,$B183),0))</f>
        <v/>
      </c>
      <c r="I183" s="56" t="str">
        <f aca="false">IF($B183="","",IF(OR($G$4="Aktiv",$G$4="Aufwand"),I182+G183-H183,I182+H183-G183))</f>
        <v/>
      </c>
    </row>
    <row r="184" customFormat="false" ht="15" hidden="false" customHeight="false" outlineLevel="0" collapsed="false">
      <c r="A184" s="54" t="n">
        <v>177</v>
      </c>
      <c r="B184" s="54" t="str">
        <f aca="false">IFERROR(MATCH(A184,Journal!$W$5:$W$1504,0),"")</f>
        <v/>
      </c>
      <c r="C184" s="55" t="str">
        <f aca="false">IF($B184="","",INDEX(Journal!$A$5:$A$1504,$B184))</f>
        <v/>
      </c>
      <c r="D184" s="54" t="str">
        <f aca="false">IF($B184="","",INDEX(Journal!$B$5:$B$1504,$B184))</f>
        <v/>
      </c>
      <c r="E184" s="54" t="str">
        <f aca="false">IF($B184="","",INDEX(Journal!$C$5:$C$1504,$B184))</f>
        <v/>
      </c>
      <c r="F184" s="54" t="str">
        <f aca="false">IF($B184="","",IF(INDEX(Journal!$D$5:$D$1504,$B184)=$C$4,INDEX(Journal!$E$5:$E$1504,$B184),INDEX(Journal!$D$5:$D$1504,$B184)))</f>
        <v/>
      </c>
      <c r="G184" s="56" t="str">
        <f aca="false">IF($B184="","",IF(INDEX(Journal!$D$5:$D$1504,$B184)=$C$4,INDEX(Journal!$M$5:$M$1504,$B184),0))</f>
        <v/>
      </c>
      <c r="H184" s="56" t="str">
        <f aca="false">IF($B184="","",IF(INDEX(Journal!$E$5:$E$1504,$B184)=$C$4,INDEX(Journal!$N$5:$N$1504,$B184),0))</f>
        <v/>
      </c>
      <c r="I184" s="56" t="str">
        <f aca="false">IF($B184="","",IF(OR($G$4="Aktiv",$G$4="Aufwand"),I183+G184-H184,I183+H184-G184))</f>
        <v/>
      </c>
    </row>
    <row r="185" customFormat="false" ht="15" hidden="false" customHeight="false" outlineLevel="0" collapsed="false">
      <c r="A185" s="54" t="n">
        <v>178</v>
      </c>
      <c r="B185" s="54" t="str">
        <f aca="false">IFERROR(MATCH(A185,Journal!$W$5:$W$1504,0),"")</f>
        <v/>
      </c>
      <c r="C185" s="55" t="str">
        <f aca="false">IF($B185="","",INDEX(Journal!$A$5:$A$1504,$B185))</f>
        <v/>
      </c>
      <c r="D185" s="54" t="str">
        <f aca="false">IF($B185="","",INDEX(Journal!$B$5:$B$1504,$B185))</f>
        <v/>
      </c>
      <c r="E185" s="54" t="str">
        <f aca="false">IF($B185="","",INDEX(Journal!$C$5:$C$1504,$B185))</f>
        <v/>
      </c>
      <c r="F185" s="54" t="str">
        <f aca="false">IF($B185="","",IF(INDEX(Journal!$D$5:$D$1504,$B185)=$C$4,INDEX(Journal!$E$5:$E$1504,$B185),INDEX(Journal!$D$5:$D$1504,$B185)))</f>
        <v/>
      </c>
      <c r="G185" s="56" t="str">
        <f aca="false">IF($B185="","",IF(INDEX(Journal!$D$5:$D$1504,$B185)=$C$4,INDEX(Journal!$M$5:$M$1504,$B185),0))</f>
        <v/>
      </c>
      <c r="H185" s="56" t="str">
        <f aca="false">IF($B185="","",IF(INDEX(Journal!$E$5:$E$1504,$B185)=$C$4,INDEX(Journal!$N$5:$N$1504,$B185),0))</f>
        <v/>
      </c>
      <c r="I185" s="56" t="str">
        <f aca="false">IF($B185="","",IF(OR($G$4="Aktiv",$G$4="Aufwand"),I184+G185-H185,I184+H185-G185))</f>
        <v/>
      </c>
    </row>
    <row r="186" customFormat="false" ht="15" hidden="false" customHeight="false" outlineLevel="0" collapsed="false">
      <c r="A186" s="54" t="n">
        <v>179</v>
      </c>
      <c r="B186" s="54" t="str">
        <f aca="false">IFERROR(MATCH(A186,Journal!$W$5:$W$1504,0),"")</f>
        <v/>
      </c>
      <c r="C186" s="55" t="str">
        <f aca="false">IF($B186="","",INDEX(Journal!$A$5:$A$1504,$B186))</f>
        <v/>
      </c>
      <c r="D186" s="54" t="str">
        <f aca="false">IF($B186="","",INDEX(Journal!$B$5:$B$1504,$B186))</f>
        <v/>
      </c>
      <c r="E186" s="54" t="str">
        <f aca="false">IF($B186="","",INDEX(Journal!$C$5:$C$1504,$B186))</f>
        <v/>
      </c>
      <c r="F186" s="54" t="str">
        <f aca="false">IF($B186="","",IF(INDEX(Journal!$D$5:$D$1504,$B186)=$C$4,INDEX(Journal!$E$5:$E$1504,$B186),INDEX(Journal!$D$5:$D$1504,$B186)))</f>
        <v/>
      </c>
      <c r="G186" s="56" t="str">
        <f aca="false">IF($B186="","",IF(INDEX(Journal!$D$5:$D$1504,$B186)=$C$4,INDEX(Journal!$M$5:$M$1504,$B186),0))</f>
        <v/>
      </c>
      <c r="H186" s="56" t="str">
        <f aca="false">IF($B186="","",IF(INDEX(Journal!$E$5:$E$1504,$B186)=$C$4,INDEX(Journal!$N$5:$N$1504,$B186),0))</f>
        <v/>
      </c>
      <c r="I186" s="56" t="str">
        <f aca="false">IF($B186="","",IF(OR($G$4="Aktiv",$G$4="Aufwand"),I185+G186-H186,I185+H186-G186))</f>
        <v/>
      </c>
    </row>
    <row r="187" customFormat="false" ht="15" hidden="false" customHeight="false" outlineLevel="0" collapsed="false">
      <c r="A187" s="54" t="n">
        <v>180</v>
      </c>
      <c r="B187" s="54" t="str">
        <f aca="false">IFERROR(MATCH(A187,Journal!$W$5:$W$1504,0),"")</f>
        <v/>
      </c>
      <c r="C187" s="55" t="str">
        <f aca="false">IF($B187="","",INDEX(Journal!$A$5:$A$1504,$B187))</f>
        <v/>
      </c>
      <c r="D187" s="54" t="str">
        <f aca="false">IF($B187="","",INDEX(Journal!$B$5:$B$1504,$B187))</f>
        <v/>
      </c>
      <c r="E187" s="54" t="str">
        <f aca="false">IF($B187="","",INDEX(Journal!$C$5:$C$1504,$B187))</f>
        <v/>
      </c>
      <c r="F187" s="54" t="str">
        <f aca="false">IF($B187="","",IF(INDEX(Journal!$D$5:$D$1504,$B187)=$C$4,INDEX(Journal!$E$5:$E$1504,$B187),INDEX(Journal!$D$5:$D$1504,$B187)))</f>
        <v/>
      </c>
      <c r="G187" s="56" t="str">
        <f aca="false">IF($B187="","",IF(INDEX(Journal!$D$5:$D$1504,$B187)=$C$4,INDEX(Journal!$M$5:$M$1504,$B187),0))</f>
        <v/>
      </c>
      <c r="H187" s="56" t="str">
        <f aca="false">IF($B187="","",IF(INDEX(Journal!$E$5:$E$1504,$B187)=$C$4,INDEX(Journal!$N$5:$N$1504,$B187),0))</f>
        <v/>
      </c>
      <c r="I187" s="56" t="str">
        <f aca="false">IF($B187="","",IF(OR($G$4="Aktiv",$G$4="Aufwand"),I186+G187-H187,I186+H187-G187))</f>
        <v/>
      </c>
    </row>
    <row r="188" customFormat="false" ht="15" hidden="false" customHeight="false" outlineLevel="0" collapsed="false">
      <c r="A188" s="54" t="n">
        <v>181</v>
      </c>
      <c r="B188" s="54" t="str">
        <f aca="false">IFERROR(MATCH(A188,Journal!$W$5:$W$1504,0),"")</f>
        <v/>
      </c>
      <c r="C188" s="55" t="str">
        <f aca="false">IF($B188="","",INDEX(Journal!$A$5:$A$1504,$B188))</f>
        <v/>
      </c>
      <c r="D188" s="54" t="str">
        <f aca="false">IF($B188="","",INDEX(Journal!$B$5:$B$1504,$B188))</f>
        <v/>
      </c>
      <c r="E188" s="54" t="str">
        <f aca="false">IF($B188="","",INDEX(Journal!$C$5:$C$1504,$B188))</f>
        <v/>
      </c>
      <c r="F188" s="54" t="str">
        <f aca="false">IF($B188="","",IF(INDEX(Journal!$D$5:$D$1504,$B188)=$C$4,INDEX(Journal!$E$5:$E$1504,$B188),INDEX(Journal!$D$5:$D$1504,$B188)))</f>
        <v/>
      </c>
      <c r="G188" s="56" t="str">
        <f aca="false">IF($B188="","",IF(INDEX(Journal!$D$5:$D$1504,$B188)=$C$4,INDEX(Journal!$M$5:$M$1504,$B188),0))</f>
        <v/>
      </c>
      <c r="H188" s="56" t="str">
        <f aca="false">IF($B188="","",IF(INDEX(Journal!$E$5:$E$1504,$B188)=$C$4,INDEX(Journal!$N$5:$N$1504,$B188),0))</f>
        <v/>
      </c>
      <c r="I188" s="56" t="str">
        <f aca="false">IF($B188="","",IF(OR($G$4="Aktiv",$G$4="Aufwand"),I187+G188-H188,I187+H188-G188))</f>
        <v/>
      </c>
    </row>
    <row r="189" customFormat="false" ht="15" hidden="false" customHeight="false" outlineLevel="0" collapsed="false">
      <c r="A189" s="54" t="n">
        <v>182</v>
      </c>
      <c r="B189" s="54" t="str">
        <f aca="false">IFERROR(MATCH(A189,Journal!$W$5:$W$1504,0),"")</f>
        <v/>
      </c>
      <c r="C189" s="55" t="str">
        <f aca="false">IF($B189="","",INDEX(Journal!$A$5:$A$1504,$B189))</f>
        <v/>
      </c>
      <c r="D189" s="54" t="str">
        <f aca="false">IF($B189="","",INDEX(Journal!$B$5:$B$1504,$B189))</f>
        <v/>
      </c>
      <c r="E189" s="54" t="str">
        <f aca="false">IF($B189="","",INDEX(Journal!$C$5:$C$1504,$B189))</f>
        <v/>
      </c>
      <c r="F189" s="54" t="str">
        <f aca="false">IF($B189="","",IF(INDEX(Journal!$D$5:$D$1504,$B189)=$C$4,INDEX(Journal!$E$5:$E$1504,$B189),INDEX(Journal!$D$5:$D$1504,$B189)))</f>
        <v/>
      </c>
      <c r="G189" s="56" t="str">
        <f aca="false">IF($B189="","",IF(INDEX(Journal!$D$5:$D$1504,$B189)=$C$4,INDEX(Journal!$M$5:$M$1504,$B189),0))</f>
        <v/>
      </c>
      <c r="H189" s="56" t="str">
        <f aca="false">IF($B189="","",IF(INDEX(Journal!$E$5:$E$1504,$B189)=$C$4,INDEX(Journal!$N$5:$N$1504,$B189),0))</f>
        <v/>
      </c>
      <c r="I189" s="56" t="str">
        <f aca="false">IF($B189="","",IF(OR($G$4="Aktiv",$G$4="Aufwand"),I188+G189-H189,I188+H189-G189))</f>
        <v/>
      </c>
    </row>
    <row r="190" customFormat="false" ht="15" hidden="false" customHeight="false" outlineLevel="0" collapsed="false">
      <c r="A190" s="54" t="n">
        <v>183</v>
      </c>
      <c r="B190" s="54" t="str">
        <f aca="false">IFERROR(MATCH(A190,Journal!$W$5:$W$1504,0),"")</f>
        <v/>
      </c>
      <c r="C190" s="55" t="str">
        <f aca="false">IF($B190="","",INDEX(Journal!$A$5:$A$1504,$B190))</f>
        <v/>
      </c>
      <c r="D190" s="54" t="str">
        <f aca="false">IF($B190="","",INDEX(Journal!$B$5:$B$1504,$B190))</f>
        <v/>
      </c>
      <c r="E190" s="54" t="str">
        <f aca="false">IF($B190="","",INDEX(Journal!$C$5:$C$1504,$B190))</f>
        <v/>
      </c>
      <c r="F190" s="54" t="str">
        <f aca="false">IF($B190="","",IF(INDEX(Journal!$D$5:$D$1504,$B190)=$C$4,INDEX(Journal!$E$5:$E$1504,$B190),INDEX(Journal!$D$5:$D$1504,$B190)))</f>
        <v/>
      </c>
      <c r="G190" s="56" t="str">
        <f aca="false">IF($B190="","",IF(INDEX(Journal!$D$5:$D$1504,$B190)=$C$4,INDEX(Journal!$M$5:$M$1504,$B190),0))</f>
        <v/>
      </c>
      <c r="H190" s="56" t="str">
        <f aca="false">IF($B190="","",IF(INDEX(Journal!$E$5:$E$1504,$B190)=$C$4,INDEX(Journal!$N$5:$N$1504,$B190),0))</f>
        <v/>
      </c>
      <c r="I190" s="56" t="str">
        <f aca="false">IF($B190="","",IF(OR($G$4="Aktiv",$G$4="Aufwand"),I189+G190-H190,I189+H190-G190))</f>
        <v/>
      </c>
    </row>
    <row r="191" customFormat="false" ht="15" hidden="false" customHeight="false" outlineLevel="0" collapsed="false">
      <c r="A191" s="54" t="n">
        <v>184</v>
      </c>
      <c r="B191" s="54" t="str">
        <f aca="false">IFERROR(MATCH(A191,Journal!$W$5:$W$1504,0),"")</f>
        <v/>
      </c>
      <c r="C191" s="55" t="str">
        <f aca="false">IF($B191="","",INDEX(Journal!$A$5:$A$1504,$B191))</f>
        <v/>
      </c>
      <c r="D191" s="54" t="str">
        <f aca="false">IF($B191="","",INDEX(Journal!$B$5:$B$1504,$B191))</f>
        <v/>
      </c>
      <c r="E191" s="54" t="str">
        <f aca="false">IF($B191="","",INDEX(Journal!$C$5:$C$1504,$B191))</f>
        <v/>
      </c>
      <c r="F191" s="54" t="str">
        <f aca="false">IF($B191="","",IF(INDEX(Journal!$D$5:$D$1504,$B191)=$C$4,INDEX(Journal!$E$5:$E$1504,$B191),INDEX(Journal!$D$5:$D$1504,$B191)))</f>
        <v/>
      </c>
      <c r="G191" s="56" t="str">
        <f aca="false">IF($B191="","",IF(INDEX(Journal!$D$5:$D$1504,$B191)=$C$4,INDEX(Journal!$M$5:$M$1504,$B191),0))</f>
        <v/>
      </c>
      <c r="H191" s="56" t="str">
        <f aca="false">IF($B191="","",IF(INDEX(Journal!$E$5:$E$1504,$B191)=$C$4,INDEX(Journal!$N$5:$N$1504,$B191),0))</f>
        <v/>
      </c>
      <c r="I191" s="56" t="str">
        <f aca="false">IF($B191="","",IF(OR($G$4="Aktiv",$G$4="Aufwand"),I190+G191-H191,I190+H191-G191))</f>
        <v/>
      </c>
    </row>
    <row r="192" customFormat="false" ht="15" hidden="false" customHeight="false" outlineLevel="0" collapsed="false">
      <c r="A192" s="54" t="n">
        <v>185</v>
      </c>
      <c r="B192" s="54" t="str">
        <f aca="false">IFERROR(MATCH(A192,Journal!$W$5:$W$1504,0),"")</f>
        <v/>
      </c>
      <c r="C192" s="55" t="str">
        <f aca="false">IF($B192="","",INDEX(Journal!$A$5:$A$1504,$B192))</f>
        <v/>
      </c>
      <c r="D192" s="54" t="str">
        <f aca="false">IF($B192="","",INDEX(Journal!$B$5:$B$1504,$B192))</f>
        <v/>
      </c>
      <c r="E192" s="54" t="str">
        <f aca="false">IF($B192="","",INDEX(Journal!$C$5:$C$1504,$B192))</f>
        <v/>
      </c>
      <c r="F192" s="54" t="str">
        <f aca="false">IF($B192="","",IF(INDEX(Journal!$D$5:$D$1504,$B192)=$C$4,INDEX(Journal!$E$5:$E$1504,$B192),INDEX(Journal!$D$5:$D$1504,$B192)))</f>
        <v/>
      </c>
      <c r="G192" s="56" t="str">
        <f aca="false">IF($B192="","",IF(INDEX(Journal!$D$5:$D$1504,$B192)=$C$4,INDEX(Journal!$M$5:$M$1504,$B192),0))</f>
        <v/>
      </c>
      <c r="H192" s="56" t="str">
        <f aca="false">IF($B192="","",IF(INDEX(Journal!$E$5:$E$1504,$B192)=$C$4,INDEX(Journal!$N$5:$N$1504,$B192),0))</f>
        <v/>
      </c>
      <c r="I192" s="56" t="str">
        <f aca="false">IF($B192="","",IF(OR($G$4="Aktiv",$G$4="Aufwand"),I191+G192-H192,I191+H192-G192))</f>
        <v/>
      </c>
    </row>
    <row r="193" customFormat="false" ht="15" hidden="false" customHeight="false" outlineLevel="0" collapsed="false">
      <c r="A193" s="54" t="n">
        <v>186</v>
      </c>
      <c r="B193" s="54" t="str">
        <f aca="false">IFERROR(MATCH(A193,Journal!$W$5:$W$1504,0),"")</f>
        <v/>
      </c>
      <c r="C193" s="55" t="str">
        <f aca="false">IF($B193="","",INDEX(Journal!$A$5:$A$1504,$B193))</f>
        <v/>
      </c>
      <c r="D193" s="54" t="str">
        <f aca="false">IF($B193="","",INDEX(Journal!$B$5:$B$1504,$B193))</f>
        <v/>
      </c>
      <c r="E193" s="54" t="str">
        <f aca="false">IF($B193="","",INDEX(Journal!$C$5:$C$1504,$B193))</f>
        <v/>
      </c>
      <c r="F193" s="54" t="str">
        <f aca="false">IF($B193="","",IF(INDEX(Journal!$D$5:$D$1504,$B193)=$C$4,INDEX(Journal!$E$5:$E$1504,$B193),INDEX(Journal!$D$5:$D$1504,$B193)))</f>
        <v/>
      </c>
      <c r="G193" s="56" t="str">
        <f aca="false">IF($B193="","",IF(INDEX(Journal!$D$5:$D$1504,$B193)=$C$4,INDEX(Journal!$M$5:$M$1504,$B193),0))</f>
        <v/>
      </c>
      <c r="H193" s="56" t="str">
        <f aca="false">IF($B193="","",IF(INDEX(Journal!$E$5:$E$1504,$B193)=$C$4,INDEX(Journal!$N$5:$N$1504,$B193),0))</f>
        <v/>
      </c>
      <c r="I193" s="56" t="str">
        <f aca="false">IF($B193="","",IF(OR($G$4="Aktiv",$G$4="Aufwand"),I192+G193-H193,I192+H193-G193))</f>
        <v/>
      </c>
    </row>
    <row r="194" customFormat="false" ht="15" hidden="false" customHeight="false" outlineLevel="0" collapsed="false">
      <c r="A194" s="54" t="n">
        <v>187</v>
      </c>
      <c r="B194" s="54" t="str">
        <f aca="false">IFERROR(MATCH(A194,Journal!$W$5:$W$1504,0),"")</f>
        <v/>
      </c>
      <c r="C194" s="55" t="str">
        <f aca="false">IF($B194="","",INDEX(Journal!$A$5:$A$1504,$B194))</f>
        <v/>
      </c>
      <c r="D194" s="54" t="str">
        <f aca="false">IF($B194="","",INDEX(Journal!$B$5:$B$1504,$B194))</f>
        <v/>
      </c>
      <c r="E194" s="54" t="str">
        <f aca="false">IF($B194="","",INDEX(Journal!$C$5:$C$1504,$B194))</f>
        <v/>
      </c>
      <c r="F194" s="54" t="str">
        <f aca="false">IF($B194="","",IF(INDEX(Journal!$D$5:$D$1504,$B194)=$C$4,INDEX(Journal!$E$5:$E$1504,$B194),INDEX(Journal!$D$5:$D$1504,$B194)))</f>
        <v/>
      </c>
      <c r="G194" s="56" t="str">
        <f aca="false">IF($B194="","",IF(INDEX(Journal!$D$5:$D$1504,$B194)=$C$4,INDEX(Journal!$M$5:$M$1504,$B194),0))</f>
        <v/>
      </c>
      <c r="H194" s="56" t="str">
        <f aca="false">IF($B194="","",IF(INDEX(Journal!$E$5:$E$1504,$B194)=$C$4,INDEX(Journal!$N$5:$N$1504,$B194),0))</f>
        <v/>
      </c>
      <c r="I194" s="56" t="str">
        <f aca="false">IF($B194="","",IF(OR($G$4="Aktiv",$G$4="Aufwand"),I193+G194-H194,I193+H194-G194))</f>
        <v/>
      </c>
    </row>
    <row r="195" customFormat="false" ht="15" hidden="false" customHeight="false" outlineLevel="0" collapsed="false">
      <c r="A195" s="54" t="n">
        <v>188</v>
      </c>
      <c r="B195" s="54" t="str">
        <f aca="false">IFERROR(MATCH(A195,Journal!$W$5:$W$1504,0),"")</f>
        <v/>
      </c>
      <c r="C195" s="55" t="str">
        <f aca="false">IF($B195="","",INDEX(Journal!$A$5:$A$1504,$B195))</f>
        <v/>
      </c>
      <c r="D195" s="54" t="str">
        <f aca="false">IF($B195="","",INDEX(Journal!$B$5:$B$1504,$B195))</f>
        <v/>
      </c>
      <c r="E195" s="54" t="str">
        <f aca="false">IF($B195="","",INDEX(Journal!$C$5:$C$1504,$B195))</f>
        <v/>
      </c>
      <c r="F195" s="54" t="str">
        <f aca="false">IF($B195="","",IF(INDEX(Journal!$D$5:$D$1504,$B195)=$C$4,INDEX(Journal!$E$5:$E$1504,$B195),INDEX(Journal!$D$5:$D$1504,$B195)))</f>
        <v/>
      </c>
      <c r="G195" s="56" t="str">
        <f aca="false">IF($B195="","",IF(INDEX(Journal!$D$5:$D$1504,$B195)=$C$4,INDEX(Journal!$M$5:$M$1504,$B195),0))</f>
        <v/>
      </c>
      <c r="H195" s="56" t="str">
        <f aca="false">IF($B195="","",IF(INDEX(Journal!$E$5:$E$1504,$B195)=$C$4,INDEX(Journal!$N$5:$N$1504,$B195),0))</f>
        <v/>
      </c>
      <c r="I195" s="56" t="str">
        <f aca="false">IF($B195="","",IF(OR($G$4="Aktiv",$G$4="Aufwand"),I194+G195-H195,I194+H195-G195))</f>
        <v/>
      </c>
    </row>
    <row r="196" customFormat="false" ht="15" hidden="false" customHeight="false" outlineLevel="0" collapsed="false">
      <c r="A196" s="54" t="n">
        <v>189</v>
      </c>
      <c r="B196" s="54" t="str">
        <f aca="false">IFERROR(MATCH(A196,Journal!$W$5:$W$1504,0),"")</f>
        <v/>
      </c>
      <c r="C196" s="55" t="str">
        <f aca="false">IF($B196="","",INDEX(Journal!$A$5:$A$1504,$B196))</f>
        <v/>
      </c>
      <c r="D196" s="54" t="str">
        <f aca="false">IF($B196="","",INDEX(Journal!$B$5:$B$1504,$B196))</f>
        <v/>
      </c>
      <c r="E196" s="54" t="str">
        <f aca="false">IF($B196="","",INDEX(Journal!$C$5:$C$1504,$B196))</f>
        <v/>
      </c>
      <c r="F196" s="54" t="str">
        <f aca="false">IF($B196="","",IF(INDEX(Journal!$D$5:$D$1504,$B196)=$C$4,INDEX(Journal!$E$5:$E$1504,$B196),INDEX(Journal!$D$5:$D$1504,$B196)))</f>
        <v/>
      </c>
      <c r="G196" s="56" t="str">
        <f aca="false">IF($B196="","",IF(INDEX(Journal!$D$5:$D$1504,$B196)=$C$4,INDEX(Journal!$M$5:$M$1504,$B196),0))</f>
        <v/>
      </c>
      <c r="H196" s="56" t="str">
        <f aca="false">IF($B196="","",IF(INDEX(Journal!$E$5:$E$1504,$B196)=$C$4,INDEX(Journal!$N$5:$N$1504,$B196),0))</f>
        <v/>
      </c>
      <c r="I196" s="56" t="str">
        <f aca="false">IF($B196="","",IF(OR($G$4="Aktiv",$G$4="Aufwand"),I195+G196-H196,I195+H196-G196))</f>
        <v/>
      </c>
    </row>
    <row r="197" customFormat="false" ht="15" hidden="false" customHeight="false" outlineLevel="0" collapsed="false">
      <c r="A197" s="54" t="n">
        <v>190</v>
      </c>
      <c r="B197" s="54" t="str">
        <f aca="false">IFERROR(MATCH(A197,Journal!$W$5:$W$1504,0),"")</f>
        <v/>
      </c>
      <c r="C197" s="55" t="str">
        <f aca="false">IF($B197="","",INDEX(Journal!$A$5:$A$1504,$B197))</f>
        <v/>
      </c>
      <c r="D197" s="54" t="str">
        <f aca="false">IF($B197="","",INDEX(Journal!$B$5:$B$1504,$B197))</f>
        <v/>
      </c>
      <c r="E197" s="54" t="str">
        <f aca="false">IF($B197="","",INDEX(Journal!$C$5:$C$1504,$B197))</f>
        <v/>
      </c>
      <c r="F197" s="54" t="str">
        <f aca="false">IF($B197="","",IF(INDEX(Journal!$D$5:$D$1504,$B197)=$C$4,INDEX(Journal!$E$5:$E$1504,$B197),INDEX(Journal!$D$5:$D$1504,$B197)))</f>
        <v/>
      </c>
      <c r="G197" s="56" t="str">
        <f aca="false">IF($B197="","",IF(INDEX(Journal!$D$5:$D$1504,$B197)=$C$4,INDEX(Journal!$M$5:$M$1504,$B197),0))</f>
        <v/>
      </c>
      <c r="H197" s="56" t="str">
        <f aca="false">IF($B197="","",IF(INDEX(Journal!$E$5:$E$1504,$B197)=$C$4,INDEX(Journal!$N$5:$N$1504,$B197),0))</f>
        <v/>
      </c>
      <c r="I197" s="56" t="str">
        <f aca="false">IF($B197="","",IF(OR($G$4="Aktiv",$G$4="Aufwand"),I196+G197-H197,I196+H197-G197))</f>
        <v/>
      </c>
    </row>
    <row r="198" customFormat="false" ht="15" hidden="false" customHeight="false" outlineLevel="0" collapsed="false">
      <c r="A198" s="54" t="n">
        <v>191</v>
      </c>
      <c r="B198" s="54" t="str">
        <f aca="false">IFERROR(MATCH(A198,Journal!$W$5:$W$1504,0),"")</f>
        <v/>
      </c>
      <c r="C198" s="55" t="str">
        <f aca="false">IF($B198="","",INDEX(Journal!$A$5:$A$1504,$B198))</f>
        <v/>
      </c>
      <c r="D198" s="54" t="str">
        <f aca="false">IF($B198="","",INDEX(Journal!$B$5:$B$1504,$B198))</f>
        <v/>
      </c>
      <c r="E198" s="54" t="str">
        <f aca="false">IF($B198="","",INDEX(Journal!$C$5:$C$1504,$B198))</f>
        <v/>
      </c>
      <c r="F198" s="54" t="str">
        <f aca="false">IF($B198="","",IF(INDEX(Journal!$D$5:$D$1504,$B198)=$C$4,INDEX(Journal!$E$5:$E$1504,$B198),INDEX(Journal!$D$5:$D$1504,$B198)))</f>
        <v/>
      </c>
      <c r="G198" s="56" t="str">
        <f aca="false">IF($B198="","",IF(INDEX(Journal!$D$5:$D$1504,$B198)=$C$4,INDEX(Journal!$M$5:$M$1504,$B198),0))</f>
        <v/>
      </c>
      <c r="H198" s="56" t="str">
        <f aca="false">IF($B198="","",IF(INDEX(Journal!$E$5:$E$1504,$B198)=$C$4,INDEX(Journal!$N$5:$N$1504,$B198),0))</f>
        <v/>
      </c>
      <c r="I198" s="56" t="str">
        <f aca="false">IF($B198="","",IF(OR($G$4="Aktiv",$G$4="Aufwand"),I197+G198-H198,I197+H198-G198))</f>
        <v/>
      </c>
    </row>
    <row r="199" customFormat="false" ht="15" hidden="false" customHeight="false" outlineLevel="0" collapsed="false">
      <c r="A199" s="54" t="n">
        <v>192</v>
      </c>
      <c r="B199" s="54" t="str">
        <f aca="false">IFERROR(MATCH(A199,Journal!$W$5:$W$1504,0),"")</f>
        <v/>
      </c>
      <c r="C199" s="55" t="str">
        <f aca="false">IF($B199="","",INDEX(Journal!$A$5:$A$1504,$B199))</f>
        <v/>
      </c>
      <c r="D199" s="54" t="str">
        <f aca="false">IF($B199="","",INDEX(Journal!$B$5:$B$1504,$B199))</f>
        <v/>
      </c>
      <c r="E199" s="54" t="str">
        <f aca="false">IF($B199="","",INDEX(Journal!$C$5:$C$1504,$B199))</f>
        <v/>
      </c>
      <c r="F199" s="54" t="str">
        <f aca="false">IF($B199="","",IF(INDEX(Journal!$D$5:$D$1504,$B199)=$C$4,INDEX(Journal!$E$5:$E$1504,$B199),INDEX(Journal!$D$5:$D$1504,$B199)))</f>
        <v/>
      </c>
      <c r="G199" s="56" t="str">
        <f aca="false">IF($B199="","",IF(INDEX(Journal!$D$5:$D$1504,$B199)=$C$4,INDEX(Journal!$M$5:$M$1504,$B199),0))</f>
        <v/>
      </c>
      <c r="H199" s="56" t="str">
        <f aca="false">IF($B199="","",IF(INDEX(Journal!$E$5:$E$1504,$B199)=$C$4,INDEX(Journal!$N$5:$N$1504,$B199),0))</f>
        <v/>
      </c>
      <c r="I199" s="56" t="str">
        <f aca="false">IF($B199="","",IF(OR($G$4="Aktiv",$G$4="Aufwand"),I198+G199-H199,I198+H199-G199))</f>
        <v/>
      </c>
    </row>
    <row r="200" customFormat="false" ht="15" hidden="false" customHeight="false" outlineLevel="0" collapsed="false">
      <c r="A200" s="54" t="n">
        <v>193</v>
      </c>
      <c r="B200" s="54" t="str">
        <f aca="false">IFERROR(MATCH(A200,Journal!$W$5:$W$1504,0),"")</f>
        <v/>
      </c>
      <c r="C200" s="55" t="str">
        <f aca="false">IF($B200="","",INDEX(Journal!$A$5:$A$1504,$B200))</f>
        <v/>
      </c>
      <c r="D200" s="54" t="str">
        <f aca="false">IF($B200="","",INDEX(Journal!$B$5:$B$1504,$B200))</f>
        <v/>
      </c>
      <c r="E200" s="54" t="str">
        <f aca="false">IF($B200="","",INDEX(Journal!$C$5:$C$1504,$B200))</f>
        <v/>
      </c>
      <c r="F200" s="54" t="str">
        <f aca="false">IF($B200="","",IF(INDEX(Journal!$D$5:$D$1504,$B200)=$C$4,INDEX(Journal!$E$5:$E$1504,$B200),INDEX(Journal!$D$5:$D$1504,$B200)))</f>
        <v/>
      </c>
      <c r="G200" s="56" t="str">
        <f aca="false">IF($B200="","",IF(INDEX(Journal!$D$5:$D$1504,$B200)=$C$4,INDEX(Journal!$M$5:$M$1504,$B200),0))</f>
        <v/>
      </c>
      <c r="H200" s="56" t="str">
        <f aca="false">IF($B200="","",IF(INDEX(Journal!$E$5:$E$1504,$B200)=$C$4,INDEX(Journal!$N$5:$N$1504,$B200),0))</f>
        <v/>
      </c>
      <c r="I200" s="56" t="str">
        <f aca="false">IF($B200="","",IF(OR($G$4="Aktiv",$G$4="Aufwand"),I199+G200-H200,I199+H200-G200))</f>
        <v/>
      </c>
    </row>
    <row r="201" customFormat="false" ht="15" hidden="false" customHeight="false" outlineLevel="0" collapsed="false">
      <c r="A201" s="54" t="n">
        <v>194</v>
      </c>
      <c r="B201" s="54" t="str">
        <f aca="false">IFERROR(MATCH(A201,Journal!$W$5:$W$1504,0),"")</f>
        <v/>
      </c>
      <c r="C201" s="55" t="str">
        <f aca="false">IF($B201="","",INDEX(Journal!$A$5:$A$1504,$B201))</f>
        <v/>
      </c>
      <c r="D201" s="54" t="str">
        <f aca="false">IF($B201="","",INDEX(Journal!$B$5:$B$1504,$B201))</f>
        <v/>
      </c>
      <c r="E201" s="54" t="str">
        <f aca="false">IF($B201="","",INDEX(Journal!$C$5:$C$1504,$B201))</f>
        <v/>
      </c>
      <c r="F201" s="54" t="str">
        <f aca="false">IF($B201="","",IF(INDEX(Journal!$D$5:$D$1504,$B201)=$C$4,INDEX(Journal!$E$5:$E$1504,$B201),INDEX(Journal!$D$5:$D$1504,$B201)))</f>
        <v/>
      </c>
      <c r="G201" s="56" t="str">
        <f aca="false">IF($B201="","",IF(INDEX(Journal!$D$5:$D$1504,$B201)=$C$4,INDEX(Journal!$M$5:$M$1504,$B201),0))</f>
        <v/>
      </c>
      <c r="H201" s="56" t="str">
        <f aca="false">IF($B201="","",IF(INDEX(Journal!$E$5:$E$1504,$B201)=$C$4,INDEX(Journal!$N$5:$N$1504,$B201),0))</f>
        <v/>
      </c>
      <c r="I201" s="56" t="str">
        <f aca="false">IF($B201="","",IF(OR($G$4="Aktiv",$G$4="Aufwand"),I200+G201-H201,I200+H201-G201))</f>
        <v/>
      </c>
    </row>
    <row r="202" customFormat="false" ht="15" hidden="false" customHeight="false" outlineLevel="0" collapsed="false">
      <c r="A202" s="54" t="n">
        <v>195</v>
      </c>
      <c r="B202" s="54" t="str">
        <f aca="false">IFERROR(MATCH(A202,Journal!$W$5:$W$1504,0),"")</f>
        <v/>
      </c>
      <c r="C202" s="55" t="str">
        <f aca="false">IF($B202="","",INDEX(Journal!$A$5:$A$1504,$B202))</f>
        <v/>
      </c>
      <c r="D202" s="54" t="str">
        <f aca="false">IF($B202="","",INDEX(Journal!$B$5:$B$1504,$B202))</f>
        <v/>
      </c>
      <c r="E202" s="54" t="str">
        <f aca="false">IF($B202="","",INDEX(Journal!$C$5:$C$1504,$B202))</f>
        <v/>
      </c>
      <c r="F202" s="54" t="str">
        <f aca="false">IF($B202="","",IF(INDEX(Journal!$D$5:$D$1504,$B202)=$C$4,INDEX(Journal!$E$5:$E$1504,$B202),INDEX(Journal!$D$5:$D$1504,$B202)))</f>
        <v/>
      </c>
      <c r="G202" s="56" t="str">
        <f aca="false">IF($B202="","",IF(INDEX(Journal!$D$5:$D$1504,$B202)=$C$4,INDEX(Journal!$M$5:$M$1504,$B202),0))</f>
        <v/>
      </c>
      <c r="H202" s="56" t="str">
        <f aca="false">IF($B202="","",IF(INDEX(Journal!$E$5:$E$1504,$B202)=$C$4,INDEX(Journal!$N$5:$N$1504,$B202),0))</f>
        <v/>
      </c>
      <c r="I202" s="56" t="str">
        <f aca="false">IF($B202="","",IF(OR($G$4="Aktiv",$G$4="Aufwand"),I201+G202-H202,I201+H202-G202))</f>
        <v/>
      </c>
    </row>
    <row r="203" customFormat="false" ht="15" hidden="false" customHeight="false" outlineLevel="0" collapsed="false">
      <c r="A203" s="54" t="n">
        <v>196</v>
      </c>
      <c r="B203" s="54" t="str">
        <f aca="false">IFERROR(MATCH(A203,Journal!$W$5:$W$1504,0),"")</f>
        <v/>
      </c>
      <c r="C203" s="55" t="str">
        <f aca="false">IF($B203="","",INDEX(Journal!$A$5:$A$1504,$B203))</f>
        <v/>
      </c>
      <c r="D203" s="54" t="str">
        <f aca="false">IF($B203="","",INDEX(Journal!$B$5:$B$1504,$B203))</f>
        <v/>
      </c>
      <c r="E203" s="54" t="str">
        <f aca="false">IF($B203="","",INDEX(Journal!$C$5:$C$1504,$B203))</f>
        <v/>
      </c>
      <c r="F203" s="54" t="str">
        <f aca="false">IF($B203="","",IF(INDEX(Journal!$D$5:$D$1504,$B203)=$C$4,INDEX(Journal!$E$5:$E$1504,$B203),INDEX(Journal!$D$5:$D$1504,$B203)))</f>
        <v/>
      </c>
      <c r="G203" s="56" t="str">
        <f aca="false">IF($B203="","",IF(INDEX(Journal!$D$5:$D$1504,$B203)=$C$4,INDEX(Journal!$M$5:$M$1504,$B203),0))</f>
        <v/>
      </c>
      <c r="H203" s="56" t="str">
        <f aca="false">IF($B203="","",IF(INDEX(Journal!$E$5:$E$1504,$B203)=$C$4,INDEX(Journal!$N$5:$N$1504,$B203),0))</f>
        <v/>
      </c>
      <c r="I203" s="56" t="str">
        <f aca="false">IF($B203="","",IF(OR($G$4="Aktiv",$G$4="Aufwand"),I202+G203-H203,I202+H203-G203))</f>
        <v/>
      </c>
    </row>
    <row r="204" customFormat="false" ht="15" hidden="false" customHeight="false" outlineLevel="0" collapsed="false">
      <c r="A204" s="54" t="n">
        <v>197</v>
      </c>
      <c r="B204" s="54" t="str">
        <f aca="false">IFERROR(MATCH(A204,Journal!$W$5:$W$1504,0),"")</f>
        <v/>
      </c>
      <c r="C204" s="55" t="str">
        <f aca="false">IF($B204="","",INDEX(Journal!$A$5:$A$1504,$B204))</f>
        <v/>
      </c>
      <c r="D204" s="54" t="str">
        <f aca="false">IF($B204="","",INDEX(Journal!$B$5:$B$1504,$B204))</f>
        <v/>
      </c>
      <c r="E204" s="54" t="str">
        <f aca="false">IF($B204="","",INDEX(Journal!$C$5:$C$1504,$B204))</f>
        <v/>
      </c>
      <c r="F204" s="54" t="str">
        <f aca="false">IF($B204="","",IF(INDEX(Journal!$D$5:$D$1504,$B204)=$C$4,INDEX(Journal!$E$5:$E$1504,$B204),INDEX(Journal!$D$5:$D$1504,$B204)))</f>
        <v/>
      </c>
      <c r="G204" s="56" t="str">
        <f aca="false">IF($B204="","",IF(INDEX(Journal!$D$5:$D$1504,$B204)=$C$4,INDEX(Journal!$M$5:$M$1504,$B204),0))</f>
        <v/>
      </c>
      <c r="H204" s="56" t="str">
        <f aca="false">IF($B204="","",IF(INDEX(Journal!$E$5:$E$1504,$B204)=$C$4,INDEX(Journal!$N$5:$N$1504,$B204),0))</f>
        <v/>
      </c>
      <c r="I204" s="56" t="str">
        <f aca="false">IF($B204="","",IF(OR($G$4="Aktiv",$G$4="Aufwand"),I203+G204-H204,I203+H204-G204))</f>
        <v/>
      </c>
    </row>
    <row r="205" customFormat="false" ht="15" hidden="false" customHeight="false" outlineLevel="0" collapsed="false">
      <c r="A205" s="54" t="n">
        <v>198</v>
      </c>
      <c r="B205" s="54" t="str">
        <f aca="false">IFERROR(MATCH(A205,Journal!$W$5:$W$1504,0),"")</f>
        <v/>
      </c>
      <c r="C205" s="55" t="str">
        <f aca="false">IF($B205="","",INDEX(Journal!$A$5:$A$1504,$B205))</f>
        <v/>
      </c>
      <c r="D205" s="54" t="str">
        <f aca="false">IF($B205="","",INDEX(Journal!$B$5:$B$1504,$B205))</f>
        <v/>
      </c>
      <c r="E205" s="54" t="str">
        <f aca="false">IF($B205="","",INDEX(Journal!$C$5:$C$1504,$B205))</f>
        <v/>
      </c>
      <c r="F205" s="54" t="str">
        <f aca="false">IF($B205="","",IF(INDEX(Journal!$D$5:$D$1504,$B205)=$C$4,INDEX(Journal!$E$5:$E$1504,$B205),INDEX(Journal!$D$5:$D$1504,$B205)))</f>
        <v/>
      </c>
      <c r="G205" s="56" t="str">
        <f aca="false">IF($B205="","",IF(INDEX(Journal!$D$5:$D$1504,$B205)=$C$4,INDEX(Journal!$M$5:$M$1504,$B205),0))</f>
        <v/>
      </c>
      <c r="H205" s="56" t="str">
        <f aca="false">IF($B205="","",IF(INDEX(Journal!$E$5:$E$1504,$B205)=$C$4,INDEX(Journal!$N$5:$N$1504,$B205),0))</f>
        <v/>
      </c>
      <c r="I205" s="56" t="str">
        <f aca="false">IF($B205="","",IF(OR($G$4="Aktiv",$G$4="Aufwand"),I204+G205-H205,I204+H205-G205))</f>
        <v/>
      </c>
    </row>
    <row r="206" customFormat="false" ht="15" hidden="false" customHeight="false" outlineLevel="0" collapsed="false">
      <c r="A206" s="54" t="n">
        <v>199</v>
      </c>
      <c r="B206" s="54" t="str">
        <f aca="false">IFERROR(MATCH(A206,Journal!$W$5:$W$1504,0),"")</f>
        <v/>
      </c>
      <c r="C206" s="55" t="str">
        <f aca="false">IF($B206="","",INDEX(Journal!$A$5:$A$1504,$B206))</f>
        <v/>
      </c>
      <c r="D206" s="54" t="str">
        <f aca="false">IF($B206="","",INDEX(Journal!$B$5:$B$1504,$B206))</f>
        <v/>
      </c>
      <c r="E206" s="54" t="str">
        <f aca="false">IF($B206="","",INDEX(Journal!$C$5:$C$1504,$B206))</f>
        <v/>
      </c>
      <c r="F206" s="54" t="str">
        <f aca="false">IF($B206="","",IF(INDEX(Journal!$D$5:$D$1504,$B206)=$C$4,INDEX(Journal!$E$5:$E$1504,$B206),INDEX(Journal!$D$5:$D$1504,$B206)))</f>
        <v/>
      </c>
      <c r="G206" s="56" t="str">
        <f aca="false">IF($B206="","",IF(INDEX(Journal!$D$5:$D$1504,$B206)=$C$4,INDEX(Journal!$M$5:$M$1504,$B206),0))</f>
        <v/>
      </c>
      <c r="H206" s="56" t="str">
        <f aca="false">IF($B206="","",IF(INDEX(Journal!$E$5:$E$1504,$B206)=$C$4,INDEX(Journal!$N$5:$N$1504,$B206),0))</f>
        <v/>
      </c>
      <c r="I206" s="56" t="str">
        <f aca="false">IF($B206="","",IF(OR($G$4="Aktiv",$G$4="Aufwand"),I205+G206-H206,I205+H206-G206))</f>
        <v/>
      </c>
    </row>
    <row r="207" customFormat="false" ht="15" hidden="false" customHeight="false" outlineLevel="0" collapsed="false">
      <c r="A207" s="54" t="n">
        <v>200</v>
      </c>
      <c r="B207" s="54" t="str">
        <f aca="false">IFERROR(MATCH(A207,Journal!$W$5:$W$1504,0),"")</f>
        <v/>
      </c>
      <c r="C207" s="55" t="str">
        <f aca="false">IF($B207="","",INDEX(Journal!$A$5:$A$1504,$B207))</f>
        <v/>
      </c>
      <c r="D207" s="54" t="str">
        <f aca="false">IF($B207="","",INDEX(Journal!$B$5:$B$1504,$B207))</f>
        <v/>
      </c>
      <c r="E207" s="54" t="str">
        <f aca="false">IF($B207="","",INDEX(Journal!$C$5:$C$1504,$B207))</f>
        <v/>
      </c>
      <c r="F207" s="54" t="str">
        <f aca="false">IF($B207="","",IF(INDEX(Journal!$D$5:$D$1504,$B207)=$C$4,INDEX(Journal!$E$5:$E$1504,$B207),INDEX(Journal!$D$5:$D$1504,$B207)))</f>
        <v/>
      </c>
      <c r="G207" s="56" t="str">
        <f aca="false">IF($B207="","",IF(INDEX(Journal!$D$5:$D$1504,$B207)=$C$4,INDEX(Journal!$M$5:$M$1504,$B207),0))</f>
        <v/>
      </c>
      <c r="H207" s="56" t="str">
        <f aca="false">IF($B207="","",IF(INDEX(Journal!$E$5:$E$1504,$B207)=$C$4,INDEX(Journal!$N$5:$N$1504,$B207),0))</f>
        <v/>
      </c>
      <c r="I207" s="56" t="str">
        <f aca="false">IF($B207="","",IF(OR($G$4="Aktiv",$G$4="Aufwand"),I206+G207-H207,I206+H207-G207))</f>
        <v/>
      </c>
    </row>
    <row r="208" customFormat="false" ht="15" hidden="false" customHeight="false" outlineLevel="0" collapsed="false">
      <c r="A208" s="54" t="n">
        <v>201</v>
      </c>
      <c r="B208" s="54" t="str">
        <f aca="false">IFERROR(MATCH(A208,Journal!$W$5:$W$1504,0),"")</f>
        <v/>
      </c>
      <c r="C208" s="55" t="str">
        <f aca="false">IF($B208="","",INDEX(Journal!$A$5:$A$1504,$B208))</f>
        <v/>
      </c>
      <c r="D208" s="54" t="str">
        <f aca="false">IF($B208="","",INDEX(Journal!$B$5:$B$1504,$B208))</f>
        <v/>
      </c>
      <c r="E208" s="54" t="str">
        <f aca="false">IF($B208="","",INDEX(Journal!$C$5:$C$1504,$B208))</f>
        <v/>
      </c>
      <c r="F208" s="54" t="str">
        <f aca="false">IF($B208="","",IF(INDEX(Journal!$D$5:$D$1504,$B208)=$C$4,INDEX(Journal!$E$5:$E$1504,$B208),INDEX(Journal!$D$5:$D$1504,$B208)))</f>
        <v/>
      </c>
      <c r="G208" s="56" t="str">
        <f aca="false">IF($B208="","",IF(INDEX(Journal!$D$5:$D$1504,$B208)=$C$4,INDEX(Journal!$M$5:$M$1504,$B208),0))</f>
        <v/>
      </c>
      <c r="H208" s="56" t="str">
        <f aca="false">IF($B208="","",IF(INDEX(Journal!$E$5:$E$1504,$B208)=$C$4,INDEX(Journal!$N$5:$N$1504,$B208),0))</f>
        <v/>
      </c>
      <c r="I208" s="56" t="str">
        <f aca="false">IF($B208="","",IF(OR($G$4="Aktiv",$G$4="Aufwand"),I207+G208-H208,I207+H208-G208))</f>
        <v/>
      </c>
    </row>
    <row r="209" customFormat="false" ht="15" hidden="false" customHeight="false" outlineLevel="0" collapsed="false">
      <c r="A209" s="54" t="n">
        <v>202</v>
      </c>
      <c r="B209" s="54" t="str">
        <f aca="false">IFERROR(MATCH(A209,Journal!$W$5:$W$1504,0),"")</f>
        <v/>
      </c>
      <c r="C209" s="55" t="str">
        <f aca="false">IF($B209="","",INDEX(Journal!$A$5:$A$1504,$B209))</f>
        <v/>
      </c>
      <c r="D209" s="54" t="str">
        <f aca="false">IF($B209="","",INDEX(Journal!$B$5:$B$1504,$B209))</f>
        <v/>
      </c>
      <c r="E209" s="54" t="str">
        <f aca="false">IF($B209="","",INDEX(Journal!$C$5:$C$1504,$B209))</f>
        <v/>
      </c>
      <c r="F209" s="54" t="str">
        <f aca="false">IF($B209="","",IF(INDEX(Journal!$D$5:$D$1504,$B209)=$C$4,INDEX(Journal!$E$5:$E$1504,$B209),INDEX(Journal!$D$5:$D$1504,$B209)))</f>
        <v/>
      </c>
      <c r="G209" s="56" t="str">
        <f aca="false">IF($B209="","",IF(INDEX(Journal!$D$5:$D$1504,$B209)=$C$4,INDEX(Journal!$M$5:$M$1504,$B209),0))</f>
        <v/>
      </c>
      <c r="H209" s="56" t="str">
        <f aca="false">IF($B209="","",IF(INDEX(Journal!$E$5:$E$1504,$B209)=$C$4,INDEX(Journal!$N$5:$N$1504,$B209),0))</f>
        <v/>
      </c>
      <c r="I209" s="56" t="str">
        <f aca="false">IF($B209="","",IF(OR($G$4="Aktiv",$G$4="Aufwand"),I208+G209-H209,I208+H209-G209))</f>
        <v/>
      </c>
    </row>
    <row r="210" customFormat="false" ht="15" hidden="false" customHeight="false" outlineLevel="0" collapsed="false">
      <c r="A210" s="54" t="n">
        <v>203</v>
      </c>
      <c r="B210" s="54" t="str">
        <f aca="false">IFERROR(MATCH(A210,Journal!$W$5:$W$1504,0),"")</f>
        <v/>
      </c>
      <c r="C210" s="55" t="str">
        <f aca="false">IF($B210="","",INDEX(Journal!$A$5:$A$1504,$B210))</f>
        <v/>
      </c>
      <c r="D210" s="54" t="str">
        <f aca="false">IF($B210="","",INDEX(Journal!$B$5:$B$1504,$B210))</f>
        <v/>
      </c>
      <c r="E210" s="54" t="str">
        <f aca="false">IF($B210="","",INDEX(Journal!$C$5:$C$1504,$B210))</f>
        <v/>
      </c>
      <c r="F210" s="54" t="str">
        <f aca="false">IF($B210="","",IF(INDEX(Journal!$D$5:$D$1504,$B210)=$C$4,INDEX(Journal!$E$5:$E$1504,$B210),INDEX(Journal!$D$5:$D$1504,$B210)))</f>
        <v/>
      </c>
      <c r="G210" s="56" t="str">
        <f aca="false">IF($B210="","",IF(INDEX(Journal!$D$5:$D$1504,$B210)=$C$4,INDEX(Journal!$M$5:$M$1504,$B210),0))</f>
        <v/>
      </c>
      <c r="H210" s="56" t="str">
        <f aca="false">IF($B210="","",IF(INDEX(Journal!$E$5:$E$1504,$B210)=$C$4,INDEX(Journal!$N$5:$N$1504,$B210),0))</f>
        <v/>
      </c>
      <c r="I210" s="56" t="str">
        <f aca="false">IF($B210="","",IF(OR($G$4="Aktiv",$G$4="Aufwand"),I209+G210-H210,I209+H210-G210))</f>
        <v/>
      </c>
    </row>
    <row r="211" customFormat="false" ht="15" hidden="false" customHeight="false" outlineLevel="0" collapsed="false">
      <c r="A211" s="54" t="n">
        <v>204</v>
      </c>
      <c r="B211" s="54" t="str">
        <f aca="false">IFERROR(MATCH(A211,Journal!$W$5:$W$1504,0),"")</f>
        <v/>
      </c>
      <c r="C211" s="55" t="str">
        <f aca="false">IF($B211="","",INDEX(Journal!$A$5:$A$1504,$B211))</f>
        <v/>
      </c>
      <c r="D211" s="54" t="str">
        <f aca="false">IF($B211="","",INDEX(Journal!$B$5:$B$1504,$B211))</f>
        <v/>
      </c>
      <c r="E211" s="54" t="str">
        <f aca="false">IF($B211="","",INDEX(Journal!$C$5:$C$1504,$B211))</f>
        <v/>
      </c>
      <c r="F211" s="54" t="str">
        <f aca="false">IF($B211="","",IF(INDEX(Journal!$D$5:$D$1504,$B211)=$C$4,INDEX(Journal!$E$5:$E$1504,$B211),INDEX(Journal!$D$5:$D$1504,$B211)))</f>
        <v/>
      </c>
      <c r="G211" s="56" t="str">
        <f aca="false">IF($B211="","",IF(INDEX(Journal!$D$5:$D$1504,$B211)=$C$4,INDEX(Journal!$M$5:$M$1504,$B211),0))</f>
        <v/>
      </c>
      <c r="H211" s="56" t="str">
        <f aca="false">IF($B211="","",IF(INDEX(Journal!$E$5:$E$1504,$B211)=$C$4,INDEX(Journal!$N$5:$N$1504,$B211),0))</f>
        <v/>
      </c>
      <c r="I211" s="56" t="str">
        <f aca="false">IF($B211="","",IF(OR($G$4="Aktiv",$G$4="Aufwand"),I210+G211-H211,I210+H211-G211))</f>
        <v/>
      </c>
    </row>
    <row r="212" customFormat="false" ht="15" hidden="false" customHeight="false" outlineLevel="0" collapsed="false">
      <c r="A212" s="54" t="n">
        <v>205</v>
      </c>
      <c r="B212" s="54" t="str">
        <f aca="false">IFERROR(MATCH(A212,Journal!$W$5:$W$1504,0),"")</f>
        <v/>
      </c>
      <c r="C212" s="55" t="str">
        <f aca="false">IF($B212="","",INDEX(Journal!$A$5:$A$1504,$B212))</f>
        <v/>
      </c>
      <c r="D212" s="54" t="str">
        <f aca="false">IF($B212="","",INDEX(Journal!$B$5:$B$1504,$B212))</f>
        <v/>
      </c>
      <c r="E212" s="54" t="str">
        <f aca="false">IF($B212="","",INDEX(Journal!$C$5:$C$1504,$B212))</f>
        <v/>
      </c>
      <c r="F212" s="54" t="str">
        <f aca="false">IF($B212="","",IF(INDEX(Journal!$D$5:$D$1504,$B212)=$C$4,INDEX(Journal!$E$5:$E$1504,$B212),INDEX(Journal!$D$5:$D$1504,$B212)))</f>
        <v/>
      </c>
      <c r="G212" s="56" t="str">
        <f aca="false">IF($B212="","",IF(INDEX(Journal!$D$5:$D$1504,$B212)=$C$4,INDEX(Journal!$M$5:$M$1504,$B212),0))</f>
        <v/>
      </c>
      <c r="H212" s="56" t="str">
        <f aca="false">IF($B212="","",IF(INDEX(Journal!$E$5:$E$1504,$B212)=$C$4,INDEX(Journal!$N$5:$N$1504,$B212),0))</f>
        <v/>
      </c>
      <c r="I212" s="56" t="str">
        <f aca="false">IF($B212="","",IF(OR($G$4="Aktiv",$G$4="Aufwand"),I211+G212-H212,I211+H212-G212))</f>
        <v/>
      </c>
    </row>
    <row r="213" customFormat="false" ht="15" hidden="false" customHeight="false" outlineLevel="0" collapsed="false">
      <c r="A213" s="54" t="n">
        <v>206</v>
      </c>
      <c r="B213" s="54" t="str">
        <f aca="false">IFERROR(MATCH(A213,Journal!$W$5:$W$1504,0),"")</f>
        <v/>
      </c>
      <c r="C213" s="55" t="str">
        <f aca="false">IF($B213="","",INDEX(Journal!$A$5:$A$1504,$B213))</f>
        <v/>
      </c>
      <c r="D213" s="54" t="str">
        <f aca="false">IF($B213="","",INDEX(Journal!$B$5:$B$1504,$B213))</f>
        <v/>
      </c>
      <c r="E213" s="54" t="str">
        <f aca="false">IF($B213="","",INDEX(Journal!$C$5:$C$1504,$B213))</f>
        <v/>
      </c>
      <c r="F213" s="54" t="str">
        <f aca="false">IF($B213="","",IF(INDEX(Journal!$D$5:$D$1504,$B213)=$C$4,INDEX(Journal!$E$5:$E$1504,$B213),INDEX(Journal!$D$5:$D$1504,$B213)))</f>
        <v/>
      </c>
      <c r="G213" s="56" t="str">
        <f aca="false">IF($B213="","",IF(INDEX(Journal!$D$5:$D$1504,$B213)=$C$4,INDEX(Journal!$M$5:$M$1504,$B213),0))</f>
        <v/>
      </c>
      <c r="H213" s="56" t="str">
        <f aca="false">IF($B213="","",IF(INDEX(Journal!$E$5:$E$1504,$B213)=$C$4,INDEX(Journal!$N$5:$N$1504,$B213),0))</f>
        <v/>
      </c>
      <c r="I213" s="56" t="str">
        <f aca="false">IF($B213="","",IF(OR($G$4="Aktiv",$G$4="Aufwand"),I212+G213-H213,I212+H213-G213))</f>
        <v/>
      </c>
    </row>
    <row r="214" customFormat="false" ht="15" hidden="false" customHeight="false" outlineLevel="0" collapsed="false">
      <c r="A214" s="54" t="n">
        <v>207</v>
      </c>
      <c r="B214" s="54" t="str">
        <f aca="false">IFERROR(MATCH(A214,Journal!$W$5:$W$1504,0),"")</f>
        <v/>
      </c>
      <c r="C214" s="55" t="str">
        <f aca="false">IF($B214="","",INDEX(Journal!$A$5:$A$1504,$B214))</f>
        <v/>
      </c>
      <c r="D214" s="54" t="str">
        <f aca="false">IF($B214="","",INDEX(Journal!$B$5:$B$1504,$B214))</f>
        <v/>
      </c>
      <c r="E214" s="54" t="str">
        <f aca="false">IF($B214="","",INDEX(Journal!$C$5:$C$1504,$B214))</f>
        <v/>
      </c>
      <c r="F214" s="54" t="str">
        <f aca="false">IF($B214="","",IF(INDEX(Journal!$D$5:$D$1504,$B214)=$C$4,INDEX(Journal!$E$5:$E$1504,$B214),INDEX(Journal!$D$5:$D$1504,$B214)))</f>
        <v/>
      </c>
      <c r="G214" s="56" t="str">
        <f aca="false">IF($B214="","",IF(INDEX(Journal!$D$5:$D$1504,$B214)=$C$4,INDEX(Journal!$M$5:$M$1504,$B214),0))</f>
        <v/>
      </c>
      <c r="H214" s="56" t="str">
        <f aca="false">IF($B214="","",IF(INDEX(Journal!$E$5:$E$1504,$B214)=$C$4,INDEX(Journal!$N$5:$N$1504,$B214),0))</f>
        <v/>
      </c>
      <c r="I214" s="56" t="str">
        <f aca="false">IF($B214="","",IF(OR($G$4="Aktiv",$G$4="Aufwand"),I213+G214-H214,I213+H214-G214))</f>
        <v/>
      </c>
    </row>
    <row r="215" customFormat="false" ht="15" hidden="false" customHeight="false" outlineLevel="0" collapsed="false">
      <c r="A215" s="54" t="n">
        <v>208</v>
      </c>
      <c r="B215" s="54" t="str">
        <f aca="false">IFERROR(MATCH(A215,Journal!$W$5:$W$1504,0),"")</f>
        <v/>
      </c>
      <c r="C215" s="55" t="str">
        <f aca="false">IF($B215="","",INDEX(Journal!$A$5:$A$1504,$B215))</f>
        <v/>
      </c>
      <c r="D215" s="54" t="str">
        <f aca="false">IF($B215="","",INDEX(Journal!$B$5:$B$1504,$B215))</f>
        <v/>
      </c>
      <c r="E215" s="54" t="str">
        <f aca="false">IF($B215="","",INDEX(Journal!$C$5:$C$1504,$B215))</f>
        <v/>
      </c>
      <c r="F215" s="54" t="str">
        <f aca="false">IF($B215="","",IF(INDEX(Journal!$D$5:$D$1504,$B215)=$C$4,INDEX(Journal!$E$5:$E$1504,$B215),INDEX(Journal!$D$5:$D$1504,$B215)))</f>
        <v/>
      </c>
      <c r="G215" s="56" t="str">
        <f aca="false">IF($B215="","",IF(INDEX(Journal!$D$5:$D$1504,$B215)=$C$4,INDEX(Journal!$M$5:$M$1504,$B215),0))</f>
        <v/>
      </c>
      <c r="H215" s="56" t="str">
        <f aca="false">IF($B215="","",IF(INDEX(Journal!$E$5:$E$1504,$B215)=$C$4,INDEX(Journal!$N$5:$N$1504,$B215),0))</f>
        <v/>
      </c>
      <c r="I215" s="56" t="str">
        <f aca="false">IF($B215="","",IF(OR($G$4="Aktiv",$G$4="Aufwand"),I214+G215-H215,I214+H215-G215))</f>
        <v/>
      </c>
    </row>
    <row r="216" customFormat="false" ht="15" hidden="false" customHeight="false" outlineLevel="0" collapsed="false">
      <c r="A216" s="54" t="n">
        <v>209</v>
      </c>
      <c r="B216" s="54" t="str">
        <f aca="false">IFERROR(MATCH(A216,Journal!$W$5:$W$1504,0),"")</f>
        <v/>
      </c>
      <c r="C216" s="55" t="str">
        <f aca="false">IF($B216="","",INDEX(Journal!$A$5:$A$1504,$B216))</f>
        <v/>
      </c>
      <c r="D216" s="54" t="str">
        <f aca="false">IF($B216="","",INDEX(Journal!$B$5:$B$1504,$B216))</f>
        <v/>
      </c>
      <c r="E216" s="54" t="str">
        <f aca="false">IF($B216="","",INDEX(Journal!$C$5:$C$1504,$B216))</f>
        <v/>
      </c>
      <c r="F216" s="54" t="str">
        <f aca="false">IF($B216="","",IF(INDEX(Journal!$D$5:$D$1504,$B216)=$C$4,INDEX(Journal!$E$5:$E$1504,$B216),INDEX(Journal!$D$5:$D$1504,$B216)))</f>
        <v/>
      </c>
      <c r="G216" s="56" t="str">
        <f aca="false">IF($B216="","",IF(INDEX(Journal!$D$5:$D$1504,$B216)=$C$4,INDEX(Journal!$M$5:$M$1504,$B216),0))</f>
        <v/>
      </c>
      <c r="H216" s="56" t="str">
        <f aca="false">IF($B216="","",IF(INDEX(Journal!$E$5:$E$1504,$B216)=$C$4,INDEX(Journal!$N$5:$N$1504,$B216),0))</f>
        <v/>
      </c>
      <c r="I216" s="56" t="str">
        <f aca="false">IF($B216="","",IF(OR($G$4="Aktiv",$G$4="Aufwand"),I215+G216-H216,I215+H216-G216))</f>
        <v/>
      </c>
    </row>
    <row r="217" customFormat="false" ht="15" hidden="false" customHeight="false" outlineLevel="0" collapsed="false">
      <c r="A217" s="54" t="n">
        <v>210</v>
      </c>
      <c r="B217" s="54" t="str">
        <f aca="false">IFERROR(MATCH(A217,Journal!$W$5:$W$1504,0),"")</f>
        <v/>
      </c>
      <c r="C217" s="55" t="str">
        <f aca="false">IF($B217="","",INDEX(Journal!$A$5:$A$1504,$B217))</f>
        <v/>
      </c>
      <c r="D217" s="54" t="str">
        <f aca="false">IF($B217="","",INDEX(Journal!$B$5:$B$1504,$B217))</f>
        <v/>
      </c>
      <c r="E217" s="54" t="str">
        <f aca="false">IF($B217="","",INDEX(Journal!$C$5:$C$1504,$B217))</f>
        <v/>
      </c>
      <c r="F217" s="54" t="str">
        <f aca="false">IF($B217="","",IF(INDEX(Journal!$D$5:$D$1504,$B217)=$C$4,INDEX(Journal!$E$5:$E$1504,$B217),INDEX(Journal!$D$5:$D$1504,$B217)))</f>
        <v/>
      </c>
      <c r="G217" s="56" t="str">
        <f aca="false">IF($B217="","",IF(INDEX(Journal!$D$5:$D$1504,$B217)=$C$4,INDEX(Journal!$M$5:$M$1504,$B217),0))</f>
        <v/>
      </c>
      <c r="H217" s="56" t="str">
        <f aca="false">IF($B217="","",IF(INDEX(Journal!$E$5:$E$1504,$B217)=$C$4,INDEX(Journal!$N$5:$N$1504,$B217),0))</f>
        <v/>
      </c>
      <c r="I217" s="56" t="str">
        <f aca="false">IF($B217="","",IF(OR($G$4="Aktiv",$G$4="Aufwand"),I216+G217-H217,I216+H217-G217))</f>
        <v/>
      </c>
    </row>
    <row r="218" customFormat="false" ht="15" hidden="false" customHeight="false" outlineLevel="0" collapsed="false">
      <c r="A218" s="54" t="n">
        <v>211</v>
      </c>
      <c r="B218" s="54" t="str">
        <f aca="false">IFERROR(MATCH(A218,Journal!$W$5:$W$1504,0),"")</f>
        <v/>
      </c>
      <c r="C218" s="55" t="str">
        <f aca="false">IF($B218="","",INDEX(Journal!$A$5:$A$1504,$B218))</f>
        <v/>
      </c>
      <c r="D218" s="54" t="str">
        <f aca="false">IF($B218="","",INDEX(Journal!$B$5:$B$1504,$B218))</f>
        <v/>
      </c>
      <c r="E218" s="54" t="str">
        <f aca="false">IF($B218="","",INDEX(Journal!$C$5:$C$1504,$B218))</f>
        <v/>
      </c>
      <c r="F218" s="54" t="str">
        <f aca="false">IF($B218="","",IF(INDEX(Journal!$D$5:$D$1504,$B218)=$C$4,INDEX(Journal!$E$5:$E$1504,$B218),INDEX(Journal!$D$5:$D$1504,$B218)))</f>
        <v/>
      </c>
      <c r="G218" s="56" t="str">
        <f aca="false">IF($B218="","",IF(INDEX(Journal!$D$5:$D$1504,$B218)=$C$4,INDEX(Journal!$M$5:$M$1504,$B218),0))</f>
        <v/>
      </c>
      <c r="H218" s="56" t="str">
        <f aca="false">IF($B218="","",IF(INDEX(Journal!$E$5:$E$1504,$B218)=$C$4,INDEX(Journal!$N$5:$N$1504,$B218),0))</f>
        <v/>
      </c>
      <c r="I218" s="56" t="str">
        <f aca="false">IF($B218="","",IF(OR($G$4="Aktiv",$G$4="Aufwand"),I217+G218-H218,I217+H218-G218))</f>
        <v/>
      </c>
    </row>
    <row r="219" customFormat="false" ht="15" hidden="false" customHeight="false" outlineLevel="0" collapsed="false">
      <c r="A219" s="54" t="n">
        <v>212</v>
      </c>
      <c r="B219" s="54" t="str">
        <f aca="false">IFERROR(MATCH(A219,Journal!$W$5:$W$1504,0),"")</f>
        <v/>
      </c>
      <c r="C219" s="55" t="str">
        <f aca="false">IF($B219="","",INDEX(Journal!$A$5:$A$1504,$B219))</f>
        <v/>
      </c>
      <c r="D219" s="54" t="str">
        <f aca="false">IF($B219="","",INDEX(Journal!$B$5:$B$1504,$B219))</f>
        <v/>
      </c>
      <c r="E219" s="54" t="str">
        <f aca="false">IF($B219="","",INDEX(Journal!$C$5:$C$1504,$B219))</f>
        <v/>
      </c>
      <c r="F219" s="54" t="str">
        <f aca="false">IF($B219="","",IF(INDEX(Journal!$D$5:$D$1504,$B219)=$C$4,INDEX(Journal!$E$5:$E$1504,$B219),INDEX(Journal!$D$5:$D$1504,$B219)))</f>
        <v/>
      </c>
      <c r="G219" s="56" t="str">
        <f aca="false">IF($B219="","",IF(INDEX(Journal!$D$5:$D$1504,$B219)=$C$4,INDEX(Journal!$M$5:$M$1504,$B219),0))</f>
        <v/>
      </c>
      <c r="H219" s="56" t="str">
        <f aca="false">IF($B219="","",IF(INDEX(Journal!$E$5:$E$1504,$B219)=$C$4,INDEX(Journal!$N$5:$N$1504,$B219),0))</f>
        <v/>
      </c>
      <c r="I219" s="56" t="str">
        <f aca="false">IF($B219="","",IF(OR($G$4="Aktiv",$G$4="Aufwand"),I218+G219-H219,I218+H219-G219))</f>
        <v/>
      </c>
    </row>
    <row r="220" customFormat="false" ht="15" hidden="false" customHeight="false" outlineLevel="0" collapsed="false">
      <c r="A220" s="54" t="n">
        <v>213</v>
      </c>
      <c r="B220" s="54" t="str">
        <f aca="false">IFERROR(MATCH(A220,Journal!$W$5:$W$1504,0),"")</f>
        <v/>
      </c>
      <c r="C220" s="55" t="str">
        <f aca="false">IF($B220="","",INDEX(Journal!$A$5:$A$1504,$B220))</f>
        <v/>
      </c>
      <c r="D220" s="54" t="str">
        <f aca="false">IF($B220="","",INDEX(Journal!$B$5:$B$1504,$B220))</f>
        <v/>
      </c>
      <c r="E220" s="54" t="str">
        <f aca="false">IF($B220="","",INDEX(Journal!$C$5:$C$1504,$B220))</f>
        <v/>
      </c>
      <c r="F220" s="54" t="str">
        <f aca="false">IF($B220="","",IF(INDEX(Journal!$D$5:$D$1504,$B220)=$C$4,INDEX(Journal!$E$5:$E$1504,$B220),INDEX(Journal!$D$5:$D$1504,$B220)))</f>
        <v/>
      </c>
      <c r="G220" s="56" t="str">
        <f aca="false">IF($B220="","",IF(INDEX(Journal!$D$5:$D$1504,$B220)=$C$4,INDEX(Journal!$M$5:$M$1504,$B220),0))</f>
        <v/>
      </c>
      <c r="H220" s="56" t="str">
        <f aca="false">IF($B220="","",IF(INDEX(Journal!$E$5:$E$1504,$B220)=$C$4,INDEX(Journal!$N$5:$N$1504,$B220),0))</f>
        <v/>
      </c>
      <c r="I220" s="56" t="str">
        <f aca="false">IF($B220="","",IF(OR($G$4="Aktiv",$G$4="Aufwand"),I219+G220-H220,I219+H220-G220))</f>
        <v/>
      </c>
    </row>
    <row r="221" customFormat="false" ht="15" hidden="false" customHeight="false" outlineLevel="0" collapsed="false">
      <c r="A221" s="54" t="n">
        <v>214</v>
      </c>
      <c r="B221" s="54" t="str">
        <f aca="false">IFERROR(MATCH(A221,Journal!$W$5:$W$1504,0),"")</f>
        <v/>
      </c>
      <c r="C221" s="55" t="str">
        <f aca="false">IF($B221="","",INDEX(Journal!$A$5:$A$1504,$B221))</f>
        <v/>
      </c>
      <c r="D221" s="54" t="str">
        <f aca="false">IF($B221="","",INDEX(Journal!$B$5:$B$1504,$B221))</f>
        <v/>
      </c>
      <c r="E221" s="54" t="str">
        <f aca="false">IF($B221="","",INDEX(Journal!$C$5:$C$1504,$B221))</f>
        <v/>
      </c>
      <c r="F221" s="54" t="str">
        <f aca="false">IF($B221="","",IF(INDEX(Journal!$D$5:$D$1504,$B221)=$C$4,INDEX(Journal!$E$5:$E$1504,$B221),INDEX(Journal!$D$5:$D$1504,$B221)))</f>
        <v/>
      </c>
      <c r="G221" s="56" t="str">
        <f aca="false">IF($B221="","",IF(INDEX(Journal!$D$5:$D$1504,$B221)=$C$4,INDEX(Journal!$M$5:$M$1504,$B221),0))</f>
        <v/>
      </c>
      <c r="H221" s="56" t="str">
        <f aca="false">IF($B221="","",IF(INDEX(Journal!$E$5:$E$1504,$B221)=$C$4,INDEX(Journal!$N$5:$N$1504,$B221),0))</f>
        <v/>
      </c>
      <c r="I221" s="56" t="str">
        <f aca="false">IF($B221="","",IF(OR($G$4="Aktiv",$G$4="Aufwand"),I220+G221-H221,I220+H221-G221))</f>
        <v/>
      </c>
    </row>
    <row r="222" customFormat="false" ht="15" hidden="false" customHeight="false" outlineLevel="0" collapsed="false">
      <c r="A222" s="54" t="n">
        <v>215</v>
      </c>
      <c r="B222" s="54" t="str">
        <f aca="false">IFERROR(MATCH(A222,Journal!$W$5:$W$1504,0),"")</f>
        <v/>
      </c>
      <c r="C222" s="55" t="str">
        <f aca="false">IF($B222="","",INDEX(Journal!$A$5:$A$1504,$B222))</f>
        <v/>
      </c>
      <c r="D222" s="54" t="str">
        <f aca="false">IF($B222="","",INDEX(Journal!$B$5:$B$1504,$B222))</f>
        <v/>
      </c>
      <c r="E222" s="54" t="str">
        <f aca="false">IF($B222="","",INDEX(Journal!$C$5:$C$1504,$B222))</f>
        <v/>
      </c>
      <c r="F222" s="54" t="str">
        <f aca="false">IF($B222="","",IF(INDEX(Journal!$D$5:$D$1504,$B222)=$C$4,INDEX(Journal!$E$5:$E$1504,$B222),INDEX(Journal!$D$5:$D$1504,$B222)))</f>
        <v/>
      </c>
      <c r="G222" s="56" t="str">
        <f aca="false">IF($B222="","",IF(INDEX(Journal!$D$5:$D$1504,$B222)=$C$4,INDEX(Journal!$M$5:$M$1504,$B222),0))</f>
        <v/>
      </c>
      <c r="H222" s="56" t="str">
        <f aca="false">IF($B222="","",IF(INDEX(Journal!$E$5:$E$1504,$B222)=$C$4,INDEX(Journal!$N$5:$N$1504,$B222),0))</f>
        <v/>
      </c>
      <c r="I222" s="56" t="str">
        <f aca="false">IF($B222="","",IF(OR($G$4="Aktiv",$G$4="Aufwand"),I221+G222-H222,I221+H222-G222))</f>
        <v/>
      </c>
    </row>
    <row r="223" customFormat="false" ht="15" hidden="false" customHeight="false" outlineLevel="0" collapsed="false">
      <c r="A223" s="54" t="n">
        <v>216</v>
      </c>
      <c r="B223" s="54" t="str">
        <f aca="false">IFERROR(MATCH(A223,Journal!$W$5:$W$1504,0),"")</f>
        <v/>
      </c>
      <c r="C223" s="55" t="str">
        <f aca="false">IF($B223="","",INDEX(Journal!$A$5:$A$1504,$B223))</f>
        <v/>
      </c>
      <c r="D223" s="54" t="str">
        <f aca="false">IF($B223="","",INDEX(Journal!$B$5:$B$1504,$B223))</f>
        <v/>
      </c>
      <c r="E223" s="54" t="str">
        <f aca="false">IF($B223="","",INDEX(Journal!$C$5:$C$1504,$B223))</f>
        <v/>
      </c>
      <c r="F223" s="54" t="str">
        <f aca="false">IF($B223="","",IF(INDEX(Journal!$D$5:$D$1504,$B223)=$C$4,INDEX(Journal!$E$5:$E$1504,$B223),INDEX(Journal!$D$5:$D$1504,$B223)))</f>
        <v/>
      </c>
      <c r="G223" s="56" t="str">
        <f aca="false">IF($B223="","",IF(INDEX(Journal!$D$5:$D$1504,$B223)=$C$4,INDEX(Journal!$M$5:$M$1504,$B223),0))</f>
        <v/>
      </c>
      <c r="H223" s="56" t="str">
        <f aca="false">IF($B223="","",IF(INDEX(Journal!$E$5:$E$1504,$B223)=$C$4,INDEX(Journal!$N$5:$N$1504,$B223),0))</f>
        <v/>
      </c>
      <c r="I223" s="56" t="str">
        <f aca="false">IF($B223="","",IF(OR($G$4="Aktiv",$G$4="Aufwand"),I222+G223-H223,I222+H223-G223))</f>
        <v/>
      </c>
    </row>
    <row r="224" customFormat="false" ht="15" hidden="false" customHeight="false" outlineLevel="0" collapsed="false">
      <c r="A224" s="54" t="n">
        <v>217</v>
      </c>
      <c r="B224" s="54" t="str">
        <f aca="false">IFERROR(MATCH(A224,Journal!$W$5:$W$1504,0),"")</f>
        <v/>
      </c>
      <c r="C224" s="55" t="str">
        <f aca="false">IF($B224="","",INDEX(Journal!$A$5:$A$1504,$B224))</f>
        <v/>
      </c>
      <c r="D224" s="54" t="str">
        <f aca="false">IF($B224="","",INDEX(Journal!$B$5:$B$1504,$B224))</f>
        <v/>
      </c>
      <c r="E224" s="54" t="str">
        <f aca="false">IF($B224="","",INDEX(Journal!$C$5:$C$1504,$B224))</f>
        <v/>
      </c>
      <c r="F224" s="54" t="str">
        <f aca="false">IF($B224="","",IF(INDEX(Journal!$D$5:$D$1504,$B224)=$C$4,INDEX(Journal!$E$5:$E$1504,$B224),INDEX(Journal!$D$5:$D$1504,$B224)))</f>
        <v/>
      </c>
      <c r="G224" s="56" t="str">
        <f aca="false">IF($B224="","",IF(INDEX(Journal!$D$5:$D$1504,$B224)=$C$4,INDEX(Journal!$M$5:$M$1504,$B224),0))</f>
        <v/>
      </c>
      <c r="H224" s="56" t="str">
        <f aca="false">IF($B224="","",IF(INDEX(Journal!$E$5:$E$1504,$B224)=$C$4,INDEX(Journal!$N$5:$N$1504,$B224),0))</f>
        <v/>
      </c>
      <c r="I224" s="56" t="str">
        <f aca="false">IF($B224="","",IF(OR($G$4="Aktiv",$G$4="Aufwand"),I223+G224-H224,I223+H224-G224))</f>
        <v/>
      </c>
    </row>
    <row r="225" customFormat="false" ht="15" hidden="false" customHeight="false" outlineLevel="0" collapsed="false">
      <c r="A225" s="54" t="n">
        <v>218</v>
      </c>
      <c r="B225" s="54" t="str">
        <f aca="false">IFERROR(MATCH(A225,Journal!$W$5:$W$1504,0),"")</f>
        <v/>
      </c>
      <c r="C225" s="55" t="str">
        <f aca="false">IF($B225="","",INDEX(Journal!$A$5:$A$1504,$B225))</f>
        <v/>
      </c>
      <c r="D225" s="54" t="str">
        <f aca="false">IF($B225="","",INDEX(Journal!$B$5:$B$1504,$B225))</f>
        <v/>
      </c>
      <c r="E225" s="54" t="str">
        <f aca="false">IF($B225="","",INDEX(Journal!$C$5:$C$1504,$B225))</f>
        <v/>
      </c>
      <c r="F225" s="54" t="str">
        <f aca="false">IF($B225="","",IF(INDEX(Journal!$D$5:$D$1504,$B225)=$C$4,INDEX(Journal!$E$5:$E$1504,$B225),INDEX(Journal!$D$5:$D$1504,$B225)))</f>
        <v/>
      </c>
      <c r="G225" s="56" t="str">
        <f aca="false">IF($B225="","",IF(INDEX(Journal!$D$5:$D$1504,$B225)=$C$4,INDEX(Journal!$M$5:$M$1504,$B225),0))</f>
        <v/>
      </c>
      <c r="H225" s="56" t="str">
        <f aca="false">IF($B225="","",IF(INDEX(Journal!$E$5:$E$1504,$B225)=$C$4,INDEX(Journal!$N$5:$N$1504,$B225),0))</f>
        <v/>
      </c>
      <c r="I225" s="56" t="str">
        <f aca="false">IF($B225="","",IF(OR($G$4="Aktiv",$G$4="Aufwand"),I224+G225-H225,I224+H225-G225))</f>
        <v/>
      </c>
    </row>
    <row r="226" customFormat="false" ht="15" hidden="false" customHeight="false" outlineLevel="0" collapsed="false">
      <c r="A226" s="54" t="n">
        <v>219</v>
      </c>
      <c r="B226" s="54" t="str">
        <f aca="false">IFERROR(MATCH(A226,Journal!$W$5:$W$1504,0),"")</f>
        <v/>
      </c>
      <c r="C226" s="55" t="str">
        <f aca="false">IF($B226="","",INDEX(Journal!$A$5:$A$1504,$B226))</f>
        <v/>
      </c>
      <c r="D226" s="54" t="str">
        <f aca="false">IF($B226="","",INDEX(Journal!$B$5:$B$1504,$B226))</f>
        <v/>
      </c>
      <c r="E226" s="54" t="str">
        <f aca="false">IF($B226="","",INDEX(Journal!$C$5:$C$1504,$B226))</f>
        <v/>
      </c>
      <c r="F226" s="54" t="str">
        <f aca="false">IF($B226="","",IF(INDEX(Journal!$D$5:$D$1504,$B226)=$C$4,INDEX(Journal!$E$5:$E$1504,$B226),INDEX(Journal!$D$5:$D$1504,$B226)))</f>
        <v/>
      </c>
      <c r="G226" s="56" t="str">
        <f aca="false">IF($B226="","",IF(INDEX(Journal!$D$5:$D$1504,$B226)=$C$4,INDEX(Journal!$M$5:$M$1504,$B226),0))</f>
        <v/>
      </c>
      <c r="H226" s="56" t="str">
        <f aca="false">IF($B226="","",IF(INDEX(Journal!$E$5:$E$1504,$B226)=$C$4,INDEX(Journal!$N$5:$N$1504,$B226),0))</f>
        <v/>
      </c>
      <c r="I226" s="56" t="str">
        <f aca="false">IF($B226="","",IF(OR($G$4="Aktiv",$G$4="Aufwand"),I225+G226-H226,I225+H226-G226))</f>
        <v/>
      </c>
    </row>
    <row r="227" customFormat="false" ht="15" hidden="false" customHeight="false" outlineLevel="0" collapsed="false">
      <c r="A227" s="54" t="n">
        <v>220</v>
      </c>
      <c r="B227" s="54" t="str">
        <f aca="false">IFERROR(MATCH(A227,Journal!$W$5:$W$1504,0),"")</f>
        <v/>
      </c>
      <c r="C227" s="55" t="str">
        <f aca="false">IF($B227="","",INDEX(Journal!$A$5:$A$1504,$B227))</f>
        <v/>
      </c>
      <c r="D227" s="54" t="str">
        <f aca="false">IF($B227="","",INDEX(Journal!$B$5:$B$1504,$B227))</f>
        <v/>
      </c>
      <c r="E227" s="54" t="str">
        <f aca="false">IF($B227="","",INDEX(Journal!$C$5:$C$1504,$B227))</f>
        <v/>
      </c>
      <c r="F227" s="54" t="str">
        <f aca="false">IF($B227="","",IF(INDEX(Journal!$D$5:$D$1504,$B227)=$C$4,INDEX(Journal!$E$5:$E$1504,$B227),INDEX(Journal!$D$5:$D$1504,$B227)))</f>
        <v/>
      </c>
      <c r="G227" s="56" t="str">
        <f aca="false">IF($B227="","",IF(INDEX(Journal!$D$5:$D$1504,$B227)=$C$4,INDEX(Journal!$M$5:$M$1504,$B227),0))</f>
        <v/>
      </c>
      <c r="H227" s="56" t="str">
        <f aca="false">IF($B227="","",IF(INDEX(Journal!$E$5:$E$1504,$B227)=$C$4,INDEX(Journal!$N$5:$N$1504,$B227),0))</f>
        <v/>
      </c>
      <c r="I227" s="56" t="str">
        <f aca="false">IF($B227="","",IF(OR($G$4="Aktiv",$G$4="Aufwand"),I226+G227-H227,I226+H227-G227))</f>
        <v/>
      </c>
    </row>
    <row r="228" customFormat="false" ht="15" hidden="false" customHeight="false" outlineLevel="0" collapsed="false">
      <c r="A228" s="54" t="n">
        <v>221</v>
      </c>
      <c r="B228" s="54" t="str">
        <f aca="false">IFERROR(MATCH(A228,Journal!$W$5:$W$1504,0),"")</f>
        <v/>
      </c>
      <c r="C228" s="55" t="str">
        <f aca="false">IF($B228="","",INDEX(Journal!$A$5:$A$1504,$B228))</f>
        <v/>
      </c>
      <c r="D228" s="54" t="str">
        <f aca="false">IF($B228="","",INDEX(Journal!$B$5:$B$1504,$B228))</f>
        <v/>
      </c>
      <c r="E228" s="54" t="str">
        <f aca="false">IF($B228="","",INDEX(Journal!$C$5:$C$1504,$B228))</f>
        <v/>
      </c>
      <c r="F228" s="54" t="str">
        <f aca="false">IF($B228="","",IF(INDEX(Journal!$D$5:$D$1504,$B228)=$C$4,INDEX(Journal!$E$5:$E$1504,$B228),INDEX(Journal!$D$5:$D$1504,$B228)))</f>
        <v/>
      </c>
      <c r="G228" s="56" t="str">
        <f aca="false">IF($B228="","",IF(INDEX(Journal!$D$5:$D$1504,$B228)=$C$4,INDEX(Journal!$M$5:$M$1504,$B228),0))</f>
        <v/>
      </c>
      <c r="H228" s="56" t="str">
        <f aca="false">IF($B228="","",IF(INDEX(Journal!$E$5:$E$1504,$B228)=$C$4,INDEX(Journal!$N$5:$N$1504,$B228),0))</f>
        <v/>
      </c>
      <c r="I228" s="56" t="str">
        <f aca="false">IF($B228="","",IF(OR($G$4="Aktiv",$G$4="Aufwand"),I227+G228-H228,I227+H228-G228))</f>
        <v/>
      </c>
    </row>
    <row r="229" customFormat="false" ht="15" hidden="false" customHeight="false" outlineLevel="0" collapsed="false">
      <c r="A229" s="54" t="n">
        <v>222</v>
      </c>
      <c r="B229" s="54" t="str">
        <f aca="false">IFERROR(MATCH(A229,Journal!$W$5:$W$1504,0),"")</f>
        <v/>
      </c>
      <c r="C229" s="55" t="str">
        <f aca="false">IF($B229="","",INDEX(Journal!$A$5:$A$1504,$B229))</f>
        <v/>
      </c>
      <c r="D229" s="54" t="str">
        <f aca="false">IF($B229="","",INDEX(Journal!$B$5:$B$1504,$B229))</f>
        <v/>
      </c>
      <c r="E229" s="54" t="str">
        <f aca="false">IF($B229="","",INDEX(Journal!$C$5:$C$1504,$B229))</f>
        <v/>
      </c>
      <c r="F229" s="54" t="str">
        <f aca="false">IF($B229="","",IF(INDEX(Journal!$D$5:$D$1504,$B229)=$C$4,INDEX(Journal!$E$5:$E$1504,$B229),INDEX(Journal!$D$5:$D$1504,$B229)))</f>
        <v/>
      </c>
      <c r="G229" s="56" t="str">
        <f aca="false">IF($B229="","",IF(INDEX(Journal!$D$5:$D$1504,$B229)=$C$4,INDEX(Journal!$M$5:$M$1504,$B229),0))</f>
        <v/>
      </c>
      <c r="H229" s="56" t="str">
        <f aca="false">IF($B229="","",IF(INDEX(Journal!$E$5:$E$1504,$B229)=$C$4,INDEX(Journal!$N$5:$N$1504,$B229),0))</f>
        <v/>
      </c>
      <c r="I229" s="56" t="str">
        <f aca="false">IF($B229="","",IF(OR($G$4="Aktiv",$G$4="Aufwand"),I228+G229-H229,I228+H229-G229))</f>
        <v/>
      </c>
    </row>
    <row r="230" customFormat="false" ht="15" hidden="false" customHeight="false" outlineLevel="0" collapsed="false">
      <c r="A230" s="54" t="n">
        <v>223</v>
      </c>
      <c r="B230" s="54" t="str">
        <f aca="false">IFERROR(MATCH(A230,Journal!$W$5:$W$1504,0),"")</f>
        <v/>
      </c>
      <c r="C230" s="55" t="str">
        <f aca="false">IF($B230="","",INDEX(Journal!$A$5:$A$1504,$B230))</f>
        <v/>
      </c>
      <c r="D230" s="54" t="str">
        <f aca="false">IF($B230="","",INDEX(Journal!$B$5:$B$1504,$B230))</f>
        <v/>
      </c>
      <c r="E230" s="54" t="str">
        <f aca="false">IF($B230="","",INDEX(Journal!$C$5:$C$1504,$B230))</f>
        <v/>
      </c>
      <c r="F230" s="54" t="str">
        <f aca="false">IF($B230="","",IF(INDEX(Journal!$D$5:$D$1504,$B230)=$C$4,INDEX(Journal!$E$5:$E$1504,$B230),INDEX(Journal!$D$5:$D$1504,$B230)))</f>
        <v/>
      </c>
      <c r="G230" s="56" t="str">
        <f aca="false">IF($B230="","",IF(INDEX(Journal!$D$5:$D$1504,$B230)=$C$4,INDEX(Journal!$M$5:$M$1504,$B230),0))</f>
        <v/>
      </c>
      <c r="H230" s="56" t="str">
        <f aca="false">IF($B230="","",IF(INDEX(Journal!$E$5:$E$1504,$B230)=$C$4,INDEX(Journal!$N$5:$N$1504,$B230),0))</f>
        <v/>
      </c>
      <c r="I230" s="56" t="str">
        <f aca="false">IF($B230="","",IF(OR($G$4="Aktiv",$G$4="Aufwand"),I229+G230-H230,I229+H230-G230))</f>
        <v/>
      </c>
    </row>
    <row r="231" customFormat="false" ht="15" hidden="false" customHeight="false" outlineLevel="0" collapsed="false">
      <c r="A231" s="54" t="n">
        <v>224</v>
      </c>
      <c r="B231" s="54" t="str">
        <f aca="false">IFERROR(MATCH(A231,Journal!$W$5:$W$1504,0),"")</f>
        <v/>
      </c>
      <c r="C231" s="55" t="str">
        <f aca="false">IF($B231="","",INDEX(Journal!$A$5:$A$1504,$B231))</f>
        <v/>
      </c>
      <c r="D231" s="54" t="str">
        <f aca="false">IF($B231="","",INDEX(Journal!$B$5:$B$1504,$B231))</f>
        <v/>
      </c>
      <c r="E231" s="54" t="str">
        <f aca="false">IF($B231="","",INDEX(Journal!$C$5:$C$1504,$B231))</f>
        <v/>
      </c>
      <c r="F231" s="54" t="str">
        <f aca="false">IF($B231="","",IF(INDEX(Journal!$D$5:$D$1504,$B231)=$C$4,INDEX(Journal!$E$5:$E$1504,$B231),INDEX(Journal!$D$5:$D$1504,$B231)))</f>
        <v/>
      </c>
      <c r="G231" s="56" t="str">
        <f aca="false">IF($B231="","",IF(INDEX(Journal!$D$5:$D$1504,$B231)=$C$4,INDEX(Journal!$M$5:$M$1504,$B231),0))</f>
        <v/>
      </c>
      <c r="H231" s="56" t="str">
        <f aca="false">IF($B231="","",IF(INDEX(Journal!$E$5:$E$1504,$B231)=$C$4,INDEX(Journal!$N$5:$N$1504,$B231),0))</f>
        <v/>
      </c>
      <c r="I231" s="56" t="str">
        <f aca="false">IF($B231="","",IF(OR($G$4="Aktiv",$G$4="Aufwand"),I230+G231-H231,I230+H231-G231))</f>
        <v/>
      </c>
    </row>
    <row r="232" customFormat="false" ht="15" hidden="false" customHeight="false" outlineLevel="0" collapsed="false">
      <c r="A232" s="54" t="n">
        <v>225</v>
      </c>
      <c r="B232" s="54" t="str">
        <f aca="false">IFERROR(MATCH(A232,Journal!$W$5:$W$1504,0),"")</f>
        <v/>
      </c>
      <c r="C232" s="55" t="str">
        <f aca="false">IF($B232="","",INDEX(Journal!$A$5:$A$1504,$B232))</f>
        <v/>
      </c>
      <c r="D232" s="54" t="str">
        <f aca="false">IF($B232="","",INDEX(Journal!$B$5:$B$1504,$B232))</f>
        <v/>
      </c>
      <c r="E232" s="54" t="str">
        <f aca="false">IF($B232="","",INDEX(Journal!$C$5:$C$1504,$B232))</f>
        <v/>
      </c>
      <c r="F232" s="54" t="str">
        <f aca="false">IF($B232="","",IF(INDEX(Journal!$D$5:$D$1504,$B232)=$C$4,INDEX(Journal!$E$5:$E$1504,$B232),INDEX(Journal!$D$5:$D$1504,$B232)))</f>
        <v/>
      </c>
      <c r="G232" s="56" t="str">
        <f aca="false">IF($B232="","",IF(INDEX(Journal!$D$5:$D$1504,$B232)=$C$4,INDEX(Journal!$M$5:$M$1504,$B232),0))</f>
        <v/>
      </c>
      <c r="H232" s="56" t="str">
        <f aca="false">IF($B232="","",IF(INDEX(Journal!$E$5:$E$1504,$B232)=$C$4,INDEX(Journal!$N$5:$N$1504,$B232),0))</f>
        <v/>
      </c>
      <c r="I232" s="56" t="str">
        <f aca="false">IF($B232="","",IF(OR($G$4="Aktiv",$G$4="Aufwand"),I231+G232-H232,I231+H232-G232))</f>
        <v/>
      </c>
    </row>
    <row r="233" customFormat="false" ht="15" hidden="false" customHeight="false" outlineLevel="0" collapsed="false">
      <c r="A233" s="54" t="n">
        <v>226</v>
      </c>
      <c r="B233" s="54" t="str">
        <f aca="false">IFERROR(MATCH(A233,Journal!$W$5:$W$1504,0),"")</f>
        <v/>
      </c>
      <c r="C233" s="55" t="str">
        <f aca="false">IF($B233="","",INDEX(Journal!$A$5:$A$1504,$B233))</f>
        <v/>
      </c>
      <c r="D233" s="54" t="str">
        <f aca="false">IF($B233="","",INDEX(Journal!$B$5:$B$1504,$B233))</f>
        <v/>
      </c>
      <c r="E233" s="54" t="str">
        <f aca="false">IF($B233="","",INDEX(Journal!$C$5:$C$1504,$B233))</f>
        <v/>
      </c>
      <c r="F233" s="54" t="str">
        <f aca="false">IF($B233="","",IF(INDEX(Journal!$D$5:$D$1504,$B233)=$C$4,INDEX(Journal!$E$5:$E$1504,$B233),INDEX(Journal!$D$5:$D$1504,$B233)))</f>
        <v/>
      </c>
      <c r="G233" s="56" t="str">
        <f aca="false">IF($B233="","",IF(INDEX(Journal!$D$5:$D$1504,$B233)=$C$4,INDEX(Journal!$M$5:$M$1504,$B233),0))</f>
        <v/>
      </c>
      <c r="H233" s="56" t="str">
        <f aca="false">IF($B233="","",IF(INDEX(Journal!$E$5:$E$1504,$B233)=$C$4,INDEX(Journal!$N$5:$N$1504,$B233),0))</f>
        <v/>
      </c>
      <c r="I233" s="56" t="str">
        <f aca="false">IF($B233="","",IF(OR($G$4="Aktiv",$G$4="Aufwand"),I232+G233-H233,I232+H233-G233))</f>
        <v/>
      </c>
    </row>
    <row r="234" customFormat="false" ht="15" hidden="false" customHeight="false" outlineLevel="0" collapsed="false">
      <c r="A234" s="54" t="n">
        <v>227</v>
      </c>
      <c r="B234" s="54" t="str">
        <f aca="false">IFERROR(MATCH(A234,Journal!$W$5:$W$1504,0),"")</f>
        <v/>
      </c>
      <c r="C234" s="55" t="str">
        <f aca="false">IF($B234="","",INDEX(Journal!$A$5:$A$1504,$B234))</f>
        <v/>
      </c>
      <c r="D234" s="54" t="str">
        <f aca="false">IF($B234="","",INDEX(Journal!$B$5:$B$1504,$B234))</f>
        <v/>
      </c>
      <c r="E234" s="54" t="str">
        <f aca="false">IF($B234="","",INDEX(Journal!$C$5:$C$1504,$B234))</f>
        <v/>
      </c>
      <c r="F234" s="54" t="str">
        <f aca="false">IF($B234="","",IF(INDEX(Journal!$D$5:$D$1504,$B234)=$C$4,INDEX(Journal!$E$5:$E$1504,$B234),INDEX(Journal!$D$5:$D$1504,$B234)))</f>
        <v/>
      </c>
      <c r="G234" s="56" t="str">
        <f aca="false">IF($B234="","",IF(INDEX(Journal!$D$5:$D$1504,$B234)=$C$4,INDEX(Journal!$M$5:$M$1504,$B234),0))</f>
        <v/>
      </c>
      <c r="H234" s="56" t="str">
        <f aca="false">IF($B234="","",IF(INDEX(Journal!$E$5:$E$1504,$B234)=$C$4,INDEX(Journal!$N$5:$N$1504,$B234),0))</f>
        <v/>
      </c>
      <c r="I234" s="56" t="str">
        <f aca="false">IF($B234="","",IF(OR($G$4="Aktiv",$G$4="Aufwand"),I233+G234-H234,I233+H234-G234))</f>
        <v/>
      </c>
    </row>
    <row r="235" customFormat="false" ht="15" hidden="false" customHeight="false" outlineLevel="0" collapsed="false">
      <c r="A235" s="54" t="n">
        <v>228</v>
      </c>
      <c r="B235" s="54" t="str">
        <f aca="false">IFERROR(MATCH(A235,Journal!$W$5:$W$1504,0),"")</f>
        <v/>
      </c>
      <c r="C235" s="55" t="str">
        <f aca="false">IF($B235="","",INDEX(Journal!$A$5:$A$1504,$B235))</f>
        <v/>
      </c>
      <c r="D235" s="54" t="str">
        <f aca="false">IF($B235="","",INDEX(Journal!$B$5:$B$1504,$B235))</f>
        <v/>
      </c>
      <c r="E235" s="54" t="str">
        <f aca="false">IF($B235="","",INDEX(Journal!$C$5:$C$1504,$B235))</f>
        <v/>
      </c>
      <c r="F235" s="54" t="str">
        <f aca="false">IF($B235="","",IF(INDEX(Journal!$D$5:$D$1504,$B235)=$C$4,INDEX(Journal!$E$5:$E$1504,$B235),INDEX(Journal!$D$5:$D$1504,$B235)))</f>
        <v/>
      </c>
      <c r="G235" s="56" t="str">
        <f aca="false">IF($B235="","",IF(INDEX(Journal!$D$5:$D$1504,$B235)=$C$4,INDEX(Journal!$M$5:$M$1504,$B235),0))</f>
        <v/>
      </c>
      <c r="H235" s="56" t="str">
        <f aca="false">IF($B235="","",IF(INDEX(Journal!$E$5:$E$1504,$B235)=$C$4,INDEX(Journal!$N$5:$N$1504,$B235),0))</f>
        <v/>
      </c>
      <c r="I235" s="56" t="str">
        <f aca="false">IF($B235="","",IF(OR($G$4="Aktiv",$G$4="Aufwand"),I234+G235-H235,I234+H235-G235))</f>
        <v/>
      </c>
    </row>
    <row r="236" customFormat="false" ht="15" hidden="false" customHeight="false" outlineLevel="0" collapsed="false">
      <c r="A236" s="54" t="n">
        <v>229</v>
      </c>
      <c r="B236" s="54" t="str">
        <f aca="false">IFERROR(MATCH(A236,Journal!$W$5:$W$1504,0),"")</f>
        <v/>
      </c>
      <c r="C236" s="55" t="str">
        <f aca="false">IF($B236="","",INDEX(Journal!$A$5:$A$1504,$B236))</f>
        <v/>
      </c>
      <c r="D236" s="54" t="str">
        <f aca="false">IF($B236="","",INDEX(Journal!$B$5:$B$1504,$B236))</f>
        <v/>
      </c>
      <c r="E236" s="54" t="str">
        <f aca="false">IF($B236="","",INDEX(Journal!$C$5:$C$1504,$B236))</f>
        <v/>
      </c>
      <c r="F236" s="54" t="str">
        <f aca="false">IF($B236="","",IF(INDEX(Journal!$D$5:$D$1504,$B236)=$C$4,INDEX(Journal!$E$5:$E$1504,$B236),INDEX(Journal!$D$5:$D$1504,$B236)))</f>
        <v/>
      </c>
      <c r="G236" s="56" t="str">
        <f aca="false">IF($B236="","",IF(INDEX(Journal!$D$5:$D$1504,$B236)=$C$4,INDEX(Journal!$M$5:$M$1504,$B236),0))</f>
        <v/>
      </c>
      <c r="H236" s="56" t="str">
        <f aca="false">IF($B236="","",IF(INDEX(Journal!$E$5:$E$1504,$B236)=$C$4,INDEX(Journal!$N$5:$N$1504,$B236),0))</f>
        <v/>
      </c>
      <c r="I236" s="56" t="str">
        <f aca="false">IF($B236="","",IF(OR($G$4="Aktiv",$G$4="Aufwand"),I235+G236-H236,I235+H236-G236))</f>
        <v/>
      </c>
    </row>
    <row r="237" customFormat="false" ht="15" hidden="false" customHeight="false" outlineLevel="0" collapsed="false">
      <c r="A237" s="54" t="n">
        <v>230</v>
      </c>
      <c r="B237" s="54" t="str">
        <f aca="false">IFERROR(MATCH(A237,Journal!$W$5:$W$1504,0),"")</f>
        <v/>
      </c>
      <c r="C237" s="55" t="str">
        <f aca="false">IF($B237="","",INDEX(Journal!$A$5:$A$1504,$B237))</f>
        <v/>
      </c>
      <c r="D237" s="54" t="str">
        <f aca="false">IF($B237="","",INDEX(Journal!$B$5:$B$1504,$B237))</f>
        <v/>
      </c>
      <c r="E237" s="54" t="str">
        <f aca="false">IF($B237="","",INDEX(Journal!$C$5:$C$1504,$B237))</f>
        <v/>
      </c>
      <c r="F237" s="54" t="str">
        <f aca="false">IF($B237="","",IF(INDEX(Journal!$D$5:$D$1504,$B237)=$C$4,INDEX(Journal!$E$5:$E$1504,$B237),INDEX(Journal!$D$5:$D$1504,$B237)))</f>
        <v/>
      </c>
      <c r="G237" s="56" t="str">
        <f aca="false">IF($B237="","",IF(INDEX(Journal!$D$5:$D$1504,$B237)=$C$4,INDEX(Journal!$M$5:$M$1504,$B237),0))</f>
        <v/>
      </c>
      <c r="H237" s="56" t="str">
        <f aca="false">IF($B237="","",IF(INDEX(Journal!$E$5:$E$1504,$B237)=$C$4,INDEX(Journal!$N$5:$N$1504,$B237),0))</f>
        <v/>
      </c>
      <c r="I237" s="56" t="str">
        <f aca="false">IF($B237="","",IF(OR($G$4="Aktiv",$G$4="Aufwand"),I236+G237-H237,I236+H237-G237))</f>
        <v/>
      </c>
    </row>
    <row r="238" customFormat="false" ht="15" hidden="false" customHeight="false" outlineLevel="0" collapsed="false">
      <c r="A238" s="54" t="n">
        <v>231</v>
      </c>
      <c r="B238" s="54" t="str">
        <f aca="false">IFERROR(MATCH(A238,Journal!$W$5:$W$1504,0),"")</f>
        <v/>
      </c>
      <c r="C238" s="55" t="str">
        <f aca="false">IF($B238="","",INDEX(Journal!$A$5:$A$1504,$B238))</f>
        <v/>
      </c>
      <c r="D238" s="54" t="str">
        <f aca="false">IF($B238="","",INDEX(Journal!$B$5:$B$1504,$B238))</f>
        <v/>
      </c>
      <c r="E238" s="54" t="str">
        <f aca="false">IF($B238="","",INDEX(Journal!$C$5:$C$1504,$B238))</f>
        <v/>
      </c>
      <c r="F238" s="54" t="str">
        <f aca="false">IF($B238="","",IF(INDEX(Journal!$D$5:$D$1504,$B238)=$C$4,INDEX(Journal!$E$5:$E$1504,$B238),INDEX(Journal!$D$5:$D$1504,$B238)))</f>
        <v/>
      </c>
      <c r="G238" s="56" t="str">
        <f aca="false">IF($B238="","",IF(INDEX(Journal!$D$5:$D$1504,$B238)=$C$4,INDEX(Journal!$M$5:$M$1504,$B238),0))</f>
        <v/>
      </c>
      <c r="H238" s="56" t="str">
        <f aca="false">IF($B238="","",IF(INDEX(Journal!$E$5:$E$1504,$B238)=$C$4,INDEX(Journal!$N$5:$N$1504,$B238),0))</f>
        <v/>
      </c>
      <c r="I238" s="56" t="str">
        <f aca="false">IF($B238="","",IF(OR($G$4="Aktiv",$G$4="Aufwand"),I237+G238-H238,I237+H238-G238))</f>
        <v/>
      </c>
    </row>
    <row r="239" customFormat="false" ht="15" hidden="false" customHeight="false" outlineLevel="0" collapsed="false">
      <c r="A239" s="54" t="n">
        <v>232</v>
      </c>
      <c r="B239" s="54" t="str">
        <f aca="false">IFERROR(MATCH(A239,Journal!$W$5:$W$1504,0),"")</f>
        <v/>
      </c>
      <c r="C239" s="55" t="str">
        <f aca="false">IF($B239="","",INDEX(Journal!$A$5:$A$1504,$B239))</f>
        <v/>
      </c>
      <c r="D239" s="54" t="str">
        <f aca="false">IF($B239="","",INDEX(Journal!$B$5:$B$1504,$B239))</f>
        <v/>
      </c>
      <c r="E239" s="54" t="str">
        <f aca="false">IF($B239="","",INDEX(Journal!$C$5:$C$1504,$B239))</f>
        <v/>
      </c>
      <c r="F239" s="54" t="str">
        <f aca="false">IF($B239="","",IF(INDEX(Journal!$D$5:$D$1504,$B239)=$C$4,INDEX(Journal!$E$5:$E$1504,$B239),INDEX(Journal!$D$5:$D$1504,$B239)))</f>
        <v/>
      </c>
      <c r="G239" s="56" t="str">
        <f aca="false">IF($B239="","",IF(INDEX(Journal!$D$5:$D$1504,$B239)=$C$4,INDEX(Journal!$M$5:$M$1504,$B239),0))</f>
        <v/>
      </c>
      <c r="H239" s="56" t="str">
        <f aca="false">IF($B239="","",IF(INDEX(Journal!$E$5:$E$1504,$B239)=$C$4,INDEX(Journal!$N$5:$N$1504,$B239),0))</f>
        <v/>
      </c>
      <c r="I239" s="56" t="str">
        <f aca="false">IF($B239="","",IF(OR($G$4="Aktiv",$G$4="Aufwand"),I238+G239-H239,I238+H239-G239))</f>
        <v/>
      </c>
    </row>
    <row r="240" customFormat="false" ht="15" hidden="false" customHeight="false" outlineLevel="0" collapsed="false">
      <c r="A240" s="54" t="n">
        <v>233</v>
      </c>
      <c r="B240" s="54" t="str">
        <f aca="false">IFERROR(MATCH(A240,Journal!$W$5:$W$1504,0),"")</f>
        <v/>
      </c>
      <c r="C240" s="55" t="str">
        <f aca="false">IF($B240="","",INDEX(Journal!$A$5:$A$1504,$B240))</f>
        <v/>
      </c>
      <c r="D240" s="54" t="str">
        <f aca="false">IF($B240="","",INDEX(Journal!$B$5:$B$1504,$B240))</f>
        <v/>
      </c>
      <c r="E240" s="54" t="str">
        <f aca="false">IF($B240="","",INDEX(Journal!$C$5:$C$1504,$B240))</f>
        <v/>
      </c>
      <c r="F240" s="54" t="str">
        <f aca="false">IF($B240="","",IF(INDEX(Journal!$D$5:$D$1504,$B240)=$C$4,INDEX(Journal!$E$5:$E$1504,$B240),INDEX(Journal!$D$5:$D$1504,$B240)))</f>
        <v/>
      </c>
      <c r="G240" s="56" t="str">
        <f aca="false">IF($B240="","",IF(INDEX(Journal!$D$5:$D$1504,$B240)=$C$4,INDEX(Journal!$M$5:$M$1504,$B240),0))</f>
        <v/>
      </c>
      <c r="H240" s="56" t="str">
        <f aca="false">IF($B240="","",IF(INDEX(Journal!$E$5:$E$1504,$B240)=$C$4,INDEX(Journal!$N$5:$N$1504,$B240),0))</f>
        <v/>
      </c>
      <c r="I240" s="56" t="str">
        <f aca="false">IF($B240="","",IF(OR($G$4="Aktiv",$G$4="Aufwand"),I239+G240-H240,I239+H240-G240))</f>
        <v/>
      </c>
    </row>
    <row r="241" customFormat="false" ht="15" hidden="false" customHeight="false" outlineLevel="0" collapsed="false">
      <c r="A241" s="54" t="n">
        <v>234</v>
      </c>
      <c r="B241" s="54" t="str">
        <f aca="false">IFERROR(MATCH(A241,Journal!$W$5:$W$1504,0),"")</f>
        <v/>
      </c>
      <c r="C241" s="55" t="str">
        <f aca="false">IF($B241="","",INDEX(Journal!$A$5:$A$1504,$B241))</f>
        <v/>
      </c>
      <c r="D241" s="54" t="str">
        <f aca="false">IF($B241="","",INDEX(Journal!$B$5:$B$1504,$B241))</f>
        <v/>
      </c>
      <c r="E241" s="54" t="str">
        <f aca="false">IF($B241="","",INDEX(Journal!$C$5:$C$1504,$B241))</f>
        <v/>
      </c>
      <c r="F241" s="54" t="str">
        <f aca="false">IF($B241="","",IF(INDEX(Journal!$D$5:$D$1504,$B241)=$C$4,INDEX(Journal!$E$5:$E$1504,$B241),INDEX(Journal!$D$5:$D$1504,$B241)))</f>
        <v/>
      </c>
      <c r="G241" s="56" t="str">
        <f aca="false">IF($B241="","",IF(INDEX(Journal!$D$5:$D$1504,$B241)=$C$4,INDEX(Journal!$M$5:$M$1504,$B241),0))</f>
        <v/>
      </c>
      <c r="H241" s="56" t="str">
        <f aca="false">IF($B241="","",IF(INDEX(Journal!$E$5:$E$1504,$B241)=$C$4,INDEX(Journal!$N$5:$N$1504,$B241),0))</f>
        <v/>
      </c>
      <c r="I241" s="56" t="str">
        <f aca="false">IF($B241="","",IF(OR($G$4="Aktiv",$G$4="Aufwand"),I240+G241-H241,I240+H241-G241))</f>
        <v/>
      </c>
    </row>
    <row r="242" customFormat="false" ht="15" hidden="false" customHeight="false" outlineLevel="0" collapsed="false">
      <c r="A242" s="54" t="n">
        <v>235</v>
      </c>
      <c r="B242" s="54" t="str">
        <f aca="false">IFERROR(MATCH(A242,Journal!$W$5:$W$1504,0),"")</f>
        <v/>
      </c>
      <c r="C242" s="55" t="str">
        <f aca="false">IF($B242="","",INDEX(Journal!$A$5:$A$1504,$B242))</f>
        <v/>
      </c>
      <c r="D242" s="54" t="str">
        <f aca="false">IF($B242="","",INDEX(Journal!$B$5:$B$1504,$B242))</f>
        <v/>
      </c>
      <c r="E242" s="54" t="str">
        <f aca="false">IF($B242="","",INDEX(Journal!$C$5:$C$1504,$B242))</f>
        <v/>
      </c>
      <c r="F242" s="54" t="str">
        <f aca="false">IF($B242="","",IF(INDEX(Journal!$D$5:$D$1504,$B242)=$C$4,INDEX(Journal!$E$5:$E$1504,$B242),INDEX(Journal!$D$5:$D$1504,$B242)))</f>
        <v/>
      </c>
      <c r="G242" s="56" t="str">
        <f aca="false">IF($B242="","",IF(INDEX(Journal!$D$5:$D$1504,$B242)=$C$4,INDEX(Journal!$M$5:$M$1504,$B242),0))</f>
        <v/>
      </c>
      <c r="H242" s="56" t="str">
        <f aca="false">IF($B242="","",IF(INDEX(Journal!$E$5:$E$1504,$B242)=$C$4,INDEX(Journal!$N$5:$N$1504,$B242),0))</f>
        <v/>
      </c>
      <c r="I242" s="56" t="str">
        <f aca="false">IF($B242="","",IF(OR($G$4="Aktiv",$G$4="Aufwand"),I241+G242-H242,I241+H242-G242))</f>
        <v/>
      </c>
    </row>
    <row r="243" customFormat="false" ht="15" hidden="false" customHeight="false" outlineLevel="0" collapsed="false">
      <c r="A243" s="54" t="n">
        <v>236</v>
      </c>
      <c r="B243" s="54" t="str">
        <f aca="false">IFERROR(MATCH(A243,Journal!$W$5:$W$1504,0),"")</f>
        <v/>
      </c>
      <c r="C243" s="55" t="str">
        <f aca="false">IF($B243="","",INDEX(Journal!$A$5:$A$1504,$B243))</f>
        <v/>
      </c>
      <c r="D243" s="54" t="str">
        <f aca="false">IF($B243="","",INDEX(Journal!$B$5:$B$1504,$B243))</f>
        <v/>
      </c>
      <c r="E243" s="54" t="str">
        <f aca="false">IF($B243="","",INDEX(Journal!$C$5:$C$1504,$B243))</f>
        <v/>
      </c>
      <c r="F243" s="54" t="str">
        <f aca="false">IF($B243="","",IF(INDEX(Journal!$D$5:$D$1504,$B243)=$C$4,INDEX(Journal!$E$5:$E$1504,$B243),INDEX(Journal!$D$5:$D$1504,$B243)))</f>
        <v/>
      </c>
      <c r="G243" s="56" t="str">
        <f aca="false">IF($B243="","",IF(INDEX(Journal!$D$5:$D$1504,$B243)=$C$4,INDEX(Journal!$M$5:$M$1504,$B243),0))</f>
        <v/>
      </c>
      <c r="H243" s="56" t="str">
        <f aca="false">IF($B243="","",IF(INDEX(Journal!$E$5:$E$1504,$B243)=$C$4,INDEX(Journal!$N$5:$N$1504,$B243),0))</f>
        <v/>
      </c>
      <c r="I243" s="56" t="str">
        <f aca="false">IF($B243="","",IF(OR($G$4="Aktiv",$G$4="Aufwand"),I242+G243-H243,I242+H243-G243))</f>
        <v/>
      </c>
    </row>
    <row r="244" customFormat="false" ht="15" hidden="false" customHeight="false" outlineLevel="0" collapsed="false">
      <c r="A244" s="54" t="n">
        <v>237</v>
      </c>
      <c r="B244" s="54" t="str">
        <f aca="false">IFERROR(MATCH(A244,Journal!$W$5:$W$1504,0),"")</f>
        <v/>
      </c>
      <c r="C244" s="55" t="str">
        <f aca="false">IF($B244="","",INDEX(Journal!$A$5:$A$1504,$B244))</f>
        <v/>
      </c>
      <c r="D244" s="54" t="str">
        <f aca="false">IF($B244="","",INDEX(Journal!$B$5:$B$1504,$B244))</f>
        <v/>
      </c>
      <c r="E244" s="54" t="str">
        <f aca="false">IF($B244="","",INDEX(Journal!$C$5:$C$1504,$B244))</f>
        <v/>
      </c>
      <c r="F244" s="54" t="str">
        <f aca="false">IF($B244="","",IF(INDEX(Journal!$D$5:$D$1504,$B244)=$C$4,INDEX(Journal!$E$5:$E$1504,$B244),INDEX(Journal!$D$5:$D$1504,$B244)))</f>
        <v/>
      </c>
      <c r="G244" s="56" t="str">
        <f aca="false">IF($B244="","",IF(INDEX(Journal!$D$5:$D$1504,$B244)=$C$4,INDEX(Journal!$M$5:$M$1504,$B244),0))</f>
        <v/>
      </c>
      <c r="H244" s="56" t="str">
        <f aca="false">IF($B244="","",IF(INDEX(Journal!$E$5:$E$1504,$B244)=$C$4,INDEX(Journal!$N$5:$N$1504,$B244),0))</f>
        <v/>
      </c>
      <c r="I244" s="56" t="str">
        <f aca="false">IF($B244="","",IF(OR($G$4="Aktiv",$G$4="Aufwand"),I243+G244-H244,I243+H244-G244))</f>
        <v/>
      </c>
    </row>
    <row r="245" customFormat="false" ht="15" hidden="false" customHeight="false" outlineLevel="0" collapsed="false">
      <c r="A245" s="54" t="n">
        <v>238</v>
      </c>
      <c r="B245" s="54" t="str">
        <f aca="false">IFERROR(MATCH(A245,Journal!$W$5:$W$1504,0),"")</f>
        <v/>
      </c>
      <c r="C245" s="55" t="str">
        <f aca="false">IF($B245="","",INDEX(Journal!$A$5:$A$1504,$B245))</f>
        <v/>
      </c>
      <c r="D245" s="54" t="str">
        <f aca="false">IF($B245="","",INDEX(Journal!$B$5:$B$1504,$B245))</f>
        <v/>
      </c>
      <c r="E245" s="54" t="str">
        <f aca="false">IF($B245="","",INDEX(Journal!$C$5:$C$1504,$B245))</f>
        <v/>
      </c>
      <c r="F245" s="54" t="str">
        <f aca="false">IF($B245="","",IF(INDEX(Journal!$D$5:$D$1504,$B245)=$C$4,INDEX(Journal!$E$5:$E$1504,$B245),INDEX(Journal!$D$5:$D$1504,$B245)))</f>
        <v/>
      </c>
      <c r="G245" s="56" t="str">
        <f aca="false">IF($B245="","",IF(INDEX(Journal!$D$5:$D$1504,$B245)=$C$4,INDEX(Journal!$M$5:$M$1504,$B245),0))</f>
        <v/>
      </c>
      <c r="H245" s="56" t="str">
        <f aca="false">IF($B245="","",IF(INDEX(Journal!$E$5:$E$1504,$B245)=$C$4,INDEX(Journal!$N$5:$N$1504,$B245),0))</f>
        <v/>
      </c>
      <c r="I245" s="56" t="str">
        <f aca="false">IF($B245="","",IF(OR($G$4="Aktiv",$G$4="Aufwand"),I244+G245-H245,I244+H245-G245))</f>
        <v/>
      </c>
    </row>
    <row r="246" customFormat="false" ht="15" hidden="false" customHeight="false" outlineLevel="0" collapsed="false">
      <c r="A246" s="54" t="n">
        <v>239</v>
      </c>
      <c r="B246" s="54" t="str">
        <f aca="false">IFERROR(MATCH(A246,Journal!$W$5:$W$1504,0),"")</f>
        <v/>
      </c>
      <c r="C246" s="55" t="str">
        <f aca="false">IF($B246="","",INDEX(Journal!$A$5:$A$1504,$B246))</f>
        <v/>
      </c>
      <c r="D246" s="54" t="str">
        <f aca="false">IF($B246="","",INDEX(Journal!$B$5:$B$1504,$B246))</f>
        <v/>
      </c>
      <c r="E246" s="54" t="str">
        <f aca="false">IF($B246="","",INDEX(Journal!$C$5:$C$1504,$B246))</f>
        <v/>
      </c>
      <c r="F246" s="54" t="str">
        <f aca="false">IF($B246="","",IF(INDEX(Journal!$D$5:$D$1504,$B246)=$C$4,INDEX(Journal!$E$5:$E$1504,$B246),INDEX(Journal!$D$5:$D$1504,$B246)))</f>
        <v/>
      </c>
      <c r="G246" s="56" t="str">
        <f aca="false">IF($B246="","",IF(INDEX(Journal!$D$5:$D$1504,$B246)=$C$4,INDEX(Journal!$M$5:$M$1504,$B246),0))</f>
        <v/>
      </c>
      <c r="H246" s="56" t="str">
        <f aca="false">IF($B246="","",IF(INDEX(Journal!$E$5:$E$1504,$B246)=$C$4,INDEX(Journal!$N$5:$N$1504,$B246),0))</f>
        <v/>
      </c>
      <c r="I246" s="56" t="str">
        <f aca="false">IF($B246="","",IF(OR($G$4="Aktiv",$G$4="Aufwand"),I245+G246-H246,I245+H246-G246))</f>
        <v/>
      </c>
    </row>
    <row r="247" customFormat="false" ht="15" hidden="false" customHeight="false" outlineLevel="0" collapsed="false">
      <c r="A247" s="54" t="n">
        <v>240</v>
      </c>
      <c r="B247" s="54" t="str">
        <f aca="false">IFERROR(MATCH(A247,Journal!$W$5:$W$1504,0),"")</f>
        <v/>
      </c>
      <c r="C247" s="55" t="str">
        <f aca="false">IF($B247="","",INDEX(Journal!$A$5:$A$1504,$B247))</f>
        <v/>
      </c>
      <c r="D247" s="54" t="str">
        <f aca="false">IF($B247="","",INDEX(Journal!$B$5:$B$1504,$B247))</f>
        <v/>
      </c>
      <c r="E247" s="54" t="str">
        <f aca="false">IF($B247="","",INDEX(Journal!$C$5:$C$1504,$B247))</f>
        <v/>
      </c>
      <c r="F247" s="54" t="str">
        <f aca="false">IF($B247="","",IF(INDEX(Journal!$D$5:$D$1504,$B247)=$C$4,INDEX(Journal!$E$5:$E$1504,$B247),INDEX(Journal!$D$5:$D$1504,$B247)))</f>
        <v/>
      </c>
      <c r="G247" s="56" t="str">
        <f aca="false">IF($B247="","",IF(INDEX(Journal!$D$5:$D$1504,$B247)=$C$4,INDEX(Journal!$M$5:$M$1504,$B247),0))</f>
        <v/>
      </c>
      <c r="H247" s="56" t="str">
        <f aca="false">IF($B247="","",IF(INDEX(Journal!$E$5:$E$1504,$B247)=$C$4,INDEX(Journal!$N$5:$N$1504,$B247),0))</f>
        <v/>
      </c>
      <c r="I247" s="56" t="str">
        <f aca="false">IF($B247="","",IF(OR($G$4="Aktiv",$G$4="Aufwand"),I246+G247-H247,I246+H247-G247))</f>
        <v/>
      </c>
    </row>
    <row r="248" customFormat="false" ht="15" hidden="false" customHeight="false" outlineLevel="0" collapsed="false">
      <c r="A248" s="54" t="n">
        <v>241</v>
      </c>
      <c r="B248" s="54" t="str">
        <f aca="false">IFERROR(MATCH(A248,Journal!$W$5:$W$1504,0),"")</f>
        <v/>
      </c>
      <c r="C248" s="55" t="str">
        <f aca="false">IF($B248="","",INDEX(Journal!$A$5:$A$1504,$B248))</f>
        <v/>
      </c>
      <c r="D248" s="54" t="str">
        <f aca="false">IF($B248="","",INDEX(Journal!$B$5:$B$1504,$B248))</f>
        <v/>
      </c>
      <c r="E248" s="54" t="str">
        <f aca="false">IF($B248="","",INDEX(Journal!$C$5:$C$1504,$B248))</f>
        <v/>
      </c>
      <c r="F248" s="54" t="str">
        <f aca="false">IF($B248="","",IF(INDEX(Journal!$D$5:$D$1504,$B248)=$C$4,INDEX(Journal!$E$5:$E$1504,$B248),INDEX(Journal!$D$5:$D$1504,$B248)))</f>
        <v/>
      </c>
      <c r="G248" s="56" t="str">
        <f aca="false">IF($B248="","",IF(INDEX(Journal!$D$5:$D$1504,$B248)=$C$4,INDEX(Journal!$M$5:$M$1504,$B248),0))</f>
        <v/>
      </c>
      <c r="H248" s="56" t="str">
        <f aca="false">IF($B248="","",IF(INDEX(Journal!$E$5:$E$1504,$B248)=$C$4,INDEX(Journal!$N$5:$N$1504,$B248),0))</f>
        <v/>
      </c>
      <c r="I248" s="56" t="str">
        <f aca="false">IF($B248="","",IF(OR($G$4="Aktiv",$G$4="Aufwand"),I247+G248-H248,I247+H248-G248))</f>
        <v/>
      </c>
    </row>
    <row r="249" customFormat="false" ht="15" hidden="false" customHeight="false" outlineLevel="0" collapsed="false">
      <c r="A249" s="54" t="n">
        <v>242</v>
      </c>
      <c r="B249" s="54" t="str">
        <f aca="false">IFERROR(MATCH(A249,Journal!$W$5:$W$1504,0),"")</f>
        <v/>
      </c>
      <c r="C249" s="55" t="str">
        <f aca="false">IF($B249="","",INDEX(Journal!$A$5:$A$1504,$B249))</f>
        <v/>
      </c>
      <c r="D249" s="54" t="str">
        <f aca="false">IF($B249="","",INDEX(Journal!$B$5:$B$1504,$B249))</f>
        <v/>
      </c>
      <c r="E249" s="54" t="str">
        <f aca="false">IF($B249="","",INDEX(Journal!$C$5:$C$1504,$B249))</f>
        <v/>
      </c>
      <c r="F249" s="54" t="str">
        <f aca="false">IF($B249="","",IF(INDEX(Journal!$D$5:$D$1504,$B249)=$C$4,INDEX(Journal!$E$5:$E$1504,$B249),INDEX(Journal!$D$5:$D$1504,$B249)))</f>
        <v/>
      </c>
      <c r="G249" s="56" t="str">
        <f aca="false">IF($B249="","",IF(INDEX(Journal!$D$5:$D$1504,$B249)=$C$4,INDEX(Journal!$M$5:$M$1504,$B249),0))</f>
        <v/>
      </c>
      <c r="H249" s="56" t="str">
        <f aca="false">IF($B249="","",IF(INDEX(Journal!$E$5:$E$1504,$B249)=$C$4,INDEX(Journal!$N$5:$N$1504,$B249),0))</f>
        <v/>
      </c>
      <c r="I249" s="56" t="str">
        <f aca="false">IF($B249="","",IF(OR($G$4="Aktiv",$G$4="Aufwand"),I248+G249-H249,I248+H249-G249))</f>
        <v/>
      </c>
    </row>
    <row r="250" customFormat="false" ht="15" hidden="false" customHeight="false" outlineLevel="0" collapsed="false">
      <c r="A250" s="54" t="n">
        <v>243</v>
      </c>
      <c r="B250" s="54" t="str">
        <f aca="false">IFERROR(MATCH(A250,Journal!$W$5:$W$1504,0),"")</f>
        <v/>
      </c>
      <c r="C250" s="55" t="str">
        <f aca="false">IF($B250="","",INDEX(Journal!$A$5:$A$1504,$B250))</f>
        <v/>
      </c>
      <c r="D250" s="54" t="str">
        <f aca="false">IF($B250="","",INDEX(Journal!$B$5:$B$1504,$B250))</f>
        <v/>
      </c>
      <c r="E250" s="54" t="str">
        <f aca="false">IF($B250="","",INDEX(Journal!$C$5:$C$1504,$B250))</f>
        <v/>
      </c>
      <c r="F250" s="54" t="str">
        <f aca="false">IF($B250="","",IF(INDEX(Journal!$D$5:$D$1504,$B250)=$C$4,INDEX(Journal!$E$5:$E$1504,$B250),INDEX(Journal!$D$5:$D$1504,$B250)))</f>
        <v/>
      </c>
      <c r="G250" s="56" t="str">
        <f aca="false">IF($B250="","",IF(INDEX(Journal!$D$5:$D$1504,$B250)=$C$4,INDEX(Journal!$M$5:$M$1504,$B250),0))</f>
        <v/>
      </c>
      <c r="H250" s="56" t="str">
        <f aca="false">IF($B250="","",IF(INDEX(Journal!$E$5:$E$1504,$B250)=$C$4,INDEX(Journal!$N$5:$N$1504,$B250),0))</f>
        <v/>
      </c>
      <c r="I250" s="56" t="str">
        <f aca="false">IF($B250="","",IF(OR($G$4="Aktiv",$G$4="Aufwand"),I249+G250-H250,I249+H250-G250))</f>
        <v/>
      </c>
    </row>
    <row r="251" customFormat="false" ht="15" hidden="false" customHeight="false" outlineLevel="0" collapsed="false">
      <c r="A251" s="54" t="n">
        <v>244</v>
      </c>
      <c r="B251" s="54" t="str">
        <f aca="false">IFERROR(MATCH(A251,Journal!$W$5:$W$1504,0),"")</f>
        <v/>
      </c>
      <c r="C251" s="55" t="str">
        <f aca="false">IF($B251="","",INDEX(Journal!$A$5:$A$1504,$B251))</f>
        <v/>
      </c>
      <c r="D251" s="54" t="str">
        <f aca="false">IF($B251="","",INDEX(Journal!$B$5:$B$1504,$B251))</f>
        <v/>
      </c>
      <c r="E251" s="54" t="str">
        <f aca="false">IF($B251="","",INDEX(Journal!$C$5:$C$1504,$B251))</f>
        <v/>
      </c>
      <c r="F251" s="54" t="str">
        <f aca="false">IF($B251="","",IF(INDEX(Journal!$D$5:$D$1504,$B251)=$C$4,INDEX(Journal!$E$5:$E$1504,$B251),INDEX(Journal!$D$5:$D$1504,$B251)))</f>
        <v/>
      </c>
      <c r="G251" s="56" t="str">
        <f aca="false">IF($B251="","",IF(INDEX(Journal!$D$5:$D$1504,$B251)=$C$4,INDEX(Journal!$M$5:$M$1504,$B251),0))</f>
        <v/>
      </c>
      <c r="H251" s="56" t="str">
        <f aca="false">IF($B251="","",IF(INDEX(Journal!$E$5:$E$1504,$B251)=$C$4,INDEX(Journal!$N$5:$N$1504,$B251),0))</f>
        <v/>
      </c>
      <c r="I251" s="56" t="str">
        <f aca="false">IF($B251="","",IF(OR($G$4="Aktiv",$G$4="Aufwand"),I250+G251-H251,I250+H251-G251))</f>
        <v/>
      </c>
    </row>
    <row r="252" customFormat="false" ht="15" hidden="false" customHeight="false" outlineLevel="0" collapsed="false">
      <c r="A252" s="54" t="n">
        <v>245</v>
      </c>
      <c r="B252" s="54" t="str">
        <f aca="false">IFERROR(MATCH(A252,Journal!$W$5:$W$1504,0),"")</f>
        <v/>
      </c>
      <c r="C252" s="55" t="str">
        <f aca="false">IF($B252="","",INDEX(Journal!$A$5:$A$1504,$B252))</f>
        <v/>
      </c>
      <c r="D252" s="54" t="str">
        <f aca="false">IF($B252="","",INDEX(Journal!$B$5:$B$1504,$B252))</f>
        <v/>
      </c>
      <c r="E252" s="54" t="str">
        <f aca="false">IF($B252="","",INDEX(Journal!$C$5:$C$1504,$B252))</f>
        <v/>
      </c>
      <c r="F252" s="54" t="str">
        <f aca="false">IF($B252="","",IF(INDEX(Journal!$D$5:$D$1504,$B252)=$C$4,INDEX(Journal!$E$5:$E$1504,$B252),INDEX(Journal!$D$5:$D$1504,$B252)))</f>
        <v/>
      </c>
      <c r="G252" s="56" t="str">
        <f aca="false">IF($B252="","",IF(INDEX(Journal!$D$5:$D$1504,$B252)=$C$4,INDEX(Journal!$M$5:$M$1504,$B252),0))</f>
        <v/>
      </c>
      <c r="H252" s="56" t="str">
        <f aca="false">IF($B252="","",IF(INDEX(Journal!$E$5:$E$1504,$B252)=$C$4,INDEX(Journal!$N$5:$N$1504,$B252),0))</f>
        <v/>
      </c>
      <c r="I252" s="56" t="str">
        <f aca="false">IF($B252="","",IF(OR($G$4="Aktiv",$G$4="Aufwand"),I251+G252-H252,I251+H252-G252))</f>
        <v/>
      </c>
    </row>
    <row r="253" customFormat="false" ht="15" hidden="false" customHeight="false" outlineLevel="0" collapsed="false">
      <c r="A253" s="54" t="n">
        <v>246</v>
      </c>
      <c r="B253" s="54" t="str">
        <f aca="false">IFERROR(MATCH(A253,Journal!$W$5:$W$1504,0),"")</f>
        <v/>
      </c>
      <c r="C253" s="55" t="str">
        <f aca="false">IF($B253="","",INDEX(Journal!$A$5:$A$1504,$B253))</f>
        <v/>
      </c>
      <c r="D253" s="54" t="str">
        <f aca="false">IF($B253="","",INDEX(Journal!$B$5:$B$1504,$B253))</f>
        <v/>
      </c>
      <c r="E253" s="54" t="str">
        <f aca="false">IF($B253="","",INDEX(Journal!$C$5:$C$1504,$B253))</f>
        <v/>
      </c>
      <c r="F253" s="54" t="str">
        <f aca="false">IF($B253="","",IF(INDEX(Journal!$D$5:$D$1504,$B253)=$C$4,INDEX(Journal!$E$5:$E$1504,$B253),INDEX(Journal!$D$5:$D$1504,$B253)))</f>
        <v/>
      </c>
      <c r="G253" s="56" t="str">
        <f aca="false">IF($B253="","",IF(INDEX(Journal!$D$5:$D$1504,$B253)=$C$4,INDEX(Journal!$M$5:$M$1504,$B253),0))</f>
        <v/>
      </c>
      <c r="H253" s="56" t="str">
        <f aca="false">IF($B253="","",IF(INDEX(Journal!$E$5:$E$1504,$B253)=$C$4,INDEX(Journal!$N$5:$N$1504,$B253),0))</f>
        <v/>
      </c>
      <c r="I253" s="56" t="str">
        <f aca="false">IF($B253="","",IF(OR($G$4="Aktiv",$G$4="Aufwand"),I252+G253-H253,I252+H253-G253))</f>
        <v/>
      </c>
    </row>
    <row r="254" customFormat="false" ht="15" hidden="false" customHeight="false" outlineLevel="0" collapsed="false">
      <c r="A254" s="54" t="n">
        <v>247</v>
      </c>
      <c r="B254" s="54" t="str">
        <f aca="false">IFERROR(MATCH(A254,Journal!$W$5:$W$1504,0),"")</f>
        <v/>
      </c>
      <c r="C254" s="55" t="str">
        <f aca="false">IF($B254="","",INDEX(Journal!$A$5:$A$1504,$B254))</f>
        <v/>
      </c>
      <c r="D254" s="54" t="str">
        <f aca="false">IF($B254="","",INDEX(Journal!$B$5:$B$1504,$B254))</f>
        <v/>
      </c>
      <c r="E254" s="54" t="str">
        <f aca="false">IF($B254="","",INDEX(Journal!$C$5:$C$1504,$B254))</f>
        <v/>
      </c>
      <c r="F254" s="54" t="str">
        <f aca="false">IF($B254="","",IF(INDEX(Journal!$D$5:$D$1504,$B254)=$C$4,INDEX(Journal!$E$5:$E$1504,$B254),INDEX(Journal!$D$5:$D$1504,$B254)))</f>
        <v/>
      </c>
      <c r="G254" s="56" t="str">
        <f aca="false">IF($B254="","",IF(INDEX(Journal!$D$5:$D$1504,$B254)=$C$4,INDEX(Journal!$M$5:$M$1504,$B254),0))</f>
        <v/>
      </c>
      <c r="H254" s="56" t="str">
        <f aca="false">IF($B254="","",IF(INDEX(Journal!$E$5:$E$1504,$B254)=$C$4,INDEX(Journal!$N$5:$N$1504,$B254),0))</f>
        <v/>
      </c>
      <c r="I254" s="56" t="str">
        <f aca="false">IF($B254="","",IF(OR($G$4="Aktiv",$G$4="Aufwand"),I253+G254-H254,I253+H254-G254))</f>
        <v/>
      </c>
    </row>
    <row r="255" customFormat="false" ht="15" hidden="false" customHeight="false" outlineLevel="0" collapsed="false">
      <c r="A255" s="54" t="n">
        <v>248</v>
      </c>
      <c r="B255" s="54" t="str">
        <f aca="false">IFERROR(MATCH(A255,Journal!$W$5:$W$1504,0),"")</f>
        <v/>
      </c>
      <c r="C255" s="55" t="str">
        <f aca="false">IF($B255="","",INDEX(Journal!$A$5:$A$1504,$B255))</f>
        <v/>
      </c>
      <c r="D255" s="54" t="str">
        <f aca="false">IF($B255="","",INDEX(Journal!$B$5:$B$1504,$B255))</f>
        <v/>
      </c>
      <c r="E255" s="54" t="str">
        <f aca="false">IF($B255="","",INDEX(Journal!$C$5:$C$1504,$B255))</f>
        <v/>
      </c>
      <c r="F255" s="54" t="str">
        <f aca="false">IF($B255="","",IF(INDEX(Journal!$D$5:$D$1504,$B255)=$C$4,INDEX(Journal!$E$5:$E$1504,$B255),INDEX(Journal!$D$5:$D$1504,$B255)))</f>
        <v/>
      </c>
      <c r="G255" s="56" t="str">
        <f aca="false">IF($B255="","",IF(INDEX(Journal!$D$5:$D$1504,$B255)=$C$4,INDEX(Journal!$M$5:$M$1504,$B255),0))</f>
        <v/>
      </c>
      <c r="H255" s="56" t="str">
        <f aca="false">IF($B255="","",IF(INDEX(Journal!$E$5:$E$1504,$B255)=$C$4,INDEX(Journal!$N$5:$N$1504,$B255),0))</f>
        <v/>
      </c>
      <c r="I255" s="56" t="str">
        <f aca="false">IF($B255="","",IF(OR($G$4="Aktiv",$G$4="Aufwand"),I254+G255-H255,I254+H255-G255))</f>
        <v/>
      </c>
    </row>
    <row r="256" customFormat="false" ht="15" hidden="false" customHeight="false" outlineLevel="0" collapsed="false">
      <c r="A256" s="54" t="n">
        <v>249</v>
      </c>
      <c r="B256" s="54" t="str">
        <f aca="false">IFERROR(MATCH(A256,Journal!$W$5:$W$1504,0),"")</f>
        <v/>
      </c>
      <c r="C256" s="55" t="str">
        <f aca="false">IF($B256="","",INDEX(Journal!$A$5:$A$1504,$B256))</f>
        <v/>
      </c>
      <c r="D256" s="54" t="str">
        <f aca="false">IF($B256="","",INDEX(Journal!$B$5:$B$1504,$B256))</f>
        <v/>
      </c>
      <c r="E256" s="54" t="str">
        <f aca="false">IF($B256="","",INDEX(Journal!$C$5:$C$1504,$B256))</f>
        <v/>
      </c>
      <c r="F256" s="54" t="str">
        <f aca="false">IF($B256="","",IF(INDEX(Journal!$D$5:$D$1504,$B256)=$C$4,INDEX(Journal!$E$5:$E$1504,$B256),INDEX(Journal!$D$5:$D$1504,$B256)))</f>
        <v/>
      </c>
      <c r="G256" s="56" t="str">
        <f aca="false">IF($B256="","",IF(INDEX(Journal!$D$5:$D$1504,$B256)=$C$4,INDEX(Journal!$M$5:$M$1504,$B256),0))</f>
        <v/>
      </c>
      <c r="H256" s="56" t="str">
        <f aca="false">IF($B256="","",IF(INDEX(Journal!$E$5:$E$1504,$B256)=$C$4,INDEX(Journal!$N$5:$N$1504,$B256),0))</f>
        <v/>
      </c>
      <c r="I256" s="56" t="str">
        <f aca="false">IF($B256="","",IF(OR($G$4="Aktiv",$G$4="Aufwand"),I255+G256-H256,I255+H256-G256))</f>
        <v/>
      </c>
    </row>
    <row r="257" customFormat="false" ht="15" hidden="false" customHeight="false" outlineLevel="0" collapsed="false">
      <c r="A257" s="54" t="n">
        <v>250</v>
      </c>
      <c r="B257" s="54" t="str">
        <f aca="false">IFERROR(MATCH(A257,Journal!$W$5:$W$1504,0),"")</f>
        <v/>
      </c>
      <c r="C257" s="55" t="str">
        <f aca="false">IF($B257="","",INDEX(Journal!$A$5:$A$1504,$B257))</f>
        <v/>
      </c>
      <c r="D257" s="54" t="str">
        <f aca="false">IF($B257="","",INDEX(Journal!$B$5:$B$1504,$B257))</f>
        <v/>
      </c>
      <c r="E257" s="54" t="str">
        <f aca="false">IF($B257="","",INDEX(Journal!$C$5:$C$1504,$B257))</f>
        <v/>
      </c>
      <c r="F257" s="54" t="str">
        <f aca="false">IF($B257="","",IF(INDEX(Journal!$D$5:$D$1504,$B257)=$C$4,INDEX(Journal!$E$5:$E$1504,$B257),INDEX(Journal!$D$5:$D$1504,$B257)))</f>
        <v/>
      </c>
      <c r="G257" s="56" t="str">
        <f aca="false">IF($B257="","",IF(INDEX(Journal!$D$5:$D$1504,$B257)=$C$4,INDEX(Journal!$M$5:$M$1504,$B257),0))</f>
        <v/>
      </c>
      <c r="H257" s="56" t="str">
        <f aca="false">IF($B257="","",IF(INDEX(Journal!$E$5:$E$1504,$B257)=$C$4,INDEX(Journal!$N$5:$N$1504,$B257),0))</f>
        <v/>
      </c>
      <c r="I257" s="56" t="str">
        <f aca="false">IF($B257="","",IF(OR($G$4="Aktiv",$G$4="Aufwand"),I256+G257-H257,I256+H257-G257))</f>
        <v/>
      </c>
    </row>
    <row r="258" customFormat="false" ht="15" hidden="false" customHeight="false" outlineLevel="0" collapsed="false">
      <c r="A258" s="54" t="n">
        <v>251</v>
      </c>
      <c r="B258" s="54" t="str">
        <f aca="false">IFERROR(MATCH(A258,Journal!$W$5:$W$1504,0),"")</f>
        <v/>
      </c>
      <c r="C258" s="55" t="str">
        <f aca="false">IF($B258="","",INDEX(Journal!$A$5:$A$1504,$B258))</f>
        <v/>
      </c>
      <c r="D258" s="54" t="str">
        <f aca="false">IF($B258="","",INDEX(Journal!$B$5:$B$1504,$B258))</f>
        <v/>
      </c>
      <c r="E258" s="54" t="str">
        <f aca="false">IF($B258="","",INDEX(Journal!$C$5:$C$1504,$B258))</f>
        <v/>
      </c>
      <c r="F258" s="54" t="str">
        <f aca="false">IF($B258="","",IF(INDEX(Journal!$D$5:$D$1504,$B258)=$C$4,INDEX(Journal!$E$5:$E$1504,$B258),INDEX(Journal!$D$5:$D$1504,$B258)))</f>
        <v/>
      </c>
      <c r="G258" s="56" t="str">
        <f aca="false">IF($B258="","",IF(INDEX(Journal!$D$5:$D$1504,$B258)=$C$4,INDEX(Journal!$M$5:$M$1504,$B258),0))</f>
        <v/>
      </c>
      <c r="H258" s="56" t="str">
        <f aca="false">IF($B258="","",IF(INDEX(Journal!$E$5:$E$1504,$B258)=$C$4,INDEX(Journal!$N$5:$N$1504,$B258),0))</f>
        <v/>
      </c>
      <c r="I258" s="56" t="str">
        <f aca="false">IF($B258="","",IF(OR($G$4="Aktiv",$G$4="Aufwand"),I257+G258-H258,I257+H258-G258))</f>
        <v/>
      </c>
    </row>
    <row r="259" customFormat="false" ht="15" hidden="false" customHeight="false" outlineLevel="0" collapsed="false">
      <c r="A259" s="54" t="n">
        <v>252</v>
      </c>
      <c r="B259" s="54" t="str">
        <f aca="false">IFERROR(MATCH(A259,Journal!$W$5:$W$1504,0),"")</f>
        <v/>
      </c>
      <c r="C259" s="55" t="str">
        <f aca="false">IF($B259="","",INDEX(Journal!$A$5:$A$1504,$B259))</f>
        <v/>
      </c>
      <c r="D259" s="54" t="str">
        <f aca="false">IF($B259="","",INDEX(Journal!$B$5:$B$1504,$B259))</f>
        <v/>
      </c>
      <c r="E259" s="54" t="str">
        <f aca="false">IF($B259="","",INDEX(Journal!$C$5:$C$1504,$B259))</f>
        <v/>
      </c>
      <c r="F259" s="54" t="str">
        <f aca="false">IF($B259="","",IF(INDEX(Journal!$D$5:$D$1504,$B259)=$C$4,INDEX(Journal!$E$5:$E$1504,$B259),INDEX(Journal!$D$5:$D$1504,$B259)))</f>
        <v/>
      </c>
      <c r="G259" s="56" t="str">
        <f aca="false">IF($B259="","",IF(INDEX(Journal!$D$5:$D$1504,$B259)=$C$4,INDEX(Journal!$M$5:$M$1504,$B259),0))</f>
        <v/>
      </c>
      <c r="H259" s="56" t="str">
        <f aca="false">IF($B259="","",IF(INDEX(Journal!$E$5:$E$1504,$B259)=$C$4,INDEX(Journal!$N$5:$N$1504,$B259),0))</f>
        <v/>
      </c>
      <c r="I259" s="56" t="str">
        <f aca="false">IF($B259="","",IF(OR($G$4="Aktiv",$G$4="Aufwand"),I258+G259-H259,I258+H259-G259))</f>
        <v/>
      </c>
    </row>
    <row r="260" customFormat="false" ht="15" hidden="false" customHeight="false" outlineLevel="0" collapsed="false">
      <c r="A260" s="54" t="n">
        <v>253</v>
      </c>
      <c r="B260" s="54" t="str">
        <f aca="false">IFERROR(MATCH(A260,Journal!$W$5:$W$1504,0),"")</f>
        <v/>
      </c>
      <c r="C260" s="55" t="str">
        <f aca="false">IF($B260="","",INDEX(Journal!$A$5:$A$1504,$B260))</f>
        <v/>
      </c>
      <c r="D260" s="54" t="str">
        <f aca="false">IF($B260="","",INDEX(Journal!$B$5:$B$1504,$B260))</f>
        <v/>
      </c>
      <c r="E260" s="54" t="str">
        <f aca="false">IF($B260="","",INDEX(Journal!$C$5:$C$1504,$B260))</f>
        <v/>
      </c>
      <c r="F260" s="54" t="str">
        <f aca="false">IF($B260="","",IF(INDEX(Journal!$D$5:$D$1504,$B260)=$C$4,INDEX(Journal!$E$5:$E$1504,$B260),INDEX(Journal!$D$5:$D$1504,$B260)))</f>
        <v/>
      </c>
      <c r="G260" s="56" t="str">
        <f aca="false">IF($B260="","",IF(INDEX(Journal!$D$5:$D$1504,$B260)=$C$4,INDEX(Journal!$M$5:$M$1504,$B260),0))</f>
        <v/>
      </c>
      <c r="H260" s="56" t="str">
        <f aca="false">IF($B260="","",IF(INDEX(Journal!$E$5:$E$1504,$B260)=$C$4,INDEX(Journal!$N$5:$N$1504,$B260),0))</f>
        <v/>
      </c>
      <c r="I260" s="56" t="str">
        <f aca="false">IF($B260="","",IF(OR($G$4="Aktiv",$G$4="Aufwand"),I259+G260-H260,I259+H260-G260))</f>
        <v/>
      </c>
    </row>
    <row r="261" customFormat="false" ht="15" hidden="false" customHeight="false" outlineLevel="0" collapsed="false">
      <c r="A261" s="54" t="n">
        <v>254</v>
      </c>
      <c r="B261" s="54" t="str">
        <f aca="false">IFERROR(MATCH(A261,Journal!$W$5:$W$1504,0),"")</f>
        <v/>
      </c>
      <c r="C261" s="55" t="str">
        <f aca="false">IF($B261="","",INDEX(Journal!$A$5:$A$1504,$B261))</f>
        <v/>
      </c>
      <c r="D261" s="54" t="str">
        <f aca="false">IF($B261="","",INDEX(Journal!$B$5:$B$1504,$B261))</f>
        <v/>
      </c>
      <c r="E261" s="54" t="str">
        <f aca="false">IF($B261="","",INDEX(Journal!$C$5:$C$1504,$B261))</f>
        <v/>
      </c>
      <c r="F261" s="54" t="str">
        <f aca="false">IF($B261="","",IF(INDEX(Journal!$D$5:$D$1504,$B261)=$C$4,INDEX(Journal!$E$5:$E$1504,$B261),INDEX(Journal!$D$5:$D$1504,$B261)))</f>
        <v/>
      </c>
      <c r="G261" s="56" t="str">
        <f aca="false">IF($B261="","",IF(INDEX(Journal!$D$5:$D$1504,$B261)=$C$4,INDEX(Journal!$M$5:$M$1504,$B261),0))</f>
        <v/>
      </c>
      <c r="H261" s="56" t="str">
        <f aca="false">IF($B261="","",IF(INDEX(Journal!$E$5:$E$1504,$B261)=$C$4,INDEX(Journal!$N$5:$N$1504,$B261),0))</f>
        <v/>
      </c>
      <c r="I261" s="56" t="str">
        <f aca="false">IF($B261="","",IF(OR($G$4="Aktiv",$G$4="Aufwand"),I260+G261-H261,I260+H261-G261))</f>
        <v/>
      </c>
    </row>
    <row r="262" customFormat="false" ht="15" hidden="false" customHeight="false" outlineLevel="0" collapsed="false">
      <c r="A262" s="54" t="n">
        <v>255</v>
      </c>
      <c r="B262" s="54" t="str">
        <f aca="false">IFERROR(MATCH(A262,Journal!$W$5:$W$1504,0),"")</f>
        <v/>
      </c>
      <c r="C262" s="55" t="str">
        <f aca="false">IF($B262="","",INDEX(Journal!$A$5:$A$1504,$B262))</f>
        <v/>
      </c>
      <c r="D262" s="54" t="str">
        <f aca="false">IF($B262="","",INDEX(Journal!$B$5:$B$1504,$B262))</f>
        <v/>
      </c>
      <c r="E262" s="54" t="str">
        <f aca="false">IF($B262="","",INDEX(Journal!$C$5:$C$1504,$B262))</f>
        <v/>
      </c>
      <c r="F262" s="54" t="str">
        <f aca="false">IF($B262="","",IF(INDEX(Journal!$D$5:$D$1504,$B262)=$C$4,INDEX(Journal!$E$5:$E$1504,$B262),INDEX(Journal!$D$5:$D$1504,$B262)))</f>
        <v/>
      </c>
      <c r="G262" s="56" t="str">
        <f aca="false">IF($B262="","",IF(INDEX(Journal!$D$5:$D$1504,$B262)=$C$4,INDEX(Journal!$M$5:$M$1504,$B262),0))</f>
        <v/>
      </c>
      <c r="H262" s="56" t="str">
        <f aca="false">IF($B262="","",IF(INDEX(Journal!$E$5:$E$1504,$B262)=$C$4,INDEX(Journal!$N$5:$N$1504,$B262),0))</f>
        <v/>
      </c>
      <c r="I262" s="56" t="str">
        <f aca="false">IF($B262="","",IF(OR($G$4="Aktiv",$G$4="Aufwand"),I261+G262-H262,I261+H262-G262))</f>
        <v/>
      </c>
    </row>
    <row r="263" customFormat="false" ht="15" hidden="false" customHeight="false" outlineLevel="0" collapsed="false">
      <c r="A263" s="54" t="n">
        <v>256</v>
      </c>
      <c r="B263" s="54" t="str">
        <f aca="false">IFERROR(MATCH(A263,Journal!$W$5:$W$1504,0),"")</f>
        <v/>
      </c>
      <c r="C263" s="55" t="str">
        <f aca="false">IF($B263="","",INDEX(Journal!$A$5:$A$1504,$B263))</f>
        <v/>
      </c>
      <c r="D263" s="54" t="str">
        <f aca="false">IF($B263="","",INDEX(Journal!$B$5:$B$1504,$B263))</f>
        <v/>
      </c>
      <c r="E263" s="54" t="str">
        <f aca="false">IF($B263="","",INDEX(Journal!$C$5:$C$1504,$B263))</f>
        <v/>
      </c>
      <c r="F263" s="54" t="str">
        <f aca="false">IF($B263="","",IF(INDEX(Journal!$D$5:$D$1504,$B263)=$C$4,INDEX(Journal!$E$5:$E$1504,$B263),INDEX(Journal!$D$5:$D$1504,$B263)))</f>
        <v/>
      </c>
      <c r="G263" s="56" t="str">
        <f aca="false">IF($B263="","",IF(INDEX(Journal!$D$5:$D$1504,$B263)=$C$4,INDEX(Journal!$M$5:$M$1504,$B263),0))</f>
        <v/>
      </c>
      <c r="H263" s="56" t="str">
        <f aca="false">IF($B263="","",IF(INDEX(Journal!$E$5:$E$1504,$B263)=$C$4,INDEX(Journal!$N$5:$N$1504,$B263),0))</f>
        <v/>
      </c>
      <c r="I263" s="56" t="str">
        <f aca="false">IF($B263="","",IF(OR($G$4="Aktiv",$G$4="Aufwand"),I262+G263-H263,I262+H263-G263))</f>
        <v/>
      </c>
    </row>
    <row r="264" customFormat="false" ht="15" hidden="false" customHeight="false" outlineLevel="0" collapsed="false">
      <c r="A264" s="54" t="n">
        <v>257</v>
      </c>
      <c r="B264" s="54" t="str">
        <f aca="false">IFERROR(MATCH(A264,Journal!$W$5:$W$1504,0),"")</f>
        <v/>
      </c>
      <c r="C264" s="55" t="str">
        <f aca="false">IF($B264="","",INDEX(Journal!$A$5:$A$1504,$B264))</f>
        <v/>
      </c>
      <c r="D264" s="54" t="str">
        <f aca="false">IF($B264="","",INDEX(Journal!$B$5:$B$1504,$B264))</f>
        <v/>
      </c>
      <c r="E264" s="54" t="str">
        <f aca="false">IF($B264="","",INDEX(Journal!$C$5:$C$1504,$B264))</f>
        <v/>
      </c>
      <c r="F264" s="54" t="str">
        <f aca="false">IF($B264="","",IF(INDEX(Journal!$D$5:$D$1504,$B264)=$C$4,INDEX(Journal!$E$5:$E$1504,$B264),INDEX(Journal!$D$5:$D$1504,$B264)))</f>
        <v/>
      </c>
      <c r="G264" s="56" t="str">
        <f aca="false">IF($B264="","",IF(INDEX(Journal!$D$5:$D$1504,$B264)=$C$4,INDEX(Journal!$M$5:$M$1504,$B264),0))</f>
        <v/>
      </c>
      <c r="H264" s="56" t="str">
        <f aca="false">IF($B264="","",IF(INDEX(Journal!$E$5:$E$1504,$B264)=$C$4,INDEX(Journal!$N$5:$N$1504,$B264),0))</f>
        <v/>
      </c>
      <c r="I264" s="56" t="str">
        <f aca="false">IF($B264="","",IF(OR($G$4="Aktiv",$G$4="Aufwand"),I263+G264-H264,I263+H264-G264))</f>
        <v/>
      </c>
    </row>
    <row r="265" customFormat="false" ht="15" hidden="false" customHeight="false" outlineLevel="0" collapsed="false">
      <c r="A265" s="54" t="n">
        <v>258</v>
      </c>
      <c r="B265" s="54" t="str">
        <f aca="false">IFERROR(MATCH(A265,Journal!$W$5:$W$1504,0),"")</f>
        <v/>
      </c>
      <c r="C265" s="55" t="str">
        <f aca="false">IF($B265="","",INDEX(Journal!$A$5:$A$1504,$B265))</f>
        <v/>
      </c>
      <c r="D265" s="54" t="str">
        <f aca="false">IF($B265="","",INDEX(Journal!$B$5:$B$1504,$B265))</f>
        <v/>
      </c>
      <c r="E265" s="54" t="str">
        <f aca="false">IF($B265="","",INDEX(Journal!$C$5:$C$1504,$B265))</f>
        <v/>
      </c>
      <c r="F265" s="54" t="str">
        <f aca="false">IF($B265="","",IF(INDEX(Journal!$D$5:$D$1504,$B265)=$C$4,INDEX(Journal!$E$5:$E$1504,$B265),INDEX(Journal!$D$5:$D$1504,$B265)))</f>
        <v/>
      </c>
      <c r="G265" s="56" t="str">
        <f aca="false">IF($B265="","",IF(INDEX(Journal!$D$5:$D$1504,$B265)=$C$4,INDEX(Journal!$M$5:$M$1504,$B265),0))</f>
        <v/>
      </c>
      <c r="H265" s="56" t="str">
        <f aca="false">IF($B265="","",IF(INDEX(Journal!$E$5:$E$1504,$B265)=$C$4,INDEX(Journal!$N$5:$N$1504,$B265),0))</f>
        <v/>
      </c>
      <c r="I265" s="56" t="str">
        <f aca="false">IF($B265="","",IF(OR($G$4="Aktiv",$G$4="Aufwand"),I264+G265-H265,I264+H265-G265))</f>
        <v/>
      </c>
    </row>
    <row r="266" customFormat="false" ht="15" hidden="false" customHeight="false" outlineLevel="0" collapsed="false">
      <c r="A266" s="54" t="n">
        <v>259</v>
      </c>
      <c r="B266" s="54" t="str">
        <f aca="false">IFERROR(MATCH(A266,Journal!$W$5:$W$1504,0),"")</f>
        <v/>
      </c>
      <c r="C266" s="55" t="str">
        <f aca="false">IF($B266="","",INDEX(Journal!$A$5:$A$1504,$B266))</f>
        <v/>
      </c>
      <c r="D266" s="54" t="str">
        <f aca="false">IF($B266="","",INDEX(Journal!$B$5:$B$1504,$B266))</f>
        <v/>
      </c>
      <c r="E266" s="54" t="str">
        <f aca="false">IF($B266="","",INDEX(Journal!$C$5:$C$1504,$B266))</f>
        <v/>
      </c>
      <c r="F266" s="54" t="str">
        <f aca="false">IF($B266="","",IF(INDEX(Journal!$D$5:$D$1504,$B266)=$C$4,INDEX(Journal!$E$5:$E$1504,$B266),INDEX(Journal!$D$5:$D$1504,$B266)))</f>
        <v/>
      </c>
      <c r="G266" s="56" t="str">
        <f aca="false">IF($B266="","",IF(INDEX(Journal!$D$5:$D$1504,$B266)=$C$4,INDEX(Journal!$M$5:$M$1504,$B266),0))</f>
        <v/>
      </c>
      <c r="H266" s="56" t="str">
        <f aca="false">IF($B266="","",IF(INDEX(Journal!$E$5:$E$1504,$B266)=$C$4,INDEX(Journal!$N$5:$N$1504,$B266),0))</f>
        <v/>
      </c>
      <c r="I266" s="56" t="str">
        <f aca="false">IF($B266="","",IF(OR($G$4="Aktiv",$G$4="Aufwand"),I265+G266-H266,I265+H266-G266))</f>
        <v/>
      </c>
    </row>
    <row r="267" customFormat="false" ht="15" hidden="false" customHeight="false" outlineLevel="0" collapsed="false">
      <c r="A267" s="54" t="n">
        <v>260</v>
      </c>
      <c r="B267" s="54" t="str">
        <f aca="false">IFERROR(MATCH(A267,Journal!$W$5:$W$1504,0),"")</f>
        <v/>
      </c>
      <c r="C267" s="55" t="str">
        <f aca="false">IF($B267="","",INDEX(Journal!$A$5:$A$1504,$B267))</f>
        <v/>
      </c>
      <c r="D267" s="54" t="str">
        <f aca="false">IF($B267="","",INDEX(Journal!$B$5:$B$1504,$B267))</f>
        <v/>
      </c>
      <c r="E267" s="54" t="str">
        <f aca="false">IF($B267="","",INDEX(Journal!$C$5:$C$1504,$B267))</f>
        <v/>
      </c>
      <c r="F267" s="54" t="str">
        <f aca="false">IF($B267="","",IF(INDEX(Journal!$D$5:$D$1504,$B267)=$C$4,INDEX(Journal!$E$5:$E$1504,$B267),INDEX(Journal!$D$5:$D$1504,$B267)))</f>
        <v/>
      </c>
      <c r="G267" s="56" t="str">
        <f aca="false">IF($B267="","",IF(INDEX(Journal!$D$5:$D$1504,$B267)=$C$4,INDEX(Journal!$M$5:$M$1504,$B267),0))</f>
        <v/>
      </c>
      <c r="H267" s="56" t="str">
        <f aca="false">IF($B267="","",IF(INDEX(Journal!$E$5:$E$1504,$B267)=$C$4,INDEX(Journal!$N$5:$N$1504,$B267),0))</f>
        <v/>
      </c>
      <c r="I267" s="56" t="str">
        <f aca="false">IF($B267="","",IF(OR($G$4="Aktiv",$G$4="Aufwand"),I266+G267-H267,I266+H267-G267))</f>
        <v/>
      </c>
    </row>
    <row r="268" customFormat="false" ht="15" hidden="false" customHeight="false" outlineLevel="0" collapsed="false">
      <c r="A268" s="54" t="n">
        <v>261</v>
      </c>
      <c r="B268" s="54" t="str">
        <f aca="false">IFERROR(MATCH(A268,Journal!$W$5:$W$1504,0),"")</f>
        <v/>
      </c>
      <c r="C268" s="55" t="str">
        <f aca="false">IF($B268="","",INDEX(Journal!$A$5:$A$1504,$B268))</f>
        <v/>
      </c>
      <c r="D268" s="54" t="str">
        <f aca="false">IF($B268="","",INDEX(Journal!$B$5:$B$1504,$B268))</f>
        <v/>
      </c>
      <c r="E268" s="54" t="str">
        <f aca="false">IF($B268="","",INDEX(Journal!$C$5:$C$1504,$B268))</f>
        <v/>
      </c>
      <c r="F268" s="54" t="str">
        <f aca="false">IF($B268="","",IF(INDEX(Journal!$D$5:$D$1504,$B268)=$C$4,INDEX(Journal!$E$5:$E$1504,$B268),INDEX(Journal!$D$5:$D$1504,$B268)))</f>
        <v/>
      </c>
      <c r="G268" s="56" t="str">
        <f aca="false">IF($B268="","",IF(INDEX(Journal!$D$5:$D$1504,$B268)=$C$4,INDEX(Journal!$M$5:$M$1504,$B268),0))</f>
        <v/>
      </c>
      <c r="H268" s="56" t="str">
        <f aca="false">IF($B268="","",IF(INDEX(Journal!$E$5:$E$1504,$B268)=$C$4,INDEX(Journal!$N$5:$N$1504,$B268),0))</f>
        <v/>
      </c>
      <c r="I268" s="56" t="str">
        <f aca="false">IF($B268="","",IF(OR($G$4="Aktiv",$G$4="Aufwand"),I267+G268-H268,I267+H268-G268))</f>
        <v/>
      </c>
    </row>
    <row r="269" customFormat="false" ht="15" hidden="false" customHeight="false" outlineLevel="0" collapsed="false">
      <c r="A269" s="54" t="n">
        <v>262</v>
      </c>
      <c r="B269" s="54" t="str">
        <f aca="false">IFERROR(MATCH(A269,Journal!$W$5:$W$1504,0),"")</f>
        <v/>
      </c>
      <c r="C269" s="55" t="str">
        <f aca="false">IF($B269="","",INDEX(Journal!$A$5:$A$1504,$B269))</f>
        <v/>
      </c>
      <c r="D269" s="54" t="str">
        <f aca="false">IF($B269="","",INDEX(Journal!$B$5:$B$1504,$B269))</f>
        <v/>
      </c>
      <c r="E269" s="54" t="str">
        <f aca="false">IF($B269="","",INDEX(Journal!$C$5:$C$1504,$B269))</f>
        <v/>
      </c>
      <c r="F269" s="54" t="str">
        <f aca="false">IF($B269="","",IF(INDEX(Journal!$D$5:$D$1504,$B269)=$C$4,INDEX(Journal!$E$5:$E$1504,$B269),INDEX(Journal!$D$5:$D$1504,$B269)))</f>
        <v/>
      </c>
      <c r="G269" s="56" t="str">
        <f aca="false">IF($B269="","",IF(INDEX(Journal!$D$5:$D$1504,$B269)=$C$4,INDEX(Journal!$M$5:$M$1504,$B269),0))</f>
        <v/>
      </c>
      <c r="H269" s="56" t="str">
        <f aca="false">IF($B269="","",IF(INDEX(Journal!$E$5:$E$1504,$B269)=$C$4,INDEX(Journal!$N$5:$N$1504,$B269),0))</f>
        <v/>
      </c>
      <c r="I269" s="56" t="str">
        <f aca="false">IF($B269="","",IF(OR($G$4="Aktiv",$G$4="Aufwand"),I268+G269-H269,I268+H269-G269))</f>
        <v/>
      </c>
    </row>
    <row r="270" customFormat="false" ht="15" hidden="false" customHeight="false" outlineLevel="0" collapsed="false">
      <c r="A270" s="54" t="n">
        <v>263</v>
      </c>
      <c r="B270" s="54" t="str">
        <f aca="false">IFERROR(MATCH(A270,Journal!$W$5:$W$1504,0),"")</f>
        <v/>
      </c>
      <c r="C270" s="55" t="str">
        <f aca="false">IF($B270="","",INDEX(Journal!$A$5:$A$1504,$B270))</f>
        <v/>
      </c>
      <c r="D270" s="54" t="str">
        <f aca="false">IF($B270="","",INDEX(Journal!$B$5:$B$1504,$B270))</f>
        <v/>
      </c>
      <c r="E270" s="54" t="str">
        <f aca="false">IF($B270="","",INDEX(Journal!$C$5:$C$1504,$B270))</f>
        <v/>
      </c>
      <c r="F270" s="54" t="str">
        <f aca="false">IF($B270="","",IF(INDEX(Journal!$D$5:$D$1504,$B270)=$C$4,INDEX(Journal!$E$5:$E$1504,$B270),INDEX(Journal!$D$5:$D$1504,$B270)))</f>
        <v/>
      </c>
      <c r="G270" s="56" t="str">
        <f aca="false">IF($B270="","",IF(INDEX(Journal!$D$5:$D$1504,$B270)=$C$4,INDEX(Journal!$M$5:$M$1504,$B270),0))</f>
        <v/>
      </c>
      <c r="H270" s="56" t="str">
        <f aca="false">IF($B270="","",IF(INDEX(Journal!$E$5:$E$1504,$B270)=$C$4,INDEX(Journal!$N$5:$N$1504,$B270),0))</f>
        <v/>
      </c>
      <c r="I270" s="56" t="str">
        <f aca="false">IF($B270="","",IF(OR($G$4="Aktiv",$G$4="Aufwand"),I269+G270-H270,I269+H270-G270))</f>
        <v/>
      </c>
    </row>
    <row r="271" customFormat="false" ht="15" hidden="false" customHeight="false" outlineLevel="0" collapsed="false">
      <c r="A271" s="54" t="n">
        <v>264</v>
      </c>
      <c r="B271" s="54" t="str">
        <f aca="false">IFERROR(MATCH(A271,Journal!$W$5:$W$1504,0),"")</f>
        <v/>
      </c>
      <c r="C271" s="55" t="str">
        <f aca="false">IF($B271="","",INDEX(Journal!$A$5:$A$1504,$B271))</f>
        <v/>
      </c>
      <c r="D271" s="54" t="str">
        <f aca="false">IF($B271="","",INDEX(Journal!$B$5:$B$1504,$B271))</f>
        <v/>
      </c>
      <c r="E271" s="54" t="str">
        <f aca="false">IF($B271="","",INDEX(Journal!$C$5:$C$1504,$B271))</f>
        <v/>
      </c>
      <c r="F271" s="54" t="str">
        <f aca="false">IF($B271="","",IF(INDEX(Journal!$D$5:$D$1504,$B271)=$C$4,INDEX(Journal!$E$5:$E$1504,$B271),INDEX(Journal!$D$5:$D$1504,$B271)))</f>
        <v/>
      </c>
      <c r="G271" s="56" t="str">
        <f aca="false">IF($B271="","",IF(INDEX(Journal!$D$5:$D$1504,$B271)=$C$4,INDEX(Journal!$M$5:$M$1504,$B271),0))</f>
        <v/>
      </c>
      <c r="H271" s="56" t="str">
        <f aca="false">IF($B271="","",IF(INDEX(Journal!$E$5:$E$1504,$B271)=$C$4,INDEX(Journal!$N$5:$N$1504,$B271),0))</f>
        <v/>
      </c>
      <c r="I271" s="56" t="str">
        <f aca="false">IF($B271="","",IF(OR($G$4="Aktiv",$G$4="Aufwand"),I270+G271-H271,I270+H271-G271))</f>
        <v/>
      </c>
    </row>
    <row r="272" customFormat="false" ht="15" hidden="false" customHeight="false" outlineLevel="0" collapsed="false">
      <c r="A272" s="54" t="n">
        <v>265</v>
      </c>
      <c r="B272" s="54" t="str">
        <f aca="false">IFERROR(MATCH(A272,Journal!$W$5:$W$1504,0),"")</f>
        <v/>
      </c>
      <c r="C272" s="55" t="str">
        <f aca="false">IF($B272="","",INDEX(Journal!$A$5:$A$1504,$B272))</f>
        <v/>
      </c>
      <c r="D272" s="54" t="str">
        <f aca="false">IF($B272="","",INDEX(Journal!$B$5:$B$1504,$B272))</f>
        <v/>
      </c>
      <c r="E272" s="54" t="str">
        <f aca="false">IF($B272="","",INDEX(Journal!$C$5:$C$1504,$B272))</f>
        <v/>
      </c>
      <c r="F272" s="54" t="str">
        <f aca="false">IF($B272="","",IF(INDEX(Journal!$D$5:$D$1504,$B272)=$C$4,INDEX(Journal!$E$5:$E$1504,$B272),INDEX(Journal!$D$5:$D$1504,$B272)))</f>
        <v/>
      </c>
      <c r="G272" s="56" t="str">
        <f aca="false">IF($B272="","",IF(INDEX(Journal!$D$5:$D$1504,$B272)=$C$4,INDEX(Journal!$M$5:$M$1504,$B272),0))</f>
        <v/>
      </c>
      <c r="H272" s="56" t="str">
        <f aca="false">IF($B272="","",IF(INDEX(Journal!$E$5:$E$1504,$B272)=$C$4,INDEX(Journal!$N$5:$N$1504,$B272),0))</f>
        <v/>
      </c>
      <c r="I272" s="56" t="str">
        <f aca="false">IF($B272="","",IF(OR($G$4="Aktiv",$G$4="Aufwand"),I271+G272-H272,I271+H272-G272))</f>
        <v/>
      </c>
    </row>
    <row r="273" customFormat="false" ht="15" hidden="false" customHeight="false" outlineLevel="0" collapsed="false">
      <c r="A273" s="54" t="n">
        <v>266</v>
      </c>
      <c r="B273" s="54" t="str">
        <f aca="false">IFERROR(MATCH(A273,Journal!$W$5:$W$1504,0),"")</f>
        <v/>
      </c>
      <c r="C273" s="55" t="str">
        <f aca="false">IF($B273="","",INDEX(Journal!$A$5:$A$1504,$B273))</f>
        <v/>
      </c>
      <c r="D273" s="54" t="str">
        <f aca="false">IF($B273="","",INDEX(Journal!$B$5:$B$1504,$B273))</f>
        <v/>
      </c>
      <c r="E273" s="54" t="str">
        <f aca="false">IF($B273="","",INDEX(Journal!$C$5:$C$1504,$B273))</f>
        <v/>
      </c>
      <c r="F273" s="54" t="str">
        <f aca="false">IF($B273="","",IF(INDEX(Journal!$D$5:$D$1504,$B273)=$C$4,INDEX(Journal!$E$5:$E$1504,$B273),INDEX(Journal!$D$5:$D$1504,$B273)))</f>
        <v/>
      </c>
      <c r="G273" s="56" t="str">
        <f aca="false">IF($B273="","",IF(INDEX(Journal!$D$5:$D$1504,$B273)=$C$4,INDEX(Journal!$M$5:$M$1504,$B273),0))</f>
        <v/>
      </c>
      <c r="H273" s="56" t="str">
        <f aca="false">IF($B273="","",IF(INDEX(Journal!$E$5:$E$1504,$B273)=$C$4,INDEX(Journal!$N$5:$N$1504,$B273),0))</f>
        <v/>
      </c>
      <c r="I273" s="56" t="str">
        <f aca="false">IF($B273="","",IF(OR($G$4="Aktiv",$G$4="Aufwand"),I272+G273-H273,I272+H273-G273))</f>
        <v/>
      </c>
    </row>
    <row r="274" customFormat="false" ht="15" hidden="false" customHeight="false" outlineLevel="0" collapsed="false">
      <c r="A274" s="54" t="n">
        <v>267</v>
      </c>
      <c r="B274" s="54" t="str">
        <f aca="false">IFERROR(MATCH(A274,Journal!$W$5:$W$1504,0),"")</f>
        <v/>
      </c>
      <c r="C274" s="55" t="str">
        <f aca="false">IF($B274="","",INDEX(Journal!$A$5:$A$1504,$B274))</f>
        <v/>
      </c>
      <c r="D274" s="54" t="str">
        <f aca="false">IF($B274="","",INDEX(Journal!$B$5:$B$1504,$B274))</f>
        <v/>
      </c>
      <c r="E274" s="54" t="str">
        <f aca="false">IF($B274="","",INDEX(Journal!$C$5:$C$1504,$B274))</f>
        <v/>
      </c>
      <c r="F274" s="54" t="str">
        <f aca="false">IF($B274="","",IF(INDEX(Journal!$D$5:$D$1504,$B274)=$C$4,INDEX(Journal!$E$5:$E$1504,$B274),INDEX(Journal!$D$5:$D$1504,$B274)))</f>
        <v/>
      </c>
      <c r="G274" s="56" t="str">
        <f aca="false">IF($B274="","",IF(INDEX(Journal!$D$5:$D$1504,$B274)=$C$4,INDEX(Journal!$M$5:$M$1504,$B274),0))</f>
        <v/>
      </c>
      <c r="H274" s="56" t="str">
        <f aca="false">IF($B274="","",IF(INDEX(Journal!$E$5:$E$1504,$B274)=$C$4,INDEX(Journal!$N$5:$N$1504,$B274),0))</f>
        <v/>
      </c>
      <c r="I274" s="56" t="str">
        <f aca="false">IF($B274="","",IF(OR($G$4="Aktiv",$G$4="Aufwand"),I273+G274-H274,I273+H274-G274))</f>
        <v/>
      </c>
    </row>
    <row r="275" customFormat="false" ht="15" hidden="false" customHeight="false" outlineLevel="0" collapsed="false">
      <c r="A275" s="54" t="n">
        <v>268</v>
      </c>
      <c r="B275" s="54" t="str">
        <f aca="false">IFERROR(MATCH(A275,Journal!$W$5:$W$1504,0),"")</f>
        <v/>
      </c>
      <c r="C275" s="55" t="str">
        <f aca="false">IF($B275="","",INDEX(Journal!$A$5:$A$1504,$B275))</f>
        <v/>
      </c>
      <c r="D275" s="54" t="str">
        <f aca="false">IF($B275="","",INDEX(Journal!$B$5:$B$1504,$B275))</f>
        <v/>
      </c>
      <c r="E275" s="54" t="str">
        <f aca="false">IF($B275="","",INDEX(Journal!$C$5:$C$1504,$B275))</f>
        <v/>
      </c>
      <c r="F275" s="54" t="str">
        <f aca="false">IF($B275="","",IF(INDEX(Journal!$D$5:$D$1504,$B275)=$C$4,INDEX(Journal!$E$5:$E$1504,$B275),INDEX(Journal!$D$5:$D$1504,$B275)))</f>
        <v/>
      </c>
      <c r="G275" s="56" t="str">
        <f aca="false">IF($B275="","",IF(INDEX(Journal!$D$5:$D$1504,$B275)=$C$4,INDEX(Journal!$M$5:$M$1504,$B275),0))</f>
        <v/>
      </c>
      <c r="H275" s="56" t="str">
        <f aca="false">IF($B275="","",IF(INDEX(Journal!$E$5:$E$1504,$B275)=$C$4,INDEX(Journal!$N$5:$N$1504,$B275),0))</f>
        <v/>
      </c>
      <c r="I275" s="56" t="str">
        <f aca="false">IF($B275="","",IF(OR($G$4="Aktiv",$G$4="Aufwand"),I274+G275-H275,I274+H275-G275))</f>
        <v/>
      </c>
    </row>
    <row r="276" customFormat="false" ht="15" hidden="false" customHeight="false" outlineLevel="0" collapsed="false">
      <c r="A276" s="54" t="n">
        <v>269</v>
      </c>
      <c r="B276" s="54" t="str">
        <f aca="false">IFERROR(MATCH(A276,Journal!$W$5:$W$1504,0),"")</f>
        <v/>
      </c>
      <c r="C276" s="55" t="str">
        <f aca="false">IF($B276="","",INDEX(Journal!$A$5:$A$1504,$B276))</f>
        <v/>
      </c>
      <c r="D276" s="54" t="str">
        <f aca="false">IF($B276="","",INDEX(Journal!$B$5:$B$1504,$B276))</f>
        <v/>
      </c>
      <c r="E276" s="54" t="str">
        <f aca="false">IF($B276="","",INDEX(Journal!$C$5:$C$1504,$B276))</f>
        <v/>
      </c>
      <c r="F276" s="54" t="str">
        <f aca="false">IF($B276="","",IF(INDEX(Journal!$D$5:$D$1504,$B276)=$C$4,INDEX(Journal!$E$5:$E$1504,$B276),INDEX(Journal!$D$5:$D$1504,$B276)))</f>
        <v/>
      </c>
      <c r="G276" s="56" t="str">
        <f aca="false">IF($B276="","",IF(INDEX(Journal!$D$5:$D$1504,$B276)=$C$4,INDEX(Journal!$M$5:$M$1504,$B276),0))</f>
        <v/>
      </c>
      <c r="H276" s="56" t="str">
        <f aca="false">IF($B276="","",IF(INDEX(Journal!$E$5:$E$1504,$B276)=$C$4,INDEX(Journal!$N$5:$N$1504,$B276),0))</f>
        <v/>
      </c>
      <c r="I276" s="56" t="str">
        <f aca="false">IF($B276="","",IF(OR($G$4="Aktiv",$G$4="Aufwand"),I275+G276-H276,I275+H276-G276))</f>
        <v/>
      </c>
    </row>
    <row r="277" customFormat="false" ht="15" hidden="false" customHeight="false" outlineLevel="0" collapsed="false">
      <c r="A277" s="54" t="n">
        <v>270</v>
      </c>
      <c r="B277" s="54" t="str">
        <f aca="false">IFERROR(MATCH(A277,Journal!$W$5:$W$1504,0),"")</f>
        <v/>
      </c>
      <c r="C277" s="55" t="str">
        <f aca="false">IF($B277="","",INDEX(Journal!$A$5:$A$1504,$B277))</f>
        <v/>
      </c>
      <c r="D277" s="54" t="str">
        <f aca="false">IF($B277="","",INDEX(Journal!$B$5:$B$1504,$B277))</f>
        <v/>
      </c>
      <c r="E277" s="54" t="str">
        <f aca="false">IF($B277="","",INDEX(Journal!$C$5:$C$1504,$B277))</f>
        <v/>
      </c>
      <c r="F277" s="54" t="str">
        <f aca="false">IF($B277="","",IF(INDEX(Journal!$D$5:$D$1504,$B277)=$C$4,INDEX(Journal!$E$5:$E$1504,$B277),INDEX(Journal!$D$5:$D$1504,$B277)))</f>
        <v/>
      </c>
      <c r="G277" s="56" t="str">
        <f aca="false">IF($B277="","",IF(INDEX(Journal!$D$5:$D$1504,$B277)=$C$4,INDEX(Journal!$M$5:$M$1504,$B277),0))</f>
        <v/>
      </c>
      <c r="H277" s="56" t="str">
        <f aca="false">IF($B277="","",IF(INDEX(Journal!$E$5:$E$1504,$B277)=$C$4,INDEX(Journal!$N$5:$N$1504,$B277),0))</f>
        <v/>
      </c>
      <c r="I277" s="56" t="str">
        <f aca="false">IF($B277="","",IF(OR($G$4="Aktiv",$G$4="Aufwand"),I276+G277-H277,I276+H277-G277))</f>
        <v/>
      </c>
    </row>
    <row r="278" customFormat="false" ht="15" hidden="false" customHeight="false" outlineLevel="0" collapsed="false">
      <c r="A278" s="54" t="n">
        <v>271</v>
      </c>
      <c r="B278" s="54" t="str">
        <f aca="false">IFERROR(MATCH(A278,Journal!$W$5:$W$1504,0),"")</f>
        <v/>
      </c>
      <c r="C278" s="55" t="str">
        <f aca="false">IF($B278="","",INDEX(Journal!$A$5:$A$1504,$B278))</f>
        <v/>
      </c>
      <c r="D278" s="54" t="str">
        <f aca="false">IF($B278="","",INDEX(Journal!$B$5:$B$1504,$B278))</f>
        <v/>
      </c>
      <c r="E278" s="54" t="str">
        <f aca="false">IF($B278="","",INDEX(Journal!$C$5:$C$1504,$B278))</f>
        <v/>
      </c>
      <c r="F278" s="54" t="str">
        <f aca="false">IF($B278="","",IF(INDEX(Journal!$D$5:$D$1504,$B278)=$C$4,INDEX(Journal!$E$5:$E$1504,$B278),INDEX(Journal!$D$5:$D$1504,$B278)))</f>
        <v/>
      </c>
      <c r="G278" s="56" t="str">
        <f aca="false">IF($B278="","",IF(INDEX(Journal!$D$5:$D$1504,$B278)=$C$4,INDEX(Journal!$M$5:$M$1504,$B278),0))</f>
        <v/>
      </c>
      <c r="H278" s="56" t="str">
        <f aca="false">IF($B278="","",IF(INDEX(Journal!$E$5:$E$1504,$B278)=$C$4,INDEX(Journal!$N$5:$N$1504,$B278),0))</f>
        <v/>
      </c>
      <c r="I278" s="56" t="str">
        <f aca="false">IF($B278="","",IF(OR($G$4="Aktiv",$G$4="Aufwand"),I277+G278-H278,I277+H278-G278))</f>
        <v/>
      </c>
    </row>
    <row r="279" customFormat="false" ht="15" hidden="false" customHeight="false" outlineLevel="0" collapsed="false">
      <c r="A279" s="54" t="n">
        <v>272</v>
      </c>
      <c r="B279" s="54" t="str">
        <f aca="false">IFERROR(MATCH(A279,Journal!$W$5:$W$1504,0),"")</f>
        <v/>
      </c>
      <c r="C279" s="55" t="str">
        <f aca="false">IF($B279="","",INDEX(Journal!$A$5:$A$1504,$B279))</f>
        <v/>
      </c>
      <c r="D279" s="54" t="str">
        <f aca="false">IF($B279="","",INDEX(Journal!$B$5:$B$1504,$B279))</f>
        <v/>
      </c>
      <c r="E279" s="54" t="str">
        <f aca="false">IF($B279="","",INDEX(Journal!$C$5:$C$1504,$B279))</f>
        <v/>
      </c>
      <c r="F279" s="54" t="str">
        <f aca="false">IF($B279="","",IF(INDEX(Journal!$D$5:$D$1504,$B279)=$C$4,INDEX(Journal!$E$5:$E$1504,$B279),INDEX(Journal!$D$5:$D$1504,$B279)))</f>
        <v/>
      </c>
      <c r="G279" s="56" t="str">
        <f aca="false">IF($B279="","",IF(INDEX(Journal!$D$5:$D$1504,$B279)=$C$4,INDEX(Journal!$M$5:$M$1504,$B279),0))</f>
        <v/>
      </c>
      <c r="H279" s="56" t="str">
        <f aca="false">IF($B279="","",IF(INDEX(Journal!$E$5:$E$1504,$B279)=$C$4,INDEX(Journal!$N$5:$N$1504,$B279),0))</f>
        <v/>
      </c>
      <c r="I279" s="56" t="str">
        <f aca="false">IF($B279="","",IF(OR($G$4="Aktiv",$G$4="Aufwand"),I278+G279-H279,I278+H279-G279))</f>
        <v/>
      </c>
    </row>
    <row r="280" customFormat="false" ht="15" hidden="false" customHeight="false" outlineLevel="0" collapsed="false">
      <c r="A280" s="54" t="n">
        <v>273</v>
      </c>
      <c r="B280" s="54" t="str">
        <f aca="false">IFERROR(MATCH(A280,Journal!$W$5:$W$1504,0),"")</f>
        <v/>
      </c>
      <c r="C280" s="55" t="str">
        <f aca="false">IF($B280="","",INDEX(Journal!$A$5:$A$1504,$B280))</f>
        <v/>
      </c>
      <c r="D280" s="54" t="str">
        <f aca="false">IF($B280="","",INDEX(Journal!$B$5:$B$1504,$B280))</f>
        <v/>
      </c>
      <c r="E280" s="54" t="str">
        <f aca="false">IF($B280="","",INDEX(Journal!$C$5:$C$1504,$B280))</f>
        <v/>
      </c>
      <c r="F280" s="54" t="str">
        <f aca="false">IF($B280="","",IF(INDEX(Journal!$D$5:$D$1504,$B280)=$C$4,INDEX(Journal!$E$5:$E$1504,$B280),INDEX(Journal!$D$5:$D$1504,$B280)))</f>
        <v/>
      </c>
      <c r="G280" s="56" t="str">
        <f aca="false">IF($B280="","",IF(INDEX(Journal!$D$5:$D$1504,$B280)=$C$4,INDEX(Journal!$M$5:$M$1504,$B280),0))</f>
        <v/>
      </c>
      <c r="H280" s="56" t="str">
        <f aca="false">IF($B280="","",IF(INDEX(Journal!$E$5:$E$1504,$B280)=$C$4,INDEX(Journal!$N$5:$N$1504,$B280),0))</f>
        <v/>
      </c>
      <c r="I280" s="56" t="str">
        <f aca="false">IF($B280="","",IF(OR($G$4="Aktiv",$G$4="Aufwand"),I279+G280-H280,I279+H280-G280))</f>
        <v/>
      </c>
    </row>
    <row r="281" customFormat="false" ht="15" hidden="false" customHeight="false" outlineLevel="0" collapsed="false">
      <c r="A281" s="54" t="n">
        <v>274</v>
      </c>
      <c r="B281" s="54" t="str">
        <f aca="false">IFERROR(MATCH(A281,Journal!$W$5:$W$1504,0),"")</f>
        <v/>
      </c>
      <c r="C281" s="55" t="str">
        <f aca="false">IF($B281="","",INDEX(Journal!$A$5:$A$1504,$B281))</f>
        <v/>
      </c>
      <c r="D281" s="54" t="str">
        <f aca="false">IF($B281="","",INDEX(Journal!$B$5:$B$1504,$B281))</f>
        <v/>
      </c>
      <c r="E281" s="54" t="str">
        <f aca="false">IF($B281="","",INDEX(Journal!$C$5:$C$1504,$B281))</f>
        <v/>
      </c>
      <c r="F281" s="54" t="str">
        <f aca="false">IF($B281="","",IF(INDEX(Journal!$D$5:$D$1504,$B281)=$C$4,INDEX(Journal!$E$5:$E$1504,$B281),INDEX(Journal!$D$5:$D$1504,$B281)))</f>
        <v/>
      </c>
      <c r="G281" s="56" t="str">
        <f aca="false">IF($B281="","",IF(INDEX(Journal!$D$5:$D$1504,$B281)=$C$4,INDEX(Journal!$M$5:$M$1504,$B281),0))</f>
        <v/>
      </c>
      <c r="H281" s="56" t="str">
        <f aca="false">IF($B281="","",IF(INDEX(Journal!$E$5:$E$1504,$B281)=$C$4,INDEX(Journal!$N$5:$N$1504,$B281),0))</f>
        <v/>
      </c>
      <c r="I281" s="56" t="str">
        <f aca="false">IF($B281="","",IF(OR($G$4="Aktiv",$G$4="Aufwand"),I280+G281-H281,I280+H281-G281))</f>
        <v/>
      </c>
    </row>
    <row r="282" customFormat="false" ht="15" hidden="false" customHeight="false" outlineLevel="0" collapsed="false">
      <c r="A282" s="54" t="n">
        <v>275</v>
      </c>
      <c r="B282" s="54" t="str">
        <f aca="false">IFERROR(MATCH(A282,Journal!$W$5:$W$1504,0),"")</f>
        <v/>
      </c>
      <c r="C282" s="55" t="str">
        <f aca="false">IF($B282="","",INDEX(Journal!$A$5:$A$1504,$B282))</f>
        <v/>
      </c>
      <c r="D282" s="54" t="str">
        <f aca="false">IF($B282="","",INDEX(Journal!$B$5:$B$1504,$B282))</f>
        <v/>
      </c>
      <c r="E282" s="54" t="str">
        <f aca="false">IF($B282="","",INDEX(Journal!$C$5:$C$1504,$B282))</f>
        <v/>
      </c>
      <c r="F282" s="54" t="str">
        <f aca="false">IF($B282="","",IF(INDEX(Journal!$D$5:$D$1504,$B282)=$C$4,INDEX(Journal!$E$5:$E$1504,$B282),INDEX(Journal!$D$5:$D$1504,$B282)))</f>
        <v/>
      </c>
      <c r="G282" s="56" t="str">
        <f aca="false">IF($B282="","",IF(INDEX(Journal!$D$5:$D$1504,$B282)=$C$4,INDEX(Journal!$M$5:$M$1504,$B282),0))</f>
        <v/>
      </c>
      <c r="H282" s="56" t="str">
        <f aca="false">IF($B282="","",IF(INDEX(Journal!$E$5:$E$1504,$B282)=$C$4,INDEX(Journal!$N$5:$N$1504,$B282),0))</f>
        <v/>
      </c>
      <c r="I282" s="56" t="str">
        <f aca="false">IF($B282="","",IF(OR($G$4="Aktiv",$G$4="Aufwand"),I281+G282-H282,I281+H282-G282))</f>
        <v/>
      </c>
    </row>
    <row r="283" customFormat="false" ht="15" hidden="false" customHeight="false" outlineLevel="0" collapsed="false">
      <c r="A283" s="54" t="n">
        <v>276</v>
      </c>
      <c r="B283" s="54" t="str">
        <f aca="false">IFERROR(MATCH(A283,Journal!$W$5:$W$1504,0),"")</f>
        <v/>
      </c>
      <c r="C283" s="55" t="str">
        <f aca="false">IF($B283="","",INDEX(Journal!$A$5:$A$1504,$B283))</f>
        <v/>
      </c>
      <c r="D283" s="54" t="str">
        <f aca="false">IF($B283="","",INDEX(Journal!$B$5:$B$1504,$B283))</f>
        <v/>
      </c>
      <c r="E283" s="54" t="str">
        <f aca="false">IF($B283="","",INDEX(Journal!$C$5:$C$1504,$B283))</f>
        <v/>
      </c>
      <c r="F283" s="54" t="str">
        <f aca="false">IF($B283="","",IF(INDEX(Journal!$D$5:$D$1504,$B283)=$C$4,INDEX(Journal!$E$5:$E$1504,$B283),INDEX(Journal!$D$5:$D$1504,$B283)))</f>
        <v/>
      </c>
      <c r="G283" s="56" t="str">
        <f aca="false">IF($B283="","",IF(INDEX(Journal!$D$5:$D$1504,$B283)=$C$4,INDEX(Journal!$M$5:$M$1504,$B283),0))</f>
        <v/>
      </c>
      <c r="H283" s="56" t="str">
        <f aca="false">IF($B283="","",IF(INDEX(Journal!$E$5:$E$1504,$B283)=$C$4,INDEX(Journal!$N$5:$N$1504,$B283),0))</f>
        <v/>
      </c>
      <c r="I283" s="56" t="str">
        <f aca="false">IF($B283="","",IF(OR($G$4="Aktiv",$G$4="Aufwand"),I282+G283-H283,I282+H283-G283))</f>
        <v/>
      </c>
    </row>
    <row r="284" customFormat="false" ht="15" hidden="false" customHeight="false" outlineLevel="0" collapsed="false">
      <c r="A284" s="54" t="n">
        <v>277</v>
      </c>
      <c r="B284" s="54" t="str">
        <f aca="false">IFERROR(MATCH(A284,Journal!$W$5:$W$1504,0),"")</f>
        <v/>
      </c>
      <c r="C284" s="55" t="str">
        <f aca="false">IF($B284="","",INDEX(Journal!$A$5:$A$1504,$B284))</f>
        <v/>
      </c>
      <c r="D284" s="54" t="str">
        <f aca="false">IF($B284="","",INDEX(Journal!$B$5:$B$1504,$B284))</f>
        <v/>
      </c>
      <c r="E284" s="54" t="str">
        <f aca="false">IF($B284="","",INDEX(Journal!$C$5:$C$1504,$B284))</f>
        <v/>
      </c>
      <c r="F284" s="54" t="str">
        <f aca="false">IF($B284="","",IF(INDEX(Journal!$D$5:$D$1504,$B284)=$C$4,INDEX(Journal!$E$5:$E$1504,$B284),INDEX(Journal!$D$5:$D$1504,$B284)))</f>
        <v/>
      </c>
      <c r="G284" s="56" t="str">
        <f aca="false">IF($B284="","",IF(INDEX(Journal!$D$5:$D$1504,$B284)=$C$4,INDEX(Journal!$M$5:$M$1504,$B284),0))</f>
        <v/>
      </c>
      <c r="H284" s="56" t="str">
        <f aca="false">IF($B284="","",IF(INDEX(Journal!$E$5:$E$1504,$B284)=$C$4,INDEX(Journal!$N$5:$N$1504,$B284),0))</f>
        <v/>
      </c>
      <c r="I284" s="56" t="str">
        <f aca="false">IF($B284="","",IF(OR($G$4="Aktiv",$G$4="Aufwand"),I283+G284-H284,I283+H284-G284))</f>
        <v/>
      </c>
    </row>
    <row r="285" customFormat="false" ht="15" hidden="false" customHeight="false" outlineLevel="0" collapsed="false">
      <c r="A285" s="54" t="n">
        <v>278</v>
      </c>
      <c r="B285" s="54" t="str">
        <f aca="false">IFERROR(MATCH(A285,Journal!$W$5:$W$1504,0),"")</f>
        <v/>
      </c>
      <c r="C285" s="55" t="str">
        <f aca="false">IF($B285="","",INDEX(Journal!$A$5:$A$1504,$B285))</f>
        <v/>
      </c>
      <c r="D285" s="54" t="str">
        <f aca="false">IF($B285="","",INDEX(Journal!$B$5:$B$1504,$B285))</f>
        <v/>
      </c>
      <c r="E285" s="54" t="str">
        <f aca="false">IF($B285="","",INDEX(Journal!$C$5:$C$1504,$B285))</f>
        <v/>
      </c>
      <c r="F285" s="54" t="str">
        <f aca="false">IF($B285="","",IF(INDEX(Journal!$D$5:$D$1504,$B285)=$C$4,INDEX(Journal!$E$5:$E$1504,$B285),INDEX(Journal!$D$5:$D$1504,$B285)))</f>
        <v/>
      </c>
      <c r="G285" s="56" t="str">
        <f aca="false">IF($B285="","",IF(INDEX(Journal!$D$5:$D$1504,$B285)=$C$4,INDEX(Journal!$M$5:$M$1504,$B285),0))</f>
        <v/>
      </c>
      <c r="H285" s="56" t="str">
        <f aca="false">IF($B285="","",IF(INDEX(Journal!$E$5:$E$1504,$B285)=$C$4,INDEX(Journal!$N$5:$N$1504,$B285),0))</f>
        <v/>
      </c>
      <c r="I285" s="56" t="str">
        <f aca="false">IF($B285="","",IF(OR($G$4="Aktiv",$G$4="Aufwand"),I284+G285-H285,I284+H285-G285))</f>
        <v/>
      </c>
    </row>
    <row r="286" customFormat="false" ht="15" hidden="false" customHeight="false" outlineLevel="0" collapsed="false">
      <c r="A286" s="54" t="n">
        <v>279</v>
      </c>
      <c r="B286" s="54" t="str">
        <f aca="false">IFERROR(MATCH(A286,Journal!$W$5:$W$1504,0),"")</f>
        <v/>
      </c>
      <c r="C286" s="55" t="str">
        <f aca="false">IF($B286="","",INDEX(Journal!$A$5:$A$1504,$B286))</f>
        <v/>
      </c>
      <c r="D286" s="54" t="str">
        <f aca="false">IF($B286="","",INDEX(Journal!$B$5:$B$1504,$B286))</f>
        <v/>
      </c>
      <c r="E286" s="54" t="str">
        <f aca="false">IF($B286="","",INDEX(Journal!$C$5:$C$1504,$B286))</f>
        <v/>
      </c>
      <c r="F286" s="54" t="str">
        <f aca="false">IF($B286="","",IF(INDEX(Journal!$D$5:$D$1504,$B286)=$C$4,INDEX(Journal!$E$5:$E$1504,$B286),INDEX(Journal!$D$5:$D$1504,$B286)))</f>
        <v/>
      </c>
      <c r="G286" s="56" t="str">
        <f aca="false">IF($B286="","",IF(INDEX(Journal!$D$5:$D$1504,$B286)=$C$4,INDEX(Journal!$M$5:$M$1504,$B286),0))</f>
        <v/>
      </c>
      <c r="H286" s="56" t="str">
        <f aca="false">IF($B286="","",IF(INDEX(Journal!$E$5:$E$1504,$B286)=$C$4,INDEX(Journal!$N$5:$N$1504,$B286),0))</f>
        <v/>
      </c>
      <c r="I286" s="56" t="str">
        <f aca="false">IF($B286="","",IF(OR($G$4="Aktiv",$G$4="Aufwand"),I285+G286-H286,I285+H286-G286))</f>
        <v/>
      </c>
    </row>
    <row r="287" customFormat="false" ht="15" hidden="false" customHeight="false" outlineLevel="0" collapsed="false">
      <c r="A287" s="54" t="n">
        <v>280</v>
      </c>
      <c r="B287" s="54" t="str">
        <f aca="false">IFERROR(MATCH(A287,Journal!$W$5:$W$1504,0),"")</f>
        <v/>
      </c>
      <c r="C287" s="55" t="str">
        <f aca="false">IF($B287="","",INDEX(Journal!$A$5:$A$1504,$B287))</f>
        <v/>
      </c>
      <c r="D287" s="54" t="str">
        <f aca="false">IF($B287="","",INDEX(Journal!$B$5:$B$1504,$B287))</f>
        <v/>
      </c>
      <c r="E287" s="54" t="str">
        <f aca="false">IF($B287="","",INDEX(Journal!$C$5:$C$1504,$B287))</f>
        <v/>
      </c>
      <c r="F287" s="54" t="str">
        <f aca="false">IF($B287="","",IF(INDEX(Journal!$D$5:$D$1504,$B287)=$C$4,INDEX(Journal!$E$5:$E$1504,$B287),INDEX(Journal!$D$5:$D$1504,$B287)))</f>
        <v/>
      </c>
      <c r="G287" s="56" t="str">
        <f aca="false">IF($B287="","",IF(INDEX(Journal!$D$5:$D$1504,$B287)=$C$4,INDEX(Journal!$M$5:$M$1504,$B287),0))</f>
        <v/>
      </c>
      <c r="H287" s="56" t="str">
        <f aca="false">IF($B287="","",IF(INDEX(Journal!$E$5:$E$1504,$B287)=$C$4,INDEX(Journal!$N$5:$N$1504,$B287),0))</f>
        <v/>
      </c>
      <c r="I287" s="56" t="str">
        <f aca="false">IF($B287="","",IF(OR($G$4="Aktiv",$G$4="Aufwand"),I286+G287-H287,I286+H287-G287))</f>
        <v/>
      </c>
    </row>
    <row r="288" customFormat="false" ht="15" hidden="false" customHeight="false" outlineLevel="0" collapsed="false">
      <c r="A288" s="54" t="n">
        <v>281</v>
      </c>
      <c r="B288" s="54" t="str">
        <f aca="false">IFERROR(MATCH(A288,Journal!$W$5:$W$1504,0),"")</f>
        <v/>
      </c>
      <c r="C288" s="55" t="str">
        <f aca="false">IF($B288="","",INDEX(Journal!$A$5:$A$1504,$B288))</f>
        <v/>
      </c>
      <c r="D288" s="54" t="str">
        <f aca="false">IF($B288="","",INDEX(Journal!$B$5:$B$1504,$B288))</f>
        <v/>
      </c>
      <c r="E288" s="54" t="str">
        <f aca="false">IF($B288="","",INDEX(Journal!$C$5:$C$1504,$B288))</f>
        <v/>
      </c>
      <c r="F288" s="54" t="str">
        <f aca="false">IF($B288="","",IF(INDEX(Journal!$D$5:$D$1504,$B288)=$C$4,INDEX(Journal!$E$5:$E$1504,$B288),INDEX(Journal!$D$5:$D$1504,$B288)))</f>
        <v/>
      </c>
      <c r="G288" s="56" t="str">
        <f aca="false">IF($B288="","",IF(INDEX(Journal!$D$5:$D$1504,$B288)=$C$4,INDEX(Journal!$M$5:$M$1504,$B288),0))</f>
        <v/>
      </c>
      <c r="H288" s="56" t="str">
        <f aca="false">IF($B288="","",IF(INDEX(Journal!$E$5:$E$1504,$B288)=$C$4,INDEX(Journal!$N$5:$N$1504,$B288),0))</f>
        <v/>
      </c>
      <c r="I288" s="56" t="str">
        <f aca="false">IF($B288="","",IF(OR($G$4="Aktiv",$G$4="Aufwand"),I287+G288-H288,I287+H288-G288))</f>
        <v/>
      </c>
    </row>
    <row r="289" customFormat="false" ht="15" hidden="false" customHeight="false" outlineLevel="0" collapsed="false">
      <c r="A289" s="54" t="n">
        <v>282</v>
      </c>
      <c r="B289" s="54" t="str">
        <f aca="false">IFERROR(MATCH(A289,Journal!$W$5:$W$1504,0),"")</f>
        <v/>
      </c>
      <c r="C289" s="55" t="str">
        <f aca="false">IF($B289="","",INDEX(Journal!$A$5:$A$1504,$B289))</f>
        <v/>
      </c>
      <c r="D289" s="54" t="str">
        <f aca="false">IF($B289="","",INDEX(Journal!$B$5:$B$1504,$B289))</f>
        <v/>
      </c>
      <c r="E289" s="54" t="str">
        <f aca="false">IF($B289="","",INDEX(Journal!$C$5:$C$1504,$B289))</f>
        <v/>
      </c>
      <c r="F289" s="54" t="str">
        <f aca="false">IF($B289="","",IF(INDEX(Journal!$D$5:$D$1504,$B289)=$C$4,INDEX(Journal!$E$5:$E$1504,$B289),INDEX(Journal!$D$5:$D$1504,$B289)))</f>
        <v/>
      </c>
      <c r="G289" s="56" t="str">
        <f aca="false">IF($B289="","",IF(INDEX(Journal!$D$5:$D$1504,$B289)=$C$4,INDEX(Journal!$M$5:$M$1504,$B289),0))</f>
        <v/>
      </c>
      <c r="H289" s="56" t="str">
        <f aca="false">IF($B289="","",IF(INDEX(Journal!$E$5:$E$1504,$B289)=$C$4,INDEX(Journal!$N$5:$N$1504,$B289),0))</f>
        <v/>
      </c>
      <c r="I289" s="56" t="str">
        <f aca="false">IF($B289="","",IF(OR($G$4="Aktiv",$G$4="Aufwand"),I288+G289-H289,I288+H289-G289))</f>
        <v/>
      </c>
    </row>
    <row r="290" customFormat="false" ht="15" hidden="false" customHeight="false" outlineLevel="0" collapsed="false">
      <c r="A290" s="54" t="n">
        <v>283</v>
      </c>
      <c r="B290" s="54" t="str">
        <f aca="false">IFERROR(MATCH(A290,Journal!$W$5:$W$1504,0),"")</f>
        <v/>
      </c>
      <c r="C290" s="55" t="str">
        <f aca="false">IF($B290="","",INDEX(Journal!$A$5:$A$1504,$B290))</f>
        <v/>
      </c>
      <c r="D290" s="54" t="str">
        <f aca="false">IF($B290="","",INDEX(Journal!$B$5:$B$1504,$B290))</f>
        <v/>
      </c>
      <c r="E290" s="54" t="str">
        <f aca="false">IF($B290="","",INDEX(Journal!$C$5:$C$1504,$B290))</f>
        <v/>
      </c>
      <c r="F290" s="54" t="str">
        <f aca="false">IF($B290="","",IF(INDEX(Journal!$D$5:$D$1504,$B290)=$C$4,INDEX(Journal!$E$5:$E$1504,$B290),INDEX(Journal!$D$5:$D$1504,$B290)))</f>
        <v/>
      </c>
      <c r="G290" s="56" t="str">
        <f aca="false">IF($B290="","",IF(INDEX(Journal!$D$5:$D$1504,$B290)=$C$4,INDEX(Journal!$M$5:$M$1504,$B290),0))</f>
        <v/>
      </c>
      <c r="H290" s="56" t="str">
        <f aca="false">IF($B290="","",IF(INDEX(Journal!$E$5:$E$1504,$B290)=$C$4,INDEX(Journal!$N$5:$N$1504,$B290),0))</f>
        <v/>
      </c>
      <c r="I290" s="56" t="str">
        <f aca="false">IF($B290="","",IF(OR($G$4="Aktiv",$G$4="Aufwand"),I289+G290-H290,I289+H290-G290))</f>
        <v/>
      </c>
    </row>
    <row r="291" customFormat="false" ht="15" hidden="false" customHeight="false" outlineLevel="0" collapsed="false">
      <c r="A291" s="54" t="n">
        <v>284</v>
      </c>
      <c r="B291" s="54" t="str">
        <f aca="false">IFERROR(MATCH(A291,Journal!$W$5:$W$1504,0),"")</f>
        <v/>
      </c>
      <c r="C291" s="55" t="str">
        <f aca="false">IF($B291="","",INDEX(Journal!$A$5:$A$1504,$B291))</f>
        <v/>
      </c>
      <c r="D291" s="54" t="str">
        <f aca="false">IF($B291="","",INDEX(Journal!$B$5:$B$1504,$B291))</f>
        <v/>
      </c>
      <c r="E291" s="54" t="str">
        <f aca="false">IF($B291="","",INDEX(Journal!$C$5:$C$1504,$B291))</f>
        <v/>
      </c>
      <c r="F291" s="54" t="str">
        <f aca="false">IF($B291="","",IF(INDEX(Journal!$D$5:$D$1504,$B291)=$C$4,INDEX(Journal!$E$5:$E$1504,$B291),INDEX(Journal!$D$5:$D$1504,$B291)))</f>
        <v/>
      </c>
      <c r="G291" s="56" t="str">
        <f aca="false">IF($B291="","",IF(INDEX(Journal!$D$5:$D$1504,$B291)=$C$4,INDEX(Journal!$M$5:$M$1504,$B291),0))</f>
        <v/>
      </c>
      <c r="H291" s="56" t="str">
        <f aca="false">IF($B291="","",IF(INDEX(Journal!$E$5:$E$1504,$B291)=$C$4,INDEX(Journal!$N$5:$N$1504,$B291),0))</f>
        <v/>
      </c>
      <c r="I291" s="56" t="str">
        <f aca="false">IF($B291="","",IF(OR($G$4="Aktiv",$G$4="Aufwand"),I290+G291-H291,I290+H291-G291))</f>
        <v/>
      </c>
    </row>
    <row r="292" customFormat="false" ht="15" hidden="false" customHeight="false" outlineLevel="0" collapsed="false">
      <c r="A292" s="54" t="n">
        <v>285</v>
      </c>
      <c r="B292" s="54" t="str">
        <f aca="false">IFERROR(MATCH(A292,Journal!$W$5:$W$1504,0),"")</f>
        <v/>
      </c>
      <c r="C292" s="55" t="str">
        <f aca="false">IF($B292="","",INDEX(Journal!$A$5:$A$1504,$B292))</f>
        <v/>
      </c>
      <c r="D292" s="54" t="str">
        <f aca="false">IF($B292="","",INDEX(Journal!$B$5:$B$1504,$B292))</f>
        <v/>
      </c>
      <c r="E292" s="54" t="str">
        <f aca="false">IF($B292="","",INDEX(Journal!$C$5:$C$1504,$B292))</f>
        <v/>
      </c>
      <c r="F292" s="54" t="str">
        <f aca="false">IF($B292="","",IF(INDEX(Journal!$D$5:$D$1504,$B292)=$C$4,INDEX(Journal!$E$5:$E$1504,$B292),INDEX(Journal!$D$5:$D$1504,$B292)))</f>
        <v/>
      </c>
      <c r="G292" s="56" t="str">
        <f aca="false">IF($B292="","",IF(INDEX(Journal!$D$5:$D$1504,$B292)=$C$4,INDEX(Journal!$M$5:$M$1504,$B292),0))</f>
        <v/>
      </c>
      <c r="H292" s="56" t="str">
        <f aca="false">IF($B292="","",IF(INDEX(Journal!$E$5:$E$1504,$B292)=$C$4,INDEX(Journal!$N$5:$N$1504,$B292),0))</f>
        <v/>
      </c>
      <c r="I292" s="56" t="str">
        <f aca="false">IF($B292="","",IF(OR($G$4="Aktiv",$G$4="Aufwand"),I291+G292-H292,I291+H292-G292))</f>
        <v/>
      </c>
    </row>
    <row r="293" customFormat="false" ht="15" hidden="false" customHeight="false" outlineLevel="0" collapsed="false">
      <c r="A293" s="54" t="n">
        <v>286</v>
      </c>
      <c r="B293" s="54" t="str">
        <f aca="false">IFERROR(MATCH(A293,Journal!$W$5:$W$1504,0),"")</f>
        <v/>
      </c>
      <c r="C293" s="55" t="str">
        <f aca="false">IF($B293="","",INDEX(Journal!$A$5:$A$1504,$B293))</f>
        <v/>
      </c>
      <c r="D293" s="54" t="str">
        <f aca="false">IF($B293="","",INDEX(Journal!$B$5:$B$1504,$B293))</f>
        <v/>
      </c>
      <c r="E293" s="54" t="str">
        <f aca="false">IF($B293="","",INDEX(Journal!$C$5:$C$1504,$B293))</f>
        <v/>
      </c>
      <c r="F293" s="54" t="str">
        <f aca="false">IF($B293="","",IF(INDEX(Journal!$D$5:$D$1504,$B293)=$C$4,INDEX(Journal!$E$5:$E$1504,$B293),INDEX(Journal!$D$5:$D$1504,$B293)))</f>
        <v/>
      </c>
      <c r="G293" s="56" t="str">
        <f aca="false">IF($B293="","",IF(INDEX(Journal!$D$5:$D$1504,$B293)=$C$4,INDEX(Journal!$M$5:$M$1504,$B293),0))</f>
        <v/>
      </c>
      <c r="H293" s="56" t="str">
        <f aca="false">IF($B293="","",IF(INDEX(Journal!$E$5:$E$1504,$B293)=$C$4,INDEX(Journal!$N$5:$N$1504,$B293),0))</f>
        <v/>
      </c>
      <c r="I293" s="56" t="str">
        <f aca="false">IF($B293="","",IF(OR($G$4="Aktiv",$G$4="Aufwand"),I292+G293-H293,I292+H293-G293))</f>
        <v/>
      </c>
    </row>
    <row r="294" customFormat="false" ht="15" hidden="false" customHeight="false" outlineLevel="0" collapsed="false">
      <c r="A294" s="54" t="n">
        <v>287</v>
      </c>
      <c r="B294" s="54" t="str">
        <f aca="false">IFERROR(MATCH(A294,Journal!$W$5:$W$1504,0),"")</f>
        <v/>
      </c>
      <c r="C294" s="55" t="str">
        <f aca="false">IF($B294="","",INDEX(Journal!$A$5:$A$1504,$B294))</f>
        <v/>
      </c>
      <c r="D294" s="54" t="str">
        <f aca="false">IF($B294="","",INDEX(Journal!$B$5:$B$1504,$B294))</f>
        <v/>
      </c>
      <c r="E294" s="54" t="str">
        <f aca="false">IF($B294="","",INDEX(Journal!$C$5:$C$1504,$B294))</f>
        <v/>
      </c>
      <c r="F294" s="54" t="str">
        <f aca="false">IF($B294="","",IF(INDEX(Journal!$D$5:$D$1504,$B294)=$C$4,INDEX(Journal!$E$5:$E$1504,$B294),INDEX(Journal!$D$5:$D$1504,$B294)))</f>
        <v/>
      </c>
      <c r="G294" s="56" t="str">
        <f aca="false">IF($B294="","",IF(INDEX(Journal!$D$5:$D$1504,$B294)=$C$4,INDEX(Journal!$M$5:$M$1504,$B294),0))</f>
        <v/>
      </c>
      <c r="H294" s="56" t="str">
        <f aca="false">IF($B294="","",IF(INDEX(Journal!$E$5:$E$1504,$B294)=$C$4,INDEX(Journal!$N$5:$N$1504,$B294),0))</f>
        <v/>
      </c>
      <c r="I294" s="56" t="str">
        <f aca="false">IF($B294="","",IF(OR($G$4="Aktiv",$G$4="Aufwand"),I293+G294-H294,I293+H294-G294))</f>
        <v/>
      </c>
    </row>
    <row r="295" customFormat="false" ht="15" hidden="false" customHeight="false" outlineLevel="0" collapsed="false">
      <c r="A295" s="54" t="n">
        <v>288</v>
      </c>
      <c r="B295" s="54" t="str">
        <f aca="false">IFERROR(MATCH(A295,Journal!$W$5:$W$1504,0),"")</f>
        <v/>
      </c>
      <c r="C295" s="55" t="str">
        <f aca="false">IF($B295="","",INDEX(Journal!$A$5:$A$1504,$B295))</f>
        <v/>
      </c>
      <c r="D295" s="54" t="str">
        <f aca="false">IF($B295="","",INDEX(Journal!$B$5:$B$1504,$B295))</f>
        <v/>
      </c>
      <c r="E295" s="54" t="str">
        <f aca="false">IF($B295="","",INDEX(Journal!$C$5:$C$1504,$B295))</f>
        <v/>
      </c>
      <c r="F295" s="54" t="str">
        <f aca="false">IF($B295="","",IF(INDEX(Journal!$D$5:$D$1504,$B295)=$C$4,INDEX(Journal!$E$5:$E$1504,$B295),INDEX(Journal!$D$5:$D$1504,$B295)))</f>
        <v/>
      </c>
      <c r="G295" s="56" t="str">
        <f aca="false">IF($B295="","",IF(INDEX(Journal!$D$5:$D$1504,$B295)=$C$4,INDEX(Journal!$M$5:$M$1504,$B295),0))</f>
        <v/>
      </c>
      <c r="H295" s="56" t="str">
        <f aca="false">IF($B295="","",IF(INDEX(Journal!$E$5:$E$1504,$B295)=$C$4,INDEX(Journal!$N$5:$N$1504,$B295),0))</f>
        <v/>
      </c>
      <c r="I295" s="56" t="str">
        <f aca="false">IF($B295="","",IF(OR($G$4="Aktiv",$G$4="Aufwand"),I294+G295-H295,I294+H295-G295))</f>
        <v/>
      </c>
    </row>
    <row r="296" customFormat="false" ht="15" hidden="false" customHeight="false" outlineLevel="0" collapsed="false">
      <c r="A296" s="54" t="n">
        <v>289</v>
      </c>
      <c r="B296" s="54" t="str">
        <f aca="false">IFERROR(MATCH(A296,Journal!$W$5:$W$1504,0),"")</f>
        <v/>
      </c>
      <c r="C296" s="55" t="str">
        <f aca="false">IF($B296="","",INDEX(Journal!$A$5:$A$1504,$B296))</f>
        <v/>
      </c>
      <c r="D296" s="54" t="str">
        <f aca="false">IF($B296="","",INDEX(Journal!$B$5:$B$1504,$B296))</f>
        <v/>
      </c>
      <c r="E296" s="54" t="str">
        <f aca="false">IF($B296="","",INDEX(Journal!$C$5:$C$1504,$B296))</f>
        <v/>
      </c>
      <c r="F296" s="54" t="str">
        <f aca="false">IF($B296="","",IF(INDEX(Journal!$D$5:$D$1504,$B296)=$C$4,INDEX(Journal!$E$5:$E$1504,$B296),INDEX(Journal!$D$5:$D$1504,$B296)))</f>
        <v/>
      </c>
      <c r="G296" s="56" t="str">
        <f aca="false">IF($B296="","",IF(INDEX(Journal!$D$5:$D$1504,$B296)=$C$4,INDEX(Journal!$M$5:$M$1504,$B296),0))</f>
        <v/>
      </c>
      <c r="H296" s="56" t="str">
        <f aca="false">IF($B296="","",IF(INDEX(Journal!$E$5:$E$1504,$B296)=$C$4,INDEX(Journal!$N$5:$N$1504,$B296),0))</f>
        <v/>
      </c>
      <c r="I296" s="56" t="str">
        <f aca="false">IF($B296="","",IF(OR($G$4="Aktiv",$G$4="Aufwand"),I295+G296-H296,I295+H296-G296))</f>
        <v/>
      </c>
    </row>
    <row r="297" customFormat="false" ht="15" hidden="false" customHeight="false" outlineLevel="0" collapsed="false">
      <c r="A297" s="54" t="n">
        <v>290</v>
      </c>
      <c r="B297" s="54" t="str">
        <f aca="false">IFERROR(MATCH(A297,Journal!$W$5:$W$1504,0),"")</f>
        <v/>
      </c>
      <c r="C297" s="55" t="str">
        <f aca="false">IF($B297="","",INDEX(Journal!$A$5:$A$1504,$B297))</f>
        <v/>
      </c>
      <c r="D297" s="54" t="str">
        <f aca="false">IF($B297="","",INDEX(Journal!$B$5:$B$1504,$B297))</f>
        <v/>
      </c>
      <c r="E297" s="54" t="str">
        <f aca="false">IF($B297="","",INDEX(Journal!$C$5:$C$1504,$B297))</f>
        <v/>
      </c>
      <c r="F297" s="54" t="str">
        <f aca="false">IF($B297="","",IF(INDEX(Journal!$D$5:$D$1504,$B297)=$C$4,INDEX(Journal!$E$5:$E$1504,$B297),INDEX(Journal!$D$5:$D$1504,$B297)))</f>
        <v/>
      </c>
      <c r="G297" s="56" t="str">
        <f aca="false">IF($B297="","",IF(INDEX(Journal!$D$5:$D$1504,$B297)=$C$4,INDEX(Journal!$M$5:$M$1504,$B297),0))</f>
        <v/>
      </c>
      <c r="H297" s="56" t="str">
        <f aca="false">IF($B297="","",IF(INDEX(Journal!$E$5:$E$1504,$B297)=$C$4,INDEX(Journal!$N$5:$N$1504,$B297),0))</f>
        <v/>
      </c>
      <c r="I297" s="56" t="str">
        <f aca="false">IF($B297="","",IF(OR($G$4="Aktiv",$G$4="Aufwand"),I296+G297-H297,I296+H297-G297))</f>
        <v/>
      </c>
    </row>
    <row r="298" customFormat="false" ht="15" hidden="false" customHeight="false" outlineLevel="0" collapsed="false">
      <c r="A298" s="54" t="n">
        <v>291</v>
      </c>
      <c r="B298" s="54" t="str">
        <f aca="false">IFERROR(MATCH(A298,Journal!$W$5:$W$1504,0),"")</f>
        <v/>
      </c>
      <c r="C298" s="55" t="str">
        <f aca="false">IF($B298="","",INDEX(Journal!$A$5:$A$1504,$B298))</f>
        <v/>
      </c>
      <c r="D298" s="54" t="str">
        <f aca="false">IF($B298="","",INDEX(Journal!$B$5:$B$1504,$B298))</f>
        <v/>
      </c>
      <c r="E298" s="54" t="str">
        <f aca="false">IF($B298="","",INDEX(Journal!$C$5:$C$1504,$B298))</f>
        <v/>
      </c>
      <c r="F298" s="54" t="str">
        <f aca="false">IF($B298="","",IF(INDEX(Journal!$D$5:$D$1504,$B298)=$C$4,INDEX(Journal!$E$5:$E$1504,$B298),INDEX(Journal!$D$5:$D$1504,$B298)))</f>
        <v/>
      </c>
      <c r="G298" s="56" t="str">
        <f aca="false">IF($B298="","",IF(INDEX(Journal!$D$5:$D$1504,$B298)=$C$4,INDEX(Journal!$M$5:$M$1504,$B298),0))</f>
        <v/>
      </c>
      <c r="H298" s="56" t="str">
        <f aca="false">IF($B298="","",IF(INDEX(Journal!$E$5:$E$1504,$B298)=$C$4,INDEX(Journal!$N$5:$N$1504,$B298),0))</f>
        <v/>
      </c>
      <c r="I298" s="56" t="str">
        <f aca="false">IF($B298="","",IF(OR($G$4="Aktiv",$G$4="Aufwand"),I297+G298-H298,I297+H298-G298))</f>
        <v/>
      </c>
    </row>
    <row r="299" customFormat="false" ht="15" hidden="false" customHeight="false" outlineLevel="0" collapsed="false">
      <c r="A299" s="54" t="n">
        <v>292</v>
      </c>
      <c r="B299" s="54" t="str">
        <f aca="false">IFERROR(MATCH(A299,Journal!$W$5:$W$1504,0),"")</f>
        <v/>
      </c>
      <c r="C299" s="55" t="str">
        <f aca="false">IF($B299="","",INDEX(Journal!$A$5:$A$1504,$B299))</f>
        <v/>
      </c>
      <c r="D299" s="54" t="str">
        <f aca="false">IF($B299="","",INDEX(Journal!$B$5:$B$1504,$B299))</f>
        <v/>
      </c>
      <c r="E299" s="54" t="str">
        <f aca="false">IF($B299="","",INDEX(Journal!$C$5:$C$1504,$B299))</f>
        <v/>
      </c>
      <c r="F299" s="54" t="str">
        <f aca="false">IF($B299="","",IF(INDEX(Journal!$D$5:$D$1504,$B299)=$C$4,INDEX(Journal!$E$5:$E$1504,$B299),INDEX(Journal!$D$5:$D$1504,$B299)))</f>
        <v/>
      </c>
      <c r="G299" s="56" t="str">
        <f aca="false">IF($B299="","",IF(INDEX(Journal!$D$5:$D$1504,$B299)=$C$4,INDEX(Journal!$M$5:$M$1504,$B299),0))</f>
        <v/>
      </c>
      <c r="H299" s="56" t="str">
        <f aca="false">IF($B299="","",IF(INDEX(Journal!$E$5:$E$1504,$B299)=$C$4,INDEX(Journal!$N$5:$N$1504,$B299),0))</f>
        <v/>
      </c>
      <c r="I299" s="56" t="str">
        <f aca="false">IF($B299="","",IF(OR($G$4="Aktiv",$G$4="Aufwand"),I298+G299-H299,I298+H299-G299))</f>
        <v/>
      </c>
    </row>
    <row r="300" customFormat="false" ht="15" hidden="false" customHeight="false" outlineLevel="0" collapsed="false">
      <c r="A300" s="54" t="n">
        <v>293</v>
      </c>
      <c r="B300" s="54" t="str">
        <f aca="false">IFERROR(MATCH(A300,Journal!$W$5:$W$1504,0),"")</f>
        <v/>
      </c>
      <c r="C300" s="55" t="str">
        <f aca="false">IF($B300="","",INDEX(Journal!$A$5:$A$1504,$B300))</f>
        <v/>
      </c>
      <c r="D300" s="54" t="str">
        <f aca="false">IF($B300="","",INDEX(Journal!$B$5:$B$1504,$B300))</f>
        <v/>
      </c>
      <c r="E300" s="54" t="str">
        <f aca="false">IF($B300="","",INDEX(Journal!$C$5:$C$1504,$B300))</f>
        <v/>
      </c>
      <c r="F300" s="54" t="str">
        <f aca="false">IF($B300="","",IF(INDEX(Journal!$D$5:$D$1504,$B300)=$C$4,INDEX(Journal!$E$5:$E$1504,$B300),INDEX(Journal!$D$5:$D$1504,$B300)))</f>
        <v/>
      </c>
      <c r="G300" s="56" t="str">
        <f aca="false">IF($B300="","",IF(INDEX(Journal!$D$5:$D$1504,$B300)=$C$4,INDEX(Journal!$M$5:$M$1504,$B300),0))</f>
        <v/>
      </c>
      <c r="H300" s="56" t="str">
        <f aca="false">IF($B300="","",IF(INDEX(Journal!$E$5:$E$1504,$B300)=$C$4,INDEX(Journal!$N$5:$N$1504,$B300),0))</f>
        <v/>
      </c>
      <c r="I300" s="56" t="str">
        <f aca="false">IF($B300="","",IF(OR($G$4="Aktiv",$G$4="Aufwand"),I299+G300-H300,I299+H300-G300))</f>
        <v/>
      </c>
    </row>
    <row r="301" customFormat="false" ht="15" hidden="false" customHeight="false" outlineLevel="0" collapsed="false">
      <c r="A301" s="54" t="n">
        <v>294</v>
      </c>
      <c r="B301" s="54" t="str">
        <f aca="false">IFERROR(MATCH(A301,Journal!$W$5:$W$1504,0),"")</f>
        <v/>
      </c>
      <c r="C301" s="55" t="str">
        <f aca="false">IF($B301="","",INDEX(Journal!$A$5:$A$1504,$B301))</f>
        <v/>
      </c>
      <c r="D301" s="54" t="str">
        <f aca="false">IF($B301="","",INDEX(Journal!$B$5:$B$1504,$B301))</f>
        <v/>
      </c>
      <c r="E301" s="54" t="str">
        <f aca="false">IF($B301="","",INDEX(Journal!$C$5:$C$1504,$B301))</f>
        <v/>
      </c>
      <c r="F301" s="54" t="str">
        <f aca="false">IF($B301="","",IF(INDEX(Journal!$D$5:$D$1504,$B301)=$C$4,INDEX(Journal!$E$5:$E$1504,$B301),INDEX(Journal!$D$5:$D$1504,$B301)))</f>
        <v/>
      </c>
      <c r="G301" s="56" t="str">
        <f aca="false">IF($B301="","",IF(INDEX(Journal!$D$5:$D$1504,$B301)=$C$4,INDEX(Journal!$M$5:$M$1504,$B301),0))</f>
        <v/>
      </c>
      <c r="H301" s="56" t="str">
        <f aca="false">IF($B301="","",IF(INDEX(Journal!$E$5:$E$1504,$B301)=$C$4,INDEX(Journal!$N$5:$N$1504,$B301),0))</f>
        <v/>
      </c>
      <c r="I301" s="56" t="str">
        <f aca="false">IF($B301="","",IF(OR($G$4="Aktiv",$G$4="Aufwand"),I300+G301-H301,I300+H301-G301))</f>
        <v/>
      </c>
    </row>
    <row r="302" customFormat="false" ht="15" hidden="false" customHeight="false" outlineLevel="0" collapsed="false">
      <c r="A302" s="54" t="n">
        <v>295</v>
      </c>
      <c r="B302" s="54" t="str">
        <f aca="false">IFERROR(MATCH(A302,Journal!$W$5:$W$1504,0),"")</f>
        <v/>
      </c>
      <c r="C302" s="55" t="str">
        <f aca="false">IF($B302="","",INDEX(Journal!$A$5:$A$1504,$B302))</f>
        <v/>
      </c>
      <c r="D302" s="54" t="str">
        <f aca="false">IF($B302="","",INDEX(Journal!$B$5:$B$1504,$B302))</f>
        <v/>
      </c>
      <c r="E302" s="54" t="str">
        <f aca="false">IF($B302="","",INDEX(Journal!$C$5:$C$1504,$B302))</f>
        <v/>
      </c>
      <c r="F302" s="54" t="str">
        <f aca="false">IF($B302="","",IF(INDEX(Journal!$D$5:$D$1504,$B302)=$C$4,INDEX(Journal!$E$5:$E$1504,$B302),INDEX(Journal!$D$5:$D$1504,$B302)))</f>
        <v/>
      </c>
      <c r="G302" s="56" t="str">
        <f aca="false">IF($B302="","",IF(INDEX(Journal!$D$5:$D$1504,$B302)=$C$4,INDEX(Journal!$M$5:$M$1504,$B302),0))</f>
        <v/>
      </c>
      <c r="H302" s="56" t="str">
        <f aca="false">IF($B302="","",IF(INDEX(Journal!$E$5:$E$1504,$B302)=$C$4,INDEX(Journal!$N$5:$N$1504,$B302),0))</f>
        <v/>
      </c>
      <c r="I302" s="56" t="str">
        <f aca="false">IF($B302="","",IF(OR($G$4="Aktiv",$G$4="Aufwand"),I301+G302-H302,I301+H302-G302))</f>
        <v/>
      </c>
    </row>
    <row r="303" customFormat="false" ht="15" hidden="false" customHeight="false" outlineLevel="0" collapsed="false">
      <c r="A303" s="54" t="n">
        <v>296</v>
      </c>
      <c r="B303" s="54" t="str">
        <f aca="false">IFERROR(MATCH(A303,Journal!$W$5:$W$1504,0),"")</f>
        <v/>
      </c>
      <c r="C303" s="55" t="str">
        <f aca="false">IF($B303="","",INDEX(Journal!$A$5:$A$1504,$B303))</f>
        <v/>
      </c>
      <c r="D303" s="54" t="str">
        <f aca="false">IF($B303="","",INDEX(Journal!$B$5:$B$1504,$B303))</f>
        <v/>
      </c>
      <c r="E303" s="54" t="str">
        <f aca="false">IF($B303="","",INDEX(Journal!$C$5:$C$1504,$B303))</f>
        <v/>
      </c>
      <c r="F303" s="54" t="str">
        <f aca="false">IF($B303="","",IF(INDEX(Journal!$D$5:$D$1504,$B303)=$C$4,INDEX(Journal!$E$5:$E$1504,$B303),INDEX(Journal!$D$5:$D$1504,$B303)))</f>
        <v/>
      </c>
      <c r="G303" s="56" t="str">
        <f aca="false">IF($B303="","",IF(INDEX(Journal!$D$5:$D$1504,$B303)=$C$4,INDEX(Journal!$M$5:$M$1504,$B303),0))</f>
        <v/>
      </c>
      <c r="H303" s="56" t="str">
        <f aca="false">IF($B303="","",IF(INDEX(Journal!$E$5:$E$1504,$B303)=$C$4,INDEX(Journal!$N$5:$N$1504,$B303),0))</f>
        <v/>
      </c>
      <c r="I303" s="56" t="str">
        <f aca="false">IF($B303="","",IF(OR($G$4="Aktiv",$G$4="Aufwand"),I302+G303-H303,I302+H303-G303))</f>
        <v/>
      </c>
    </row>
    <row r="304" customFormat="false" ht="15" hidden="false" customHeight="false" outlineLevel="0" collapsed="false">
      <c r="A304" s="54" t="n">
        <v>297</v>
      </c>
      <c r="B304" s="54" t="str">
        <f aca="false">IFERROR(MATCH(A304,Journal!$W$5:$W$1504,0),"")</f>
        <v/>
      </c>
      <c r="C304" s="55" t="str">
        <f aca="false">IF($B304="","",INDEX(Journal!$A$5:$A$1504,$B304))</f>
        <v/>
      </c>
      <c r="D304" s="54" t="str">
        <f aca="false">IF($B304="","",INDEX(Journal!$B$5:$B$1504,$B304))</f>
        <v/>
      </c>
      <c r="E304" s="54" t="str">
        <f aca="false">IF($B304="","",INDEX(Journal!$C$5:$C$1504,$B304))</f>
        <v/>
      </c>
      <c r="F304" s="54" t="str">
        <f aca="false">IF($B304="","",IF(INDEX(Journal!$D$5:$D$1504,$B304)=$C$4,INDEX(Journal!$E$5:$E$1504,$B304),INDEX(Journal!$D$5:$D$1504,$B304)))</f>
        <v/>
      </c>
      <c r="G304" s="56" t="str">
        <f aca="false">IF($B304="","",IF(INDEX(Journal!$D$5:$D$1504,$B304)=$C$4,INDEX(Journal!$M$5:$M$1504,$B304),0))</f>
        <v/>
      </c>
      <c r="H304" s="56" t="str">
        <f aca="false">IF($B304="","",IF(INDEX(Journal!$E$5:$E$1504,$B304)=$C$4,INDEX(Journal!$N$5:$N$1504,$B304),0))</f>
        <v/>
      </c>
      <c r="I304" s="56" t="str">
        <f aca="false">IF($B304="","",IF(OR($G$4="Aktiv",$G$4="Aufwand"),I303+G304-H304,I303+H304-G304))</f>
        <v/>
      </c>
    </row>
    <row r="305" customFormat="false" ht="15" hidden="false" customHeight="false" outlineLevel="0" collapsed="false">
      <c r="A305" s="54" t="n">
        <v>298</v>
      </c>
      <c r="B305" s="54" t="str">
        <f aca="false">IFERROR(MATCH(A305,Journal!$W$5:$W$1504,0),"")</f>
        <v/>
      </c>
      <c r="C305" s="55" t="str">
        <f aca="false">IF($B305="","",INDEX(Journal!$A$5:$A$1504,$B305))</f>
        <v/>
      </c>
      <c r="D305" s="54" t="str">
        <f aca="false">IF($B305="","",INDEX(Journal!$B$5:$B$1504,$B305))</f>
        <v/>
      </c>
      <c r="E305" s="54" t="str">
        <f aca="false">IF($B305="","",INDEX(Journal!$C$5:$C$1504,$B305))</f>
        <v/>
      </c>
      <c r="F305" s="54" t="str">
        <f aca="false">IF($B305="","",IF(INDEX(Journal!$D$5:$D$1504,$B305)=$C$4,INDEX(Journal!$E$5:$E$1504,$B305),INDEX(Journal!$D$5:$D$1504,$B305)))</f>
        <v/>
      </c>
      <c r="G305" s="56" t="str">
        <f aca="false">IF($B305="","",IF(INDEX(Journal!$D$5:$D$1504,$B305)=$C$4,INDEX(Journal!$M$5:$M$1504,$B305),0))</f>
        <v/>
      </c>
      <c r="H305" s="56" t="str">
        <f aca="false">IF($B305="","",IF(INDEX(Journal!$E$5:$E$1504,$B305)=$C$4,INDEX(Journal!$N$5:$N$1504,$B305),0))</f>
        <v/>
      </c>
      <c r="I305" s="56" t="str">
        <f aca="false">IF($B305="","",IF(OR($G$4="Aktiv",$G$4="Aufwand"),I304+G305-H305,I304+H305-G305))</f>
        <v/>
      </c>
    </row>
    <row r="306" customFormat="false" ht="15" hidden="false" customHeight="false" outlineLevel="0" collapsed="false">
      <c r="A306" s="54" t="n">
        <v>299</v>
      </c>
      <c r="B306" s="54" t="str">
        <f aca="false">IFERROR(MATCH(A306,Journal!$W$5:$W$1504,0),"")</f>
        <v/>
      </c>
      <c r="C306" s="55" t="str">
        <f aca="false">IF($B306="","",INDEX(Journal!$A$5:$A$1504,$B306))</f>
        <v/>
      </c>
      <c r="D306" s="54" t="str">
        <f aca="false">IF($B306="","",INDEX(Journal!$B$5:$B$1504,$B306))</f>
        <v/>
      </c>
      <c r="E306" s="54" t="str">
        <f aca="false">IF($B306="","",INDEX(Journal!$C$5:$C$1504,$B306))</f>
        <v/>
      </c>
      <c r="F306" s="54" t="str">
        <f aca="false">IF($B306="","",IF(INDEX(Journal!$D$5:$D$1504,$B306)=$C$4,INDEX(Journal!$E$5:$E$1504,$B306),INDEX(Journal!$D$5:$D$1504,$B306)))</f>
        <v/>
      </c>
      <c r="G306" s="56" t="str">
        <f aca="false">IF($B306="","",IF(INDEX(Journal!$D$5:$D$1504,$B306)=$C$4,INDEX(Journal!$M$5:$M$1504,$B306),0))</f>
        <v/>
      </c>
      <c r="H306" s="56" t="str">
        <f aca="false">IF($B306="","",IF(INDEX(Journal!$E$5:$E$1504,$B306)=$C$4,INDEX(Journal!$N$5:$N$1504,$B306),0))</f>
        <v/>
      </c>
      <c r="I306" s="56" t="str">
        <f aca="false">IF($B306="","",IF(OR($G$4="Aktiv",$G$4="Aufwand"),I305+G306-H306,I305+H306-G306))</f>
        <v/>
      </c>
    </row>
    <row r="307" customFormat="false" ht="15" hidden="false" customHeight="false" outlineLevel="0" collapsed="false">
      <c r="A307" s="54" t="n">
        <v>300</v>
      </c>
      <c r="B307" s="54" t="str">
        <f aca="false">IFERROR(MATCH(A307,Journal!$W$5:$W$1504,0),"")</f>
        <v/>
      </c>
      <c r="C307" s="55" t="str">
        <f aca="false">IF($B307="","",INDEX(Journal!$A$5:$A$1504,$B307))</f>
        <v/>
      </c>
      <c r="D307" s="54" t="str">
        <f aca="false">IF($B307="","",INDEX(Journal!$B$5:$B$1504,$B307))</f>
        <v/>
      </c>
      <c r="E307" s="54" t="str">
        <f aca="false">IF($B307="","",INDEX(Journal!$C$5:$C$1504,$B307))</f>
        <v/>
      </c>
      <c r="F307" s="54" t="str">
        <f aca="false">IF($B307="","",IF(INDEX(Journal!$D$5:$D$1504,$B307)=$C$4,INDEX(Journal!$E$5:$E$1504,$B307),INDEX(Journal!$D$5:$D$1504,$B307)))</f>
        <v/>
      </c>
      <c r="G307" s="56" t="str">
        <f aca="false">IF($B307="","",IF(INDEX(Journal!$D$5:$D$1504,$B307)=$C$4,INDEX(Journal!$M$5:$M$1504,$B307),0))</f>
        <v/>
      </c>
      <c r="H307" s="56" t="str">
        <f aca="false">IF($B307="","",IF(INDEX(Journal!$E$5:$E$1504,$B307)=$C$4,INDEX(Journal!$N$5:$N$1504,$B307),0))</f>
        <v/>
      </c>
      <c r="I307" s="56" t="str">
        <f aca="false">IF($B307="","",IF(OR($G$4="Aktiv",$G$4="Aufwand"),I306+G307-H307,I306+H307-G307))</f>
        <v/>
      </c>
    </row>
    <row r="308" customFormat="false" ht="15" hidden="false" customHeight="false" outlineLevel="0" collapsed="false">
      <c r="A308" s="54" t="n">
        <v>301</v>
      </c>
      <c r="B308" s="54" t="str">
        <f aca="false">IFERROR(MATCH(A308,Journal!$W$5:$W$1504,0),"")</f>
        <v/>
      </c>
      <c r="C308" s="55" t="str">
        <f aca="false">IF($B308="","",INDEX(Journal!$A$5:$A$1504,$B308))</f>
        <v/>
      </c>
      <c r="D308" s="54" t="str">
        <f aca="false">IF($B308="","",INDEX(Journal!$B$5:$B$1504,$B308))</f>
        <v/>
      </c>
      <c r="E308" s="54" t="str">
        <f aca="false">IF($B308="","",INDEX(Journal!$C$5:$C$1504,$B308))</f>
        <v/>
      </c>
      <c r="F308" s="54" t="str">
        <f aca="false">IF($B308="","",IF(INDEX(Journal!$D$5:$D$1504,$B308)=$C$4,INDEX(Journal!$E$5:$E$1504,$B308),INDEX(Journal!$D$5:$D$1504,$B308)))</f>
        <v/>
      </c>
      <c r="G308" s="56" t="str">
        <f aca="false">IF($B308="","",IF(INDEX(Journal!$D$5:$D$1504,$B308)=$C$4,INDEX(Journal!$M$5:$M$1504,$B308),0))</f>
        <v/>
      </c>
      <c r="H308" s="56" t="str">
        <f aca="false">IF($B308="","",IF(INDEX(Journal!$E$5:$E$1504,$B308)=$C$4,INDEX(Journal!$N$5:$N$1504,$B308),0))</f>
        <v/>
      </c>
      <c r="I308" s="56" t="str">
        <f aca="false">IF($B308="","",IF(OR($G$4="Aktiv",$G$4="Aufwand"),I307+G308-H308,I307+H308-G308))</f>
        <v/>
      </c>
    </row>
    <row r="309" customFormat="false" ht="15" hidden="false" customHeight="false" outlineLevel="0" collapsed="false">
      <c r="A309" s="54" t="n">
        <v>302</v>
      </c>
      <c r="B309" s="54" t="str">
        <f aca="false">IFERROR(MATCH(A309,Journal!$W$5:$W$1504,0),"")</f>
        <v/>
      </c>
      <c r="C309" s="55" t="str">
        <f aca="false">IF($B309="","",INDEX(Journal!$A$5:$A$1504,$B309))</f>
        <v/>
      </c>
      <c r="D309" s="54" t="str">
        <f aca="false">IF($B309="","",INDEX(Journal!$B$5:$B$1504,$B309))</f>
        <v/>
      </c>
      <c r="E309" s="54" t="str">
        <f aca="false">IF($B309="","",INDEX(Journal!$C$5:$C$1504,$B309))</f>
        <v/>
      </c>
      <c r="F309" s="54" t="str">
        <f aca="false">IF($B309="","",IF(INDEX(Journal!$D$5:$D$1504,$B309)=$C$4,INDEX(Journal!$E$5:$E$1504,$B309),INDEX(Journal!$D$5:$D$1504,$B309)))</f>
        <v/>
      </c>
      <c r="G309" s="56" t="str">
        <f aca="false">IF($B309="","",IF(INDEX(Journal!$D$5:$D$1504,$B309)=$C$4,INDEX(Journal!$M$5:$M$1504,$B309),0))</f>
        <v/>
      </c>
      <c r="H309" s="56" t="str">
        <f aca="false">IF($B309="","",IF(INDEX(Journal!$E$5:$E$1504,$B309)=$C$4,INDEX(Journal!$N$5:$N$1504,$B309),0))</f>
        <v/>
      </c>
      <c r="I309" s="56" t="str">
        <f aca="false">IF($B309="","",IF(OR($G$4="Aktiv",$G$4="Aufwand"),I308+G309-H309,I308+H309-G309))</f>
        <v/>
      </c>
    </row>
    <row r="310" customFormat="false" ht="15" hidden="false" customHeight="false" outlineLevel="0" collapsed="false">
      <c r="A310" s="54" t="n">
        <v>303</v>
      </c>
      <c r="B310" s="54" t="str">
        <f aca="false">IFERROR(MATCH(A310,Journal!$W$5:$W$1504,0),"")</f>
        <v/>
      </c>
      <c r="C310" s="55" t="str">
        <f aca="false">IF($B310="","",INDEX(Journal!$A$5:$A$1504,$B310))</f>
        <v/>
      </c>
      <c r="D310" s="54" t="str">
        <f aca="false">IF($B310="","",INDEX(Journal!$B$5:$B$1504,$B310))</f>
        <v/>
      </c>
      <c r="E310" s="54" t="str">
        <f aca="false">IF($B310="","",INDEX(Journal!$C$5:$C$1504,$B310))</f>
        <v/>
      </c>
      <c r="F310" s="54" t="str">
        <f aca="false">IF($B310="","",IF(INDEX(Journal!$D$5:$D$1504,$B310)=$C$4,INDEX(Journal!$E$5:$E$1504,$B310),INDEX(Journal!$D$5:$D$1504,$B310)))</f>
        <v/>
      </c>
      <c r="G310" s="56" t="str">
        <f aca="false">IF($B310="","",IF(INDEX(Journal!$D$5:$D$1504,$B310)=$C$4,INDEX(Journal!$M$5:$M$1504,$B310),0))</f>
        <v/>
      </c>
      <c r="H310" s="56" t="str">
        <f aca="false">IF($B310="","",IF(INDEX(Journal!$E$5:$E$1504,$B310)=$C$4,INDEX(Journal!$N$5:$N$1504,$B310),0))</f>
        <v/>
      </c>
      <c r="I310" s="56" t="str">
        <f aca="false">IF($B310="","",IF(OR($G$4="Aktiv",$G$4="Aufwand"),I309+G310-H310,I309+H310-G310))</f>
        <v/>
      </c>
    </row>
    <row r="311" customFormat="false" ht="15" hidden="false" customHeight="false" outlineLevel="0" collapsed="false">
      <c r="A311" s="54" t="n">
        <v>304</v>
      </c>
      <c r="B311" s="54" t="str">
        <f aca="false">IFERROR(MATCH(A311,Journal!$W$5:$W$1504,0),"")</f>
        <v/>
      </c>
      <c r="C311" s="55" t="str">
        <f aca="false">IF($B311="","",INDEX(Journal!$A$5:$A$1504,$B311))</f>
        <v/>
      </c>
      <c r="D311" s="54" t="str">
        <f aca="false">IF($B311="","",INDEX(Journal!$B$5:$B$1504,$B311))</f>
        <v/>
      </c>
      <c r="E311" s="54" t="str">
        <f aca="false">IF($B311="","",INDEX(Journal!$C$5:$C$1504,$B311))</f>
        <v/>
      </c>
      <c r="F311" s="54" t="str">
        <f aca="false">IF($B311="","",IF(INDEX(Journal!$D$5:$D$1504,$B311)=$C$4,INDEX(Journal!$E$5:$E$1504,$B311),INDEX(Journal!$D$5:$D$1504,$B311)))</f>
        <v/>
      </c>
      <c r="G311" s="56" t="str">
        <f aca="false">IF($B311="","",IF(INDEX(Journal!$D$5:$D$1504,$B311)=$C$4,INDEX(Journal!$M$5:$M$1504,$B311),0))</f>
        <v/>
      </c>
      <c r="H311" s="56" t="str">
        <f aca="false">IF($B311="","",IF(INDEX(Journal!$E$5:$E$1504,$B311)=$C$4,INDEX(Journal!$N$5:$N$1504,$B311),0))</f>
        <v/>
      </c>
      <c r="I311" s="56" t="str">
        <f aca="false">IF($B311="","",IF(OR($G$4="Aktiv",$G$4="Aufwand"),I310+G311-H311,I310+H311-G311))</f>
        <v/>
      </c>
    </row>
    <row r="312" customFormat="false" ht="15" hidden="false" customHeight="false" outlineLevel="0" collapsed="false">
      <c r="A312" s="54" t="n">
        <v>305</v>
      </c>
      <c r="B312" s="54" t="str">
        <f aca="false">IFERROR(MATCH(A312,Journal!$W$5:$W$1504,0),"")</f>
        <v/>
      </c>
      <c r="C312" s="55" t="str">
        <f aca="false">IF($B312="","",INDEX(Journal!$A$5:$A$1504,$B312))</f>
        <v/>
      </c>
      <c r="D312" s="54" t="str">
        <f aca="false">IF($B312="","",INDEX(Journal!$B$5:$B$1504,$B312))</f>
        <v/>
      </c>
      <c r="E312" s="54" t="str">
        <f aca="false">IF($B312="","",INDEX(Journal!$C$5:$C$1504,$B312))</f>
        <v/>
      </c>
      <c r="F312" s="54" t="str">
        <f aca="false">IF($B312="","",IF(INDEX(Journal!$D$5:$D$1504,$B312)=$C$4,INDEX(Journal!$E$5:$E$1504,$B312),INDEX(Journal!$D$5:$D$1504,$B312)))</f>
        <v/>
      </c>
      <c r="G312" s="56" t="str">
        <f aca="false">IF($B312="","",IF(INDEX(Journal!$D$5:$D$1504,$B312)=$C$4,INDEX(Journal!$M$5:$M$1504,$B312),0))</f>
        <v/>
      </c>
      <c r="H312" s="56" t="str">
        <f aca="false">IF($B312="","",IF(INDEX(Journal!$E$5:$E$1504,$B312)=$C$4,INDEX(Journal!$N$5:$N$1504,$B312),0))</f>
        <v/>
      </c>
      <c r="I312" s="56" t="str">
        <f aca="false">IF($B312="","",IF(OR($G$4="Aktiv",$G$4="Aufwand"),I311+G312-H312,I311+H312-G312))</f>
        <v/>
      </c>
    </row>
    <row r="313" customFormat="false" ht="15" hidden="false" customHeight="false" outlineLevel="0" collapsed="false">
      <c r="A313" s="54" t="n">
        <v>306</v>
      </c>
      <c r="B313" s="54" t="str">
        <f aca="false">IFERROR(MATCH(A313,Journal!$W$5:$W$1504,0),"")</f>
        <v/>
      </c>
      <c r="C313" s="55" t="str">
        <f aca="false">IF($B313="","",INDEX(Journal!$A$5:$A$1504,$B313))</f>
        <v/>
      </c>
      <c r="D313" s="54" t="str">
        <f aca="false">IF($B313="","",INDEX(Journal!$B$5:$B$1504,$B313))</f>
        <v/>
      </c>
      <c r="E313" s="54" t="str">
        <f aca="false">IF($B313="","",INDEX(Journal!$C$5:$C$1504,$B313))</f>
        <v/>
      </c>
      <c r="F313" s="54" t="str">
        <f aca="false">IF($B313="","",IF(INDEX(Journal!$D$5:$D$1504,$B313)=$C$4,INDEX(Journal!$E$5:$E$1504,$B313),INDEX(Journal!$D$5:$D$1504,$B313)))</f>
        <v/>
      </c>
      <c r="G313" s="56" t="str">
        <f aca="false">IF($B313="","",IF(INDEX(Journal!$D$5:$D$1504,$B313)=$C$4,INDEX(Journal!$M$5:$M$1504,$B313),0))</f>
        <v/>
      </c>
      <c r="H313" s="56" t="str">
        <f aca="false">IF($B313="","",IF(INDEX(Journal!$E$5:$E$1504,$B313)=$C$4,INDEX(Journal!$N$5:$N$1504,$B313),0))</f>
        <v/>
      </c>
      <c r="I313" s="56" t="str">
        <f aca="false">IF($B313="","",IF(OR($G$4="Aktiv",$G$4="Aufwand"),I312+G313-H313,I312+H313-G313))</f>
        <v/>
      </c>
    </row>
    <row r="314" customFormat="false" ht="15" hidden="false" customHeight="false" outlineLevel="0" collapsed="false">
      <c r="A314" s="54" t="n">
        <v>307</v>
      </c>
      <c r="B314" s="54" t="str">
        <f aca="false">IFERROR(MATCH(A314,Journal!$W$5:$W$1504,0),"")</f>
        <v/>
      </c>
      <c r="C314" s="55" t="str">
        <f aca="false">IF($B314="","",INDEX(Journal!$A$5:$A$1504,$B314))</f>
        <v/>
      </c>
      <c r="D314" s="54" t="str">
        <f aca="false">IF($B314="","",INDEX(Journal!$B$5:$B$1504,$B314))</f>
        <v/>
      </c>
      <c r="E314" s="54" t="str">
        <f aca="false">IF($B314="","",INDEX(Journal!$C$5:$C$1504,$B314))</f>
        <v/>
      </c>
      <c r="F314" s="54" t="str">
        <f aca="false">IF($B314="","",IF(INDEX(Journal!$D$5:$D$1504,$B314)=$C$4,INDEX(Journal!$E$5:$E$1504,$B314),INDEX(Journal!$D$5:$D$1504,$B314)))</f>
        <v/>
      </c>
      <c r="G314" s="56" t="str">
        <f aca="false">IF($B314="","",IF(INDEX(Journal!$D$5:$D$1504,$B314)=$C$4,INDEX(Journal!$M$5:$M$1504,$B314),0))</f>
        <v/>
      </c>
      <c r="H314" s="56" t="str">
        <f aca="false">IF($B314="","",IF(INDEX(Journal!$E$5:$E$1504,$B314)=$C$4,INDEX(Journal!$N$5:$N$1504,$B314),0))</f>
        <v/>
      </c>
      <c r="I314" s="56" t="str">
        <f aca="false">IF($B314="","",IF(OR($G$4="Aktiv",$G$4="Aufwand"),I313+G314-H314,I313+H314-G314))</f>
        <v/>
      </c>
    </row>
    <row r="315" customFormat="false" ht="15" hidden="false" customHeight="false" outlineLevel="0" collapsed="false">
      <c r="A315" s="54" t="n">
        <v>308</v>
      </c>
      <c r="B315" s="54" t="str">
        <f aca="false">IFERROR(MATCH(A315,Journal!$W$5:$W$1504,0),"")</f>
        <v/>
      </c>
      <c r="C315" s="55" t="str">
        <f aca="false">IF($B315="","",INDEX(Journal!$A$5:$A$1504,$B315))</f>
        <v/>
      </c>
      <c r="D315" s="54" t="str">
        <f aca="false">IF($B315="","",INDEX(Journal!$B$5:$B$1504,$B315))</f>
        <v/>
      </c>
      <c r="E315" s="54" t="str">
        <f aca="false">IF($B315="","",INDEX(Journal!$C$5:$C$1504,$B315))</f>
        <v/>
      </c>
      <c r="F315" s="54" t="str">
        <f aca="false">IF($B315="","",IF(INDEX(Journal!$D$5:$D$1504,$B315)=$C$4,INDEX(Journal!$E$5:$E$1504,$B315),INDEX(Journal!$D$5:$D$1504,$B315)))</f>
        <v/>
      </c>
      <c r="G315" s="56" t="str">
        <f aca="false">IF($B315="","",IF(INDEX(Journal!$D$5:$D$1504,$B315)=$C$4,INDEX(Journal!$M$5:$M$1504,$B315),0))</f>
        <v/>
      </c>
      <c r="H315" s="56" t="str">
        <f aca="false">IF($B315="","",IF(INDEX(Journal!$E$5:$E$1504,$B315)=$C$4,INDEX(Journal!$N$5:$N$1504,$B315),0))</f>
        <v/>
      </c>
      <c r="I315" s="56" t="str">
        <f aca="false">IF($B315="","",IF(OR($G$4="Aktiv",$G$4="Aufwand"),I314+G315-H315,I314+H315-G315))</f>
        <v/>
      </c>
    </row>
    <row r="316" customFormat="false" ht="15" hidden="false" customHeight="false" outlineLevel="0" collapsed="false">
      <c r="A316" s="54" t="n">
        <v>309</v>
      </c>
      <c r="B316" s="54" t="str">
        <f aca="false">IFERROR(MATCH(A316,Journal!$W$5:$W$1504,0),"")</f>
        <v/>
      </c>
      <c r="C316" s="55" t="str">
        <f aca="false">IF($B316="","",INDEX(Journal!$A$5:$A$1504,$B316))</f>
        <v/>
      </c>
      <c r="D316" s="54" t="str">
        <f aca="false">IF($B316="","",INDEX(Journal!$B$5:$B$1504,$B316))</f>
        <v/>
      </c>
      <c r="E316" s="54" t="str">
        <f aca="false">IF($B316="","",INDEX(Journal!$C$5:$C$1504,$B316))</f>
        <v/>
      </c>
      <c r="F316" s="54" t="str">
        <f aca="false">IF($B316="","",IF(INDEX(Journal!$D$5:$D$1504,$B316)=$C$4,INDEX(Journal!$E$5:$E$1504,$B316),INDEX(Journal!$D$5:$D$1504,$B316)))</f>
        <v/>
      </c>
      <c r="G316" s="56" t="str">
        <f aca="false">IF($B316="","",IF(INDEX(Journal!$D$5:$D$1504,$B316)=$C$4,INDEX(Journal!$M$5:$M$1504,$B316),0))</f>
        <v/>
      </c>
      <c r="H316" s="56" t="str">
        <f aca="false">IF($B316="","",IF(INDEX(Journal!$E$5:$E$1504,$B316)=$C$4,INDEX(Journal!$N$5:$N$1504,$B316),0))</f>
        <v/>
      </c>
      <c r="I316" s="56" t="str">
        <f aca="false">IF($B316="","",IF(OR($G$4="Aktiv",$G$4="Aufwand"),I315+G316-H316,I315+H316-G316))</f>
        <v/>
      </c>
    </row>
    <row r="317" customFormat="false" ht="15" hidden="false" customHeight="false" outlineLevel="0" collapsed="false">
      <c r="A317" s="54" t="n">
        <v>310</v>
      </c>
      <c r="B317" s="54" t="str">
        <f aca="false">IFERROR(MATCH(A317,Journal!$W$5:$W$1504,0),"")</f>
        <v/>
      </c>
      <c r="C317" s="55" t="str">
        <f aca="false">IF($B317="","",INDEX(Journal!$A$5:$A$1504,$B317))</f>
        <v/>
      </c>
      <c r="D317" s="54" t="str">
        <f aca="false">IF($B317="","",INDEX(Journal!$B$5:$B$1504,$B317))</f>
        <v/>
      </c>
      <c r="E317" s="54" t="str">
        <f aca="false">IF($B317="","",INDEX(Journal!$C$5:$C$1504,$B317))</f>
        <v/>
      </c>
      <c r="F317" s="54" t="str">
        <f aca="false">IF($B317="","",IF(INDEX(Journal!$D$5:$D$1504,$B317)=$C$4,INDEX(Journal!$E$5:$E$1504,$B317),INDEX(Journal!$D$5:$D$1504,$B317)))</f>
        <v/>
      </c>
      <c r="G317" s="56" t="str">
        <f aca="false">IF($B317="","",IF(INDEX(Journal!$D$5:$D$1504,$B317)=$C$4,INDEX(Journal!$M$5:$M$1504,$B317),0))</f>
        <v/>
      </c>
      <c r="H317" s="56" t="str">
        <f aca="false">IF($B317="","",IF(INDEX(Journal!$E$5:$E$1504,$B317)=$C$4,INDEX(Journal!$N$5:$N$1504,$B317),0))</f>
        <v/>
      </c>
      <c r="I317" s="56" t="str">
        <f aca="false">IF($B317="","",IF(OR($G$4="Aktiv",$G$4="Aufwand"),I316+G317-H317,I316+H317-G317))</f>
        <v/>
      </c>
    </row>
    <row r="318" customFormat="false" ht="15" hidden="false" customHeight="false" outlineLevel="0" collapsed="false">
      <c r="A318" s="54" t="n">
        <v>311</v>
      </c>
      <c r="B318" s="54" t="str">
        <f aca="false">IFERROR(MATCH(A318,Journal!$W$5:$W$1504,0),"")</f>
        <v/>
      </c>
      <c r="C318" s="55" t="str">
        <f aca="false">IF($B318="","",INDEX(Journal!$A$5:$A$1504,$B318))</f>
        <v/>
      </c>
      <c r="D318" s="54" t="str">
        <f aca="false">IF($B318="","",INDEX(Journal!$B$5:$B$1504,$B318))</f>
        <v/>
      </c>
      <c r="E318" s="54" t="str">
        <f aca="false">IF($B318="","",INDEX(Journal!$C$5:$C$1504,$B318))</f>
        <v/>
      </c>
      <c r="F318" s="54" t="str">
        <f aca="false">IF($B318="","",IF(INDEX(Journal!$D$5:$D$1504,$B318)=$C$4,INDEX(Journal!$E$5:$E$1504,$B318),INDEX(Journal!$D$5:$D$1504,$B318)))</f>
        <v/>
      </c>
      <c r="G318" s="56" t="str">
        <f aca="false">IF($B318="","",IF(INDEX(Journal!$D$5:$D$1504,$B318)=$C$4,INDEX(Journal!$M$5:$M$1504,$B318),0))</f>
        <v/>
      </c>
      <c r="H318" s="56" t="str">
        <f aca="false">IF($B318="","",IF(INDEX(Journal!$E$5:$E$1504,$B318)=$C$4,INDEX(Journal!$N$5:$N$1504,$B318),0))</f>
        <v/>
      </c>
      <c r="I318" s="56" t="str">
        <f aca="false">IF($B318="","",IF(OR($G$4="Aktiv",$G$4="Aufwand"),I317+G318-H318,I317+H318-G318))</f>
        <v/>
      </c>
    </row>
    <row r="319" customFormat="false" ht="15" hidden="false" customHeight="false" outlineLevel="0" collapsed="false">
      <c r="A319" s="54" t="n">
        <v>312</v>
      </c>
      <c r="B319" s="54" t="str">
        <f aca="false">IFERROR(MATCH(A319,Journal!$W$5:$W$1504,0),"")</f>
        <v/>
      </c>
      <c r="C319" s="55" t="str">
        <f aca="false">IF($B319="","",INDEX(Journal!$A$5:$A$1504,$B319))</f>
        <v/>
      </c>
      <c r="D319" s="54" t="str">
        <f aca="false">IF($B319="","",INDEX(Journal!$B$5:$B$1504,$B319))</f>
        <v/>
      </c>
      <c r="E319" s="54" t="str">
        <f aca="false">IF($B319="","",INDEX(Journal!$C$5:$C$1504,$B319))</f>
        <v/>
      </c>
      <c r="F319" s="54" t="str">
        <f aca="false">IF($B319="","",IF(INDEX(Journal!$D$5:$D$1504,$B319)=$C$4,INDEX(Journal!$E$5:$E$1504,$B319),INDEX(Journal!$D$5:$D$1504,$B319)))</f>
        <v/>
      </c>
      <c r="G319" s="56" t="str">
        <f aca="false">IF($B319="","",IF(INDEX(Journal!$D$5:$D$1504,$B319)=$C$4,INDEX(Journal!$M$5:$M$1504,$B319),0))</f>
        <v/>
      </c>
      <c r="H319" s="56" t="str">
        <f aca="false">IF($B319="","",IF(INDEX(Journal!$E$5:$E$1504,$B319)=$C$4,INDEX(Journal!$N$5:$N$1504,$B319),0))</f>
        <v/>
      </c>
      <c r="I319" s="56" t="str">
        <f aca="false">IF($B319="","",IF(OR($G$4="Aktiv",$G$4="Aufwand"),I318+G319-H319,I318+H319-G319))</f>
        <v/>
      </c>
    </row>
    <row r="320" customFormat="false" ht="15" hidden="false" customHeight="false" outlineLevel="0" collapsed="false">
      <c r="A320" s="54" t="n">
        <v>313</v>
      </c>
      <c r="B320" s="54" t="str">
        <f aca="false">IFERROR(MATCH(A320,Journal!$W$5:$W$1504,0),"")</f>
        <v/>
      </c>
      <c r="C320" s="55" t="str">
        <f aca="false">IF($B320="","",INDEX(Journal!$A$5:$A$1504,$B320))</f>
        <v/>
      </c>
      <c r="D320" s="54" t="str">
        <f aca="false">IF($B320="","",INDEX(Journal!$B$5:$B$1504,$B320))</f>
        <v/>
      </c>
      <c r="E320" s="54" t="str">
        <f aca="false">IF($B320="","",INDEX(Journal!$C$5:$C$1504,$B320))</f>
        <v/>
      </c>
      <c r="F320" s="54" t="str">
        <f aca="false">IF($B320="","",IF(INDEX(Journal!$D$5:$D$1504,$B320)=$C$4,INDEX(Journal!$E$5:$E$1504,$B320),INDEX(Journal!$D$5:$D$1504,$B320)))</f>
        <v/>
      </c>
      <c r="G320" s="56" t="str">
        <f aca="false">IF($B320="","",IF(INDEX(Journal!$D$5:$D$1504,$B320)=$C$4,INDEX(Journal!$M$5:$M$1504,$B320),0))</f>
        <v/>
      </c>
      <c r="H320" s="56" t="str">
        <f aca="false">IF($B320="","",IF(INDEX(Journal!$E$5:$E$1504,$B320)=$C$4,INDEX(Journal!$N$5:$N$1504,$B320),0))</f>
        <v/>
      </c>
      <c r="I320" s="56" t="str">
        <f aca="false">IF($B320="","",IF(OR($G$4="Aktiv",$G$4="Aufwand"),I319+G320-H320,I319+H320-G320))</f>
        <v/>
      </c>
    </row>
    <row r="321" customFormat="false" ht="15" hidden="false" customHeight="false" outlineLevel="0" collapsed="false">
      <c r="A321" s="54" t="n">
        <v>314</v>
      </c>
      <c r="B321" s="54" t="str">
        <f aca="false">IFERROR(MATCH(A321,Journal!$W$5:$W$1504,0),"")</f>
        <v/>
      </c>
      <c r="C321" s="55" t="str">
        <f aca="false">IF($B321="","",INDEX(Journal!$A$5:$A$1504,$B321))</f>
        <v/>
      </c>
      <c r="D321" s="54" t="str">
        <f aca="false">IF($B321="","",INDEX(Journal!$B$5:$B$1504,$B321))</f>
        <v/>
      </c>
      <c r="E321" s="54" t="str">
        <f aca="false">IF($B321="","",INDEX(Journal!$C$5:$C$1504,$B321))</f>
        <v/>
      </c>
      <c r="F321" s="54" t="str">
        <f aca="false">IF($B321="","",IF(INDEX(Journal!$D$5:$D$1504,$B321)=$C$4,INDEX(Journal!$E$5:$E$1504,$B321),INDEX(Journal!$D$5:$D$1504,$B321)))</f>
        <v/>
      </c>
      <c r="G321" s="56" t="str">
        <f aca="false">IF($B321="","",IF(INDEX(Journal!$D$5:$D$1504,$B321)=$C$4,INDEX(Journal!$M$5:$M$1504,$B321),0))</f>
        <v/>
      </c>
      <c r="H321" s="56" t="str">
        <f aca="false">IF($B321="","",IF(INDEX(Journal!$E$5:$E$1504,$B321)=$C$4,INDEX(Journal!$N$5:$N$1504,$B321),0))</f>
        <v/>
      </c>
      <c r="I321" s="56" t="str">
        <f aca="false">IF($B321="","",IF(OR($G$4="Aktiv",$G$4="Aufwand"),I320+G321-H321,I320+H321-G321))</f>
        <v/>
      </c>
    </row>
    <row r="322" customFormat="false" ht="15" hidden="false" customHeight="false" outlineLevel="0" collapsed="false">
      <c r="A322" s="54" t="n">
        <v>315</v>
      </c>
      <c r="B322" s="54" t="str">
        <f aca="false">IFERROR(MATCH(A322,Journal!$W$5:$W$1504,0),"")</f>
        <v/>
      </c>
      <c r="C322" s="55" t="str">
        <f aca="false">IF($B322="","",INDEX(Journal!$A$5:$A$1504,$B322))</f>
        <v/>
      </c>
      <c r="D322" s="54" t="str">
        <f aca="false">IF($B322="","",INDEX(Journal!$B$5:$B$1504,$B322))</f>
        <v/>
      </c>
      <c r="E322" s="54" t="str">
        <f aca="false">IF($B322="","",INDEX(Journal!$C$5:$C$1504,$B322))</f>
        <v/>
      </c>
      <c r="F322" s="54" t="str">
        <f aca="false">IF($B322="","",IF(INDEX(Journal!$D$5:$D$1504,$B322)=$C$4,INDEX(Journal!$E$5:$E$1504,$B322),INDEX(Journal!$D$5:$D$1504,$B322)))</f>
        <v/>
      </c>
      <c r="G322" s="56" t="str">
        <f aca="false">IF($B322="","",IF(INDEX(Journal!$D$5:$D$1504,$B322)=$C$4,INDEX(Journal!$M$5:$M$1504,$B322),0))</f>
        <v/>
      </c>
      <c r="H322" s="56" t="str">
        <f aca="false">IF($B322="","",IF(INDEX(Journal!$E$5:$E$1504,$B322)=$C$4,INDEX(Journal!$N$5:$N$1504,$B322),0))</f>
        <v/>
      </c>
      <c r="I322" s="56" t="str">
        <f aca="false">IF($B322="","",IF(OR($G$4="Aktiv",$G$4="Aufwand"),I321+G322-H322,I321+H322-G322))</f>
        <v/>
      </c>
    </row>
    <row r="323" customFormat="false" ht="15" hidden="false" customHeight="false" outlineLevel="0" collapsed="false">
      <c r="A323" s="54" t="n">
        <v>316</v>
      </c>
      <c r="B323" s="54" t="str">
        <f aca="false">IFERROR(MATCH(A323,Journal!$W$5:$W$1504,0),"")</f>
        <v/>
      </c>
      <c r="C323" s="55" t="str">
        <f aca="false">IF($B323="","",INDEX(Journal!$A$5:$A$1504,$B323))</f>
        <v/>
      </c>
      <c r="D323" s="54" t="str">
        <f aca="false">IF($B323="","",INDEX(Journal!$B$5:$B$1504,$B323))</f>
        <v/>
      </c>
      <c r="E323" s="54" t="str">
        <f aca="false">IF($B323="","",INDEX(Journal!$C$5:$C$1504,$B323))</f>
        <v/>
      </c>
      <c r="F323" s="54" t="str">
        <f aca="false">IF($B323="","",IF(INDEX(Journal!$D$5:$D$1504,$B323)=$C$4,INDEX(Journal!$E$5:$E$1504,$B323),INDEX(Journal!$D$5:$D$1504,$B323)))</f>
        <v/>
      </c>
      <c r="G323" s="56" t="str">
        <f aca="false">IF($B323="","",IF(INDEX(Journal!$D$5:$D$1504,$B323)=$C$4,INDEX(Journal!$M$5:$M$1504,$B323),0))</f>
        <v/>
      </c>
      <c r="H323" s="56" t="str">
        <f aca="false">IF($B323="","",IF(INDEX(Journal!$E$5:$E$1504,$B323)=$C$4,INDEX(Journal!$N$5:$N$1504,$B323),0))</f>
        <v/>
      </c>
      <c r="I323" s="56" t="str">
        <f aca="false">IF($B323="","",IF(OR($G$4="Aktiv",$G$4="Aufwand"),I322+G323-H323,I322+H323-G323))</f>
        <v/>
      </c>
    </row>
    <row r="324" customFormat="false" ht="15" hidden="false" customHeight="false" outlineLevel="0" collapsed="false">
      <c r="A324" s="54" t="n">
        <v>317</v>
      </c>
      <c r="B324" s="54" t="str">
        <f aca="false">IFERROR(MATCH(A324,Journal!$W$5:$W$1504,0),"")</f>
        <v/>
      </c>
      <c r="C324" s="55" t="str">
        <f aca="false">IF($B324="","",INDEX(Journal!$A$5:$A$1504,$B324))</f>
        <v/>
      </c>
      <c r="D324" s="54" t="str">
        <f aca="false">IF($B324="","",INDEX(Journal!$B$5:$B$1504,$B324))</f>
        <v/>
      </c>
      <c r="E324" s="54" t="str">
        <f aca="false">IF($B324="","",INDEX(Journal!$C$5:$C$1504,$B324))</f>
        <v/>
      </c>
      <c r="F324" s="54" t="str">
        <f aca="false">IF($B324="","",IF(INDEX(Journal!$D$5:$D$1504,$B324)=$C$4,INDEX(Journal!$E$5:$E$1504,$B324),INDEX(Journal!$D$5:$D$1504,$B324)))</f>
        <v/>
      </c>
      <c r="G324" s="56" t="str">
        <f aca="false">IF($B324="","",IF(INDEX(Journal!$D$5:$D$1504,$B324)=$C$4,INDEX(Journal!$M$5:$M$1504,$B324),0))</f>
        <v/>
      </c>
      <c r="H324" s="56" t="str">
        <f aca="false">IF($B324="","",IF(INDEX(Journal!$E$5:$E$1504,$B324)=$C$4,INDEX(Journal!$N$5:$N$1504,$B324),0))</f>
        <v/>
      </c>
      <c r="I324" s="56" t="str">
        <f aca="false">IF($B324="","",IF(OR($G$4="Aktiv",$G$4="Aufwand"),I323+G324-H324,I323+H324-G324))</f>
        <v/>
      </c>
    </row>
    <row r="325" customFormat="false" ht="15" hidden="false" customHeight="false" outlineLevel="0" collapsed="false">
      <c r="A325" s="54" t="n">
        <v>318</v>
      </c>
      <c r="B325" s="54" t="str">
        <f aca="false">IFERROR(MATCH(A325,Journal!$W$5:$W$1504,0),"")</f>
        <v/>
      </c>
      <c r="C325" s="55" t="str">
        <f aca="false">IF($B325="","",INDEX(Journal!$A$5:$A$1504,$B325))</f>
        <v/>
      </c>
      <c r="D325" s="54" t="str">
        <f aca="false">IF($B325="","",INDEX(Journal!$B$5:$B$1504,$B325))</f>
        <v/>
      </c>
      <c r="E325" s="54" t="str">
        <f aca="false">IF($B325="","",INDEX(Journal!$C$5:$C$1504,$B325))</f>
        <v/>
      </c>
      <c r="F325" s="54" t="str">
        <f aca="false">IF($B325="","",IF(INDEX(Journal!$D$5:$D$1504,$B325)=$C$4,INDEX(Journal!$E$5:$E$1504,$B325),INDEX(Journal!$D$5:$D$1504,$B325)))</f>
        <v/>
      </c>
      <c r="G325" s="56" t="str">
        <f aca="false">IF($B325="","",IF(INDEX(Journal!$D$5:$D$1504,$B325)=$C$4,INDEX(Journal!$M$5:$M$1504,$B325),0))</f>
        <v/>
      </c>
      <c r="H325" s="56" t="str">
        <f aca="false">IF($B325="","",IF(INDEX(Journal!$E$5:$E$1504,$B325)=$C$4,INDEX(Journal!$N$5:$N$1504,$B325),0))</f>
        <v/>
      </c>
      <c r="I325" s="56" t="str">
        <f aca="false">IF($B325="","",IF(OR($G$4="Aktiv",$G$4="Aufwand"),I324+G325-H325,I324+H325-G325))</f>
        <v/>
      </c>
    </row>
    <row r="326" customFormat="false" ht="15" hidden="false" customHeight="false" outlineLevel="0" collapsed="false">
      <c r="A326" s="54" t="n">
        <v>319</v>
      </c>
      <c r="B326" s="54" t="str">
        <f aca="false">IFERROR(MATCH(A326,Journal!$W$5:$W$1504,0),"")</f>
        <v/>
      </c>
      <c r="C326" s="55" t="str">
        <f aca="false">IF($B326="","",INDEX(Journal!$A$5:$A$1504,$B326))</f>
        <v/>
      </c>
      <c r="D326" s="54" t="str">
        <f aca="false">IF($B326="","",INDEX(Journal!$B$5:$B$1504,$B326))</f>
        <v/>
      </c>
      <c r="E326" s="54" t="str">
        <f aca="false">IF($B326="","",INDEX(Journal!$C$5:$C$1504,$B326))</f>
        <v/>
      </c>
      <c r="F326" s="54" t="str">
        <f aca="false">IF($B326="","",IF(INDEX(Journal!$D$5:$D$1504,$B326)=$C$4,INDEX(Journal!$E$5:$E$1504,$B326),INDEX(Journal!$D$5:$D$1504,$B326)))</f>
        <v/>
      </c>
      <c r="G326" s="56" t="str">
        <f aca="false">IF($B326="","",IF(INDEX(Journal!$D$5:$D$1504,$B326)=$C$4,INDEX(Journal!$M$5:$M$1504,$B326),0))</f>
        <v/>
      </c>
      <c r="H326" s="56" t="str">
        <f aca="false">IF($B326="","",IF(INDEX(Journal!$E$5:$E$1504,$B326)=$C$4,INDEX(Journal!$N$5:$N$1504,$B326),0))</f>
        <v/>
      </c>
      <c r="I326" s="56" t="str">
        <f aca="false">IF($B326="","",IF(OR($G$4="Aktiv",$G$4="Aufwand"),I325+G326-H326,I325+H326-G326))</f>
        <v/>
      </c>
    </row>
    <row r="327" customFormat="false" ht="15" hidden="false" customHeight="false" outlineLevel="0" collapsed="false">
      <c r="A327" s="54" t="n">
        <v>320</v>
      </c>
      <c r="B327" s="54" t="str">
        <f aca="false">IFERROR(MATCH(A327,Journal!$W$5:$W$1504,0),"")</f>
        <v/>
      </c>
      <c r="C327" s="55" t="str">
        <f aca="false">IF($B327="","",INDEX(Journal!$A$5:$A$1504,$B327))</f>
        <v/>
      </c>
      <c r="D327" s="54" t="str">
        <f aca="false">IF($B327="","",INDEX(Journal!$B$5:$B$1504,$B327))</f>
        <v/>
      </c>
      <c r="E327" s="54" t="str">
        <f aca="false">IF($B327="","",INDEX(Journal!$C$5:$C$1504,$B327))</f>
        <v/>
      </c>
      <c r="F327" s="54" t="str">
        <f aca="false">IF($B327="","",IF(INDEX(Journal!$D$5:$D$1504,$B327)=$C$4,INDEX(Journal!$E$5:$E$1504,$B327),INDEX(Journal!$D$5:$D$1504,$B327)))</f>
        <v/>
      </c>
      <c r="G327" s="56" t="str">
        <f aca="false">IF($B327="","",IF(INDEX(Journal!$D$5:$D$1504,$B327)=$C$4,INDEX(Journal!$M$5:$M$1504,$B327),0))</f>
        <v/>
      </c>
      <c r="H327" s="56" t="str">
        <f aca="false">IF($B327="","",IF(INDEX(Journal!$E$5:$E$1504,$B327)=$C$4,INDEX(Journal!$N$5:$N$1504,$B327),0))</f>
        <v/>
      </c>
      <c r="I327" s="56" t="str">
        <f aca="false">IF($B327="","",IF(OR($G$4="Aktiv",$G$4="Aufwand"),I326+G327-H327,I326+H327-G327))</f>
        <v/>
      </c>
    </row>
    <row r="328" customFormat="false" ht="15" hidden="false" customHeight="false" outlineLevel="0" collapsed="false">
      <c r="A328" s="54" t="n">
        <v>321</v>
      </c>
      <c r="B328" s="54" t="str">
        <f aca="false">IFERROR(MATCH(A328,Journal!$W$5:$W$1504,0),"")</f>
        <v/>
      </c>
      <c r="C328" s="55" t="str">
        <f aca="false">IF($B328="","",INDEX(Journal!$A$5:$A$1504,$B328))</f>
        <v/>
      </c>
      <c r="D328" s="54" t="str">
        <f aca="false">IF($B328="","",INDEX(Journal!$B$5:$B$1504,$B328))</f>
        <v/>
      </c>
      <c r="E328" s="54" t="str">
        <f aca="false">IF($B328="","",INDEX(Journal!$C$5:$C$1504,$B328))</f>
        <v/>
      </c>
      <c r="F328" s="54" t="str">
        <f aca="false">IF($B328="","",IF(INDEX(Journal!$D$5:$D$1504,$B328)=$C$4,INDEX(Journal!$E$5:$E$1504,$B328),INDEX(Journal!$D$5:$D$1504,$B328)))</f>
        <v/>
      </c>
      <c r="G328" s="56" t="str">
        <f aca="false">IF($B328="","",IF(INDEX(Journal!$D$5:$D$1504,$B328)=$C$4,INDEX(Journal!$M$5:$M$1504,$B328),0))</f>
        <v/>
      </c>
      <c r="H328" s="56" t="str">
        <f aca="false">IF($B328="","",IF(INDEX(Journal!$E$5:$E$1504,$B328)=$C$4,INDEX(Journal!$N$5:$N$1504,$B328),0))</f>
        <v/>
      </c>
      <c r="I328" s="56" t="str">
        <f aca="false">IF($B328="","",IF(OR($G$4="Aktiv",$G$4="Aufwand"),I327+G328-H328,I327+H328-G328))</f>
        <v/>
      </c>
    </row>
    <row r="329" customFormat="false" ht="15" hidden="false" customHeight="false" outlineLevel="0" collapsed="false">
      <c r="A329" s="54" t="n">
        <v>322</v>
      </c>
      <c r="B329" s="54" t="str">
        <f aca="false">IFERROR(MATCH(A329,Journal!$W$5:$W$1504,0),"")</f>
        <v/>
      </c>
      <c r="C329" s="55" t="str">
        <f aca="false">IF($B329="","",INDEX(Journal!$A$5:$A$1504,$B329))</f>
        <v/>
      </c>
      <c r="D329" s="54" t="str">
        <f aca="false">IF($B329="","",INDEX(Journal!$B$5:$B$1504,$B329))</f>
        <v/>
      </c>
      <c r="E329" s="54" t="str">
        <f aca="false">IF($B329="","",INDEX(Journal!$C$5:$C$1504,$B329))</f>
        <v/>
      </c>
      <c r="F329" s="54" t="str">
        <f aca="false">IF($B329="","",IF(INDEX(Journal!$D$5:$D$1504,$B329)=$C$4,INDEX(Journal!$E$5:$E$1504,$B329),INDEX(Journal!$D$5:$D$1504,$B329)))</f>
        <v/>
      </c>
      <c r="G329" s="56" t="str">
        <f aca="false">IF($B329="","",IF(INDEX(Journal!$D$5:$D$1504,$B329)=$C$4,INDEX(Journal!$M$5:$M$1504,$B329),0))</f>
        <v/>
      </c>
      <c r="H329" s="56" t="str">
        <f aca="false">IF($B329="","",IF(INDEX(Journal!$E$5:$E$1504,$B329)=$C$4,INDEX(Journal!$N$5:$N$1504,$B329),0))</f>
        <v/>
      </c>
      <c r="I329" s="56" t="str">
        <f aca="false">IF($B329="","",IF(OR($G$4="Aktiv",$G$4="Aufwand"),I328+G329-H329,I328+H329-G329))</f>
        <v/>
      </c>
    </row>
    <row r="330" customFormat="false" ht="15" hidden="false" customHeight="false" outlineLevel="0" collapsed="false">
      <c r="A330" s="54" t="n">
        <v>323</v>
      </c>
      <c r="B330" s="54" t="str">
        <f aca="false">IFERROR(MATCH(A330,Journal!$W$5:$W$1504,0),"")</f>
        <v/>
      </c>
      <c r="C330" s="55" t="str">
        <f aca="false">IF($B330="","",INDEX(Journal!$A$5:$A$1504,$B330))</f>
        <v/>
      </c>
      <c r="D330" s="54" t="str">
        <f aca="false">IF($B330="","",INDEX(Journal!$B$5:$B$1504,$B330))</f>
        <v/>
      </c>
      <c r="E330" s="54" t="str">
        <f aca="false">IF($B330="","",INDEX(Journal!$C$5:$C$1504,$B330))</f>
        <v/>
      </c>
      <c r="F330" s="54" t="str">
        <f aca="false">IF($B330="","",IF(INDEX(Journal!$D$5:$D$1504,$B330)=$C$4,INDEX(Journal!$E$5:$E$1504,$B330),INDEX(Journal!$D$5:$D$1504,$B330)))</f>
        <v/>
      </c>
      <c r="G330" s="56" t="str">
        <f aca="false">IF($B330="","",IF(INDEX(Journal!$D$5:$D$1504,$B330)=$C$4,INDEX(Journal!$M$5:$M$1504,$B330),0))</f>
        <v/>
      </c>
      <c r="H330" s="56" t="str">
        <f aca="false">IF($B330="","",IF(INDEX(Journal!$E$5:$E$1504,$B330)=$C$4,INDEX(Journal!$N$5:$N$1504,$B330),0))</f>
        <v/>
      </c>
      <c r="I330" s="56" t="str">
        <f aca="false">IF($B330="","",IF(OR($G$4="Aktiv",$G$4="Aufwand"),I329+G330-H330,I329+H330-G330))</f>
        <v/>
      </c>
    </row>
    <row r="331" customFormat="false" ht="15" hidden="false" customHeight="false" outlineLevel="0" collapsed="false">
      <c r="A331" s="54" t="n">
        <v>324</v>
      </c>
      <c r="B331" s="54" t="str">
        <f aca="false">IFERROR(MATCH(A331,Journal!$W$5:$W$1504,0),"")</f>
        <v/>
      </c>
      <c r="C331" s="55" t="str">
        <f aca="false">IF($B331="","",INDEX(Journal!$A$5:$A$1504,$B331))</f>
        <v/>
      </c>
      <c r="D331" s="54" t="str">
        <f aca="false">IF($B331="","",INDEX(Journal!$B$5:$B$1504,$B331))</f>
        <v/>
      </c>
      <c r="E331" s="54" t="str">
        <f aca="false">IF($B331="","",INDEX(Journal!$C$5:$C$1504,$B331))</f>
        <v/>
      </c>
      <c r="F331" s="54" t="str">
        <f aca="false">IF($B331="","",IF(INDEX(Journal!$D$5:$D$1504,$B331)=$C$4,INDEX(Journal!$E$5:$E$1504,$B331),INDEX(Journal!$D$5:$D$1504,$B331)))</f>
        <v/>
      </c>
      <c r="G331" s="56" t="str">
        <f aca="false">IF($B331="","",IF(INDEX(Journal!$D$5:$D$1504,$B331)=$C$4,INDEX(Journal!$M$5:$M$1504,$B331),0))</f>
        <v/>
      </c>
      <c r="H331" s="56" t="str">
        <f aca="false">IF($B331="","",IF(INDEX(Journal!$E$5:$E$1504,$B331)=$C$4,INDEX(Journal!$N$5:$N$1504,$B331),0))</f>
        <v/>
      </c>
      <c r="I331" s="56" t="str">
        <f aca="false">IF($B331="","",IF(OR($G$4="Aktiv",$G$4="Aufwand"),I330+G331-H331,I330+H331-G331))</f>
        <v/>
      </c>
    </row>
    <row r="332" customFormat="false" ht="15" hidden="false" customHeight="false" outlineLevel="0" collapsed="false">
      <c r="A332" s="54" t="n">
        <v>325</v>
      </c>
      <c r="B332" s="54" t="str">
        <f aca="false">IFERROR(MATCH(A332,Journal!$W$5:$W$1504,0),"")</f>
        <v/>
      </c>
      <c r="C332" s="55" t="str">
        <f aca="false">IF($B332="","",INDEX(Journal!$A$5:$A$1504,$B332))</f>
        <v/>
      </c>
      <c r="D332" s="54" t="str">
        <f aca="false">IF($B332="","",INDEX(Journal!$B$5:$B$1504,$B332))</f>
        <v/>
      </c>
      <c r="E332" s="54" t="str">
        <f aca="false">IF($B332="","",INDEX(Journal!$C$5:$C$1504,$B332))</f>
        <v/>
      </c>
      <c r="F332" s="54" t="str">
        <f aca="false">IF($B332="","",IF(INDEX(Journal!$D$5:$D$1504,$B332)=$C$4,INDEX(Journal!$E$5:$E$1504,$B332),INDEX(Journal!$D$5:$D$1504,$B332)))</f>
        <v/>
      </c>
      <c r="G332" s="56" t="str">
        <f aca="false">IF($B332="","",IF(INDEX(Journal!$D$5:$D$1504,$B332)=$C$4,INDEX(Journal!$M$5:$M$1504,$B332),0))</f>
        <v/>
      </c>
      <c r="H332" s="56" t="str">
        <f aca="false">IF($B332="","",IF(INDEX(Journal!$E$5:$E$1504,$B332)=$C$4,INDEX(Journal!$N$5:$N$1504,$B332),0))</f>
        <v/>
      </c>
      <c r="I332" s="56" t="str">
        <f aca="false">IF($B332="","",IF(OR($G$4="Aktiv",$G$4="Aufwand"),I331+G332-H332,I331+H332-G332))</f>
        <v/>
      </c>
    </row>
    <row r="333" customFormat="false" ht="15" hidden="false" customHeight="false" outlineLevel="0" collapsed="false">
      <c r="A333" s="54" t="n">
        <v>326</v>
      </c>
      <c r="B333" s="54" t="str">
        <f aca="false">IFERROR(MATCH(A333,Journal!$W$5:$W$1504,0),"")</f>
        <v/>
      </c>
      <c r="C333" s="55" t="str">
        <f aca="false">IF($B333="","",INDEX(Journal!$A$5:$A$1504,$B333))</f>
        <v/>
      </c>
      <c r="D333" s="54" t="str">
        <f aca="false">IF($B333="","",INDEX(Journal!$B$5:$B$1504,$B333))</f>
        <v/>
      </c>
      <c r="E333" s="54" t="str">
        <f aca="false">IF($B333="","",INDEX(Journal!$C$5:$C$1504,$B333))</f>
        <v/>
      </c>
      <c r="F333" s="54" t="str">
        <f aca="false">IF($B333="","",IF(INDEX(Journal!$D$5:$D$1504,$B333)=$C$4,INDEX(Journal!$E$5:$E$1504,$B333),INDEX(Journal!$D$5:$D$1504,$B333)))</f>
        <v/>
      </c>
      <c r="G333" s="56" t="str">
        <f aca="false">IF($B333="","",IF(INDEX(Journal!$D$5:$D$1504,$B333)=$C$4,INDEX(Journal!$M$5:$M$1504,$B333),0))</f>
        <v/>
      </c>
      <c r="H333" s="56" t="str">
        <f aca="false">IF($B333="","",IF(INDEX(Journal!$E$5:$E$1504,$B333)=$C$4,INDEX(Journal!$N$5:$N$1504,$B333),0))</f>
        <v/>
      </c>
      <c r="I333" s="56" t="str">
        <f aca="false">IF($B333="","",IF(OR($G$4="Aktiv",$G$4="Aufwand"),I332+G333-H333,I332+H333-G333))</f>
        <v/>
      </c>
    </row>
    <row r="334" customFormat="false" ht="15" hidden="false" customHeight="false" outlineLevel="0" collapsed="false">
      <c r="A334" s="54" t="n">
        <v>327</v>
      </c>
      <c r="B334" s="54" t="str">
        <f aca="false">IFERROR(MATCH(A334,Journal!$W$5:$W$1504,0),"")</f>
        <v/>
      </c>
      <c r="C334" s="55" t="str">
        <f aca="false">IF($B334="","",INDEX(Journal!$A$5:$A$1504,$B334))</f>
        <v/>
      </c>
      <c r="D334" s="54" t="str">
        <f aca="false">IF($B334="","",INDEX(Journal!$B$5:$B$1504,$B334))</f>
        <v/>
      </c>
      <c r="E334" s="54" t="str">
        <f aca="false">IF($B334="","",INDEX(Journal!$C$5:$C$1504,$B334))</f>
        <v/>
      </c>
      <c r="F334" s="54" t="str">
        <f aca="false">IF($B334="","",IF(INDEX(Journal!$D$5:$D$1504,$B334)=$C$4,INDEX(Journal!$E$5:$E$1504,$B334),INDEX(Journal!$D$5:$D$1504,$B334)))</f>
        <v/>
      </c>
      <c r="G334" s="56" t="str">
        <f aca="false">IF($B334="","",IF(INDEX(Journal!$D$5:$D$1504,$B334)=$C$4,INDEX(Journal!$M$5:$M$1504,$B334),0))</f>
        <v/>
      </c>
      <c r="H334" s="56" t="str">
        <f aca="false">IF($B334="","",IF(INDEX(Journal!$E$5:$E$1504,$B334)=$C$4,INDEX(Journal!$N$5:$N$1504,$B334),0))</f>
        <v/>
      </c>
      <c r="I334" s="56" t="str">
        <f aca="false">IF($B334="","",IF(OR($G$4="Aktiv",$G$4="Aufwand"),I333+G334-H334,I333+H334-G334))</f>
        <v/>
      </c>
    </row>
    <row r="335" customFormat="false" ht="15" hidden="false" customHeight="false" outlineLevel="0" collapsed="false">
      <c r="A335" s="54" t="n">
        <v>328</v>
      </c>
      <c r="B335" s="54" t="str">
        <f aca="false">IFERROR(MATCH(A335,Journal!$W$5:$W$1504,0),"")</f>
        <v/>
      </c>
      <c r="C335" s="55" t="str">
        <f aca="false">IF($B335="","",INDEX(Journal!$A$5:$A$1504,$B335))</f>
        <v/>
      </c>
      <c r="D335" s="54" t="str">
        <f aca="false">IF($B335="","",INDEX(Journal!$B$5:$B$1504,$B335))</f>
        <v/>
      </c>
      <c r="E335" s="54" t="str">
        <f aca="false">IF($B335="","",INDEX(Journal!$C$5:$C$1504,$B335))</f>
        <v/>
      </c>
      <c r="F335" s="54" t="str">
        <f aca="false">IF($B335="","",IF(INDEX(Journal!$D$5:$D$1504,$B335)=$C$4,INDEX(Journal!$E$5:$E$1504,$B335),INDEX(Journal!$D$5:$D$1504,$B335)))</f>
        <v/>
      </c>
      <c r="G335" s="56" t="str">
        <f aca="false">IF($B335="","",IF(INDEX(Journal!$D$5:$D$1504,$B335)=$C$4,INDEX(Journal!$M$5:$M$1504,$B335),0))</f>
        <v/>
      </c>
      <c r="H335" s="56" t="str">
        <f aca="false">IF($B335="","",IF(INDEX(Journal!$E$5:$E$1504,$B335)=$C$4,INDEX(Journal!$N$5:$N$1504,$B335),0))</f>
        <v/>
      </c>
      <c r="I335" s="56" t="str">
        <f aca="false">IF($B335="","",IF(OR($G$4="Aktiv",$G$4="Aufwand"),I334+G335-H335,I334+H335-G335))</f>
        <v/>
      </c>
    </row>
    <row r="336" customFormat="false" ht="15" hidden="false" customHeight="false" outlineLevel="0" collapsed="false">
      <c r="A336" s="54" t="n">
        <v>329</v>
      </c>
      <c r="B336" s="54" t="str">
        <f aca="false">IFERROR(MATCH(A336,Journal!$W$5:$W$1504,0),"")</f>
        <v/>
      </c>
      <c r="C336" s="55" t="str">
        <f aca="false">IF($B336="","",INDEX(Journal!$A$5:$A$1504,$B336))</f>
        <v/>
      </c>
      <c r="D336" s="54" t="str">
        <f aca="false">IF($B336="","",INDEX(Journal!$B$5:$B$1504,$B336))</f>
        <v/>
      </c>
      <c r="E336" s="54" t="str">
        <f aca="false">IF($B336="","",INDEX(Journal!$C$5:$C$1504,$B336))</f>
        <v/>
      </c>
      <c r="F336" s="54" t="str">
        <f aca="false">IF($B336="","",IF(INDEX(Journal!$D$5:$D$1504,$B336)=$C$4,INDEX(Journal!$E$5:$E$1504,$B336),INDEX(Journal!$D$5:$D$1504,$B336)))</f>
        <v/>
      </c>
      <c r="G336" s="56" t="str">
        <f aca="false">IF($B336="","",IF(INDEX(Journal!$D$5:$D$1504,$B336)=$C$4,INDEX(Journal!$M$5:$M$1504,$B336),0))</f>
        <v/>
      </c>
      <c r="H336" s="56" t="str">
        <f aca="false">IF($B336="","",IF(INDEX(Journal!$E$5:$E$1504,$B336)=$C$4,INDEX(Journal!$N$5:$N$1504,$B336),0))</f>
        <v/>
      </c>
      <c r="I336" s="56" t="str">
        <f aca="false">IF($B336="","",IF(OR($G$4="Aktiv",$G$4="Aufwand"),I335+G336-H336,I335+H336-G336))</f>
        <v/>
      </c>
    </row>
    <row r="337" customFormat="false" ht="15" hidden="false" customHeight="false" outlineLevel="0" collapsed="false">
      <c r="A337" s="54" t="n">
        <v>330</v>
      </c>
      <c r="B337" s="54" t="str">
        <f aca="false">IFERROR(MATCH(A337,Journal!$W$5:$W$1504,0),"")</f>
        <v/>
      </c>
      <c r="C337" s="55" t="str">
        <f aca="false">IF($B337="","",INDEX(Journal!$A$5:$A$1504,$B337))</f>
        <v/>
      </c>
      <c r="D337" s="54" t="str">
        <f aca="false">IF($B337="","",INDEX(Journal!$B$5:$B$1504,$B337))</f>
        <v/>
      </c>
      <c r="E337" s="54" t="str">
        <f aca="false">IF($B337="","",INDEX(Journal!$C$5:$C$1504,$B337))</f>
        <v/>
      </c>
      <c r="F337" s="54" t="str">
        <f aca="false">IF($B337="","",IF(INDEX(Journal!$D$5:$D$1504,$B337)=$C$4,INDEX(Journal!$E$5:$E$1504,$B337),INDEX(Journal!$D$5:$D$1504,$B337)))</f>
        <v/>
      </c>
      <c r="G337" s="56" t="str">
        <f aca="false">IF($B337="","",IF(INDEX(Journal!$D$5:$D$1504,$B337)=$C$4,INDEX(Journal!$M$5:$M$1504,$B337),0))</f>
        <v/>
      </c>
      <c r="H337" s="56" t="str">
        <f aca="false">IF($B337="","",IF(INDEX(Journal!$E$5:$E$1504,$B337)=$C$4,INDEX(Journal!$N$5:$N$1504,$B337),0))</f>
        <v/>
      </c>
      <c r="I337" s="56" t="str">
        <f aca="false">IF($B337="","",IF(OR($G$4="Aktiv",$G$4="Aufwand"),I336+G337-H337,I336+H337-G337))</f>
        <v/>
      </c>
    </row>
    <row r="338" customFormat="false" ht="15" hidden="false" customHeight="false" outlineLevel="0" collapsed="false">
      <c r="A338" s="54" t="n">
        <v>331</v>
      </c>
      <c r="B338" s="54" t="str">
        <f aca="false">IFERROR(MATCH(A338,Journal!$W$5:$W$1504,0),"")</f>
        <v/>
      </c>
      <c r="C338" s="55" t="str">
        <f aca="false">IF($B338="","",INDEX(Journal!$A$5:$A$1504,$B338))</f>
        <v/>
      </c>
      <c r="D338" s="54" t="str">
        <f aca="false">IF($B338="","",INDEX(Journal!$B$5:$B$1504,$B338))</f>
        <v/>
      </c>
      <c r="E338" s="54" t="str">
        <f aca="false">IF($B338="","",INDEX(Journal!$C$5:$C$1504,$B338))</f>
        <v/>
      </c>
      <c r="F338" s="54" t="str">
        <f aca="false">IF($B338="","",IF(INDEX(Journal!$D$5:$D$1504,$B338)=$C$4,INDEX(Journal!$E$5:$E$1504,$B338),INDEX(Journal!$D$5:$D$1504,$B338)))</f>
        <v/>
      </c>
      <c r="G338" s="56" t="str">
        <f aca="false">IF($B338="","",IF(INDEX(Journal!$D$5:$D$1504,$B338)=$C$4,INDEX(Journal!$M$5:$M$1504,$B338),0))</f>
        <v/>
      </c>
      <c r="H338" s="56" t="str">
        <f aca="false">IF($B338="","",IF(INDEX(Journal!$E$5:$E$1504,$B338)=$C$4,INDEX(Journal!$N$5:$N$1504,$B338),0))</f>
        <v/>
      </c>
      <c r="I338" s="56" t="str">
        <f aca="false">IF($B338="","",IF(OR($G$4="Aktiv",$G$4="Aufwand"),I337+G338-H338,I337+H338-G338))</f>
        <v/>
      </c>
    </row>
    <row r="339" customFormat="false" ht="15" hidden="false" customHeight="false" outlineLevel="0" collapsed="false">
      <c r="A339" s="54" t="n">
        <v>332</v>
      </c>
      <c r="B339" s="54" t="str">
        <f aca="false">IFERROR(MATCH(A339,Journal!$W$5:$W$1504,0),"")</f>
        <v/>
      </c>
      <c r="C339" s="55" t="str">
        <f aca="false">IF($B339="","",INDEX(Journal!$A$5:$A$1504,$B339))</f>
        <v/>
      </c>
      <c r="D339" s="54" t="str">
        <f aca="false">IF($B339="","",INDEX(Journal!$B$5:$B$1504,$B339))</f>
        <v/>
      </c>
      <c r="E339" s="54" t="str">
        <f aca="false">IF($B339="","",INDEX(Journal!$C$5:$C$1504,$B339))</f>
        <v/>
      </c>
      <c r="F339" s="54" t="str">
        <f aca="false">IF($B339="","",IF(INDEX(Journal!$D$5:$D$1504,$B339)=$C$4,INDEX(Journal!$E$5:$E$1504,$B339),INDEX(Journal!$D$5:$D$1504,$B339)))</f>
        <v/>
      </c>
      <c r="G339" s="56" t="str">
        <f aca="false">IF($B339="","",IF(INDEX(Journal!$D$5:$D$1504,$B339)=$C$4,INDEX(Journal!$M$5:$M$1504,$B339),0))</f>
        <v/>
      </c>
      <c r="H339" s="56" t="str">
        <f aca="false">IF($B339="","",IF(INDEX(Journal!$E$5:$E$1504,$B339)=$C$4,INDEX(Journal!$N$5:$N$1504,$B339),0))</f>
        <v/>
      </c>
      <c r="I339" s="56" t="str">
        <f aca="false">IF($B339="","",IF(OR($G$4="Aktiv",$G$4="Aufwand"),I338+G339-H339,I338+H339-G339))</f>
        <v/>
      </c>
    </row>
    <row r="340" customFormat="false" ht="15" hidden="false" customHeight="false" outlineLevel="0" collapsed="false">
      <c r="A340" s="54" t="n">
        <v>333</v>
      </c>
      <c r="B340" s="54" t="str">
        <f aca="false">IFERROR(MATCH(A340,Journal!$W$5:$W$1504,0),"")</f>
        <v/>
      </c>
      <c r="C340" s="55" t="str">
        <f aca="false">IF($B340="","",INDEX(Journal!$A$5:$A$1504,$B340))</f>
        <v/>
      </c>
      <c r="D340" s="54" t="str">
        <f aca="false">IF($B340="","",INDEX(Journal!$B$5:$B$1504,$B340))</f>
        <v/>
      </c>
      <c r="E340" s="54" t="str">
        <f aca="false">IF($B340="","",INDEX(Journal!$C$5:$C$1504,$B340))</f>
        <v/>
      </c>
      <c r="F340" s="54" t="str">
        <f aca="false">IF($B340="","",IF(INDEX(Journal!$D$5:$D$1504,$B340)=$C$4,INDEX(Journal!$E$5:$E$1504,$B340),INDEX(Journal!$D$5:$D$1504,$B340)))</f>
        <v/>
      </c>
      <c r="G340" s="56" t="str">
        <f aca="false">IF($B340="","",IF(INDEX(Journal!$D$5:$D$1504,$B340)=$C$4,INDEX(Journal!$M$5:$M$1504,$B340),0))</f>
        <v/>
      </c>
      <c r="H340" s="56" t="str">
        <f aca="false">IF($B340="","",IF(INDEX(Journal!$E$5:$E$1504,$B340)=$C$4,INDEX(Journal!$N$5:$N$1504,$B340),0))</f>
        <v/>
      </c>
      <c r="I340" s="56" t="str">
        <f aca="false">IF($B340="","",IF(OR($G$4="Aktiv",$G$4="Aufwand"),I339+G340-H340,I339+H340-G340))</f>
        <v/>
      </c>
    </row>
    <row r="341" customFormat="false" ht="15" hidden="false" customHeight="false" outlineLevel="0" collapsed="false">
      <c r="A341" s="54" t="n">
        <v>334</v>
      </c>
      <c r="B341" s="54" t="str">
        <f aca="false">IFERROR(MATCH(A341,Journal!$W$5:$W$1504,0),"")</f>
        <v/>
      </c>
      <c r="C341" s="55" t="str">
        <f aca="false">IF($B341="","",INDEX(Journal!$A$5:$A$1504,$B341))</f>
        <v/>
      </c>
      <c r="D341" s="54" t="str">
        <f aca="false">IF($B341="","",INDEX(Journal!$B$5:$B$1504,$B341))</f>
        <v/>
      </c>
      <c r="E341" s="54" t="str">
        <f aca="false">IF($B341="","",INDEX(Journal!$C$5:$C$1504,$B341))</f>
        <v/>
      </c>
      <c r="F341" s="54" t="str">
        <f aca="false">IF($B341="","",IF(INDEX(Journal!$D$5:$D$1504,$B341)=$C$4,INDEX(Journal!$E$5:$E$1504,$B341),INDEX(Journal!$D$5:$D$1504,$B341)))</f>
        <v/>
      </c>
      <c r="G341" s="56" t="str">
        <f aca="false">IF($B341="","",IF(INDEX(Journal!$D$5:$D$1504,$B341)=$C$4,INDEX(Journal!$M$5:$M$1504,$B341),0))</f>
        <v/>
      </c>
      <c r="H341" s="56" t="str">
        <f aca="false">IF($B341="","",IF(INDEX(Journal!$E$5:$E$1504,$B341)=$C$4,INDEX(Journal!$N$5:$N$1504,$B341),0))</f>
        <v/>
      </c>
      <c r="I341" s="56" t="str">
        <f aca="false">IF($B341="","",IF(OR($G$4="Aktiv",$G$4="Aufwand"),I340+G341-H341,I340+H341-G341))</f>
        <v/>
      </c>
    </row>
    <row r="342" customFormat="false" ht="15" hidden="false" customHeight="false" outlineLevel="0" collapsed="false">
      <c r="A342" s="54" t="n">
        <v>335</v>
      </c>
      <c r="B342" s="54" t="str">
        <f aca="false">IFERROR(MATCH(A342,Journal!$W$5:$W$1504,0),"")</f>
        <v/>
      </c>
      <c r="C342" s="55" t="str">
        <f aca="false">IF($B342="","",INDEX(Journal!$A$5:$A$1504,$B342))</f>
        <v/>
      </c>
      <c r="D342" s="54" t="str">
        <f aca="false">IF($B342="","",INDEX(Journal!$B$5:$B$1504,$B342))</f>
        <v/>
      </c>
      <c r="E342" s="54" t="str">
        <f aca="false">IF($B342="","",INDEX(Journal!$C$5:$C$1504,$B342))</f>
        <v/>
      </c>
      <c r="F342" s="54" t="str">
        <f aca="false">IF($B342="","",IF(INDEX(Journal!$D$5:$D$1504,$B342)=$C$4,INDEX(Journal!$E$5:$E$1504,$B342),INDEX(Journal!$D$5:$D$1504,$B342)))</f>
        <v/>
      </c>
      <c r="G342" s="56" t="str">
        <f aca="false">IF($B342="","",IF(INDEX(Journal!$D$5:$D$1504,$B342)=$C$4,INDEX(Journal!$M$5:$M$1504,$B342),0))</f>
        <v/>
      </c>
      <c r="H342" s="56" t="str">
        <f aca="false">IF($B342="","",IF(INDEX(Journal!$E$5:$E$1504,$B342)=$C$4,INDEX(Journal!$N$5:$N$1504,$B342),0))</f>
        <v/>
      </c>
      <c r="I342" s="56" t="str">
        <f aca="false">IF($B342="","",IF(OR($G$4="Aktiv",$G$4="Aufwand"),I341+G342-H342,I341+H342-G342))</f>
        <v/>
      </c>
    </row>
    <row r="343" customFormat="false" ht="15" hidden="false" customHeight="false" outlineLevel="0" collapsed="false">
      <c r="A343" s="54" t="n">
        <v>336</v>
      </c>
      <c r="B343" s="54" t="str">
        <f aca="false">IFERROR(MATCH(A343,Journal!$W$5:$W$1504,0),"")</f>
        <v/>
      </c>
      <c r="C343" s="55" t="str">
        <f aca="false">IF($B343="","",INDEX(Journal!$A$5:$A$1504,$B343))</f>
        <v/>
      </c>
      <c r="D343" s="54" t="str">
        <f aca="false">IF($B343="","",INDEX(Journal!$B$5:$B$1504,$B343))</f>
        <v/>
      </c>
      <c r="E343" s="54" t="str">
        <f aca="false">IF($B343="","",INDEX(Journal!$C$5:$C$1504,$B343))</f>
        <v/>
      </c>
      <c r="F343" s="54" t="str">
        <f aca="false">IF($B343="","",IF(INDEX(Journal!$D$5:$D$1504,$B343)=$C$4,INDEX(Journal!$E$5:$E$1504,$B343),INDEX(Journal!$D$5:$D$1504,$B343)))</f>
        <v/>
      </c>
      <c r="G343" s="56" t="str">
        <f aca="false">IF($B343="","",IF(INDEX(Journal!$D$5:$D$1504,$B343)=$C$4,INDEX(Journal!$M$5:$M$1504,$B343),0))</f>
        <v/>
      </c>
      <c r="H343" s="56" t="str">
        <f aca="false">IF($B343="","",IF(INDEX(Journal!$E$5:$E$1504,$B343)=$C$4,INDEX(Journal!$N$5:$N$1504,$B343),0))</f>
        <v/>
      </c>
      <c r="I343" s="56" t="str">
        <f aca="false">IF($B343="","",IF(OR($G$4="Aktiv",$G$4="Aufwand"),I342+G343-H343,I342+H343-G343))</f>
        <v/>
      </c>
    </row>
    <row r="344" customFormat="false" ht="15" hidden="false" customHeight="false" outlineLevel="0" collapsed="false">
      <c r="A344" s="54" t="n">
        <v>337</v>
      </c>
      <c r="B344" s="54" t="str">
        <f aca="false">IFERROR(MATCH(A344,Journal!$W$5:$W$1504,0),"")</f>
        <v/>
      </c>
      <c r="C344" s="55" t="str">
        <f aca="false">IF($B344="","",INDEX(Journal!$A$5:$A$1504,$B344))</f>
        <v/>
      </c>
      <c r="D344" s="54" t="str">
        <f aca="false">IF($B344="","",INDEX(Journal!$B$5:$B$1504,$B344))</f>
        <v/>
      </c>
      <c r="E344" s="54" t="str">
        <f aca="false">IF($B344="","",INDEX(Journal!$C$5:$C$1504,$B344))</f>
        <v/>
      </c>
      <c r="F344" s="54" t="str">
        <f aca="false">IF($B344="","",IF(INDEX(Journal!$D$5:$D$1504,$B344)=$C$4,INDEX(Journal!$E$5:$E$1504,$B344),INDEX(Journal!$D$5:$D$1504,$B344)))</f>
        <v/>
      </c>
      <c r="G344" s="56" t="str">
        <f aca="false">IF($B344="","",IF(INDEX(Journal!$D$5:$D$1504,$B344)=$C$4,INDEX(Journal!$M$5:$M$1504,$B344),0))</f>
        <v/>
      </c>
      <c r="H344" s="56" t="str">
        <f aca="false">IF($B344="","",IF(INDEX(Journal!$E$5:$E$1504,$B344)=$C$4,INDEX(Journal!$N$5:$N$1504,$B344),0))</f>
        <v/>
      </c>
      <c r="I344" s="56" t="str">
        <f aca="false">IF($B344="","",IF(OR($G$4="Aktiv",$G$4="Aufwand"),I343+G344-H344,I343+H344-G344))</f>
        <v/>
      </c>
    </row>
    <row r="345" customFormat="false" ht="15" hidden="false" customHeight="false" outlineLevel="0" collapsed="false">
      <c r="A345" s="54" t="n">
        <v>338</v>
      </c>
      <c r="B345" s="54" t="str">
        <f aca="false">IFERROR(MATCH(A345,Journal!$W$5:$W$1504,0),"")</f>
        <v/>
      </c>
      <c r="C345" s="55" t="str">
        <f aca="false">IF($B345="","",INDEX(Journal!$A$5:$A$1504,$B345))</f>
        <v/>
      </c>
      <c r="D345" s="54" t="str">
        <f aca="false">IF($B345="","",INDEX(Journal!$B$5:$B$1504,$B345))</f>
        <v/>
      </c>
      <c r="E345" s="54" t="str">
        <f aca="false">IF($B345="","",INDEX(Journal!$C$5:$C$1504,$B345))</f>
        <v/>
      </c>
      <c r="F345" s="54" t="str">
        <f aca="false">IF($B345="","",IF(INDEX(Journal!$D$5:$D$1504,$B345)=$C$4,INDEX(Journal!$E$5:$E$1504,$B345),INDEX(Journal!$D$5:$D$1504,$B345)))</f>
        <v/>
      </c>
      <c r="G345" s="56" t="str">
        <f aca="false">IF($B345="","",IF(INDEX(Journal!$D$5:$D$1504,$B345)=$C$4,INDEX(Journal!$M$5:$M$1504,$B345),0))</f>
        <v/>
      </c>
      <c r="H345" s="56" t="str">
        <f aca="false">IF($B345="","",IF(INDEX(Journal!$E$5:$E$1504,$B345)=$C$4,INDEX(Journal!$N$5:$N$1504,$B345),0))</f>
        <v/>
      </c>
      <c r="I345" s="56" t="str">
        <f aca="false">IF($B345="","",IF(OR($G$4="Aktiv",$G$4="Aufwand"),I344+G345-H345,I344+H345-G345))</f>
        <v/>
      </c>
    </row>
    <row r="346" customFormat="false" ht="15" hidden="false" customHeight="false" outlineLevel="0" collapsed="false">
      <c r="A346" s="54" t="n">
        <v>339</v>
      </c>
      <c r="B346" s="54" t="str">
        <f aca="false">IFERROR(MATCH(A346,Journal!$W$5:$W$1504,0),"")</f>
        <v/>
      </c>
      <c r="C346" s="55" t="str">
        <f aca="false">IF($B346="","",INDEX(Journal!$A$5:$A$1504,$B346))</f>
        <v/>
      </c>
      <c r="D346" s="54" t="str">
        <f aca="false">IF($B346="","",INDEX(Journal!$B$5:$B$1504,$B346))</f>
        <v/>
      </c>
      <c r="E346" s="54" t="str">
        <f aca="false">IF($B346="","",INDEX(Journal!$C$5:$C$1504,$B346))</f>
        <v/>
      </c>
      <c r="F346" s="54" t="str">
        <f aca="false">IF($B346="","",IF(INDEX(Journal!$D$5:$D$1504,$B346)=$C$4,INDEX(Journal!$E$5:$E$1504,$B346),INDEX(Journal!$D$5:$D$1504,$B346)))</f>
        <v/>
      </c>
      <c r="G346" s="56" t="str">
        <f aca="false">IF($B346="","",IF(INDEX(Journal!$D$5:$D$1504,$B346)=$C$4,INDEX(Journal!$M$5:$M$1504,$B346),0))</f>
        <v/>
      </c>
      <c r="H346" s="56" t="str">
        <f aca="false">IF($B346="","",IF(INDEX(Journal!$E$5:$E$1504,$B346)=$C$4,INDEX(Journal!$N$5:$N$1504,$B346),0))</f>
        <v/>
      </c>
      <c r="I346" s="56" t="str">
        <f aca="false">IF($B346="","",IF(OR($G$4="Aktiv",$G$4="Aufwand"),I345+G346-H346,I345+H346-G346))</f>
        <v/>
      </c>
    </row>
    <row r="347" customFormat="false" ht="15" hidden="false" customHeight="false" outlineLevel="0" collapsed="false">
      <c r="A347" s="54" t="n">
        <v>340</v>
      </c>
      <c r="B347" s="54" t="str">
        <f aca="false">IFERROR(MATCH(A347,Journal!$W$5:$W$1504,0),"")</f>
        <v/>
      </c>
      <c r="C347" s="55" t="str">
        <f aca="false">IF($B347="","",INDEX(Journal!$A$5:$A$1504,$B347))</f>
        <v/>
      </c>
      <c r="D347" s="54" t="str">
        <f aca="false">IF($B347="","",INDEX(Journal!$B$5:$B$1504,$B347))</f>
        <v/>
      </c>
      <c r="E347" s="54" t="str">
        <f aca="false">IF($B347="","",INDEX(Journal!$C$5:$C$1504,$B347))</f>
        <v/>
      </c>
      <c r="F347" s="54" t="str">
        <f aca="false">IF($B347="","",IF(INDEX(Journal!$D$5:$D$1504,$B347)=$C$4,INDEX(Journal!$E$5:$E$1504,$B347),INDEX(Journal!$D$5:$D$1504,$B347)))</f>
        <v/>
      </c>
      <c r="G347" s="56" t="str">
        <f aca="false">IF($B347="","",IF(INDEX(Journal!$D$5:$D$1504,$B347)=$C$4,INDEX(Journal!$M$5:$M$1504,$B347),0))</f>
        <v/>
      </c>
      <c r="H347" s="56" t="str">
        <f aca="false">IF($B347="","",IF(INDEX(Journal!$E$5:$E$1504,$B347)=$C$4,INDEX(Journal!$N$5:$N$1504,$B347),0))</f>
        <v/>
      </c>
      <c r="I347" s="56" t="str">
        <f aca="false">IF($B347="","",IF(OR($G$4="Aktiv",$G$4="Aufwand"),I346+G347-H347,I346+H347-G347))</f>
        <v/>
      </c>
    </row>
    <row r="348" customFormat="false" ht="15" hidden="false" customHeight="false" outlineLevel="0" collapsed="false">
      <c r="A348" s="54" t="n">
        <v>341</v>
      </c>
      <c r="B348" s="54" t="str">
        <f aca="false">IFERROR(MATCH(A348,Journal!$W$5:$W$1504,0),"")</f>
        <v/>
      </c>
      <c r="C348" s="55" t="str">
        <f aca="false">IF($B348="","",INDEX(Journal!$A$5:$A$1504,$B348))</f>
        <v/>
      </c>
      <c r="D348" s="54" t="str">
        <f aca="false">IF($B348="","",INDEX(Journal!$B$5:$B$1504,$B348))</f>
        <v/>
      </c>
      <c r="E348" s="54" t="str">
        <f aca="false">IF($B348="","",INDEX(Journal!$C$5:$C$1504,$B348))</f>
        <v/>
      </c>
      <c r="F348" s="54" t="str">
        <f aca="false">IF($B348="","",IF(INDEX(Journal!$D$5:$D$1504,$B348)=$C$4,INDEX(Journal!$E$5:$E$1504,$B348),INDEX(Journal!$D$5:$D$1504,$B348)))</f>
        <v/>
      </c>
      <c r="G348" s="56" t="str">
        <f aca="false">IF($B348="","",IF(INDEX(Journal!$D$5:$D$1504,$B348)=$C$4,INDEX(Journal!$M$5:$M$1504,$B348),0))</f>
        <v/>
      </c>
      <c r="H348" s="56" t="str">
        <f aca="false">IF($B348="","",IF(INDEX(Journal!$E$5:$E$1504,$B348)=$C$4,INDEX(Journal!$N$5:$N$1504,$B348),0))</f>
        <v/>
      </c>
      <c r="I348" s="56" t="str">
        <f aca="false">IF($B348="","",IF(OR($G$4="Aktiv",$G$4="Aufwand"),I347+G348-H348,I347+H348-G348))</f>
        <v/>
      </c>
    </row>
    <row r="349" customFormat="false" ht="15" hidden="false" customHeight="false" outlineLevel="0" collapsed="false">
      <c r="A349" s="54" t="n">
        <v>342</v>
      </c>
      <c r="B349" s="54" t="str">
        <f aca="false">IFERROR(MATCH(A349,Journal!$W$5:$W$1504,0),"")</f>
        <v/>
      </c>
      <c r="C349" s="55" t="str">
        <f aca="false">IF($B349="","",INDEX(Journal!$A$5:$A$1504,$B349))</f>
        <v/>
      </c>
      <c r="D349" s="54" t="str">
        <f aca="false">IF($B349="","",INDEX(Journal!$B$5:$B$1504,$B349))</f>
        <v/>
      </c>
      <c r="E349" s="54" t="str">
        <f aca="false">IF($B349="","",INDEX(Journal!$C$5:$C$1504,$B349))</f>
        <v/>
      </c>
      <c r="F349" s="54" t="str">
        <f aca="false">IF($B349="","",IF(INDEX(Journal!$D$5:$D$1504,$B349)=$C$4,INDEX(Journal!$E$5:$E$1504,$B349),INDEX(Journal!$D$5:$D$1504,$B349)))</f>
        <v/>
      </c>
      <c r="G349" s="56" t="str">
        <f aca="false">IF($B349="","",IF(INDEX(Journal!$D$5:$D$1504,$B349)=$C$4,INDEX(Journal!$M$5:$M$1504,$B349),0))</f>
        <v/>
      </c>
      <c r="H349" s="56" t="str">
        <f aca="false">IF($B349="","",IF(INDEX(Journal!$E$5:$E$1504,$B349)=$C$4,INDEX(Journal!$N$5:$N$1504,$B349),0))</f>
        <v/>
      </c>
      <c r="I349" s="56" t="str">
        <f aca="false">IF($B349="","",IF(OR($G$4="Aktiv",$G$4="Aufwand"),I348+G349-H349,I348+H349-G349))</f>
        <v/>
      </c>
    </row>
    <row r="350" customFormat="false" ht="15" hidden="false" customHeight="false" outlineLevel="0" collapsed="false">
      <c r="A350" s="54" t="n">
        <v>343</v>
      </c>
      <c r="B350" s="54" t="str">
        <f aca="false">IFERROR(MATCH(A350,Journal!$W$5:$W$1504,0),"")</f>
        <v/>
      </c>
      <c r="C350" s="55" t="str">
        <f aca="false">IF($B350="","",INDEX(Journal!$A$5:$A$1504,$B350))</f>
        <v/>
      </c>
      <c r="D350" s="54" t="str">
        <f aca="false">IF($B350="","",INDEX(Journal!$B$5:$B$1504,$B350))</f>
        <v/>
      </c>
      <c r="E350" s="54" t="str">
        <f aca="false">IF($B350="","",INDEX(Journal!$C$5:$C$1504,$B350))</f>
        <v/>
      </c>
      <c r="F350" s="54" t="str">
        <f aca="false">IF($B350="","",IF(INDEX(Journal!$D$5:$D$1504,$B350)=$C$4,INDEX(Journal!$E$5:$E$1504,$B350),INDEX(Journal!$D$5:$D$1504,$B350)))</f>
        <v/>
      </c>
      <c r="G350" s="56" t="str">
        <f aca="false">IF($B350="","",IF(INDEX(Journal!$D$5:$D$1504,$B350)=$C$4,INDEX(Journal!$M$5:$M$1504,$B350),0))</f>
        <v/>
      </c>
      <c r="H350" s="56" t="str">
        <f aca="false">IF($B350="","",IF(INDEX(Journal!$E$5:$E$1504,$B350)=$C$4,INDEX(Journal!$N$5:$N$1504,$B350),0))</f>
        <v/>
      </c>
      <c r="I350" s="56" t="str">
        <f aca="false">IF($B350="","",IF(OR($G$4="Aktiv",$G$4="Aufwand"),I349+G350-H350,I349+H350-G350))</f>
        <v/>
      </c>
    </row>
    <row r="351" customFormat="false" ht="15" hidden="false" customHeight="false" outlineLevel="0" collapsed="false">
      <c r="A351" s="54" t="n">
        <v>344</v>
      </c>
      <c r="B351" s="54" t="str">
        <f aca="false">IFERROR(MATCH(A351,Journal!$W$5:$W$1504,0),"")</f>
        <v/>
      </c>
      <c r="C351" s="55" t="str">
        <f aca="false">IF($B351="","",INDEX(Journal!$A$5:$A$1504,$B351))</f>
        <v/>
      </c>
      <c r="D351" s="54" t="str">
        <f aca="false">IF($B351="","",INDEX(Journal!$B$5:$B$1504,$B351))</f>
        <v/>
      </c>
      <c r="E351" s="54" t="str">
        <f aca="false">IF($B351="","",INDEX(Journal!$C$5:$C$1504,$B351))</f>
        <v/>
      </c>
      <c r="F351" s="54" t="str">
        <f aca="false">IF($B351="","",IF(INDEX(Journal!$D$5:$D$1504,$B351)=$C$4,INDEX(Journal!$E$5:$E$1504,$B351),INDEX(Journal!$D$5:$D$1504,$B351)))</f>
        <v/>
      </c>
      <c r="G351" s="56" t="str">
        <f aca="false">IF($B351="","",IF(INDEX(Journal!$D$5:$D$1504,$B351)=$C$4,INDEX(Journal!$M$5:$M$1504,$B351),0))</f>
        <v/>
      </c>
      <c r="H351" s="56" t="str">
        <f aca="false">IF($B351="","",IF(INDEX(Journal!$E$5:$E$1504,$B351)=$C$4,INDEX(Journal!$N$5:$N$1504,$B351),0))</f>
        <v/>
      </c>
      <c r="I351" s="56" t="str">
        <f aca="false">IF($B351="","",IF(OR($G$4="Aktiv",$G$4="Aufwand"),I350+G351-H351,I350+H351-G351))</f>
        <v/>
      </c>
    </row>
    <row r="352" customFormat="false" ht="15" hidden="false" customHeight="false" outlineLevel="0" collapsed="false">
      <c r="A352" s="54" t="n">
        <v>345</v>
      </c>
      <c r="B352" s="54" t="str">
        <f aca="false">IFERROR(MATCH(A352,Journal!$W$5:$W$1504,0),"")</f>
        <v/>
      </c>
      <c r="C352" s="55" t="str">
        <f aca="false">IF($B352="","",INDEX(Journal!$A$5:$A$1504,$B352))</f>
        <v/>
      </c>
      <c r="D352" s="54" t="str">
        <f aca="false">IF($B352="","",INDEX(Journal!$B$5:$B$1504,$B352))</f>
        <v/>
      </c>
      <c r="E352" s="54" t="str">
        <f aca="false">IF($B352="","",INDEX(Journal!$C$5:$C$1504,$B352))</f>
        <v/>
      </c>
      <c r="F352" s="54" t="str">
        <f aca="false">IF($B352="","",IF(INDEX(Journal!$D$5:$D$1504,$B352)=$C$4,INDEX(Journal!$E$5:$E$1504,$B352),INDEX(Journal!$D$5:$D$1504,$B352)))</f>
        <v/>
      </c>
      <c r="G352" s="56" t="str">
        <f aca="false">IF($B352="","",IF(INDEX(Journal!$D$5:$D$1504,$B352)=$C$4,INDEX(Journal!$M$5:$M$1504,$B352),0))</f>
        <v/>
      </c>
      <c r="H352" s="56" t="str">
        <f aca="false">IF($B352="","",IF(INDEX(Journal!$E$5:$E$1504,$B352)=$C$4,INDEX(Journal!$N$5:$N$1504,$B352),0))</f>
        <v/>
      </c>
      <c r="I352" s="56" t="str">
        <f aca="false">IF($B352="","",IF(OR($G$4="Aktiv",$G$4="Aufwand"),I351+G352-H352,I351+H352-G352))</f>
        <v/>
      </c>
    </row>
    <row r="353" customFormat="false" ht="15" hidden="false" customHeight="false" outlineLevel="0" collapsed="false">
      <c r="A353" s="54" t="n">
        <v>346</v>
      </c>
      <c r="B353" s="54" t="str">
        <f aca="false">IFERROR(MATCH(A353,Journal!$W$5:$W$1504,0),"")</f>
        <v/>
      </c>
      <c r="C353" s="55" t="str">
        <f aca="false">IF($B353="","",INDEX(Journal!$A$5:$A$1504,$B353))</f>
        <v/>
      </c>
      <c r="D353" s="54" t="str">
        <f aca="false">IF($B353="","",INDEX(Journal!$B$5:$B$1504,$B353))</f>
        <v/>
      </c>
      <c r="E353" s="54" t="str">
        <f aca="false">IF($B353="","",INDEX(Journal!$C$5:$C$1504,$B353))</f>
        <v/>
      </c>
      <c r="F353" s="54" t="str">
        <f aca="false">IF($B353="","",IF(INDEX(Journal!$D$5:$D$1504,$B353)=$C$4,INDEX(Journal!$E$5:$E$1504,$B353),INDEX(Journal!$D$5:$D$1504,$B353)))</f>
        <v/>
      </c>
      <c r="G353" s="56" t="str">
        <f aca="false">IF($B353="","",IF(INDEX(Journal!$D$5:$D$1504,$B353)=$C$4,INDEX(Journal!$M$5:$M$1504,$B353),0))</f>
        <v/>
      </c>
      <c r="H353" s="56" t="str">
        <f aca="false">IF($B353="","",IF(INDEX(Journal!$E$5:$E$1504,$B353)=$C$4,INDEX(Journal!$N$5:$N$1504,$B353),0))</f>
        <v/>
      </c>
      <c r="I353" s="56" t="str">
        <f aca="false">IF($B353="","",IF(OR($G$4="Aktiv",$G$4="Aufwand"),I352+G353-H353,I352+H353-G353))</f>
        <v/>
      </c>
    </row>
    <row r="354" customFormat="false" ht="15" hidden="false" customHeight="false" outlineLevel="0" collapsed="false">
      <c r="A354" s="54" t="n">
        <v>347</v>
      </c>
      <c r="B354" s="54" t="str">
        <f aca="false">IFERROR(MATCH(A354,Journal!$W$5:$W$1504,0),"")</f>
        <v/>
      </c>
      <c r="C354" s="55" t="str">
        <f aca="false">IF($B354="","",INDEX(Journal!$A$5:$A$1504,$B354))</f>
        <v/>
      </c>
      <c r="D354" s="54" t="str">
        <f aca="false">IF($B354="","",INDEX(Journal!$B$5:$B$1504,$B354))</f>
        <v/>
      </c>
      <c r="E354" s="54" t="str">
        <f aca="false">IF($B354="","",INDEX(Journal!$C$5:$C$1504,$B354))</f>
        <v/>
      </c>
      <c r="F354" s="54" t="str">
        <f aca="false">IF($B354="","",IF(INDEX(Journal!$D$5:$D$1504,$B354)=$C$4,INDEX(Journal!$E$5:$E$1504,$B354),INDEX(Journal!$D$5:$D$1504,$B354)))</f>
        <v/>
      </c>
      <c r="G354" s="56" t="str">
        <f aca="false">IF($B354="","",IF(INDEX(Journal!$D$5:$D$1504,$B354)=$C$4,INDEX(Journal!$M$5:$M$1504,$B354),0))</f>
        <v/>
      </c>
      <c r="H354" s="56" t="str">
        <f aca="false">IF($B354="","",IF(INDEX(Journal!$E$5:$E$1504,$B354)=$C$4,INDEX(Journal!$N$5:$N$1504,$B354),0))</f>
        <v/>
      </c>
      <c r="I354" s="56" t="str">
        <f aca="false">IF($B354="","",IF(OR($G$4="Aktiv",$G$4="Aufwand"),I353+G354-H354,I353+H354-G354))</f>
        <v/>
      </c>
    </row>
    <row r="355" customFormat="false" ht="15" hidden="false" customHeight="false" outlineLevel="0" collapsed="false">
      <c r="A355" s="54" t="n">
        <v>348</v>
      </c>
      <c r="B355" s="54" t="str">
        <f aca="false">IFERROR(MATCH(A355,Journal!$W$5:$W$1504,0),"")</f>
        <v/>
      </c>
      <c r="C355" s="55" t="str">
        <f aca="false">IF($B355="","",INDEX(Journal!$A$5:$A$1504,$B355))</f>
        <v/>
      </c>
      <c r="D355" s="54" t="str">
        <f aca="false">IF($B355="","",INDEX(Journal!$B$5:$B$1504,$B355))</f>
        <v/>
      </c>
      <c r="E355" s="54" t="str">
        <f aca="false">IF($B355="","",INDEX(Journal!$C$5:$C$1504,$B355))</f>
        <v/>
      </c>
      <c r="F355" s="54" t="str">
        <f aca="false">IF($B355="","",IF(INDEX(Journal!$D$5:$D$1504,$B355)=$C$4,INDEX(Journal!$E$5:$E$1504,$B355),INDEX(Journal!$D$5:$D$1504,$B355)))</f>
        <v/>
      </c>
      <c r="G355" s="56" t="str">
        <f aca="false">IF($B355="","",IF(INDEX(Journal!$D$5:$D$1504,$B355)=$C$4,INDEX(Journal!$M$5:$M$1504,$B355),0))</f>
        <v/>
      </c>
      <c r="H355" s="56" t="str">
        <f aca="false">IF($B355="","",IF(INDEX(Journal!$E$5:$E$1504,$B355)=$C$4,INDEX(Journal!$N$5:$N$1504,$B355),0))</f>
        <v/>
      </c>
      <c r="I355" s="56" t="str">
        <f aca="false">IF($B355="","",IF(OR($G$4="Aktiv",$G$4="Aufwand"),I354+G355-H355,I354+H355-G355))</f>
        <v/>
      </c>
    </row>
    <row r="356" customFormat="false" ht="15" hidden="false" customHeight="false" outlineLevel="0" collapsed="false">
      <c r="A356" s="54" t="n">
        <v>349</v>
      </c>
      <c r="B356" s="54" t="str">
        <f aca="false">IFERROR(MATCH(A356,Journal!$W$5:$W$1504,0),"")</f>
        <v/>
      </c>
      <c r="C356" s="55" t="str">
        <f aca="false">IF($B356="","",INDEX(Journal!$A$5:$A$1504,$B356))</f>
        <v/>
      </c>
      <c r="D356" s="54" t="str">
        <f aca="false">IF($B356="","",INDEX(Journal!$B$5:$B$1504,$B356))</f>
        <v/>
      </c>
      <c r="E356" s="54" t="str">
        <f aca="false">IF($B356="","",INDEX(Journal!$C$5:$C$1504,$B356))</f>
        <v/>
      </c>
      <c r="F356" s="54" t="str">
        <f aca="false">IF($B356="","",IF(INDEX(Journal!$D$5:$D$1504,$B356)=$C$4,INDEX(Journal!$E$5:$E$1504,$B356),INDEX(Journal!$D$5:$D$1504,$B356)))</f>
        <v/>
      </c>
      <c r="G356" s="56" t="str">
        <f aca="false">IF($B356="","",IF(INDEX(Journal!$D$5:$D$1504,$B356)=$C$4,INDEX(Journal!$M$5:$M$1504,$B356),0))</f>
        <v/>
      </c>
      <c r="H356" s="56" t="str">
        <f aca="false">IF($B356="","",IF(INDEX(Journal!$E$5:$E$1504,$B356)=$C$4,INDEX(Journal!$N$5:$N$1504,$B356),0))</f>
        <v/>
      </c>
      <c r="I356" s="56" t="str">
        <f aca="false">IF($B356="","",IF(OR($G$4="Aktiv",$G$4="Aufwand"),I355+G356-H356,I355+H356-G356))</f>
        <v/>
      </c>
    </row>
    <row r="357" customFormat="false" ht="15" hidden="false" customHeight="false" outlineLevel="0" collapsed="false">
      <c r="A357" s="54" t="n">
        <v>350</v>
      </c>
      <c r="B357" s="54" t="str">
        <f aca="false">IFERROR(MATCH(A357,Journal!$W$5:$W$1504,0),"")</f>
        <v/>
      </c>
      <c r="C357" s="55" t="str">
        <f aca="false">IF($B357="","",INDEX(Journal!$A$5:$A$1504,$B357))</f>
        <v/>
      </c>
      <c r="D357" s="54" t="str">
        <f aca="false">IF($B357="","",INDEX(Journal!$B$5:$B$1504,$B357))</f>
        <v/>
      </c>
      <c r="E357" s="54" t="str">
        <f aca="false">IF($B357="","",INDEX(Journal!$C$5:$C$1504,$B357))</f>
        <v/>
      </c>
      <c r="F357" s="54" t="str">
        <f aca="false">IF($B357="","",IF(INDEX(Journal!$D$5:$D$1504,$B357)=$C$4,INDEX(Journal!$E$5:$E$1504,$B357),INDEX(Journal!$D$5:$D$1504,$B357)))</f>
        <v/>
      </c>
      <c r="G357" s="56" t="str">
        <f aca="false">IF($B357="","",IF(INDEX(Journal!$D$5:$D$1504,$B357)=$C$4,INDEX(Journal!$M$5:$M$1504,$B357),0))</f>
        <v/>
      </c>
      <c r="H357" s="56" t="str">
        <f aca="false">IF($B357="","",IF(INDEX(Journal!$E$5:$E$1504,$B357)=$C$4,INDEX(Journal!$N$5:$N$1504,$B357),0))</f>
        <v/>
      </c>
      <c r="I357" s="56" t="str">
        <f aca="false">IF($B357="","",IF(OR($G$4="Aktiv",$G$4="Aufwand"),I356+G357-H357,I356+H357-G357))</f>
        <v/>
      </c>
    </row>
    <row r="358" customFormat="false" ht="15" hidden="false" customHeight="false" outlineLevel="0" collapsed="false">
      <c r="A358" s="54" t="n">
        <v>351</v>
      </c>
      <c r="B358" s="54" t="str">
        <f aca="false">IFERROR(MATCH(A358,Journal!$W$5:$W$1504,0),"")</f>
        <v/>
      </c>
      <c r="C358" s="55" t="str">
        <f aca="false">IF($B358="","",INDEX(Journal!$A$5:$A$1504,$B358))</f>
        <v/>
      </c>
      <c r="D358" s="54" t="str">
        <f aca="false">IF($B358="","",INDEX(Journal!$B$5:$B$1504,$B358))</f>
        <v/>
      </c>
      <c r="E358" s="54" t="str">
        <f aca="false">IF($B358="","",INDEX(Journal!$C$5:$C$1504,$B358))</f>
        <v/>
      </c>
      <c r="F358" s="54" t="str">
        <f aca="false">IF($B358="","",IF(INDEX(Journal!$D$5:$D$1504,$B358)=$C$4,INDEX(Journal!$E$5:$E$1504,$B358),INDEX(Journal!$D$5:$D$1504,$B358)))</f>
        <v/>
      </c>
      <c r="G358" s="56" t="str">
        <f aca="false">IF($B358="","",IF(INDEX(Journal!$D$5:$D$1504,$B358)=$C$4,INDEX(Journal!$M$5:$M$1504,$B358),0))</f>
        <v/>
      </c>
      <c r="H358" s="56" t="str">
        <f aca="false">IF($B358="","",IF(INDEX(Journal!$E$5:$E$1504,$B358)=$C$4,INDEX(Journal!$N$5:$N$1504,$B358),0))</f>
        <v/>
      </c>
      <c r="I358" s="56" t="str">
        <f aca="false">IF($B358="","",IF(OR($G$4="Aktiv",$G$4="Aufwand"),I357+G358-H358,I357+H358-G358))</f>
        <v/>
      </c>
    </row>
    <row r="359" customFormat="false" ht="15" hidden="false" customHeight="false" outlineLevel="0" collapsed="false">
      <c r="A359" s="54" t="n">
        <v>352</v>
      </c>
      <c r="B359" s="54" t="str">
        <f aca="false">IFERROR(MATCH(A359,Journal!$W$5:$W$1504,0),"")</f>
        <v/>
      </c>
      <c r="C359" s="55" t="str">
        <f aca="false">IF($B359="","",INDEX(Journal!$A$5:$A$1504,$B359))</f>
        <v/>
      </c>
      <c r="D359" s="54" t="str">
        <f aca="false">IF($B359="","",INDEX(Journal!$B$5:$B$1504,$B359))</f>
        <v/>
      </c>
      <c r="E359" s="54" t="str">
        <f aca="false">IF($B359="","",INDEX(Journal!$C$5:$C$1504,$B359))</f>
        <v/>
      </c>
      <c r="F359" s="54" t="str">
        <f aca="false">IF($B359="","",IF(INDEX(Journal!$D$5:$D$1504,$B359)=$C$4,INDEX(Journal!$E$5:$E$1504,$B359),INDEX(Journal!$D$5:$D$1504,$B359)))</f>
        <v/>
      </c>
      <c r="G359" s="56" t="str">
        <f aca="false">IF($B359="","",IF(INDEX(Journal!$D$5:$D$1504,$B359)=$C$4,INDEX(Journal!$M$5:$M$1504,$B359),0))</f>
        <v/>
      </c>
      <c r="H359" s="56" t="str">
        <f aca="false">IF($B359="","",IF(INDEX(Journal!$E$5:$E$1504,$B359)=$C$4,INDEX(Journal!$N$5:$N$1504,$B359),0))</f>
        <v/>
      </c>
      <c r="I359" s="56" t="str">
        <f aca="false">IF($B359="","",IF(OR($G$4="Aktiv",$G$4="Aufwand"),I358+G359-H359,I358+H359-G359))</f>
        <v/>
      </c>
    </row>
    <row r="360" customFormat="false" ht="15" hidden="false" customHeight="false" outlineLevel="0" collapsed="false">
      <c r="A360" s="54" t="n">
        <v>353</v>
      </c>
      <c r="B360" s="54" t="str">
        <f aca="false">IFERROR(MATCH(A360,Journal!$W$5:$W$1504,0),"")</f>
        <v/>
      </c>
      <c r="C360" s="55" t="str">
        <f aca="false">IF($B360="","",INDEX(Journal!$A$5:$A$1504,$B360))</f>
        <v/>
      </c>
      <c r="D360" s="54" t="str">
        <f aca="false">IF($B360="","",INDEX(Journal!$B$5:$B$1504,$B360))</f>
        <v/>
      </c>
      <c r="E360" s="54" t="str">
        <f aca="false">IF($B360="","",INDEX(Journal!$C$5:$C$1504,$B360))</f>
        <v/>
      </c>
      <c r="F360" s="54" t="str">
        <f aca="false">IF($B360="","",IF(INDEX(Journal!$D$5:$D$1504,$B360)=$C$4,INDEX(Journal!$E$5:$E$1504,$B360),INDEX(Journal!$D$5:$D$1504,$B360)))</f>
        <v/>
      </c>
      <c r="G360" s="56" t="str">
        <f aca="false">IF($B360="","",IF(INDEX(Journal!$D$5:$D$1504,$B360)=$C$4,INDEX(Journal!$M$5:$M$1504,$B360),0))</f>
        <v/>
      </c>
      <c r="H360" s="56" t="str">
        <f aca="false">IF($B360="","",IF(INDEX(Journal!$E$5:$E$1504,$B360)=$C$4,INDEX(Journal!$N$5:$N$1504,$B360),0))</f>
        <v/>
      </c>
      <c r="I360" s="56" t="str">
        <f aca="false">IF($B360="","",IF(OR($G$4="Aktiv",$G$4="Aufwand"),I359+G360-H360,I359+H360-G360))</f>
        <v/>
      </c>
    </row>
    <row r="361" customFormat="false" ht="15" hidden="false" customHeight="false" outlineLevel="0" collapsed="false">
      <c r="A361" s="54" t="n">
        <v>354</v>
      </c>
      <c r="B361" s="54" t="str">
        <f aca="false">IFERROR(MATCH(A361,Journal!$W$5:$W$1504,0),"")</f>
        <v/>
      </c>
      <c r="C361" s="55" t="str">
        <f aca="false">IF($B361="","",INDEX(Journal!$A$5:$A$1504,$B361))</f>
        <v/>
      </c>
      <c r="D361" s="54" t="str">
        <f aca="false">IF($B361="","",INDEX(Journal!$B$5:$B$1504,$B361))</f>
        <v/>
      </c>
      <c r="E361" s="54" t="str">
        <f aca="false">IF($B361="","",INDEX(Journal!$C$5:$C$1504,$B361))</f>
        <v/>
      </c>
      <c r="F361" s="54" t="str">
        <f aca="false">IF($B361="","",IF(INDEX(Journal!$D$5:$D$1504,$B361)=$C$4,INDEX(Journal!$E$5:$E$1504,$B361),INDEX(Journal!$D$5:$D$1504,$B361)))</f>
        <v/>
      </c>
      <c r="G361" s="56" t="str">
        <f aca="false">IF($B361="","",IF(INDEX(Journal!$D$5:$D$1504,$B361)=$C$4,INDEX(Journal!$M$5:$M$1504,$B361),0))</f>
        <v/>
      </c>
      <c r="H361" s="56" t="str">
        <f aca="false">IF($B361="","",IF(INDEX(Journal!$E$5:$E$1504,$B361)=$C$4,INDEX(Journal!$N$5:$N$1504,$B361),0))</f>
        <v/>
      </c>
      <c r="I361" s="56" t="str">
        <f aca="false">IF($B361="","",IF(OR($G$4="Aktiv",$G$4="Aufwand"),I360+G361-H361,I360+H361-G361))</f>
        <v/>
      </c>
    </row>
    <row r="362" customFormat="false" ht="15" hidden="false" customHeight="false" outlineLevel="0" collapsed="false">
      <c r="A362" s="54" t="n">
        <v>355</v>
      </c>
      <c r="B362" s="54" t="str">
        <f aca="false">IFERROR(MATCH(A362,Journal!$W$5:$W$1504,0),"")</f>
        <v/>
      </c>
      <c r="C362" s="55" t="str">
        <f aca="false">IF($B362="","",INDEX(Journal!$A$5:$A$1504,$B362))</f>
        <v/>
      </c>
      <c r="D362" s="54" t="str">
        <f aca="false">IF($B362="","",INDEX(Journal!$B$5:$B$1504,$B362))</f>
        <v/>
      </c>
      <c r="E362" s="54" t="str">
        <f aca="false">IF($B362="","",INDEX(Journal!$C$5:$C$1504,$B362))</f>
        <v/>
      </c>
      <c r="F362" s="54" t="str">
        <f aca="false">IF($B362="","",IF(INDEX(Journal!$D$5:$D$1504,$B362)=$C$4,INDEX(Journal!$E$5:$E$1504,$B362),INDEX(Journal!$D$5:$D$1504,$B362)))</f>
        <v/>
      </c>
      <c r="G362" s="56" t="str">
        <f aca="false">IF($B362="","",IF(INDEX(Journal!$D$5:$D$1504,$B362)=$C$4,INDEX(Journal!$M$5:$M$1504,$B362),0))</f>
        <v/>
      </c>
      <c r="H362" s="56" t="str">
        <f aca="false">IF($B362="","",IF(INDEX(Journal!$E$5:$E$1504,$B362)=$C$4,INDEX(Journal!$N$5:$N$1504,$B362),0))</f>
        <v/>
      </c>
      <c r="I362" s="56" t="str">
        <f aca="false">IF($B362="","",IF(OR($G$4="Aktiv",$G$4="Aufwand"),I361+G362-H362,I361+H362-G362))</f>
        <v/>
      </c>
    </row>
    <row r="363" customFormat="false" ht="15" hidden="false" customHeight="false" outlineLevel="0" collapsed="false">
      <c r="A363" s="54" t="n">
        <v>356</v>
      </c>
      <c r="B363" s="54" t="str">
        <f aca="false">IFERROR(MATCH(A363,Journal!$W$5:$W$1504,0),"")</f>
        <v/>
      </c>
      <c r="C363" s="55" t="str">
        <f aca="false">IF($B363="","",INDEX(Journal!$A$5:$A$1504,$B363))</f>
        <v/>
      </c>
      <c r="D363" s="54" t="str">
        <f aca="false">IF($B363="","",INDEX(Journal!$B$5:$B$1504,$B363))</f>
        <v/>
      </c>
      <c r="E363" s="54" t="str">
        <f aca="false">IF($B363="","",INDEX(Journal!$C$5:$C$1504,$B363))</f>
        <v/>
      </c>
      <c r="F363" s="54" t="str">
        <f aca="false">IF($B363="","",IF(INDEX(Journal!$D$5:$D$1504,$B363)=$C$4,INDEX(Journal!$E$5:$E$1504,$B363),INDEX(Journal!$D$5:$D$1504,$B363)))</f>
        <v/>
      </c>
      <c r="G363" s="56" t="str">
        <f aca="false">IF($B363="","",IF(INDEX(Journal!$D$5:$D$1504,$B363)=$C$4,INDEX(Journal!$M$5:$M$1504,$B363),0))</f>
        <v/>
      </c>
      <c r="H363" s="56" t="str">
        <f aca="false">IF($B363="","",IF(INDEX(Journal!$E$5:$E$1504,$B363)=$C$4,INDEX(Journal!$N$5:$N$1504,$B363),0))</f>
        <v/>
      </c>
      <c r="I363" s="56" t="str">
        <f aca="false">IF($B363="","",IF(OR($G$4="Aktiv",$G$4="Aufwand"),I362+G363-H363,I362+H363-G363))</f>
        <v/>
      </c>
    </row>
    <row r="364" customFormat="false" ht="15" hidden="false" customHeight="false" outlineLevel="0" collapsed="false">
      <c r="A364" s="54" t="n">
        <v>357</v>
      </c>
      <c r="B364" s="54" t="str">
        <f aca="false">IFERROR(MATCH(A364,Journal!$W$5:$W$1504,0),"")</f>
        <v/>
      </c>
      <c r="C364" s="55" t="str">
        <f aca="false">IF($B364="","",INDEX(Journal!$A$5:$A$1504,$B364))</f>
        <v/>
      </c>
      <c r="D364" s="54" t="str">
        <f aca="false">IF($B364="","",INDEX(Journal!$B$5:$B$1504,$B364))</f>
        <v/>
      </c>
      <c r="E364" s="54" t="str">
        <f aca="false">IF($B364="","",INDEX(Journal!$C$5:$C$1504,$B364))</f>
        <v/>
      </c>
      <c r="F364" s="54" t="str">
        <f aca="false">IF($B364="","",IF(INDEX(Journal!$D$5:$D$1504,$B364)=$C$4,INDEX(Journal!$E$5:$E$1504,$B364),INDEX(Journal!$D$5:$D$1504,$B364)))</f>
        <v/>
      </c>
      <c r="G364" s="56" t="str">
        <f aca="false">IF($B364="","",IF(INDEX(Journal!$D$5:$D$1504,$B364)=$C$4,INDEX(Journal!$M$5:$M$1504,$B364),0))</f>
        <v/>
      </c>
      <c r="H364" s="56" t="str">
        <f aca="false">IF($B364="","",IF(INDEX(Journal!$E$5:$E$1504,$B364)=$C$4,INDEX(Journal!$N$5:$N$1504,$B364),0))</f>
        <v/>
      </c>
      <c r="I364" s="56" t="str">
        <f aca="false">IF($B364="","",IF(OR($G$4="Aktiv",$G$4="Aufwand"),I363+G364-H364,I363+H364-G364))</f>
        <v/>
      </c>
    </row>
    <row r="365" customFormat="false" ht="15" hidden="false" customHeight="false" outlineLevel="0" collapsed="false">
      <c r="A365" s="54" t="n">
        <v>358</v>
      </c>
      <c r="B365" s="54" t="str">
        <f aca="false">IFERROR(MATCH(A365,Journal!$W$5:$W$1504,0),"")</f>
        <v/>
      </c>
      <c r="C365" s="55" t="str">
        <f aca="false">IF($B365="","",INDEX(Journal!$A$5:$A$1504,$B365))</f>
        <v/>
      </c>
      <c r="D365" s="54" t="str">
        <f aca="false">IF($B365="","",INDEX(Journal!$B$5:$B$1504,$B365))</f>
        <v/>
      </c>
      <c r="E365" s="54" t="str">
        <f aca="false">IF($B365="","",INDEX(Journal!$C$5:$C$1504,$B365))</f>
        <v/>
      </c>
      <c r="F365" s="54" t="str">
        <f aca="false">IF($B365="","",IF(INDEX(Journal!$D$5:$D$1504,$B365)=$C$4,INDEX(Journal!$E$5:$E$1504,$B365),INDEX(Journal!$D$5:$D$1504,$B365)))</f>
        <v/>
      </c>
      <c r="G365" s="56" t="str">
        <f aca="false">IF($B365="","",IF(INDEX(Journal!$D$5:$D$1504,$B365)=$C$4,INDEX(Journal!$M$5:$M$1504,$B365),0))</f>
        <v/>
      </c>
      <c r="H365" s="56" t="str">
        <f aca="false">IF($B365="","",IF(INDEX(Journal!$E$5:$E$1504,$B365)=$C$4,INDEX(Journal!$N$5:$N$1504,$B365),0))</f>
        <v/>
      </c>
      <c r="I365" s="56" t="str">
        <f aca="false">IF($B365="","",IF(OR($G$4="Aktiv",$G$4="Aufwand"),I364+G365-H365,I364+H365-G365))</f>
        <v/>
      </c>
    </row>
    <row r="366" customFormat="false" ht="15" hidden="false" customHeight="false" outlineLevel="0" collapsed="false">
      <c r="A366" s="54" t="n">
        <v>359</v>
      </c>
      <c r="B366" s="54" t="str">
        <f aca="false">IFERROR(MATCH(A366,Journal!$W$5:$W$1504,0),"")</f>
        <v/>
      </c>
      <c r="C366" s="55" t="str">
        <f aca="false">IF($B366="","",INDEX(Journal!$A$5:$A$1504,$B366))</f>
        <v/>
      </c>
      <c r="D366" s="54" t="str">
        <f aca="false">IF($B366="","",INDEX(Journal!$B$5:$B$1504,$B366))</f>
        <v/>
      </c>
      <c r="E366" s="54" t="str">
        <f aca="false">IF($B366="","",INDEX(Journal!$C$5:$C$1504,$B366))</f>
        <v/>
      </c>
      <c r="F366" s="54" t="str">
        <f aca="false">IF($B366="","",IF(INDEX(Journal!$D$5:$D$1504,$B366)=$C$4,INDEX(Journal!$E$5:$E$1504,$B366),INDEX(Journal!$D$5:$D$1504,$B366)))</f>
        <v/>
      </c>
      <c r="G366" s="56" t="str">
        <f aca="false">IF($B366="","",IF(INDEX(Journal!$D$5:$D$1504,$B366)=$C$4,INDEX(Journal!$M$5:$M$1504,$B366),0))</f>
        <v/>
      </c>
      <c r="H366" s="56" t="str">
        <f aca="false">IF($B366="","",IF(INDEX(Journal!$E$5:$E$1504,$B366)=$C$4,INDEX(Journal!$N$5:$N$1504,$B366),0))</f>
        <v/>
      </c>
      <c r="I366" s="56" t="str">
        <f aca="false">IF($B366="","",IF(OR($G$4="Aktiv",$G$4="Aufwand"),I365+G366-H366,I365+H366-G366))</f>
        <v/>
      </c>
    </row>
    <row r="367" customFormat="false" ht="15" hidden="false" customHeight="false" outlineLevel="0" collapsed="false">
      <c r="A367" s="54" t="n">
        <v>360</v>
      </c>
      <c r="B367" s="54" t="str">
        <f aca="false">IFERROR(MATCH(A367,Journal!$W$5:$W$1504,0),"")</f>
        <v/>
      </c>
      <c r="C367" s="55" t="str">
        <f aca="false">IF($B367="","",INDEX(Journal!$A$5:$A$1504,$B367))</f>
        <v/>
      </c>
      <c r="D367" s="54" t="str">
        <f aca="false">IF($B367="","",INDEX(Journal!$B$5:$B$1504,$B367))</f>
        <v/>
      </c>
      <c r="E367" s="54" t="str">
        <f aca="false">IF($B367="","",INDEX(Journal!$C$5:$C$1504,$B367))</f>
        <v/>
      </c>
      <c r="F367" s="54" t="str">
        <f aca="false">IF($B367="","",IF(INDEX(Journal!$D$5:$D$1504,$B367)=$C$4,INDEX(Journal!$E$5:$E$1504,$B367),INDEX(Journal!$D$5:$D$1504,$B367)))</f>
        <v/>
      </c>
      <c r="G367" s="56" t="str">
        <f aca="false">IF($B367="","",IF(INDEX(Journal!$D$5:$D$1504,$B367)=$C$4,INDEX(Journal!$M$5:$M$1504,$B367),0))</f>
        <v/>
      </c>
      <c r="H367" s="56" t="str">
        <f aca="false">IF($B367="","",IF(INDEX(Journal!$E$5:$E$1504,$B367)=$C$4,INDEX(Journal!$N$5:$N$1504,$B367),0))</f>
        <v/>
      </c>
      <c r="I367" s="56" t="str">
        <f aca="false">IF($B367="","",IF(OR($G$4="Aktiv",$G$4="Aufwand"),I366+G367-H367,I366+H367-G367))</f>
        <v/>
      </c>
    </row>
    <row r="368" customFormat="false" ht="15" hidden="false" customHeight="false" outlineLevel="0" collapsed="false">
      <c r="A368" s="54" t="n">
        <v>361</v>
      </c>
      <c r="B368" s="54" t="str">
        <f aca="false">IFERROR(MATCH(A368,Journal!$W$5:$W$1504,0),"")</f>
        <v/>
      </c>
      <c r="C368" s="55" t="str">
        <f aca="false">IF($B368="","",INDEX(Journal!$A$5:$A$1504,$B368))</f>
        <v/>
      </c>
      <c r="D368" s="54" t="str">
        <f aca="false">IF($B368="","",INDEX(Journal!$B$5:$B$1504,$B368))</f>
        <v/>
      </c>
      <c r="E368" s="54" t="str">
        <f aca="false">IF($B368="","",INDEX(Journal!$C$5:$C$1504,$B368))</f>
        <v/>
      </c>
      <c r="F368" s="54" t="str">
        <f aca="false">IF($B368="","",IF(INDEX(Journal!$D$5:$D$1504,$B368)=$C$4,INDEX(Journal!$E$5:$E$1504,$B368),INDEX(Journal!$D$5:$D$1504,$B368)))</f>
        <v/>
      </c>
      <c r="G368" s="56" t="str">
        <f aca="false">IF($B368="","",IF(INDEX(Journal!$D$5:$D$1504,$B368)=$C$4,INDEX(Journal!$M$5:$M$1504,$B368),0))</f>
        <v/>
      </c>
      <c r="H368" s="56" t="str">
        <f aca="false">IF($B368="","",IF(INDEX(Journal!$E$5:$E$1504,$B368)=$C$4,INDEX(Journal!$N$5:$N$1504,$B368),0))</f>
        <v/>
      </c>
      <c r="I368" s="56" t="str">
        <f aca="false">IF($B368="","",IF(OR($G$4="Aktiv",$G$4="Aufwand"),I367+G368-H368,I367+H368-G368))</f>
        <v/>
      </c>
    </row>
    <row r="369" customFormat="false" ht="15" hidden="false" customHeight="false" outlineLevel="0" collapsed="false">
      <c r="A369" s="54" t="n">
        <v>362</v>
      </c>
      <c r="B369" s="54" t="str">
        <f aca="false">IFERROR(MATCH(A369,Journal!$W$5:$W$1504,0),"")</f>
        <v/>
      </c>
      <c r="C369" s="55" t="str">
        <f aca="false">IF($B369="","",INDEX(Journal!$A$5:$A$1504,$B369))</f>
        <v/>
      </c>
      <c r="D369" s="54" t="str">
        <f aca="false">IF($B369="","",INDEX(Journal!$B$5:$B$1504,$B369))</f>
        <v/>
      </c>
      <c r="E369" s="54" t="str">
        <f aca="false">IF($B369="","",INDEX(Journal!$C$5:$C$1504,$B369))</f>
        <v/>
      </c>
      <c r="F369" s="54" t="str">
        <f aca="false">IF($B369="","",IF(INDEX(Journal!$D$5:$D$1504,$B369)=$C$4,INDEX(Journal!$E$5:$E$1504,$B369),INDEX(Journal!$D$5:$D$1504,$B369)))</f>
        <v/>
      </c>
      <c r="G369" s="56" t="str">
        <f aca="false">IF($B369="","",IF(INDEX(Journal!$D$5:$D$1504,$B369)=$C$4,INDEX(Journal!$M$5:$M$1504,$B369),0))</f>
        <v/>
      </c>
      <c r="H369" s="56" t="str">
        <f aca="false">IF($B369="","",IF(INDEX(Journal!$E$5:$E$1504,$B369)=$C$4,INDEX(Journal!$N$5:$N$1504,$B369),0))</f>
        <v/>
      </c>
      <c r="I369" s="56" t="str">
        <f aca="false">IF($B369="","",IF(OR($G$4="Aktiv",$G$4="Aufwand"),I368+G369-H369,I368+H369-G369))</f>
        <v/>
      </c>
    </row>
    <row r="370" customFormat="false" ht="15" hidden="false" customHeight="false" outlineLevel="0" collapsed="false">
      <c r="A370" s="54" t="n">
        <v>363</v>
      </c>
      <c r="B370" s="54" t="str">
        <f aca="false">IFERROR(MATCH(A370,Journal!$W$5:$W$1504,0),"")</f>
        <v/>
      </c>
      <c r="C370" s="55" t="str">
        <f aca="false">IF($B370="","",INDEX(Journal!$A$5:$A$1504,$B370))</f>
        <v/>
      </c>
      <c r="D370" s="54" t="str">
        <f aca="false">IF($B370="","",INDEX(Journal!$B$5:$B$1504,$B370))</f>
        <v/>
      </c>
      <c r="E370" s="54" t="str">
        <f aca="false">IF($B370="","",INDEX(Journal!$C$5:$C$1504,$B370))</f>
        <v/>
      </c>
      <c r="F370" s="54" t="str">
        <f aca="false">IF($B370="","",IF(INDEX(Journal!$D$5:$D$1504,$B370)=$C$4,INDEX(Journal!$E$5:$E$1504,$B370),INDEX(Journal!$D$5:$D$1504,$B370)))</f>
        <v/>
      </c>
      <c r="G370" s="56" t="str">
        <f aca="false">IF($B370="","",IF(INDEX(Journal!$D$5:$D$1504,$B370)=$C$4,INDEX(Journal!$M$5:$M$1504,$B370),0))</f>
        <v/>
      </c>
      <c r="H370" s="56" t="str">
        <f aca="false">IF($B370="","",IF(INDEX(Journal!$E$5:$E$1504,$B370)=$C$4,INDEX(Journal!$N$5:$N$1504,$B370),0))</f>
        <v/>
      </c>
      <c r="I370" s="56" t="str">
        <f aca="false">IF($B370="","",IF(OR($G$4="Aktiv",$G$4="Aufwand"),I369+G370-H370,I369+H370-G370))</f>
        <v/>
      </c>
    </row>
    <row r="371" customFormat="false" ht="15" hidden="false" customHeight="false" outlineLevel="0" collapsed="false">
      <c r="A371" s="54" t="n">
        <v>364</v>
      </c>
      <c r="B371" s="54" t="str">
        <f aca="false">IFERROR(MATCH(A371,Journal!$W$5:$W$1504,0),"")</f>
        <v/>
      </c>
      <c r="C371" s="55" t="str">
        <f aca="false">IF($B371="","",INDEX(Journal!$A$5:$A$1504,$B371))</f>
        <v/>
      </c>
      <c r="D371" s="54" t="str">
        <f aca="false">IF($B371="","",INDEX(Journal!$B$5:$B$1504,$B371))</f>
        <v/>
      </c>
      <c r="E371" s="54" t="str">
        <f aca="false">IF($B371="","",INDEX(Journal!$C$5:$C$1504,$B371))</f>
        <v/>
      </c>
      <c r="F371" s="54" t="str">
        <f aca="false">IF($B371="","",IF(INDEX(Journal!$D$5:$D$1504,$B371)=$C$4,INDEX(Journal!$E$5:$E$1504,$B371),INDEX(Journal!$D$5:$D$1504,$B371)))</f>
        <v/>
      </c>
      <c r="G371" s="56" t="str">
        <f aca="false">IF($B371="","",IF(INDEX(Journal!$D$5:$D$1504,$B371)=$C$4,INDEX(Journal!$M$5:$M$1504,$B371),0))</f>
        <v/>
      </c>
      <c r="H371" s="56" t="str">
        <f aca="false">IF($B371="","",IF(INDEX(Journal!$E$5:$E$1504,$B371)=$C$4,INDEX(Journal!$N$5:$N$1504,$B371),0))</f>
        <v/>
      </c>
      <c r="I371" s="56" t="str">
        <f aca="false">IF($B371="","",IF(OR($G$4="Aktiv",$G$4="Aufwand"),I370+G371-H371,I370+H371-G371))</f>
        <v/>
      </c>
    </row>
    <row r="372" customFormat="false" ht="15" hidden="false" customHeight="false" outlineLevel="0" collapsed="false">
      <c r="A372" s="54" t="n">
        <v>365</v>
      </c>
      <c r="B372" s="54" t="str">
        <f aca="false">IFERROR(MATCH(A372,Journal!$W$5:$W$1504,0),"")</f>
        <v/>
      </c>
      <c r="C372" s="55" t="str">
        <f aca="false">IF($B372="","",INDEX(Journal!$A$5:$A$1504,$B372))</f>
        <v/>
      </c>
      <c r="D372" s="54" t="str">
        <f aca="false">IF($B372="","",INDEX(Journal!$B$5:$B$1504,$B372))</f>
        <v/>
      </c>
      <c r="E372" s="54" t="str">
        <f aca="false">IF($B372="","",INDEX(Journal!$C$5:$C$1504,$B372))</f>
        <v/>
      </c>
      <c r="F372" s="54" t="str">
        <f aca="false">IF($B372="","",IF(INDEX(Journal!$D$5:$D$1504,$B372)=$C$4,INDEX(Journal!$E$5:$E$1504,$B372),INDEX(Journal!$D$5:$D$1504,$B372)))</f>
        <v/>
      </c>
      <c r="G372" s="56" t="str">
        <f aca="false">IF($B372="","",IF(INDEX(Journal!$D$5:$D$1504,$B372)=$C$4,INDEX(Journal!$M$5:$M$1504,$B372),0))</f>
        <v/>
      </c>
      <c r="H372" s="56" t="str">
        <f aca="false">IF($B372="","",IF(INDEX(Journal!$E$5:$E$1504,$B372)=$C$4,INDEX(Journal!$N$5:$N$1504,$B372),0))</f>
        <v/>
      </c>
      <c r="I372" s="56" t="str">
        <f aca="false">IF($B372="","",IF(OR($G$4="Aktiv",$G$4="Aufwand"),I371+G372-H372,I371+H372-G372))</f>
        <v/>
      </c>
    </row>
    <row r="373" customFormat="false" ht="15" hidden="false" customHeight="false" outlineLevel="0" collapsed="false">
      <c r="A373" s="54" t="n">
        <v>366</v>
      </c>
      <c r="B373" s="54" t="str">
        <f aca="false">IFERROR(MATCH(A373,Journal!$W$5:$W$1504,0),"")</f>
        <v/>
      </c>
      <c r="C373" s="55" t="str">
        <f aca="false">IF($B373="","",INDEX(Journal!$A$5:$A$1504,$B373))</f>
        <v/>
      </c>
      <c r="D373" s="54" t="str">
        <f aca="false">IF($B373="","",INDEX(Journal!$B$5:$B$1504,$B373))</f>
        <v/>
      </c>
      <c r="E373" s="54" t="str">
        <f aca="false">IF($B373="","",INDEX(Journal!$C$5:$C$1504,$B373))</f>
        <v/>
      </c>
      <c r="F373" s="54" t="str">
        <f aca="false">IF($B373="","",IF(INDEX(Journal!$D$5:$D$1504,$B373)=$C$4,INDEX(Journal!$E$5:$E$1504,$B373),INDEX(Journal!$D$5:$D$1504,$B373)))</f>
        <v/>
      </c>
      <c r="G373" s="56" t="str">
        <f aca="false">IF($B373="","",IF(INDEX(Journal!$D$5:$D$1504,$B373)=$C$4,INDEX(Journal!$M$5:$M$1504,$B373),0))</f>
        <v/>
      </c>
      <c r="H373" s="56" t="str">
        <f aca="false">IF($B373="","",IF(INDEX(Journal!$E$5:$E$1504,$B373)=$C$4,INDEX(Journal!$N$5:$N$1504,$B373),0))</f>
        <v/>
      </c>
      <c r="I373" s="56" t="str">
        <f aca="false">IF($B373="","",IF(OR($G$4="Aktiv",$G$4="Aufwand"),I372+G373-H373,I372+H373-G373))</f>
        <v/>
      </c>
    </row>
    <row r="374" customFormat="false" ht="15" hidden="false" customHeight="false" outlineLevel="0" collapsed="false">
      <c r="A374" s="54" t="n">
        <v>367</v>
      </c>
      <c r="B374" s="54" t="str">
        <f aca="false">IFERROR(MATCH(A374,Journal!$W$5:$W$1504,0),"")</f>
        <v/>
      </c>
      <c r="C374" s="55" t="str">
        <f aca="false">IF($B374="","",INDEX(Journal!$A$5:$A$1504,$B374))</f>
        <v/>
      </c>
      <c r="D374" s="54" t="str">
        <f aca="false">IF($B374="","",INDEX(Journal!$B$5:$B$1504,$B374))</f>
        <v/>
      </c>
      <c r="E374" s="54" t="str">
        <f aca="false">IF($B374="","",INDEX(Journal!$C$5:$C$1504,$B374))</f>
        <v/>
      </c>
      <c r="F374" s="54" t="str">
        <f aca="false">IF($B374="","",IF(INDEX(Journal!$D$5:$D$1504,$B374)=$C$4,INDEX(Journal!$E$5:$E$1504,$B374),INDEX(Journal!$D$5:$D$1504,$B374)))</f>
        <v/>
      </c>
      <c r="G374" s="56" t="str">
        <f aca="false">IF($B374="","",IF(INDEX(Journal!$D$5:$D$1504,$B374)=$C$4,INDEX(Journal!$M$5:$M$1504,$B374),0))</f>
        <v/>
      </c>
      <c r="H374" s="56" t="str">
        <f aca="false">IF($B374="","",IF(INDEX(Journal!$E$5:$E$1504,$B374)=$C$4,INDEX(Journal!$N$5:$N$1504,$B374),0))</f>
        <v/>
      </c>
      <c r="I374" s="56" t="str">
        <f aca="false">IF($B374="","",IF(OR($G$4="Aktiv",$G$4="Aufwand"),I373+G374-H374,I373+H374-G374))</f>
        <v/>
      </c>
    </row>
    <row r="375" customFormat="false" ht="15" hidden="false" customHeight="false" outlineLevel="0" collapsed="false">
      <c r="A375" s="54" t="n">
        <v>368</v>
      </c>
      <c r="B375" s="54" t="str">
        <f aca="false">IFERROR(MATCH(A375,Journal!$W$5:$W$1504,0),"")</f>
        <v/>
      </c>
      <c r="C375" s="55" t="str">
        <f aca="false">IF($B375="","",INDEX(Journal!$A$5:$A$1504,$B375))</f>
        <v/>
      </c>
      <c r="D375" s="54" t="str">
        <f aca="false">IF($B375="","",INDEX(Journal!$B$5:$B$1504,$B375))</f>
        <v/>
      </c>
      <c r="E375" s="54" t="str">
        <f aca="false">IF($B375="","",INDEX(Journal!$C$5:$C$1504,$B375))</f>
        <v/>
      </c>
      <c r="F375" s="54" t="str">
        <f aca="false">IF($B375="","",IF(INDEX(Journal!$D$5:$D$1504,$B375)=$C$4,INDEX(Journal!$E$5:$E$1504,$B375),INDEX(Journal!$D$5:$D$1504,$B375)))</f>
        <v/>
      </c>
      <c r="G375" s="56" t="str">
        <f aca="false">IF($B375="","",IF(INDEX(Journal!$D$5:$D$1504,$B375)=$C$4,INDEX(Journal!$M$5:$M$1504,$B375),0))</f>
        <v/>
      </c>
      <c r="H375" s="56" t="str">
        <f aca="false">IF($B375="","",IF(INDEX(Journal!$E$5:$E$1504,$B375)=$C$4,INDEX(Journal!$N$5:$N$1504,$B375),0))</f>
        <v/>
      </c>
      <c r="I375" s="56" t="str">
        <f aca="false">IF($B375="","",IF(OR($G$4="Aktiv",$G$4="Aufwand"),I374+G375-H375,I374+H375-G375))</f>
        <v/>
      </c>
    </row>
    <row r="376" customFormat="false" ht="15" hidden="false" customHeight="false" outlineLevel="0" collapsed="false">
      <c r="A376" s="54" t="n">
        <v>369</v>
      </c>
      <c r="B376" s="54" t="str">
        <f aca="false">IFERROR(MATCH(A376,Journal!$W$5:$W$1504,0),"")</f>
        <v/>
      </c>
      <c r="C376" s="55" t="str">
        <f aca="false">IF($B376="","",INDEX(Journal!$A$5:$A$1504,$B376))</f>
        <v/>
      </c>
      <c r="D376" s="54" t="str">
        <f aca="false">IF($B376="","",INDEX(Journal!$B$5:$B$1504,$B376))</f>
        <v/>
      </c>
      <c r="E376" s="54" t="str">
        <f aca="false">IF($B376="","",INDEX(Journal!$C$5:$C$1504,$B376))</f>
        <v/>
      </c>
      <c r="F376" s="54" t="str">
        <f aca="false">IF($B376="","",IF(INDEX(Journal!$D$5:$D$1504,$B376)=$C$4,INDEX(Journal!$E$5:$E$1504,$B376),INDEX(Journal!$D$5:$D$1504,$B376)))</f>
        <v/>
      </c>
      <c r="G376" s="56" t="str">
        <f aca="false">IF($B376="","",IF(INDEX(Journal!$D$5:$D$1504,$B376)=$C$4,INDEX(Journal!$M$5:$M$1504,$B376),0))</f>
        <v/>
      </c>
      <c r="H376" s="56" t="str">
        <f aca="false">IF($B376="","",IF(INDEX(Journal!$E$5:$E$1504,$B376)=$C$4,INDEX(Journal!$N$5:$N$1504,$B376),0))</f>
        <v/>
      </c>
      <c r="I376" s="56" t="str">
        <f aca="false">IF($B376="","",IF(OR($G$4="Aktiv",$G$4="Aufwand"),I375+G376-H376,I375+H376-G376))</f>
        <v/>
      </c>
    </row>
    <row r="377" customFormat="false" ht="15" hidden="false" customHeight="false" outlineLevel="0" collapsed="false">
      <c r="A377" s="54" t="n">
        <v>370</v>
      </c>
      <c r="B377" s="54" t="str">
        <f aca="false">IFERROR(MATCH(A377,Journal!$W$5:$W$1504,0),"")</f>
        <v/>
      </c>
      <c r="C377" s="55" t="str">
        <f aca="false">IF($B377="","",INDEX(Journal!$A$5:$A$1504,$B377))</f>
        <v/>
      </c>
      <c r="D377" s="54" t="str">
        <f aca="false">IF($B377="","",INDEX(Journal!$B$5:$B$1504,$B377))</f>
        <v/>
      </c>
      <c r="E377" s="54" t="str">
        <f aca="false">IF($B377="","",INDEX(Journal!$C$5:$C$1504,$B377))</f>
        <v/>
      </c>
      <c r="F377" s="54" t="str">
        <f aca="false">IF($B377="","",IF(INDEX(Journal!$D$5:$D$1504,$B377)=$C$4,INDEX(Journal!$E$5:$E$1504,$B377),INDEX(Journal!$D$5:$D$1504,$B377)))</f>
        <v/>
      </c>
      <c r="G377" s="56" t="str">
        <f aca="false">IF($B377="","",IF(INDEX(Journal!$D$5:$D$1504,$B377)=$C$4,INDEX(Journal!$M$5:$M$1504,$B377),0))</f>
        <v/>
      </c>
      <c r="H377" s="56" t="str">
        <f aca="false">IF($B377="","",IF(INDEX(Journal!$E$5:$E$1504,$B377)=$C$4,INDEX(Journal!$N$5:$N$1504,$B377),0))</f>
        <v/>
      </c>
      <c r="I377" s="56" t="str">
        <f aca="false">IF($B377="","",IF(OR($G$4="Aktiv",$G$4="Aufwand"),I376+G377-H377,I376+H377-G377))</f>
        <v/>
      </c>
    </row>
    <row r="378" customFormat="false" ht="15" hidden="false" customHeight="false" outlineLevel="0" collapsed="false">
      <c r="A378" s="54" t="n">
        <v>371</v>
      </c>
      <c r="B378" s="54" t="str">
        <f aca="false">IFERROR(MATCH(A378,Journal!$W$5:$W$1504,0),"")</f>
        <v/>
      </c>
      <c r="C378" s="55" t="str">
        <f aca="false">IF($B378="","",INDEX(Journal!$A$5:$A$1504,$B378))</f>
        <v/>
      </c>
      <c r="D378" s="54" t="str">
        <f aca="false">IF($B378="","",INDEX(Journal!$B$5:$B$1504,$B378))</f>
        <v/>
      </c>
      <c r="E378" s="54" t="str">
        <f aca="false">IF($B378="","",INDEX(Journal!$C$5:$C$1504,$B378))</f>
        <v/>
      </c>
      <c r="F378" s="54" t="str">
        <f aca="false">IF($B378="","",IF(INDEX(Journal!$D$5:$D$1504,$B378)=$C$4,INDEX(Journal!$E$5:$E$1504,$B378),INDEX(Journal!$D$5:$D$1504,$B378)))</f>
        <v/>
      </c>
      <c r="G378" s="56" t="str">
        <f aca="false">IF($B378="","",IF(INDEX(Journal!$D$5:$D$1504,$B378)=$C$4,INDEX(Journal!$M$5:$M$1504,$B378),0))</f>
        <v/>
      </c>
      <c r="H378" s="56" t="str">
        <f aca="false">IF($B378="","",IF(INDEX(Journal!$E$5:$E$1504,$B378)=$C$4,INDEX(Journal!$N$5:$N$1504,$B378),0))</f>
        <v/>
      </c>
      <c r="I378" s="56" t="str">
        <f aca="false">IF($B378="","",IF(OR($G$4="Aktiv",$G$4="Aufwand"),I377+G378-H378,I377+H378-G378))</f>
        <v/>
      </c>
    </row>
    <row r="379" customFormat="false" ht="15" hidden="false" customHeight="false" outlineLevel="0" collapsed="false">
      <c r="A379" s="54" t="n">
        <v>372</v>
      </c>
      <c r="B379" s="54" t="str">
        <f aca="false">IFERROR(MATCH(A379,Journal!$W$5:$W$1504,0),"")</f>
        <v/>
      </c>
      <c r="C379" s="55" t="str">
        <f aca="false">IF($B379="","",INDEX(Journal!$A$5:$A$1504,$B379))</f>
        <v/>
      </c>
      <c r="D379" s="54" t="str">
        <f aca="false">IF($B379="","",INDEX(Journal!$B$5:$B$1504,$B379))</f>
        <v/>
      </c>
      <c r="E379" s="54" t="str">
        <f aca="false">IF($B379="","",INDEX(Journal!$C$5:$C$1504,$B379))</f>
        <v/>
      </c>
      <c r="F379" s="54" t="str">
        <f aca="false">IF($B379="","",IF(INDEX(Journal!$D$5:$D$1504,$B379)=$C$4,INDEX(Journal!$E$5:$E$1504,$B379),INDEX(Journal!$D$5:$D$1504,$B379)))</f>
        <v/>
      </c>
      <c r="G379" s="56" t="str">
        <f aca="false">IF($B379="","",IF(INDEX(Journal!$D$5:$D$1504,$B379)=$C$4,INDEX(Journal!$M$5:$M$1504,$B379),0))</f>
        <v/>
      </c>
      <c r="H379" s="56" t="str">
        <f aca="false">IF($B379="","",IF(INDEX(Journal!$E$5:$E$1504,$B379)=$C$4,INDEX(Journal!$N$5:$N$1504,$B379),0))</f>
        <v/>
      </c>
      <c r="I379" s="56" t="str">
        <f aca="false">IF($B379="","",IF(OR($G$4="Aktiv",$G$4="Aufwand"),I378+G379-H379,I378+H379-G379))</f>
        <v/>
      </c>
    </row>
    <row r="380" customFormat="false" ht="15" hidden="false" customHeight="false" outlineLevel="0" collapsed="false">
      <c r="A380" s="54" t="n">
        <v>373</v>
      </c>
      <c r="B380" s="54" t="str">
        <f aca="false">IFERROR(MATCH(A380,Journal!$W$5:$W$1504,0),"")</f>
        <v/>
      </c>
      <c r="C380" s="55" t="str">
        <f aca="false">IF($B380="","",INDEX(Journal!$A$5:$A$1504,$B380))</f>
        <v/>
      </c>
      <c r="D380" s="54" t="str">
        <f aca="false">IF($B380="","",INDEX(Journal!$B$5:$B$1504,$B380))</f>
        <v/>
      </c>
      <c r="E380" s="54" t="str">
        <f aca="false">IF($B380="","",INDEX(Journal!$C$5:$C$1504,$B380))</f>
        <v/>
      </c>
      <c r="F380" s="54" t="str">
        <f aca="false">IF($B380="","",IF(INDEX(Journal!$D$5:$D$1504,$B380)=$C$4,INDEX(Journal!$E$5:$E$1504,$B380),INDEX(Journal!$D$5:$D$1504,$B380)))</f>
        <v/>
      </c>
      <c r="G380" s="56" t="str">
        <f aca="false">IF($B380="","",IF(INDEX(Journal!$D$5:$D$1504,$B380)=$C$4,INDEX(Journal!$M$5:$M$1504,$B380),0))</f>
        <v/>
      </c>
      <c r="H380" s="56" t="str">
        <f aca="false">IF($B380="","",IF(INDEX(Journal!$E$5:$E$1504,$B380)=$C$4,INDEX(Journal!$N$5:$N$1504,$B380),0))</f>
        <v/>
      </c>
      <c r="I380" s="56" t="str">
        <f aca="false">IF($B380="","",IF(OR($G$4="Aktiv",$G$4="Aufwand"),I379+G380-H380,I379+H380-G380))</f>
        <v/>
      </c>
    </row>
    <row r="381" customFormat="false" ht="15" hidden="false" customHeight="false" outlineLevel="0" collapsed="false">
      <c r="A381" s="54" t="n">
        <v>374</v>
      </c>
      <c r="B381" s="54" t="str">
        <f aca="false">IFERROR(MATCH(A381,Journal!$W$5:$W$1504,0),"")</f>
        <v/>
      </c>
      <c r="C381" s="55" t="str">
        <f aca="false">IF($B381="","",INDEX(Journal!$A$5:$A$1504,$B381))</f>
        <v/>
      </c>
      <c r="D381" s="54" t="str">
        <f aca="false">IF($B381="","",INDEX(Journal!$B$5:$B$1504,$B381))</f>
        <v/>
      </c>
      <c r="E381" s="54" t="str">
        <f aca="false">IF($B381="","",INDEX(Journal!$C$5:$C$1504,$B381))</f>
        <v/>
      </c>
      <c r="F381" s="54" t="str">
        <f aca="false">IF($B381="","",IF(INDEX(Journal!$D$5:$D$1504,$B381)=$C$4,INDEX(Journal!$E$5:$E$1504,$B381),INDEX(Journal!$D$5:$D$1504,$B381)))</f>
        <v/>
      </c>
      <c r="G381" s="56" t="str">
        <f aca="false">IF($B381="","",IF(INDEX(Journal!$D$5:$D$1504,$B381)=$C$4,INDEX(Journal!$M$5:$M$1504,$B381),0))</f>
        <v/>
      </c>
      <c r="H381" s="56" t="str">
        <f aca="false">IF($B381="","",IF(INDEX(Journal!$E$5:$E$1504,$B381)=$C$4,INDEX(Journal!$N$5:$N$1504,$B381),0))</f>
        <v/>
      </c>
      <c r="I381" s="56" t="str">
        <f aca="false">IF($B381="","",IF(OR($G$4="Aktiv",$G$4="Aufwand"),I380+G381-H381,I380+H381-G381))</f>
        <v/>
      </c>
    </row>
    <row r="382" customFormat="false" ht="15" hidden="false" customHeight="false" outlineLevel="0" collapsed="false">
      <c r="A382" s="54" t="n">
        <v>375</v>
      </c>
      <c r="B382" s="54" t="str">
        <f aca="false">IFERROR(MATCH(A382,Journal!$W$5:$W$1504,0),"")</f>
        <v/>
      </c>
      <c r="C382" s="55" t="str">
        <f aca="false">IF($B382="","",INDEX(Journal!$A$5:$A$1504,$B382))</f>
        <v/>
      </c>
      <c r="D382" s="54" t="str">
        <f aca="false">IF($B382="","",INDEX(Journal!$B$5:$B$1504,$B382))</f>
        <v/>
      </c>
      <c r="E382" s="54" t="str">
        <f aca="false">IF($B382="","",INDEX(Journal!$C$5:$C$1504,$B382))</f>
        <v/>
      </c>
      <c r="F382" s="54" t="str">
        <f aca="false">IF($B382="","",IF(INDEX(Journal!$D$5:$D$1504,$B382)=$C$4,INDEX(Journal!$E$5:$E$1504,$B382),INDEX(Journal!$D$5:$D$1504,$B382)))</f>
        <v/>
      </c>
      <c r="G382" s="56" t="str">
        <f aca="false">IF($B382="","",IF(INDEX(Journal!$D$5:$D$1504,$B382)=$C$4,INDEX(Journal!$M$5:$M$1504,$B382),0))</f>
        <v/>
      </c>
      <c r="H382" s="56" t="str">
        <f aca="false">IF($B382="","",IF(INDEX(Journal!$E$5:$E$1504,$B382)=$C$4,INDEX(Journal!$N$5:$N$1504,$B382),0))</f>
        <v/>
      </c>
      <c r="I382" s="56" t="str">
        <f aca="false">IF($B382="","",IF(OR($G$4="Aktiv",$G$4="Aufwand"),I381+G382-H382,I381+H382-G382))</f>
        <v/>
      </c>
    </row>
    <row r="383" customFormat="false" ht="15" hidden="false" customHeight="false" outlineLevel="0" collapsed="false">
      <c r="A383" s="54" t="n">
        <v>376</v>
      </c>
      <c r="B383" s="54" t="str">
        <f aca="false">IFERROR(MATCH(A383,Journal!$W$5:$W$1504,0),"")</f>
        <v/>
      </c>
      <c r="C383" s="55" t="str">
        <f aca="false">IF($B383="","",INDEX(Journal!$A$5:$A$1504,$B383))</f>
        <v/>
      </c>
      <c r="D383" s="54" t="str">
        <f aca="false">IF($B383="","",INDEX(Journal!$B$5:$B$1504,$B383))</f>
        <v/>
      </c>
      <c r="E383" s="54" t="str">
        <f aca="false">IF($B383="","",INDEX(Journal!$C$5:$C$1504,$B383))</f>
        <v/>
      </c>
      <c r="F383" s="54" t="str">
        <f aca="false">IF($B383="","",IF(INDEX(Journal!$D$5:$D$1504,$B383)=$C$4,INDEX(Journal!$E$5:$E$1504,$B383),INDEX(Journal!$D$5:$D$1504,$B383)))</f>
        <v/>
      </c>
      <c r="G383" s="56" t="str">
        <f aca="false">IF($B383="","",IF(INDEX(Journal!$D$5:$D$1504,$B383)=$C$4,INDEX(Journal!$M$5:$M$1504,$B383),0))</f>
        <v/>
      </c>
      <c r="H383" s="56" t="str">
        <f aca="false">IF($B383="","",IF(INDEX(Journal!$E$5:$E$1504,$B383)=$C$4,INDEX(Journal!$N$5:$N$1504,$B383),0))</f>
        <v/>
      </c>
      <c r="I383" s="56" t="str">
        <f aca="false">IF($B383="","",IF(OR($G$4="Aktiv",$G$4="Aufwand"),I382+G383-H383,I382+H383-G383))</f>
        <v/>
      </c>
    </row>
    <row r="384" customFormat="false" ht="15" hidden="false" customHeight="false" outlineLevel="0" collapsed="false">
      <c r="A384" s="54" t="n">
        <v>377</v>
      </c>
      <c r="B384" s="54" t="str">
        <f aca="false">IFERROR(MATCH(A384,Journal!$W$5:$W$1504,0),"")</f>
        <v/>
      </c>
      <c r="C384" s="55" t="str">
        <f aca="false">IF($B384="","",INDEX(Journal!$A$5:$A$1504,$B384))</f>
        <v/>
      </c>
      <c r="D384" s="54" t="str">
        <f aca="false">IF($B384="","",INDEX(Journal!$B$5:$B$1504,$B384))</f>
        <v/>
      </c>
      <c r="E384" s="54" t="str">
        <f aca="false">IF($B384="","",INDEX(Journal!$C$5:$C$1504,$B384))</f>
        <v/>
      </c>
      <c r="F384" s="54" t="str">
        <f aca="false">IF($B384="","",IF(INDEX(Journal!$D$5:$D$1504,$B384)=$C$4,INDEX(Journal!$E$5:$E$1504,$B384),INDEX(Journal!$D$5:$D$1504,$B384)))</f>
        <v/>
      </c>
      <c r="G384" s="56" t="str">
        <f aca="false">IF($B384="","",IF(INDEX(Journal!$D$5:$D$1504,$B384)=$C$4,INDEX(Journal!$M$5:$M$1504,$B384),0))</f>
        <v/>
      </c>
      <c r="H384" s="56" t="str">
        <f aca="false">IF($B384="","",IF(INDEX(Journal!$E$5:$E$1504,$B384)=$C$4,INDEX(Journal!$N$5:$N$1504,$B384),0))</f>
        <v/>
      </c>
      <c r="I384" s="56" t="str">
        <f aca="false">IF($B384="","",IF(OR($G$4="Aktiv",$G$4="Aufwand"),I383+G384-H384,I383+H384-G384))</f>
        <v/>
      </c>
    </row>
    <row r="385" customFormat="false" ht="15" hidden="false" customHeight="false" outlineLevel="0" collapsed="false">
      <c r="A385" s="54" t="n">
        <v>378</v>
      </c>
      <c r="B385" s="54" t="str">
        <f aca="false">IFERROR(MATCH(A385,Journal!$W$5:$W$1504,0),"")</f>
        <v/>
      </c>
      <c r="C385" s="55" t="str">
        <f aca="false">IF($B385="","",INDEX(Journal!$A$5:$A$1504,$B385))</f>
        <v/>
      </c>
      <c r="D385" s="54" t="str">
        <f aca="false">IF($B385="","",INDEX(Journal!$B$5:$B$1504,$B385))</f>
        <v/>
      </c>
      <c r="E385" s="54" t="str">
        <f aca="false">IF($B385="","",INDEX(Journal!$C$5:$C$1504,$B385))</f>
        <v/>
      </c>
      <c r="F385" s="54" t="str">
        <f aca="false">IF($B385="","",IF(INDEX(Journal!$D$5:$D$1504,$B385)=$C$4,INDEX(Journal!$E$5:$E$1504,$B385),INDEX(Journal!$D$5:$D$1504,$B385)))</f>
        <v/>
      </c>
      <c r="G385" s="56" t="str">
        <f aca="false">IF($B385="","",IF(INDEX(Journal!$D$5:$D$1504,$B385)=$C$4,INDEX(Journal!$M$5:$M$1504,$B385),0))</f>
        <v/>
      </c>
      <c r="H385" s="56" t="str">
        <f aca="false">IF($B385="","",IF(INDEX(Journal!$E$5:$E$1504,$B385)=$C$4,INDEX(Journal!$N$5:$N$1504,$B385),0))</f>
        <v/>
      </c>
      <c r="I385" s="56" t="str">
        <f aca="false">IF($B385="","",IF(OR($G$4="Aktiv",$G$4="Aufwand"),I384+G385-H385,I384+H385-G385))</f>
        <v/>
      </c>
    </row>
    <row r="386" customFormat="false" ht="15" hidden="false" customHeight="false" outlineLevel="0" collapsed="false">
      <c r="A386" s="54" t="n">
        <v>379</v>
      </c>
      <c r="B386" s="54" t="str">
        <f aca="false">IFERROR(MATCH(A386,Journal!$W$5:$W$1504,0),"")</f>
        <v/>
      </c>
      <c r="C386" s="55" t="str">
        <f aca="false">IF($B386="","",INDEX(Journal!$A$5:$A$1504,$B386))</f>
        <v/>
      </c>
      <c r="D386" s="54" t="str">
        <f aca="false">IF($B386="","",INDEX(Journal!$B$5:$B$1504,$B386))</f>
        <v/>
      </c>
      <c r="E386" s="54" t="str">
        <f aca="false">IF($B386="","",INDEX(Journal!$C$5:$C$1504,$B386))</f>
        <v/>
      </c>
      <c r="F386" s="54" t="str">
        <f aca="false">IF($B386="","",IF(INDEX(Journal!$D$5:$D$1504,$B386)=$C$4,INDEX(Journal!$E$5:$E$1504,$B386),INDEX(Journal!$D$5:$D$1504,$B386)))</f>
        <v/>
      </c>
      <c r="G386" s="56" t="str">
        <f aca="false">IF($B386="","",IF(INDEX(Journal!$D$5:$D$1504,$B386)=$C$4,INDEX(Journal!$M$5:$M$1504,$B386),0))</f>
        <v/>
      </c>
      <c r="H386" s="56" t="str">
        <f aca="false">IF($B386="","",IF(INDEX(Journal!$E$5:$E$1504,$B386)=$C$4,INDEX(Journal!$N$5:$N$1504,$B386),0))</f>
        <v/>
      </c>
      <c r="I386" s="56" t="str">
        <f aca="false">IF($B386="","",IF(OR($G$4="Aktiv",$G$4="Aufwand"),I385+G386-H386,I385+H386-G386))</f>
        <v/>
      </c>
    </row>
    <row r="387" customFormat="false" ht="15" hidden="false" customHeight="false" outlineLevel="0" collapsed="false">
      <c r="A387" s="54" t="n">
        <v>380</v>
      </c>
      <c r="B387" s="54" t="str">
        <f aca="false">IFERROR(MATCH(A387,Journal!$W$5:$W$1504,0),"")</f>
        <v/>
      </c>
      <c r="C387" s="55" t="str">
        <f aca="false">IF($B387="","",INDEX(Journal!$A$5:$A$1504,$B387))</f>
        <v/>
      </c>
      <c r="D387" s="54" t="str">
        <f aca="false">IF($B387="","",INDEX(Journal!$B$5:$B$1504,$B387))</f>
        <v/>
      </c>
      <c r="E387" s="54" t="str">
        <f aca="false">IF($B387="","",INDEX(Journal!$C$5:$C$1504,$B387))</f>
        <v/>
      </c>
      <c r="F387" s="54" t="str">
        <f aca="false">IF($B387="","",IF(INDEX(Journal!$D$5:$D$1504,$B387)=$C$4,INDEX(Journal!$E$5:$E$1504,$B387),INDEX(Journal!$D$5:$D$1504,$B387)))</f>
        <v/>
      </c>
      <c r="G387" s="56" t="str">
        <f aca="false">IF($B387="","",IF(INDEX(Journal!$D$5:$D$1504,$B387)=$C$4,INDEX(Journal!$M$5:$M$1504,$B387),0))</f>
        <v/>
      </c>
      <c r="H387" s="56" t="str">
        <f aca="false">IF($B387="","",IF(INDEX(Journal!$E$5:$E$1504,$B387)=$C$4,INDEX(Journal!$N$5:$N$1504,$B387),0))</f>
        <v/>
      </c>
      <c r="I387" s="56" t="str">
        <f aca="false">IF($B387="","",IF(OR($G$4="Aktiv",$G$4="Aufwand"),I386+G387-H387,I386+H387-G387))</f>
        <v/>
      </c>
    </row>
    <row r="388" customFormat="false" ht="15" hidden="false" customHeight="false" outlineLevel="0" collapsed="false">
      <c r="A388" s="54" t="n">
        <v>381</v>
      </c>
      <c r="B388" s="54" t="str">
        <f aca="false">IFERROR(MATCH(A388,Journal!$W$5:$W$1504,0),"")</f>
        <v/>
      </c>
      <c r="C388" s="55" t="str">
        <f aca="false">IF($B388="","",INDEX(Journal!$A$5:$A$1504,$B388))</f>
        <v/>
      </c>
      <c r="D388" s="54" t="str">
        <f aca="false">IF($B388="","",INDEX(Journal!$B$5:$B$1504,$B388))</f>
        <v/>
      </c>
      <c r="E388" s="54" t="str">
        <f aca="false">IF($B388="","",INDEX(Journal!$C$5:$C$1504,$B388))</f>
        <v/>
      </c>
      <c r="F388" s="54" t="str">
        <f aca="false">IF($B388="","",IF(INDEX(Journal!$D$5:$D$1504,$B388)=$C$4,INDEX(Journal!$E$5:$E$1504,$B388),INDEX(Journal!$D$5:$D$1504,$B388)))</f>
        <v/>
      </c>
      <c r="G388" s="56" t="str">
        <f aca="false">IF($B388="","",IF(INDEX(Journal!$D$5:$D$1504,$B388)=$C$4,INDEX(Journal!$M$5:$M$1504,$B388),0))</f>
        <v/>
      </c>
      <c r="H388" s="56" t="str">
        <f aca="false">IF($B388="","",IF(INDEX(Journal!$E$5:$E$1504,$B388)=$C$4,INDEX(Journal!$N$5:$N$1504,$B388),0))</f>
        <v/>
      </c>
      <c r="I388" s="56" t="str">
        <f aca="false">IF($B388="","",IF(OR($G$4="Aktiv",$G$4="Aufwand"),I387+G388-H388,I387+H388-G388))</f>
        <v/>
      </c>
    </row>
    <row r="389" customFormat="false" ht="15" hidden="false" customHeight="false" outlineLevel="0" collapsed="false">
      <c r="A389" s="54" t="n">
        <v>382</v>
      </c>
      <c r="B389" s="54" t="str">
        <f aca="false">IFERROR(MATCH(A389,Journal!$W$5:$W$1504,0),"")</f>
        <v/>
      </c>
      <c r="C389" s="55" t="str">
        <f aca="false">IF($B389="","",INDEX(Journal!$A$5:$A$1504,$B389))</f>
        <v/>
      </c>
      <c r="D389" s="54" t="str">
        <f aca="false">IF($B389="","",INDEX(Journal!$B$5:$B$1504,$B389))</f>
        <v/>
      </c>
      <c r="E389" s="54" t="str">
        <f aca="false">IF($B389="","",INDEX(Journal!$C$5:$C$1504,$B389))</f>
        <v/>
      </c>
      <c r="F389" s="54" t="str">
        <f aca="false">IF($B389="","",IF(INDEX(Journal!$D$5:$D$1504,$B389)=$C$4,INDEX(Journal!$E$5:$E$1504,$B389),INDEX(Journal!$D$5:$D$1504,$B389)))</f>
        <v/>
      </c>
      <c r="G389" s="56" t="str">
        <f aca="false">IF($B389="","",IF(INDEX(Journal!$D$5:$D$1504,$B389)=$C$4,INDEX(Journal!$M$5:$M$1504,$B389),0))</f>
        <v/>
      </c>
      <c r="H389" s="56" t="str">
        <f aca="false">IF($B389="","",IF(INDEX(Journal!$E$5:$E$1504,$B389)=$C$4,INDEX(Journal!$N$5:$N$1504,$B389),0))</f>
        <v/>
      </c>
      <c r="I389" s="56" t="str">
        <f aca="false">IF($B389="","",IF(OR($G$4="Aktiv",$G$4="Aufwand"),I388+G389-H389,I388+H389-G389))</f>
        <v/>
      </c>
    </row>
    <row r="390" customFormat="false" ht="15" hidden="false" customHeight="false" outlineLevel="0" collapsed="false">
      <c r="A390" s="54" t="n">
        <v>383</v>
      </c>
      <c r="B390" s="54" t="str">
        <f aca="false">IFERROR(MATCH(A390,Journal!$W$5:$W$1504,0),"")</f>
        <v/>
      </c>
      <c r="C390" s="55" t="str">
        <f aca="false">IF($B390="","",INDEX(Journal!$A$5:$A$1504,$B390))</f>
        <v/>
      </c>
      <c r="D390" s="54" t="str">
        <f aca="false">IF($B390="","",INDEX(Journal!$B$5:$B$1504,$B390))</f>
        <v/>
      </c>
      <c r="E390" s="54" t="str">
        <f aca="false">IF($B390="","",INDEX(Journal!$C$5:$C$1504,$B390))</f>
        <v/>
      </c>
      <c r="F390" s="54" t="str">
        <f aca="false">IF($B390="","",IF(INDEX(Journal!$D$5:$D$1504,$B390)=$C$4,INDEX(Journal!$E$5:$E$1504,$B390),INDEX(Journal!$D$5:$D$1504,$B390)))</f>
        <v/>
      </c>
      <c r="G390" s="56" t="str">
        <f aca="false">IF($B390="","",IF(INDEX(Journal!$D$5:$D$1504,$B390)=$C$4,INDEX(Journal!$M$5:$M$1504,$B390),0))</f>
        <v/>
      </c>
      <c r="H390" s="56" t="str">
        <f aca="false">IF($B390="","",IF(INDEX(Journal!$E$5:$E$1504,$B390)=$C$4,INDEX(Journal!$N$5:$N$1504,$B390),0))</f>
        <v/>
      </c>
      <c r="I390" s="56" t="str">
        <f aca="false">IF($B390="","",IF(OR($G$4="Aktiv",$G$4="Aufwand"),I389+G390-H390,I389+H390-G390))</f>
        <v/>
      </c>
    </row>
    <row r="391" customFormat="false" ht="15" hidden="false" customHeight="false" outlineLevel="0" collapsed="false">
      <c r="A391" s="54" t="n">
        <v>384</v>
      </c>
      <c r="B391" s="54" t="str">
        <f aca="false">IFERROR(MATCH(A391,Journal!$W$5:$W$1504,0),"")</f>
        <v/>
      </c>
      <c r="C391" s="55" t="str">
        <f aca="false">IF($B391="","",INDEX(Journal!$A$5:$A$1504,$B391))</f>
        <v/>
      </c>
      <c r="D391" s="54" t="str">
        <f aca="false">IF($B391="","",INDEX(Journal!$B$5:$B$1504,$B391))</f>
        <v/>
      </c>
      <c r="E391" s="54" t="str">
        <f aca="false">IF($B391="","",INDEX(Journal!$C$5:$C$1504,$B391))</f>
        <v/>
      </c>
      <c r="F391" s="54" t="str">
        <f aca="false">IF($B391="","",IF(INDEX(Journal!$D$5:$D$1504,$B391)=$C$4,INDEX(Journal!$E$5:$E$1504,$B391),INDEX(Journal!$D$5:$D$1504,$B391)))</f>
        <v/>
      </c>
      <c r="G391" s="56" t="str">
        <f aca="false">IF($B391="","",IF(INDEX(Journal!$D$5:$D$1504,$B391)=$C$4,INDEX(Journal!$M$5:$M$1504,$B391),0))</f>
        <v/>
      </c>
      <c r="H391" s="56" t="str">
        <f aca="false">IF($B391="","",IF(INDEX(Journal!$E$5:$E$1504,$B391)=$C$4,INDEX(Journal!$N$5:$N$1504,$B391),0))</f>
        <v/>
      </c>
      <c r="I391" s="56" t="str">
        <f aca="false">IF($B391="","",IF(OR($G$4="Aktiv",$G$4="Aufwand"),I390+G391-H391,I390+H391-G391))</f>
        <v/>
      </c>
    </row>
    <row r="392" customFormat="false" ht="15" hidden="false" customHeight="false" outlineLevel="0" collapsed="false">
      <c r="A392" s="54" t="n">
        <v>385</v>
      </c>
      <c r="B392" s="54" t="str">
        <f aca="false">IFERROR(MATCH(A392,Journal!$W$5:$W$1504,0),"")</f>
        <v/>
      </c>
      <c r="C392" s="55" t="str">
        <f aca="false">IF($B392="","",INDEX(Journal!$A$5:$A$1504,$B392))</f>
        <v/>
      </c>
      <c r="D392" s="54" t="str">
        <f aca="false">IF($B392="","",INDEX(Journal!$B$5:$B$1504,$B392))</f>
        <v/>
      </c>
      <c r="E392" s="54" t="str">
        <f aca="false">IF($B392="","",INDEX(Journal!$C$5:$C$1504,$B392))</f>
        <v/>
      </c>
      <c r="F392" s="54" t="str">
        <f aca="false">IF($B392="","",IF(INDEX(Journal!$D$5:$D$1504,$B392)=$C$4,INDEX(Journal!$E$5:$E$1504,$B392),INDEX(Journal!$D$5:$D$1504,$B392)))</f>
        <v/>
      </c>
      <c r="G392" s="56" t="str">
        <f aca="false">IF($B392="","",IF(INDEX(Journal!$D$5:$D$1504,$B392)=$C$4,INDEX(Journal!$M$5:$M$1504,$B392),0))</f>
        <v/>
      </c>
      <c r="H392" s="56" t="str">
        <f aca="false">IF($B392="","",IF(INDEX(Journal!$E$5:$E$1504,$B392)=$C$4,INDEX(Journal!$N$5:$N$1504,$B392),0))</f>
        <v/>
      </c>
      <c r="I392" s="56" t="str">
        <f aca="false">IF($B392="","",IF(OR($G$4="Aktiv",$G$4="Aufwand"),I391+G392-H392,I391+H392-G392))</f>
        <v/>
      </c>
    </row>
    <row r="393" customFormat="false" ht="15" hidden="false" customHeight="false" outlineLevel="0" collapsed="false">
      <c r="A393" s="54" t="n">
        <v>386</v>
      </c>
      <c r="B393" s="54" t="str">
        <f aca="false">IFERROR(MATCH(A393,Journal!$W$5:$W$1504,0),"")</f>
        <v/>
      </c>
      <c r="C393" s="55" t="str">
        <f aca="false">IF($B393="","",INDEX(Journal!$A$5:$A$1504,$B393))</f>
        <v/>
      </c>
      <c r="D393" s="54" t="str">
        <f aca="false">IF($B393="","",INDEX(Journal!$B$5:$B$1504,$B393))</f>
        <v/>
      </c>
      <c r="E393" s="54" t="str">
        <f aca="false">IF($B393="","",INDEX(Journal!$C$5:$C$1504,$B393))</f>
        <v/>
      </c>
      <c r="F393" s="54" t="str">
        <f aca="false">IF($B393="","",IF(INDEX(Journal!$D$5:$D$1504,$B393)=$C$4,INDEX(Journal!$E$5:$E$1504,$B393),INDEX(Journal!$D$5:$D$1504,$B393)))</f>
        <v/>
      </c>
      <c r="G393" s="56" t="str">
        <f aca="false">IF($B393="","",IF(INDEX(Journal!$D$5:$D$1504,$B393)=$C$4,INDEX(Journal!$M$5:$M$1504,$B393),0))</f>
        <v/>
      </c>
      <c r="H393" s="56" t="str">
        <f aca="false">IF($B393="","",IF(INDEX(Journal!$E$5:$E$1504,$B393)=$C$4,INDEX(Journal!$N$5:$N$1504,$B393),0))</f>
        <v/>
      </c>
      <c r="I393" s="56" t="str">
        <f aca="false">IF($B393="","",IF(OR($G$4="Aktiv",$G$4="Aufwand"),I392+G393-H393,I392+H393-G393))</f>
        <v/>
      </c>
    </row>
    <row r="394" customFormat="false" ht="15" hidden="false" customHeight="false" outlineLevel="0" collapsed="false">
      <c r="A394" s="54" t="n">
        <v>387</v>
      </c>
      <c r="B394" s="54" t="str">
        <f aca="false">IFERROR(MATCH(A394,Journal!$W$5:$W$1504,0),"")</f>
        <v/>
      </c>
      <c r="C394" s="55" t="str">
        <f aca="false">IF($B394="","",INDEX(Journal!$A$5:$A$1504,$B394))</f>
        <v/>
      </c>
      <c r="D394" s="54" t="str">
        <f aca="false">IF($B394="","",INDEX(Journal!$B$5:$B$1504,$B394))</f>
        <v/>
      </c>
      <c r="E394" s="54" t="str">
        <f aca="false">IF($B394="","",INDEX(Journal!$C$5:$C$1504,$B394))</f>
        <v/>
      </c>
      <c r="F394" s="54" t="str">
        <f aca="false">IF($B394="","",IF(INDEX(Journal!$D$5:$D$1504,$B394)=$C$4,INDEX(Journal!$E$5:$E$1504,$B394),INDEX(Journal!$D$5:$D$1504,$B394)))</f>
        <v/>
      </c>
      <c r="G394" s="56" t="str">
        <f aca="false">IF($B394="","",IF(INDEX(Journal!$D$5:$D$1504,$B394)=$C$4,INDEX(Journal!$M$5:$M$1504,$B394),0))</f>
        <v/>
      </c>
      <c r="H394" s="56" t="str">
        <f aca="false">IF($B394="","",IF(INDEX(Journal!$E$5:$E$1504,$B394)=$C$4,INDEX(Journal!$N$5:$N$1504,$B394),0))</f>
        <v/>
      </c>
      <c r="I394" s="56" t="str">
        <f aca="false">IF($B394="","",IF(OR($G$4="Aktiv",$G$4="Aufwand"),I393+G394-H394,I393+H394-G394))</f>
        <v/>
      </c>
    </row>
    <row r="395" customFormat="false" ht="15" hidden="false" customHeight="false" outlineLevel="0" collapsed="false">
      <c r="A395" s="54" t="n">
        <v>388</v>
      </c>
      <c r="B395" s="54" t="str">
        <f aca="false">IFERROR(MATCH(A395,Journal!$W$5:$W$1504,0),"")</f>
        <v/>
      </c>
      <c r="C395" s="55" t="str">
        <f aca="false">IF($B395="","",INDEX(Journal!$A$5:$A$1504,$B395))</f>
        <v/>
      </c>
      <c r="D395" s="54" t="str">
        <f aca="false">IF($B395="","",INDEX(Journal!$B$5:$B$1504,$B395))</f>
        <v/>
      </c>
      <c r="E395" s="54" t="str">
        <f aca="false">IF($B395="","",INDEX(Journal!$C$5:$C$1504,$B395))</f>
        <v/>
      </c>
      <c r="F395" s="54" t="str">
        <f aca="false">IF($B395="","",IF(INDEX(Journal!$D$5:$D$1504,$B395)=$C$4,INDEX(Journal!$E$5:$E$1504,$B395),INDEX(Journal!$D$5:$D$1504,$B395)))</f>
        <v/>
      </c>
      <c r="G395" s="56" t="str">
        <f aca="false">IF($B395="","",IF(INDEX(Journal!$D$5:$D$1504,$B395)=$C$4,INDEX(Journal!$M$5:$M$1504,$B395),0))</f>
        <v/>
      </c>
      <c r="H395" s="56" t="str">
        <f aca="false">IF($B395="","",IF(INDEX(Journal!$E$5:$E$1504,$B395)=$C$4,INDEX(Journal!$N$5:$N$1504,$B395),0))</f>
        <v/>
      </c>
      <c r="I395" s="56" t="str">
        <f aca="false">IF($B395="","",IF(OR($G$4="Aktiv",$G$4="Aufwand"),I394+G395-H395,I394+H395-G395))</f>
        <v/>
      </c>
    </row>
    <row r="396" customFormat="false" ht="15" hidden="false" customHeight="false" outlineLevel="0" collapsed="false">
      <c r="A396" s="54" t="n">
        <v>389</v>
      </c>
      <c r="B396" s="54" t="str">
        <f aca="false">IFERROR(MATCH(A396,Journal!$W$5:$W$1504,0),"")</f>
        <v/>
      </c>
      <c r="C396" s="55" t="str">
        <f aca="false">IF($B396="","",INDEX(Journal!$A$5:$A$1504,$B396))</f>
        <v/>
      </c>
      <c r="D396" s="54" t="str">
        <f aca="false">IF($B396="","",INDEX(Journal!$B$5:$B$1504,$B396))</f>
        <v/>
      </c>
      <c r="E396" s="54" t="str">
        <f aca="false">IF($B396="","",INDEX(Journal!$C$5:$C$1504,$B396))</f>
        <v/>
      </c>
      <c r="F396" s="54" t="str">
        <f aca="false">IF($B396="","",IF(INDEX(Journal!$D$5:$D$1504,$B396)=$C$4,INDEX(Journal!$E$5:$E$1504,$B396),INDEX(Journal!$D$5:$D$1504,$B396)))</f>
        <v/>
      </c>
      <c r="G396" s="56" t="str">
        <f aca="false">IF($B396="","",IF(INDEX(Journal!$D$5:$D$1504,$B396)=$C$4,INDEX(Journal!$M$5:$M$1504,$B396),0))</f>
        <v/>
      </c>
      <c r="H396" s="56" t="str">
        <f aca="false">IF($B396="","",IF(INDEX(Journal!$E$5:$E$1504,$B396)=$C$4,INDEX(Journal!$N$5:$N$1504,$B396),0))</f>
        <v/>
      </c>
      <c r="I396" s="56" t="str">
        <f aca="false">IF($B396="","",IF(OR($G$4="Aktiv",$G$4="Aufwand"),I395+G396-H396,I395+H396-G396))</f>
        <v/>
      </c>
    </row>
    <row r="397" customFormat="false" ht="15" hidden="false" customHeight="false" outlineLevel="0" collapsed="false">
      <c r="A397" s="54" t="n">
        <v>390</v>
      </c>
      <c r="B397" s="54" t="str">
        <f aca="false">IFERROR(MATCH(A397,Journal!$W$5:$W$1504,0),"")</f>
        <v/>
      </c>
      <c r="C397" s="55" t="str">
        <f aca="false">IF($B397="","",INDEX(Journal!$A$5:$A$1504,$B397))</f>
        <v/>
      </c>
      <c r="D397" s="54" t="str">
        <f aca="false">IF($B397="","",INDEX(Journal!$B$5:$B$1504,$B397))</f>
        <v/>
      </c>
      <c r="E397" s="54" t="str">
        <f aca="false">IF($B397="","",INDEX(Journal!$C$5:$C$1504,$B397))</f>
        <v/>
      </c>
      <c r="F397" s="54" t="str">
        <f aca="false">IF($B397="","",IF(INDEX(Journal!$D$5:$D$1504,$B397)=$C$4,INDEX(Journal!$E$5:$E$1504,$B397),INDEX(Journal!$D$5:$D$1504,$B397)))</f>
        <v/>
      </c>
      <c r="G397" s="56" t="str">
        <f aca="false">IF($B397="","",IF(INDEX(Journal!$D$5:$D$1504,$B397)=$C$4,INDEX(Journal!$M$5:$M$1504,$B397),0))</f>
        <v/>
      </c>
      <c r="H397" s="56" t="str">
        <f aca="false">IF($B397="","",IF(INDEX(Journal!$E$5:$E$1504,$B397)=$C$4,INDEX(Journal!$N$5:$N$1504,$B397),0))</f>
        <v/>
      </c>
      <c r="I397" s="56" t="str">
        <f aca="false">IF($B397="","",IF(OR($G$4="Aktiv",$G$4="Aufwand"),I396+G397-H397,I396+H397-G397))</f>
        <v/>
      </c>
    </row>
    <row r="398" customFormat="false" ht="15" hidden="false" customHeight="false" outlineLevel="0" collapsed="false">
      <c r="A398" s="54" t="n">
        <v>391</v>
      </c>
      <c r="B398" s="54" t="str">
        <f aca="false">IFERROR(MATCH(A398,Journal!$W$5:$W$1504,0),"")</f>
        <v/>
      </c>
      <c r="C398" s="55" t="str">
        <f aca="false">IF($B398="","",INDEX(Journal!$A$5:$A$1504,$B398))</f>
        <v/>
      </c>
      <c r="D398" s="54" t="str">
        <f aca="false">IF($B398="","",INDEX(Journal!$B$5:$B$1504,$B398))</f>
        <v/>
      </c>
      <c r="E398" s="54" t="str">
        <f aca="false">IF($B398="","",INDEX(Journal!$C$5:$C$1504,$B398))</f>
        <v/>
      </c>
      <c r="F398" s="54" t="str">
        <f aca="false">IF($B398="","",IF(INDEX(Journal!$D$5:$D$1504,$B398)=$C$4,INDEX(Journal!$E$5:$E$1504,$B398),INDEX(Journal!$D$5:$D$1504,$B398)))</f>
        <v/>
      </c>
      <c r="G398" s="56" t="str">
        <f aca="false">IF($B398="","",IF(INDEX(Journal!$D$5:$D$1504,$B398)=$C$4,INDEX(Journal!$M$5:$M$1504,$B398),0))</f>
        <v/>
      </c>
      <c r="H398" s="56" t="str">
        <f aca="false">IF($B398="","",IF(INDEX(Journal!$E$5:$E$1504,$B398)=$C$4,INDEX(Journal!$N$5:$N$1504,$B398),0))</f>
        <v/>
      </c>
      <c r="I398" s="56" t="str">
        <f aca="false">IF($B398="","",IF(OR($G$4="Aktiv",$G$4="Aufwand"),I397+G398-H398,I397+H398-G398))</f>
        <v/>
      </c>
    </row>
    <row r="399" customFormat="false" ht="15" hidden="false" customHeight="false" outlineLevel="0" collapsed="false">
      <c r="A399" s="54" t="n">
        <v>392</v>
      </c>
      <c r="B399" s="54" t="str">
        <f aca="false">IFERROR(MATCH(A399,Journal!$W$5:$W$1504,0),"")</f>
        <v/>
      </c>
      <c r="C399" s="55" t="str">
        <f aca="false">IF($B399="","",INDEX(Journal!$A$5:$A$1504,$B399))</f>
        <v/>
      </c>
      <c r="D399" s="54" t="str">
        <f aca="false">IF($B399="","",INDEX(Journal!$B$5:$B$1504,$B399))</f>
        <v/>
      </c>
      <c r="E399" s="54" t="str">
        <f aca="false">IF($B399="","",INDEX(Journal!$C$5:$C$1504,$B399))</f>
        <v/>
      </c>
      <c r="F399" s="54" t="str">
        <f aca="false">IF($B399="","",IF(INDEX(Journal!$D$5:$D$1504,$B399)=$C$4,INDEX(Journal!$E$5:$E$1504,$B399),INDEX(Journal!$D$5:$D$1504,$B399)))</f>
        <v/>
      </c>
      <c r="G399" s="56" t="str">
        <f aca="false">IF($B399="","",IF(INDEX(Journal!$D$5:$D$1504,$B399)=$C$4,INDEX(Journal!$M$5:$M$1504,$B399),0))</f>
        <v/>
      </c>
      <c r="H399" s="56" t="str">
        <f aca="false">IF($B399="","",IF(INDEX(Journal!$E$5:$E$1504,$B399)=$C$4,INDEX(Journal!$N$5:$N$1504,$B399),0))</f>
        <v/>
      </c>
      <c r="I399" s="56" t="str">
        <f aca="false">IF($B399="","",IF(OR($G$4="Aktiv",$G$4="Aufwand"),I398+G399-H399,I398+H399-G399))</f>
        <v/>
      </c>
    </row>
    <row r="400" customFormat="false" ht="15" hidden="false" customHeight="false" outlineLevel="0" collapsed="false">
      <c r="A400" s="54" t="n">
        <v>393</v>
      </c>
      <c r="B400" s="54" t="str">
        <f aca="false">IFERROR(MATCH(A400,Journal!$W$5:$W$1504,0),"")</f>
        <v/>
      </c>
      <c r="C400" s="55" t="str">
        <f aca="false">IF($B400="","",INDEX(Journal!$A$5:$A$1504,$B400))</f>
        <v/>
      </c>
      <c r="D400" s="54" t="str">
        <f aca="false">IF($B400="","",INDEX(Journal!$B$5:$B$1504,$B400))</f>
        <v/>
      </c>
      <c r="E400" s="54" t="str">
        <f aca="false">IF($B400="","",INDEX(Journal!$C$5:$C$1504,$B400))</f>
        <v/>
      </c>
      <c r="F400" s="54" t="str">
        <f aca="false">IF($B400="","",IF(INDEX(Journal!$D$5:$D$1504,$B400)=$C$4,INDEX(Journal!$E$5:$E$1504,$B400),INDEX(Journal!$D$5:$D$1504,$B400)))</f>
        <v/>
      </c>
      <c r="G400" s="56" t="str">
        <f aca="false">IF($B400="","",IF(INDEX(Journal!$D$5:$D$1504,$B400)=$C$4,INDEX(Journal!$M$5:$M$1504,$B400),0))</f>
        <v/>
      </c>
      <c r="H400" s="56" t="str">
        <f aca="false">IF($B400="","",IF(INDEX(Journal!$E$5:$E$1504,$B400)=$C$4,INDEX(Journal!$N$5:$N$1504,$B400),0))</f>
        <v/>
      </c>
      <c r="I400" s="56" t="str">
        <f aca="false">IF($B400="","",IF(OR($G$4="Aktiv",$G$4="Aufwand"),I399+G400-H400,I399+H400-G400))</f>
        <v/>
      </c>
    </row>
    <row r="401" customFormat="false" ht="15" hidden="false" customHeight="false" outlineLevel="0" collapsed="false">
      <c r="A401" s="54" t="n">
        <v>394</v>
      </c>
      <c r="B401" s="54" t="str">
        <f aca="false">IFERROR(MATCH(A401,Journal!$W$5:$W$1504,0),"")</f>
        <v/>
      </c>
      <c r="C401" s="55" t="str">
        <f aca="false">IF($B401="","",INDEX(Journal!$A$5:$A$1504,$B401))</f>
        <v/>
      </c>
      <c r="D401" s="54" t="str">
        <f aca="false">IF($B401="","",INDEX(Journal!$B$5:$B$1504,$B401))</f>
        <v/>
      </c>
      <c r="E401" s="54" t="str">
        <f aca="false">IF($B401="","",INDEX(Journal!$C$5:$C$1504,$B401))</f>
        <v/>
      </c>
      <c r="F401" s="54" t="str">
        <f aca="false">IF($B401="","",IF(INDEX(Journal!$D$5:$D$1504,$B401)=$C$4,INDEX(Journal!$E$5:$E$1504,$B401),INDEX(Journal!$D$5:$D$1504,$B401)))</f>
        <v/>
      </c>
      <c r="G401" s="56" t="str">
        <f aca="false">IF($B401="","",IF(INDEX(Journal!$D$5:$D$1504,$B401)=$C$4,INDEX(Journal!$M$5:$M$1504,$B401),0))</f>
        <v/>
      </c>
      <c r="H401" s="56" t="str">
        <f aca="false">IF($B401="","",IF(INDEX(Journal!$E$5:$E$1504,$B401)=$C$4,INDEX(Journal!$N$5:$N$1504,$B401),0))</f>
        <v/>
      </c>
      <c r="I401" s="56" t="str">
        <f aca="false">IF($B401="","",IF(OR($G$4="Aktiv",$G$4="Aufwand"),I400+G401-H401,I400+H401-G401))</f>
        <v/>
      </c>
    </row>
    <row r="402" customFormat="false" ht="15" hidden="false" customHeight="false" outlineLevel="0" collapsed="false">
      <c r="A402" s="54" t="n">
        <v>395</v>
      </c>
      <c r="B402" s="54" t="str">
        <f aca="false">IFERROR(MATCH(A402,Journal!$W$5:$W$1504,0),"")</f>
        <v/>
      </c>
      <c r="C402" s="55" t="str">
        <f aca="false">IF($B402="","",INDEX(Journal!$A$5:$A$1504,$B402))</f>
        <v/>
      </c>
      <c r="D402" s="54" t="str">
        <f aca="false">IF($B402="","",INDEX(Journal!$B$5:$B$1504,$B402))</f>
        <v/>
      </c>
      <c r="E402" s="54" t="str">
        <f aca="false">IF($B402="","",INDEX(Journal!$C$5:$C$1504,$B402))</f>
        <v/>
      </c>
      <c r="F402" s="54" t="str">
        <f aca="false">IF($B402="","",IF(INDEX(Journal!$D$5:$D$1504,$B402)=$C$4,INDEX(Journal!$E$5:$E$1504,$B402),INDEX(Journal!$D$5:$D$1504,$B402)))</f>
        <v/>
      </c>
      <c r="G402" s="56" t="str">
        <f aca="false">IF($B402="","",IF(INDEX(Journal!$D$5:$D$1504,$B402)=$C$4,INDEX(Journal!$M$5:$M$1504,$B402),0))</f>
        <v/>
      </c>
      <c r="H402" s="56" t="str">
        <f aca="false">IF($B402="","",IF(INDEX(Journal!$E$5:$E$1504,$B402)=$C$4,INDEX(Journal!$N$5:$N$1504,$B402),0))</f>
        <v/>
      </c>
      <c r="I402" s="56" t="str">
        <f aca="false">IF($B402="","",IF(OR($G$4="Aktiv",$G$4="Aufwand"),I401+G402-H402,I401+H402-G402))</f>
        <v/>
      </c>
    </row>
    <row r="403" customFormat="false" ht="15" hidden="false" customHeight="false" outlineLevel="0" collapsed="false">
      <c r="A403" s="54" t="n">
        <v>396</v>
      </c>
      <c r="B403" s="54" t="str">
        <f aca="false">IFERROR(MATCH(A403,Journal!$W$5:$W$1504,0),"")</f>
        <v/>
      </c>
      <c r="C403" s="55" t="str">
        <f aca="false">IF($B403="","",INDEX(Journal!$A$5:$A$1504,$B403))</f>
        <v/>
      </c>
      <c r="D403" s="54" t="str">
        <f aca="false">IF($B403="","",INDEX(Journal!$B$5:$B$1504,$B403))</f>
        <v/>
      </c>
      <c r="E403" s="54" t="str">
        <f aca="false">IF($B403="","",INDEX(Journal!$C$5:$C$1504,$B403))</f>
        <v/>
      </c>
      <c r="F403" s="54" t="str">
        <f aca="false">IF($B403="","",IF(INDEX(Journal!$D$5:$D$1504,$B403)=$C$4,INDEX(Journal!$E$5:$E$1504,$B403),INDEX(Journal!$D$5:$D$1504,$B403)))</f>
        <v/>
      </c>
      <c r="G403" s="56" t="str">
        <f aca="false">IF($B403="","",IF(INDEX(Journal!$D$5:$D$1504,$B403)=$C$4,INDEX(Journal!$M$5:$M$1504,$B403),0))</f>
        <v/>
      </c>
      <c r="H403" s="56" t="str">
        <f aca="false">IF($B403="","",IF(INDEX(Journal!$E$5:$E$1504,$B403)=$C$4,INDEX(Journal!$N$5:$N$1504,$B403),0))</f>
        <v/>
      </c>
      <c r="I403" s="56" t="str">
        <f aca="false">IF($B403="","",IF(OR($G$4="Aktiv",$G$4="Aufwand"),I402+G403-H403,I402+H403-G403))</f>
        <v/>
      </c>
    </row>
    <row r="404" customFormat="false" ht="15" hidden="false" customHeight="false" outlineLevel="0" collapsed="false">
      <c r="A404" s="54" t="n">
        <v>397</v>
      </c>
      <c r="B404" s="54" t="str">
        <f aca="false">IFERROR(MATCH(A404,Journal!$W$5:$W$1504,0),"")</f>
        <v/>
      </c>
      <c r="C404" s="55" t="str">
        <f aca="false">IF($B404="","",INDEX(Journal!$A$5:$A$1504,$B404))</f>
        <v/>
      </c>
      <c r="D404" s="54" t="str">
        <f aca="false">IF($B404="","",INDEX(Journal!$B$5:$B$1504,$B404))</f>
        <v/>
      </c>
      <c r="E404" s="54" t="str">
        <f aca="false">IF($B404="","",INDEX(Journal!$C$5:$C$1504,$B404))</f>
        <v/>
      </c>
      <c r="F404" s="54" t="str">
        <f aca="false">IF($B404="","",IF(INDEX(Journal!$D$5:$D$1504,$B404)=$C$4,INDEX(Journal!$E$5:$E$1504,$B404),INDEX(Journal!$D$5:$D$1504,$B404)))</f>
        <v/>
      </c>
      <c r="G404" s="56" t="str">
        <f aca="false">IF($B404="","",IF(INDEX(Journal!$D$5:$D$1504,$B404)=$C$4,INDEX(Journal!$M$5:$M$1504,$B404),0))</f>
        <v/>
      </c>
      <c r="H404" s="56" t="str">
        <f aca="false">IF($B404="","",IF(INDEX(Journal!$E$5:$E$1504,$B404)=$C$4,INDEX(Journal!$N$5:$N$1504,$B404),0))</f>
        <v/>
      </c>
      <c r="I404" s="56" t="str">
        <f aca="false">IF($B404="","",IF(OR($G$4="Aktiv",$G$4="Aufwand"),I403+G404-H404,I403+H404-G404))</f>
        <v/>
      </c>
    </row>
    <row r="405" customFormat="false" ht="15" hidden="false" customHeight="false" outlineLevel="0" collapsed="false">
      <c r="A405" s="54" t="n">
        <v>398</v>
      </c>
      <c r="B405" s="54" t="str">
        <f aca="false">IFERROR(MATCH(A405,Journal!$W$5:$W$1504,0),"")</f>
        <v/>
      </c>
      <c r="C405" s="55" t="str">
        <f aca="false">IF($B405="","",INDEX(Journal!$A$5:$A$1504,$B405))</f>
        <v/>
      </c>
      <c r="D405" s="54" t="str">
        <f aca="false">IF($B405="","",INDEX(Journal!$B$5:$B$1504,$B405))</f>
        <v/>
      </c>
      <c r="E405" s="54" t="str">
        <f aca="false">IF($B405="","",INDEX(Journal!$C$5:$C$1504,$B405))</f>
        <v/>
      </c>
      <c r="F405" s="54" t="str">
        <f aca="false">IF($B405="","",IF(INDEX(Journal!$D$5:$D$1504,$B405)=$C$4,INDEX(Journal!$E$5:$E$1504,$B405),INDEX(Journal!$D$5:$D$1504,$B405)))</f>
        <v/>
      </c>
      <c r="G405" s="56" t="str">
        <f aca="false">IF($B405="","",IF(INDEX(Journal!$D$5:$D$1504,$B405)=$C$4,INDEX(Journal!$M$5:$M$1504,$B405),0))</f>
        <v/>
      </c>
      <c r="H405" s="56" t="str">
        <f aca="false">IF($B405="","",IF(INDEX(Journal!$E$5:$E$1504,$B405)=$C$4,INDEX(Journal!$N$5:$N$1504,$B405),0))</f>
        <v/>
      </c>
      <c r="I405" s="56" t="str">
        <f aca="false">IF($B405="","",IF(OR($G$4="Aktiv",$G$4="Aufwand"),I404+G405-H405,I404+H405-G405))</f>
        <v/>
      </c>
    </row>
    <row r="406" customFormat="false" ht="15" hidden="false" customHeight="false" outlineLevel="0" collapsed="false">
      <c r="A406" s="54" t="n">
        <v>399</v>
      </c>
      <c r="B406" s="54" t="str">
        <f aca="false">IFERROR(MATCH(A406,Journal!$W$5:$W$1504,0),"")</f>
        <v/>
      </c>
      <c r="C406" s="55" t="str">
        <f aca="false">IF($B406="","",INDEX(Journal!$A$5:$A$1504,$B406))</f>
        <v/>
      </c>
      <c r="D406" s="54" t="str">
        <f aca="false">IF($B406="","",INDEX(Journal!$B$5:$B$1504,$B406))</f>
        <v/>
      </c>
      <c r="E406" s="54" t="str">
        <f aca="false">IF($B406="","",INDEX(Journal!$C$5:$C$1504,$B406))</f>
        <v/>
      </c>
      <c r="F406" s="54" t="str">
        <f aca="false">IF($B406="","",IF(INDEX(Journal!$D$5:$D$1504,$B406)=$C$4,INDEX(Journal!$E$5:$E$1504,$B406),INDEX(Journal!$D$5:$D$1504,$B406)))</f>
        <v/>
      </c>
      <c r="G406" s="56" t="str">
        <f aca="false">IF($B406="","",IF(INDEX(Journal!$D$5:$D$1504,$B406)=$C$4,INDEX(Journal!$M$5:$M$1504,$B406),0))</f>
        <v/>
      </c>
      <c r="H406" s="56" t="str">
        <f aca="false">IF($B406="","",IF(INDEX(Journal!$E$5:$E$1504,$B406)=$C$4,INDEX(Journal!$N$5:$N$1504,$B406),0))</f>
        <v/>
      </c>
      <c r="I406" s="56" t="str">
        <f aca="false">IF($B406="","",IF(OR($G$4="Aktiv",$G$4="Aufwand"),I405+G406-H406,I405+H406-G406))</f>
        <v/>
      </c>
    </row>
    <row r="407" customFormat="false" ht="15" hidden="false" customHeight="false" outlineLevel="0" collapsed="false">
      <c r="A407" s="54" t="n">
        <v>400</v>
      </c>
      <c r="B407" s="54" t="str">
        <f aca="false">IFERROR(MATCH(A407,Journal!$W$5:$W$1504,0),"")</f>
        <v/>
      </c>
      <c r="C407" s="55" t="str">
        <f aca="false">IF($B407="","",INDEX(Journal!$A$5:$A$1504,$B407))</f>
        <v/>
      </c>
      <c r="D407" s="54" t="str">
        <f aca="false">IF($B407="","",INDEX(Journal!$B$5:$B$1504,$B407))</f>
        <v/>
      </c>
      <c r="E407" s="54" t="str">
        <f aca="false">IF($B407="","",INDEX(Journal!$C$5:$C$1504,$B407))</f>
        <v/>
      </c>
      <c r="F407" s="54" t="str">
        <f aca="false">IF($B407="","",IF(INDEX(Journal!$D$5:$D$1504,$B407)=$C$4,INDEX(Journal!$E$5:$E$1504,$B407),INDEX(Journal!$D$5:$D$1504,$B407)))</f>
        <v/>
      </c>
      <c r="G407" s="56" t="str">
        <f aca="false">IF($B407="","",IF(INDEX(Journal!$D$5:$D$1504,$B407)=$C$4,INDEX(Journal!$M$5:$M$1504,$B407),0))</f>
        <v/>
      </c>
      <c r="H407" s="56" t="str">
        <f aca="false">IF($B407="","",IF(INDEX(Journal!$E$5:$E$1504,$B407)=$C$4,INDEX(Journal!$N$5:$N$1504,$B407),0))</f>
        <v/>
      </c>
      <c r="I407" s="56" t="str">
        <f aca="false">IF($B407="","",IF(OR($G$4="Aktiv",$G$4="Aufwand"),I406+G407-H407,I406+H407-G407))</f>
        <v/>
      </c>
    </row>
    <row r="408" customFormat="false" ht="15" hidden="false" customHeight="false" outlineLevel="0" collapsed="false">
      <c r="A408" s="54" t="n">
        <v>401</v>
      </c>
      <c r="B408" s="54" t="str">
        <f aca="false">IFERROR(MATCH(A408,Journal!$W$5:$W$1504,0),"")</f>
        <v/>
      </c>
      <c r="C408" s="55" t="str">
        <f aca="false">IF($B408="","",INDEX(Journal!$A$5:$A$1504,$B408))</f>
        <v/>
      </c>
      <c r="D408" s="54" t="str">
        <f aca="false">IF($B408="","",INDEX(Journal!$B$5:$B$1504,$B408))</f>
        <v/>
      </c>
      <c r="E408" s="54" t="str">
        <f aca="false">IF($B408="","",INDEX(Journal!$C$5:$C$1504,$B408))</f>
        <v/>
      </c>
      <c r="F408" s="54" t="str">
        <f aca="false">IF($B408="","",IF(INDEX(Journal!$D$5:$D$1504,$B408)=$C$4,INDEX(Journal!$E$5:$E$1504,$B408),INDEX(Journal!$D$5:$D$1504,$B408)))</f>
        <v/>
      </c>
      <c r="G408" s="56" t="str">
        <f aca="false">IF($B408="","",IF(INDEX(Journal!$D$5:$D$1504,$B408)=$C$4,INDEX(Journal!$M$5:$M$1504,$B408),0))</f>
        <v/>
      </c>
      <c r="H408" s="56" t="str">
        <f aca="false">IF($B408="","",IF(INDEX(Journal!$E$5:$E$1504,$B408)=$C$4,INDEX(Journal!$N$5:$N$1504,$B408),0))</f>
        <v/>
      </c>
      <c r="I408" s="56" t="str">
        <f aca="false">IF($B408="","",IF(OR($G$4="Aktiv",$G$4="Aufwand"),I407+G408-H408,I407+H408-G408))</f>
        <v/>
      </c>
    </row>
    <row r="409" customFormat="false" ht="15" hidden="false" customHeight="false" outlineLevel="0" collapsed="false">
      <c r="A409" s="54" t="n">
        <v>402</v>
      </c>
      <c r="B409" s="54" t="str">
        <f aca="false">IFERROR(MATCH(A409,Journal!$W$5:$W$1504,0),"")</f>
        <v/>
      </c>
      <c r="C409" s="55" t="str">
        <f aca="false">IF($B409="","",INDEX(Journal!$A$5:$A$1504,$B409))</f>
        <v/>
      </c>
      <c r="D409" s="54" t="str">
        <f aca="false">IF($B409="","",INDEX(Journal!$B$5:$B$1504,$B409))</f>
        <v/>
      </c>
      <c r="E409" s="54" t="str">
        <f aca="false">IF($B409="","",INDEX(Journal!$C$5:$C$1504,$B409))</f>
        <v/>
      </c>
      <c r="F409" s="54" t="str">
        <f aca="false">IF($B409="","",IF(INDEX(Journal!$D$5:$D$1504,$B409)=$C$4,INDEX(Journal!$E$5:$E$1504,$B409),INDEX(Journal!$D$5:$D$1504,$B409)))</f>
        <v/>
      </c>
      <c r="G409" s="56" t="str">
        <f aca="false">IF($B409="","",IF(INDEX(Journal!$D$5:$D$1504,$B409)=$C$4,INDEX(Journal!$M$5:$M$1504,$B409),0))</f>
        <v/>
      </c>
      <c r="H409" s="56" t="str">
        <f aca="false">IF($B409="","",IF(INDEX(Journal!$E$5:$E$1504,$B409)=$C$4,INDEX(Journal!$N$5:$N$1504,$B409),0))</f>
        <v/>
      </c>
      <c r="I409" s="56" t="str">
        <f aca="false">IF($B409="","",IF(OR($G$4="Aktiv",$G$4="Aufwand"),I408+G409-H409,I408+H409-G409))</f>
        <v/>
      </c>
    </row>
    <row r="410" customFormat="false" ht="15" hidden="false" customHeight="false" outlineLevel="0" collapsed="false">
      <c r="A410" s="54" t="n">
        <v>403</v>
      </c>
      <c r="B410" s="54" t="str">
        <f aca="false">IFERROR(MATCH(A410,Journal!$W$5:$W$1504,0),"")</f>
        <v/>
      </c>
      <c r="C410" s="55" t="str">
        <f aca="false">IF($B410="","",INDEX(Journal!$A$5:$A$1504,$B410))</f>
        <v/>
      </c>
      <c r="D410" s="54" t="str">
        <f aca="false">IF($B410="","",INDEX(Journal!$B$5:$B$1504,$B410))</f>
        <v/>
      </c>
      <c r="E410" s="54" t="str">
        <f aca="false">IF($B410="","",INDEX(Journal!$C$5:$C$1504,$B410))</f>
        <v/>
      </c>
      <c r="F410" s="54" t="str">
        <f aca="false">IF($B410="","",IF(INDEX(Journal!$D$5:$D$1504,$B410)=$C$4,INDEX(Journal!$E$5:$E$1504,$B410),INDEX(Journal!$D$5:$D$1504,$B410)))</f>
        <v/>
      </c>
      <c r="G410" s="56" t="str">
        <f aca="false">IF($B410="","",IF(INDEX(Journal!$D$5:$D$1504,$B410)=$C$4,INDEX(Journal!$M$5:$M$1504,$B410),0))</f>
        <v/>
      </c>
      <c r="H410" s="56" t="str">
        <f aca="false">IF($B410="","",IF(INDEX(Journal!$E$5:$E$1504,$B410)=$C$4,INDEX(Journal!$N$5:$N$1504,$B410),0))</f>
        <v/>
      </c>
      <c r="I410" s="56" t="str">
        <f aca="false">IF($B410="","",IF(OR($G$4="Aktiv",$G$4="Aufwand"),I409+G410-H410,I409+H410-G410))</f>
        <v/>
      </c>
    </row>
    <row r="411" customFormat="false" ht="15" hidden="false" customHeight="false" outlineLevel="0" collapsed="false">
      <c r="A411" s="54" t="n">
        <v>404</v>
      </c>
      <c r="B411" s="54" t="str">
        <f aca="false">IFERROR(MATCH(A411,Journal!$W$5:$W$1504,0),"")</f>
        <v/>
      </c>
      <c r="C411" s="55" t="str">
        <f aca="false">IF($B411="","",INDEX(Journal!$A$5:$A$1504,$B411))</f>
        <v/>
      </c>
      <c r="D411" s="54" t="str">
        <f aca="false">IF($B411="","",INDEX(Journal!$B$5:$B$1504,$B411))</f>
        <v/>
      </c>
      <c r="E411" s="54" t="str">
        <f aca="false">IF($B411="","",INDEX(Journal!$C$5:$C$1504,$B411))</f>
        <v/>
      </c>
      <c r="F411" s="54" t="str">
        <f aca="false">IF($B411="","",IF(INDEX(Journal!$D$5:$D$1504,$B411)=$C$4,INDEX(Journal!$E$5:$E$1504,$B411),INDEX(Journal!$D$5:$D$1504,$B411)))</f>
        <v/>
      </c>
      <c r="G411" s="56" t="str">
        <f aca="false">IF($B411="","",IF(INDEX(Journal!$D$5:$D$1504,$B411)=$C$4,INDEX(Journal!$M$5:$M$1504,$B411),0))</f>
        <v/>
      </c>
      <c r="H411" s="56" t="str">
        <f aca="false">IF($B411="","",IF(INDEX(Journal!$E$5:$E$1504,$B411)=$C$4,INDEX(Journal!$N$5:$N$1504,$B411),0))</f>
        <v/>
      </c>
      <c r="I411" s="56" t="str">
        <f aca="false">IF($B411="","",IF(OR($G$4="Aktiv",$G$4="Aufwand"),I410+G411-H411,I410+H411-G411))</f>
        <v/>
      </c>
    </row>
    <row r="412" customFormat="false" ht="15" hidden="false" customHeight="false" outlineLevel="0" collapsed="false">
      <c r="A412" s="54" t="n">
        <v>405</v>
      </c>
      <c r="B412" s="54" t="str">
        <f aca="false">IFERROR(MATCH(A412,Journal!$W$5:$W$1504,0),"")</f>
        <v/>
      </c>
      <c r="C412" s="55" t="str">
        <f aca="false">IF($B412="","",INDEX(Journal!$A$5:$A$1504,$B412))</f>
        <v/>
      </c>
      <c r="D412" s="54" t="str">
        <f aca="false">IF($B412="","",INDEX(Journal!$B$5:$B$1504,$B412))</f>
        <v/>
      </c>
      <c r="E412" s="54" t="str">
        <f aca="false">IF($B412="","",INDEX(Journal!$C$5:$C$1504,$B412))</f>
        <v/>
      </c>
      <c r="F412" s="54" t="str">
        <f aca="false">IF($B412="","",IF(INDEX(Journal!$D$5:$D$1504,$B412)=$C$4,INDEX(Journal!$E$5:$E$1504,$B412),INDEX(Journal!$D$5:$D$1504,$B412)))</f>
        <v/>
      </c>
      <c r="G412" s="56" t="str">
        <f aca="false">IF($B412="","",IF(INDEX(Journal!$D$5:$D$1504,$B412)=$C$4,INDEX(Journal!$M$5:$M$1504,$B412),0))</f>
        <v/>
      </c>
      <c r="H412" s="56" t="str">
        <f aca="false">IF($B412="","",IF(INDEX(Journal!$E$5:$E$1504,$B412)=$C$4,INDEX(Journal!$N$5:$N$1504,$B412),0))</f>
        <v/>
      </c>
      <c r="I412" s="56" t="str">
        <f aca="false">IF($B412="","",IF(OR($G$4="Aktiv",$G$4="Aufwand"),I411+G412-H412,I411+H412-G412))</f>
        <v/>
      </c>
    </row>
    <row r="413" customFormat="false" ht="15" hidden="false" customHeight="false" outlineLevel="0" collapsed="false">
      <c r="A413" s="54" t="n">
        <v>406</v>
      </c>
      <c r="B413" s="54" t="str">
        <f aca="false">IFERROR(MATCH(A413,Journal!$W$5:$W$1504,0),"")</f>
        <v/>
      </c>
      <c r="C413" s="55" t="str">
        <f aca="false">IF($B413="","",INDEX(Journal!$A$5:$A$1504,$B413))</f>
        <v/>
      </c>
      <c r="D413" s="54" t="str">
        <f aca="false">IF($B413="","",INDEX(Journal!$B$5:$B$1504,$B413))</f>
        <v/>
      </c>
      <c r="E413" s="54" t="str">
        <f aca="false">IF($B413="","",INDEX(Journal!$C$5:$C$1504,$B413))</f>
        <v/>
      </c>
      <c r="F413" s="54" t="str">
        <f aca="false">IF($B413="","",IF(INDEX(Journal!$D$5:$D$1504,$B413)=$C$4,INDEX(Journal!$E$5:$E$1504,$B413),INDEX(Journal!$D$5:$D$1504,$B413)))</f>
        <v/>
      </c>
      <c r="G413" s="56" t="str">
        <f aca="false">IF($B413="","",IF(INDEX(Journal!$D$5:$D$1504,$B413)=$C$4,INDEX(Journal!$M$5:$M$1504,$B413),0))</f>
        <v/>
      </c>
      <c r="H413" s="56" t="str">
        <f aca="false">IF($B413="","",IF(INDEX(Journal!$E$5:$E$1504,$B413)=$C$4,INDEX(Journal!$N$5:$N$1504,$B413),0))</f>
        <v/>
      </c>
      <c r="I413" s="56" t="str">
        <f aca="false">IF($B413="","",IF(OR($G$4="Aktiv",$G$4="Aufwand"),I412+G413-H413,I412+H413-G413))</f>
        <v/>
      </c>
    </row>
    <row r="414" customFormat="false" ht="15" hidden="false" customHeight="false" outlineLevel="0" collapsed="false">
      <c r="A414" s="54" t="n">
        <v>407</v>
      </c>
      <c r="B414" s="54" t="str">
        <f aca="false">IFERROR(MATCH(A414,Journal!$W$5:$W$1504,0),"")</f>
        <v/>
      </c>
      <c r="C414" s="55" t="str">
        <f aca="false">IF($B414="","",INDEX(Journal!$A$5:$A$1504,$B414))</f>
        <v/>
      </c>
      <c r="D414" s="54" t="str">
        <f aca="false">IF($B414="","",INDEX(Journal!$B$5:$B$1504,$B414))</f>
        <v/>
      </c>
      <c r="E414" s="54" t="str">
        <f aca="false">IF($B414="","",INDEX(Journal!$C$5:$C$1504,$B414))</f>
        <v/>
      </c>
      <c r="F414" s="54" t="str">
        <f aca="false">IF($B414="","",IF(INDEX(Journal!$D$5:$D$1504,$B414)=$C$4,INDEX(Journal!$E$5:$E$1504,$B414),INDEX(Journal!$D$5:$D$1504,$B414)))</f>
        <v/>
      </c>
      <c r="G414" s="56" t="str">
        <f aca="false">IF($B414="","",IF(INDEX(Journal!$D$5:$D$1504,$B414)=$C$4,INDEX(Journal!$M$5:$M$1504,$B414),0))</f>
        <v/>
      </c>
      <c r="H414" s="56" t="str">
        <f aca="false">IF($B414="","",IF(INDEX(Journal!$E$5:$E$1504,$B414)=$C$4,INDEX(Journal!$N$5:$N$1504,$B414),0))</f>
        <v/>
      </c>
      <c r="I414" s="56" t="str">
        <f aca="false">IF($B414="","",IF(OR($G$4="Aktiv",$G$4="Aufwand"),I413+G414-H414,I413+H414-G414))</f>
        <v/>
      </c>
    </row>
    <row r="415" customFormat="false" ht="15" hidden="false" customHeight="false" outlineLevel="0" collapsed="false">
      <c r="A415" s="54" t="n">
        <v>408</v>
      </c>
      <c r="B415" s="54" t="str">
        <f aca="false">IFERROR(MATCH(A415,Journal!$W$5:$W$1504,0),"")</f>
        <v/>
      </c>
      <c r="C415" s="55" t="str">
        <f aca="false">IF($B415="","",INDEX(Journal!$A$5:$A$1504,$B415))</f>
        <v/>
      </c>
      <c r="D415" s="54" t="str">
        <f aca="false">IF($B415="","",INDEX(Journal!$B$5:$B$1504,$B415))</f>
        <v/>
      </c>
      <c r="E415" s="54" t="str">
        <f aca="false">IF($B415="","",INDEX(Journal!$C$5:$C$1504,$B415))</f>
        <v/>
      </c>
      <c r="F415" s="54" t="str">
        <f aca="false">IF($B415="","",IF(INDEX(Journal!$D$5:$D$1504,$B415)=$C$4,INDEX(Journal!$E$5:$E$1504,$B415),INDEX(Journal!$D$5:$D$1504,$B415)))</f>
        <v/>
      </c>
      <c r="G415" s="56" t="str">
        <f aca="false">IF($B415="","",IF(INDEX(Journal!$D$5:$D$1504,$B415)=$C$4,INDEX(Journal!$M$5:$M$1504,$B415),0))</f>
        <v/>
      </c>
      <c r="H415" s="56" t="str">
        <f aca="false">IF($B415="","",IF(INDEX(Journal!$E$5:$E$1504,$B415)=$C$4,INDEX(Journal!$N$5:$N$1504,$B415),0))</f>
        <v/>
      </c>
      <c r="I415" s="56" t="str">
        <f aca="false">IF($B415="","",IF(OR($G$4="Aktiv",$G$4="Aufwand"),I414+G415-H415,I414+H415-G415))</f>
        <v/>
      </c>
    </row>
    <row r="416" customFormat="false" ht="15" hidden="false" customHeight="false" outlineLevel="0" collapsed="false">
      <c r="A416" s="54" t="n">
        <v>409</v>
      </c>
      <c r="B416" s="54" t="str">
        <f aca="false">IFERROR(MATCH(A416,Journal!$W$5:$W$1504,0),"")</f>
        <v/>
      </c>
      <c r="C416" s="55" t="str">
        <f aca="false">IF($B416="","",INDEX(Journal!$A$5:$A$1504,$B416))</f>
        <v/>
      </c>
      <c r="D416" s="54" t="str">
        <f aca="false">IF($B416="","",INDEX(Journal!$B$5:$B$1504,$B416))</f>
        <v/>
      </c>
      <c r="E416" s="54" t="str">
        <f aca="false">IF($B416="","",INDEX(Journal!$C$5:$C$1504,$B416))</f>
        <v/>
      </c>
      <c r="F416" s="54" t="str">
        <f aca="false">IF($B416="","",IF(INDEX(Journal!$D$5:$D$1504,$B416)=$C$4,INDEX(Journal!$E$5:$E$1504,$B416),INDEX(Journal!$D$5:$D$1504,$B416)))</f>
        <v/>
      </c>
      <c r="G416" s="56" t="str">
        <f aca="false">IF($B416="","",IF(INDEX(Journal!$D$5:$D$1504,$B416)=$C$4,INDEX(Journal!$M$5:$M$1504,$B416),0))</f>
        <v/>
      </c>
      <c r="H416" s="56" t="str">
        <f aca="false">IF($B416="","",IF(INDEX(Journal!$E$5:$E$1504,$B416)=$C$4,INDEX(Journal!$N$5:$N$1504,$B416),0))</f>
        <v/>
      </c>
      <c r="I416" s="56" t="str">
        <f aca="false">IF($B416="","",IF(OR($G$4="Aktiv",$G$4="Aufwand"),I415+G416-H416,I415+H416-G416))</f>
        <v/>
      </c>
    </row>
    <row r="417" customFormat="false" ht="15" hidden="false" customHeight="false" outlineLevel="0" collapsed="false">
      <c r="A417" s="54" t="n">
        <v>410</v>
      </c>
      <c r="B417" s="54" t="str">
        <f aca="false">IFERROR(MATCH(A417,Journal!$W$5:$W$1504,0),"")</f>
        <v/>
      </c>
      <c r="C417" s="55" t="str">
        <f aca="false">IF($B417="","",INDEX(Journal!$A$5:$A$1504,$B417))</f>
        <v/>
      </c>
      <c r="D417" s="54" t="str">
        <f aca="false">IF($B417="","",INDEX(Journal!$B$5:$B$1504,$B417))</f>
        <v/>
      </c>
      <c r="E417" s="54" t="str">
        <f aca="false">IF($B417="","",INDEX(Journal!$C$5:$C$1504,$B417))</f>
        <v/>
      </c>
      <c r="F417" s="54" t="str">
        <f aca="false">IF($B417="","",IF(INDEX(Journal!$D$5:$D$1504,$B417)=$C$4,INDEX(Journal!$E$5:$E$1504,$B417),INDEX(Journal!$D$5:$D$1504,$B417)))</f>
        <v/>
      </c>
      <c r="G417" s="56" t="str">
        <f aca="false">IF($B417="","",IF(INDEX(Journal!$D$5:$D$1504,$B417)=$C$4,INDEX(Journal!$M$5:$M$1504,$B417),0))</f>
        <v/>
      </c>
      <c r="H417" s="56" t="str">
        <f aca="false">IF($B417="","",IF(INDEX(Journal!$E$5:$E$1504,$B417)=$C$4,INDEX(Journal!$N$5:$N$1504,$B417),0))</f>
        <v/>
      </c>
      <c r="I417" s="56" t="str">
        <f aca="false">IF($B417="","",IF(OR($G$4="Aktiv",$G$4="Aufwand"),I416+G417-H417,I416+H417-G417))</f>
        <v/>
      </c>
    </row>
    <row r="418" customFormat="false" ht="15" hidden="false" customHeight="false" outlineLevel="0" collapsed="false">
      <c r="A418" s="54" t="n">
        <v>411</v>
      </c>
      <c r="B418" s="54" t="str">
        <f aca="false">IFERROR(MATCH(A418,Journal!$W$5:$W$1504,0),"")</f>
        <v/>
      </c>
      <c r="C418" s="55" t="str">
        <f aca="false">IF($B418="","",INDEX(Journal!$A$5:$A$1504,$B418))</f>
        <v/>
      </c>
      <c r="D418" s="54" t="str">
        <f aca="false">IF($B418="","",INDEX(Journal!$B$5:$B$1504,$B418))</f>
        <v/>
      </c>
      <c r="E418" s="54" t="str">
        <f aca="false">IF($B418="","",INDEX(Journal!$C$5:$C$1504,$B418))</f>
        <v/>
      </c>
      <c r="F418" s="54" t="str">
        <f aca="false">IF($B418="","",IF(INDEX(Journal!$D$5:$D$1504,$B418)=$C$4,INDEX(Journal!$E$5:$E$1504,$B418),INDEX(Journal!$D$5:$D$1504,$B418)))</f>
        <v/>
      </c>
      <c r="G418" s="56" t="str">
        <f aca="false">IF($B418="","",IF(INDEX(Journal!$D$5:$D$1504,$B418)=$C$4,INDEX(Journal!$M$5:$M$1504,$B418),0))</f>
        <v/>
      </c>
      <c r="H418" s="56" t="str">
        <f aca="false">IF($B418="","",IF(INDEX(Journal!$E$5:$E$1504,$B418)=$C$4,INDEX(Journal!$N$5:$N$1504,$B418),0))</f>
        <v/>
      </c>
      <c r="I418" s="56" t="str">
        <f aca="false">IF($B418="","",IF(OR($G$4="Aktiv",$G$4="Aufwand"),I417+G418-H418,I417+H418-G418))</f>
        <v/>
      </c>
    </row>
    <row r="419" customFormat="false" ht="15" hidden="false" customHeight="false" outlineLevel="0" collapsed="false">
      <c r="A419" s="54" t="n">
        <v>412</v>
      </c>
      <c r="B419" s="54" t="str">
        <f aca="false">IFERROR(MATCH(A419,Journal!$W$5:$W$1504,0),"")</f>
        <v/>
      </c>
      <c r="C419" s="55" t="str">
        <f aca="false">IF($B419="","",INDEX(Journal!$A$5:$A$1504,$B419))</f>
        <v/>
      </c>
      <c r="D419" s="54" t="str">
        <f aca="false">IF($B419="","",INDEX(Journal!$B$5:$B$1504,$B419))</f>
        <v/>
      </c>
      <c r="E419" s="54" t="str">
        <f aca="false">IF($B419="","",INDEX(Journal!$C$5:$C$1504,$B419))</f>
        <v/>
      </c>
      <c r="F419" s="54" t="str">
        <f aca="false">IF($B419="","",IF(INDEX(Journal!$D$5:$D$1504,$B419)=$C$4,INDEX(Journal!$E$5:$E$1504,$B419),INDEX(Journal!$D$5:$D$1504,$B419)))</f>
        <v/>
      </c>
      <c r="G419" s="56" t="str">
        <f aca="false">IF($B419="","",IF(INDEX(Journal!$D$5:$D$1504,$B419)=$C$4,INDEX(Journal!$M$5:$M$1504,$B419),0))</f>
        <v/>
      </c>
      <c r="H419" s="56" t="str">
        <f aca="false">IF($B419="","",IF(INDEX(Journal!$E$5:$E$1504,$B419)=$C$4,INDEX(Journal!$N$5:$N$1504,$B419),0))</f>
        <v/>
      </c>
      <c r="I419" s="56" t="str">
        <f aca="false">IF($B419="","",IF(OR($G$4="Aktiv",$G$4="Aufwand"),I418+G419-H419,I418+H419-G419))</f>
        <v/>
      </c>
    </row>
    <row r="420" customFormat="false" ht="15" hidden="false" customHeight="false" outlineLevel="0" collapsed="false">
      <c r="A420" s="54" t="n">
        <v>413</v>
      </c>
      <c r="B420" s="54" t="str">
        <f aca="false">IFERROR(MATCH(A420,Journal!$W$5:$W$1504,0),"")</f>
        <v/>
      </c>
      <c r="C420" s="55" t="str">
        <f aca="false">IF($B420="","",INDEX(Journal!$A$5:$A$1504,$B420))</f>
        <v/>
      </c>
      <c r="D420" s="54" t="str">
        <f aca="false">IF($B420="","",INDEX(Journal!$B$5:$B$1504,$B420))</f>
        <v/>
      </c>
      <c r="E420" s="54" t="str">
        <f aca="false">IF($B420="","",INDEX(Journal!$C$5:$C$1504,$B420))</f>
        <v/>
      </c>
      <c r="F420" s="54" t="str">
        <f aca="false">IF($B420="","",IF(INDEX(Journal!$D$5:$D$1504,$B420)=$C$4,INDEX(Journal!$E$5:$E$1504,$B420),INDEX(Journal!$D$5:$D$1504,$B420)))</f>
        <v/>
      </c>
      <c r="G420" s="56" t="str">
        <f aca="false">IF($B420="","",IF(INDEX(Journal!$D$5:$D$1504,$B420)=$C$4,INDEX(Journal!$M$5:$M$1504,$B420),0))</f>
        <v/>
      </c>
      <c r="H420" s="56" t="str">
        <f aca="false">IF($B420="","",IF(INDEX(Journal!$E$5:$E$1504,$B420)=$C$4,INDEX(Journal!$N$5:$N$1504,$B420),0))</f>
        <v/>
      </c>
      <c r="I420" s="56" t="str">
        <f aca="false">IF($B420="","",IF(OR($G$4="Aktiv",$G$4="Aufwand"),I419+G420-H420,I419+H420-G420))</f>
        <v/>
      </c>
    </row>
    <row r="421" customFormat="false" ht="15" hidden="false" customHeight="false" outlineLevel="0" collapsed="false">
      <c r="A421" s="54" t="n">
        <v>414</v>
      </c>
      <c r="B421" s="54" t="str">
        <f aca="false">IFERROR(MATCH(A421,Journal!$W$5:$W$1504,0),"")</f>
        <v/>
      </c>
      <c r="C421" s="55" t="str">
        <f aca="false">IF($B421="","",INDEX(Journal!$A$5:$A$1504,$B421))</f>
        <v/>
      </c>
      <c r="D421" s="54" t="str">
        <f aca="false">IF($B421="","",INDEX(Journal!$B$5:$B$1504,$B421))</f>
        <v/>
      </c>
      <c r="E421" s="54" t="str">
        <f aca="false">IF($B421="","",INDEX(Journal!$C$5:$C$1504,$B421))</f>
        <v/>
      </c>
      <c r="F421" s="54" t="str">
        <f aca="false">IF($B421="","",IF(INDEX(Journal!$D$5:$D$1504,$B421)=$C$4,INDEX(Journal!$E$5:$E$1504,$B421),INDEX(Journal!$D$5:$D$1504,$B421)))</f>
        <v/>
      </c>
      <c r="G421" s="56" t="str">
        <f aca="false">IF($B421="","",IF(INDEX(Journal!$D$5:$D$1504,$B421)=$C$4,INDEX(Journal!$M$5:$M$1504,$B421),0))</f>
        <v/>
      </c>
      <c r="H421" s="56" t="str">
        <f aca="false">IF($B421="","",IF(INDEX(Journal!$E$5:$E$1504,$B421)=$C$4,INDEX(Journal!$N$5:$N$1504,$B421),0))</f>
        <v/>
      </c>
      <c r="I421" s="56" t="str">
        <f aca="false">IF($B421="","",IF(OR($G$4="Aktiv",$G$4="Aufwand"),I420+G421-H421,I420+H421-G421))</f>
        <v/>
      </c>
    </row>
    <row r="422" customFormat="false" ht="15" hidden="false" customHeight="false" outlineLevel="0" collapsed="false">
      <c r="A422" s="54" t="n">
        <v>415</v>
      </c>
      <c r="B422" s="54" t="str">
        <f aca="false">IFERROR(MATCH(A422,Journal!$W$5:$W$1504,0),"")</f>
        <v/>
      </c>
      <c r="C422" s="55" t="str">
        <f aca="false">IF($B422="","",INDEX(Journal!$A$5:$A$1504,$B422))</f>
        <v/>
      </c>
      <c r="D422" s="54" t="str">
        <f aca="false">IF($B422="","",INDEX(Journal!$B$5:$B$1504,$B422))</f>
        <v/>
      </c>
      <c r="E422" s="54" t="str">
        <f aca="false">IF($B422="","",INDEX(Journal!$C$5:$C$1504,$B422))</f>
        <v/>
      </c>
      <c r="F422" s="54" t="str">
        <f aca="false">IF($B422="","",IF(INDEX(Journal!$D$5:$D$1504,$B422)=$C$4,INDEX(Journal!$E$5:$E$1504,$B422),INDEX(Journal!$D$5:$D$1504,$B422)))</f>
        <v/>
      </c>
      <c r="G422" s="56" t="str">
        <f aca="false">IF($B422="","",IF(INDEX(Journal!$D$5:$D$1504,$B422)=$C$4,INDEX(Journal!$M$5:$M$1504,$B422),0))</f>
        <v/>
      </c>
      <c r="H422" s="56" t="str">
        <f aca="false">IF($B422="","",IF(INDEX(Journal!$E$5:$E$1504,$B422)=$C$4,INDEX(Journal!$N$5:$N$1504,$B422),0))</f>
        <v/>
      </c>
      <c r="I422" s="56" t="str">
        <f aca="false">IF($B422="","",IF(OR($G$4="Aktiv",$G$4="Aufwand"),I421+G422-H422,I421+H422-G422))</f>
        <v/>
      </c>
    </row>
    <row r="423" customFormat="false" ht="15" hidden="false" customHeight="false" outlineLevel="0" collapsed="false">
      <c r="A423" s="54" t="n">
        <v>416</v>
      </c>
      <c r="B423" s="54" t="str">
        <f aca="false">IFERROR(MATCH(A423,Journal!$W$5:$W$1504,0),"")</f>
        <v/>
      </c>
      <c r="C423" s="55" t="str">
        <f aca="false">IF($B423="","",INDEX(Journal!$A$5:$A$1504,$B423))</f>
        <v/>
      </c>
      <c r="D423" s="54" t="str">
        <f aca="false">IF($B423="","",INDEX(Journal!$B$5:$B$1504,$B423))</f>
        <v/>
      </c>
      <c r="E423" s="54" t="str">
        <f aca="false">IF($B423="","",INDEX(Journal!$C$5:$C$1504,$B423))</f>
        <v/>
      </c>
      <c r="F423" s="54" t="str">
        <f aca="false">IF($B423="","",IF(INDEX(Journal!$D$5:$D$1504,$B423)=$C$4,INDEX(Journal!$E$5:$E$1504,$B423),INDEX(Journal!$D$5:$D$1504,$B423)))</f>
        <v/>
      </c>
      <c r="G423" s="56" t="str">
        <f aca="false">IF($B423="","",IF(INDEX(Journal!$D$5:$D$1504,$B423)=$C$4,INDEX(Journal!$M$5:$M$1504,$B423),0))</f>
        <v/>
      </c>
      <c r="H423" s="56" t="str">
        <f aca="false">IF($B423="","",IF(INDEX(Journal!$E$5:$E$1504,$B423)=$C$4,INDEX(Journal!$N$5:$N$1504,$B423),0))</f>
        <v/>
      </c>
      <c r="I423" s="56" t="str">
        <f aca="false">IF($B423="","",IF(OR($G$4="Aktiv",$G$4="Aufwand"),I422+G423-H423,I422+H423-G423))</f>
        <v/>
      </c>
    </row>
    <row r="424" customFormat="false" ht="15" hidden="false" customHeight="false" outlineLevel="0" collapsed="false">
      <c r="A424" s="54" t="n">
        <v>417</v>
      </c>
      <c r="B424" s="54" t="str">
        <f aca="false">IFERROR(MATCH(A424,Journal!$W$5:$W$1504,0),"")</f>
        <v/>
      </c>
      <c r="C424" s="55" t="str">
        <f aca="false">IF($B424="","",INDEX(Journal!$A$5:$A$1504,$B424))</f>
        <v/>
      </c>
      <c r="D424" s="54" t="str">
        <f aca="false">IF($B424="","",INDEX(Journal!$B$5:$B$1504,$B424))</f>
        <v/>
      </c>
      <c r="E424" s="54" t="str">
        <f aca="false">IF($B424="","",INDEX(Journal!$C$5:$C$1504,$B424))</f>
        <v/>
      </c>
      <c r="F424" s="54" t="str">
        <f aca="false">IF($B424="","",IF(INDEX(Journal!$D$5:$D$1504,$B424)=$C$4,INDEX(Journal!$E$5:$E$1504,$B424),INDEX(Journal!$D$5:$D$1504,$B424)))</f>
        <v/>
      </c>
      <c r="G424" s="56" t="str">
        <f aca="false">IF($B424="","",IF(INDEX(Journal!$D$5:$D$1504,$B424)=$C$4,INDEX(Journal!$M$5:$M$1504,$B424),0))</f>
        <v/>
      </c>
      <c r="H424" s="56" t="str">
        <f aca="false">IF($B424="","",IF(INDEX(Journal!$E$5:$E$1504,$B424)=$C$4,INDEX(Journal!$N$5:$N$1504,$B424),0))</f>
        <v/>
      </c>
      <c r="I424" s="56" t="str">
        <f aca="false">IF($B424="","",IF(OR($G$4="Aktiv",$G$4="Aufwand"),I423+G424-H424,I423+H424-G424))</f>
        <v/>
      </c>
    </row>
    <row r="425" customFormat="false" ht="15" hidden="false" customHeight="false" outlineLevel="0" collapsed="false">
      <c r="A425" s="54" t="n">
        <v>418</v>
      </c>
      <c r="B425" s="54" t="str">
        <f aca="false">IFERROR(MATCH(A425,Journal!$W$5:$W$1504,0),"")</f>
        <v/>
      </c>
      <c r="C425" s="55" t="str">
        <f aca="false">IF($B425="","",INDEX(Journal!$A$5:$A$1504,$B425))</f>
        <v/>
      </c>
      <c r="D425" s="54" t="str">
        <f aca="false">IF($B425="","",INDEX(Journal!$B$5:$B$1504,$B425))</f>
        <v/>
      </c>
      <c r="E425" s="54" t="str">
        <f aca="false">IF($B425="","",INDEX(Journal!$C$5:$C$1504,$B425))</f>
        <v/>
      </c>
      <c r="F425" s="54" t="str">
        <f aca="false">IF($B425="","",IF(INDEX(Journal!$D$5:$D$1504,$B425)=$C$4,INDEX(Journal!$E$5:$E$1504,$B425),INDEX(Journal!$D$5:$D$1504,$B425)))</f>
        <v/>
      </c>
      <c r="G425" s="56" t="str">
        <f aca="false">IF($B425="","",IF(INDEX(Journal!$D$5:$D$1504,$B425)=$C$4,INDEX(Journal!$M$5:$M$1504,$B425),0))</f>
        <v/>
      </c>
      <c r="H425" s="56" t="str">
        <f aca="false">IF($B425="","",IF(INDEX(Journal!$E$5:$E$1504,$B425)=$C$4,INDEX(Journal!$N$5:$N$1504,$B425),0))</f>
        <v/>
      </c>
      <c r="I425" s="56" t="str">
        <f aca="false">IF($B425="","",IF(OR($G$4="Aktiv",$G$4="Aufwand"),I424+G425-H425,I424+H425-G425))</f>
        <v/>
      </c>
    </row>
    <row r="426" customFormat="false" ht="15" hidden="false" customHeight="false" outlineLevel="0" collapsed="false">
      <c r="A426" s="54" t="n">
        <v>419</v>
      </c>
      <c r="B426" s="54" t="str">
        <f aca="false">IFERROR(MATCH(A426,Journal!$W$5:$W$1504,0),"")</f>
        <v/>
      </c>
      <c r="C426" s="55" t="str">
        <f aca="false">IF($B426="","",INDEX(Journal!$A$5:$A$1504,$B426))</f>
        <v/>
      </c>
      <c r="D426" s="54" t="str">
        <f aca="false">IF($B426="","",INDEX(Journal!$B$5:$B$1504,$B426))</f>
        <v/>
      </c>
      <c r="E426" s="54" t="str">
        <f aca="false">IF($B426="","",INDEX(Journal!$C$5:$C$1504,$B426))</f>
        <v/>
      </c>
      <c r="F426" s="54" t="str">
        <f aca="false">IF($B426="","",IF(INDEX(Journal!$D$5:$D$1504,$B426)=$C$4,INDEX(Journal!$E$5:$E$1504,$B426),INDEX(Journal!$D$5:$D$1504,$B426)))</f>
        <v/>
      </c>
      <c r="G426" s="56" t="str">
        <f aca="false">IF($B426="","",IF(INDEX(Journal!$D$5:$D$1504,$B426)=$C$4,INDEX(Journal!$M$5:$M$1504,$B426),0))</f>
        <v/>
      </c>
      <c r="H426" s="56" t="str">
        <f aca="false">IF($B426="","",IF(INDEX(Journal!$E$5:$E$1504,$B426)=$C$4,INDEX(Journal!$N$5:$N$1504,$B426),0))</f>
        <v/>
      </c>
      <c r="I426" s="56" t="str">
        <f aca="false">IF($B426="","",IF(OR($G$4="Aktiv",$G$4="Aufwand"),I425+G426-H426,I425+H426-G426))</f>
        <v/>
      </c>
    </row>
    <row r="427" customFormat="false" ht="15" hidden="false" customHeight="false" outlineLevel="0" collapsed="false">
      <c r="A427" s="54" t="n">
        <v>420</v>
      </c>
      <c r="B427" s="54" t="str">
        <f aca="false">IFERROR(MATCH(A427,Journal!$W$5:$W$1504,0),"")</f>
        <v/>
      </c>
      <c r="C427" s="55" t="str">
        <f aca="false">IF($B427="","",INDEX(Journal!$A$5:$A$1504,$B427))</f>
        <v/>
      </c>
      <c r="D427" s="54" t="str">
        <f aca="false">IF($B427="","",INDEX(Journal!$B$5:$B$1504,$B427))</f>
        <v/>
      </c>
      <c r="E427" s="54" t="str">
        <f aca="false">IF($B427="","",INDEX(Journal!$C$5:$C$1504,$B427))</f>
        <v/>
      </c>
      <c r="F427" s="54" t="str">
        <f aca="false">IF($B427="","",IF(INDEX(Journal!$D$5:$D$1504,$B427)=$C$4,INDEX(Journal!$E$5:$E$1504,$B427),INDEX(Journal!$D$5:$D$1504,$B427)))</f>
        <v/>
      </c>
      <c r="G427" s="56" t="str">
        <f aca="false">IF($B427="","",IF(INDEX(Journal!$D$5:$D$1504,$B427)=$C$4,INDEX(Journal!$M$5:$M$1504,$B427),0))</f>
        <v/>
      </c>
      <c r="H427" s="56" t="str">
        <f aca="false">IF($B427="","",IF(INDEX(Journal!$E$5:$E$1504,$B427)=$C$4,INDEX(Journal!$N$5:$N$1504,$B427),0))</f>
        <v/>
      </c>
      <c r="I427" s="56" t="str">
        <f aca="false">IF($B427="","",IF(OR($G$4="Aktiv",$G$4="Aufwand"),I426+G427-H427,I426+H427-G427))</f>
        <v/>
      </c>
    </row>
    <row r="428" customFormat="false" ht="15" hidden="false" customHeight="false" outlineLevel="0" collapsed="false">
      <c r="A428" s="54" t="n">
        <v>421</v>
      </c>
      <c r="B428" s="54" t="str">
        <f aca="false">IFERROR(MATCH(A428,Journal!$W$5:$W$1504,0),"")</f>
        <v/>
      </c>
      <c r="C428" s="55" t="str">
        <f aca="false">IF($B428="","",INDEX(Journal!$A$5:$A$1504,$B428))</f>
        <v/>
      </c>
      <c r="D428" s="54" t="str">
        <f aca="false">IF($B428="","",INDEX(Journal!$B$5:$B$1504,$B428))</f>
        <v/>
      </c>
      <c r="E428" s="54" t="str">
        <f aca="false">IF($B428="","",INDEX(Journal!$C$5:$C$1504,$B428))</f>
        <v/>
      </c>
      <c r="F428" s="54" t="str">
        <f aca="false">IF($B428="","",IF(INDEX(Journal!$D$5:$D$1504,$B428)=$C$4,INDEX(Journal!$E$5:$E$1504,$B428),INDEX(Journal!$D$5:$D$1504,$B428)))</f>
        <v/>
      </c>
      <c r="G428" s="56" t="str">
        <f aca="false">IF($B428="","",IF(INDEX(Journal!$D$5:$D$1504,$B428)=$C$4,INDEX(Journal!$M$5:$M$1504,$B428),0))</f>
        <v/>
      </c>
      <c r="H428" s="56" t="str">
        <f aca="false">IF($B428="","",IF(INDEX(Journal!$E$5:$E$1504,$B428)=$C$4,INDEX(Journal!$N$5:$N$1504,$B428),0))</f>
        <v/>
      </c>
      <c r="I428" s="56" t="str">
        <f aca="false">IF($B428="","",IF(OR($G$4="Aktiv",$G$4="Aufwand"),I427+G428-H428,I427+H428-G428))</f>
        <v/>
      </c>
    </row>
    <row r="429" customFormat="false" ht="15" hidden="false" customHeight="false" outlineLevel="0" collapsed="false">
      <c r="A429" s="54" t="n">
        <v>422</v>
      </c>
      <c r="B429" s="54" t="str">
        <f aca="false">IFERROR(MATCH(A429,Journal!$W$5:$W$1504,0),"")</f>
        <v/>
      </c>
      <c r="C429" s="55" t="str">
        <f aca="false">IF($B429="","",INDEX(Journal!$A$5:$A$1504,$B429))</f>
        <v/>
      </c>
      <c r="D429" s="54" t="str">
        <f aca="false">IF($B429="","",INDEX(Journal!$B$5:$B$1504,$B429))</f>
        <v/>
      </c>
      <c r="E429" s="54" t="str">
        <f aca="false">IF($B429="","",INDEX(Journal!$C$5:$C$1504,$B429))</f>
        <v/>
      </c>
      <c r="F429" s="54" t="str">
        <f aca="false">IF($B429="","",IF(INDEX(Journal!$D$5:$D$1504,$B429)=$C$4,INDEX(Journal!$E$5:$E$1504,$B429),INDEX(Journal!$D$5:$D$1504,$B429)))</f>
        <v/>
      </c>
      <c r="G429" s="56" t="str">
        <f aca="false">IF($B429="","",IF(INDEX(Journal!$D$5:$D$1504,$B429)=$C$4,INDEX(Journal!$M$5:$M$1504,$B429),0))</f>
        <v/>
      </c>
      <c r="H429" s="56" t="str">
        <f aca="false">IF($B429="","",IF(INDEX(Journal!$E$5:$E$1504,$B429)=$C$4,INDEX(Journal!$N$5:$N$1504,$B429),0))</f>
        <v/>
      </c>
      <c r="I429" s="56" t="str">
        <f aca="false">IF($B429="","",IF(OR($G$4="Aktiv",$G$4="Aufwand"),I428+G429-H429,I428+H429-G429))</f>
        <v/>
      </c>
    </row>
    <row r="430" customFormat="false" ht="15" hidden="false" customHeight="false" outlineLevel="0" collapsed="false">
      <c r="A430" s="54" t="n">
        <v>423</v>
      </c>
      <c r="B430" s="54" t="str">
        <f aca="false">IFERROR(MATCH(A430,Journal!$W$5:$W$1504,0),"")</f>
        <v/>
      </c>
      <c r="C430" s="55" t="str">
        <f aca="false">IF($B430="","",INDEX(Journal!$A$5:$A$1504,$B430))</f>
        <v/>
      </c>
      <c r="D430" s="54" t="str">
        <f aca="false">IF($B430="","",INDEX(Journal!$B$5:$B$1504,$B430))</f>
        <v/>
      </c>
      <c r="E430" s="54" t="str">
        <f aca="false">IF($B430="","",INDEX(Journal!$C$5:$C$1504,$B430))</f>
        <v/>
      </c>
      <c r="F430" s="54" t="str">
        <f aca="false">IF($B430="","",IF(INDEX(Journal!$D$5:$D$1504,$B430)=$C$4,INDEX(Journal!$E$5:$E$1504,$B430),INDEX(Journal!$D$5:$D$1504,$B430)))</f>
        <v/>
      </c>
      <c r="G430" s="56" t="str">
        <f aca="false">IF($B430="","",IF(INDEX(Journal!$D$5:$D$1504,$B430)=$C$4,INDEX(Journal!$M$5:$M$1504,$B430),0))</f>
        <v/>
      </c>
      <c r="H430" s="56" t="str">
        <f aca="false">IF($B430="","",IF(INDEX(Journal!$E$5:$E$1504,$B430)=$C$4,INDEX(Journal!$N$5:$N$1504,$B430),0))</f>
        <v/>
      </c>
      <c r="I430" s="56" t="str">
        <f aca="false">IF($B430="","",IF(OR($G$4="Aktiv",$G$4="Aufwand"),I429+G430-H430,I429+H430-G430))</f>
        <v/>
      </c>
    </row>
    <row r="431" customFormat="false" ht="15" hidden="false" customHeight="false" outlineLevel="0" collapsed="false">
      <c r="A431" s="54" t="n">
        <v>424</v>
      </c>
      <c r="B431" s="54" t="str">
        <f aca="false">IFERROR(MATCH(A431,Journal!$W$5:$W$1504,0),"")</f>
        <v/>
      </c>
      <c r="C431" s="55" t="str">
        <f aca="false">IF($B431="","",INDEX(Journal!$A$5:$A$1504,$B431))</f>
        <v/>
      </c>
      <c r="D431" s="54" t="str">
        <f aca="false">IF($B431="","",INDEX(Journal!$B$5:$B$1504,$B431))</f>
        <v/>
      </c>
      <c r="E431" s="54" t="str">
        <f aca="false">IF($B431="","",INDEX(Journal!$C$5:$C$1504,$B431))</f>
        <v/>
      </c>
      <c r="F431" s="54" t="str">
        <f aca="false">IF($B431="","",IF(INDEX(Journal!$D$5:$D$1504,$B431)=$C$4,INDEX(Journal!$E$5:$E$1504,$B431),INDEX(Journal!$D$5:$D$1504,$B431)))</f>
        <v/>
      </c>
      <c r="G431" s="56" t="str">
        <f aca="false">IF($B431="","",IF(INDEX(Journal!$D$5:$D$1504,$B431)=$C$4,INDEX(Journal!$M$5:$M$1504,$B431),0))</f>
        <v/>
      </c>
      <c r="H431" s="56" t="str">
        <f aca="false">IF($B431="","",IF(INDEX(Journal!$E$5:$E$1504,$B431)=$C$4,INDEX(Journal!$N$5:$N$1504,$B431),0))</f>
        <v/>
      </c>
      <c r="I431" s="56" t="str">
        <f aca="false">IF($B431="","",IF(OR($G$4="Aktiv",$G$4="Aufwand"),I430+G431-H431,I430+H431-G431))</f>
        <v/>
      </c>
    </row>
    <row r="432" customFormat="false" ht="15" hidden="false" customHeight="false" outlineLevel="0" collapsed="false">
      <c r="A432" s="54" t="n">
        <v>425</v>
      </c>
      <c r="B432" s="54" t="str">
        <f aca="false">IFERROR(MATCH(A432,Journal!$W$5:$W$1504,0),"")</f>
        <v/>
      </c>
      <c r="C432" s="55" t="str">
        <f aca="false">IF($B432="","",INDEX(Journal!$A$5:$A$1504,$B432))</f>
        <v/>
      </c>
      <c r="D432" s="54" t="str">
        <f aca="false">IF($B432="","",INDEX(Journal!$B$5:$B$1504,$B432))</f>
        <v/>
      </c>
      <c r="E432" s="54" t="str">
        <f aca="false">IF($B432="","",INDEX(Journal!$C$5:$C$1504,$B432))</f>
        <v/>
      </c>
      <c r="F432" s="54" t="str">
        <f aca="false">IF($B432="","",IF(INDEX(Journal!$D$5:$D$1504,$B432)=$C$4,INDEX(Journal!$E$5:$E$1504,$B432),INDEX(Journal!$D$5:$D$1504,$B432)))</f>
        <v/>
      </c>
      <c r="G432" s="56" t="str">
        <f aca="false">IF($B432="","",IF(INDEX(Journal!$D$5:$D$1504,$B432)=$C$4,INDEX(Journal!$M$5:$M$1504,$B432),0))</f>
        <v/>
      </c>
      <c r="H432" s="56" t="str">
        <f aca="false">IF($B432="","",IF(INDEX(Journal!$E$5:$E$1504,$B432)=$C$4,INDEX(Journal!$N$5:$N$1504,$B432),0))</f>
        <v/>
      </c>
      <c r="I432" s="56" t="str">
        <f aca="false">IF($B432="","",IF(OR($G$4="Aktiv",$G$4="Aufwand"),I431+G432-H432,I431+H432-G432))</f>
        <v/>
      </c>
    </row>
    <row r="433" customFormat="false" ht="15" hidden="false" customHeight="false" outlineLevel="0" collapsed="false">
      <c r="A433" s="54" t="n">
        <v>426</v>
      </c>
      <c r="B433" s="54" t="str">
        <f aca="false">IFERROR(MATCH(A433,Journal!$W$5:$W$1504,0),"")</f>
        <v/>
      </c>
      <c r="C433" s="55" t="str">
        <f aca="false">IF($B433="","",INDEX(Journal!$A$5:$A$1504,$B433))</f>
        <v/>
      </c>
      <c r="D433" s="54" t="str">
        <f aca="false">IF($B433="","",INDEX(Journal!$B$5:$B$1504,$B433))</f>
        <v/>
      </c>
      <c r="E433" s="54" t="str">
        <f aca="false">IF($B433="","",INDEX(Journal!$C$5:$C$1504,$B433))</f>
        <v/>
      </c>
      <c r="F433" s="54" t="str">
        <f aca="false">IF($B433="","",IF(INDEX(Journal!$D$5:$D$1504,$B433)=$C$4,INDEX(Journal!$E$5:$E$1504,$B433),INDEX(Journal!$D$5:$D$1504,$B433)))</f>
        <v/>
      </c>
      <c r="G433" s="56" t="str">
        <f aca="false">IF($B433="","",IF(INDEX(Journal!$D$5:$D$1504,$B433)=$C$4,INDEX(Journal!$M$5:$M$1504,$B433),0))</f>
        <v/>
      </c>
      <c r="H433" s="56" t="str">
        <f aca="false">IF($B433="","",IF(INDEX(Journal!$E$5:$E$1504,$B433)=$C$4,INDEX(Journal!$N$5:$N$1504,$B433),0))</f>
        <v/>
      </c>
      <c r="I433" s="56" t="str">
        <f aca="false">IF($B433="","",IF(OR($G$4="Aktiv",$G$4="Aufwand"),I432+G433-H433,I432+H433-G433))</f>
        <v/>
      </c>
    </row>
    <row r="434" customFormat="false" ht="15" hidden="false" customHeight="false" outlineLevel="0" collapsed="false">
      <c r="A434" s="54" t="n">
        <v>427</v>
      </c>
      <c r="B434" s="54" t="str">
        <f aca="false">IFERROR(MATCH(A434,Journal!$W$5:$W$1504,0),"")</f>
        <v/>
      </c>
      <c r="C434" s="55" t="str">
        <f aca="false">IF($B434="","",INDEX(Journal!$A$5:$A$1504,$B434))</f>
        <v/>
      </c>
      <c r="D434" s="54" t="str">
        <f aca="false">IF($B434="","",INDEX(Journal!$B$5:$B$1504,$B434))</f>
        <v/>
      </c>
      <c r="E434" s="54" t="str">
        <f aca="false">IF($B434="","",INDEX(Journal!$C$5:$C$1504,$B434))</f>
        <v/>
      </c>
      <c r="F434" s="54" t="str">
        <f aca="false">IF($B434="","",IF(INDEX(Journal!$D$5:$D$1504,$B434)=$C$4,INDEX(Journal!$E$5:$E$1504,$B434),INDEX(Journal!$D$5:$D$1504,$B434)))</f>
        <v/>
      </c>
      <c r="G434" s="56" t="str">
        <f aca="false">IF($B434="","",IF(INDEX(Journal!$D$5:$D$1504,$B434)=$C$4,INDEX(Journal!$M$5:$M$1504,$B434),0))</f>
        <v/>
      </c>
      <c r="H434" s="56" t="str">
        <f aca="false">IF($B434="","",IF(INDEX(Journal!$E$5:$E$1504,$B434)=$C$4,INDEX(Journal!$N$5:$N$1504,$B434),0))</f>
        <v/>
      </c>
      <c r="I434" s="56" t="str">
        <f aca="false">IF($B434="","",IF(OR($G$4="Aktiv",$G$4="Aufwand"),I433+G434-H434,I433+H434-G434))</f>
        <v/>
      </c>
    </row>
    <row r="435" customFormat="false" ht="15" hidden="false" customHeight="false" outlineLevel="0" collapsed="false">
      <c r="A435" s="54" t="n">
        <v>428</v>
      </c>
      <c r="B435" s="54" t="str">
        <f aca="false">IFERROR(MATCH(A435,Journal!$W$5:$W$1504,0),"")</f>
        <v/>
      </c>
      <c r="C435" s="55" t="str">
        <f aca="false">IF($B435="","",INDEX(Journal!$A$5:$A$1504,$B435))</f>
        <v/>
      </c>
      <c r="D435" s="54" t="str">
        <f aca="false">IF($B435="","",INDEX(Journal!$B$5:$B$1504,$B435))</f>
        <v/>
      </c>
      <c r="E435" s="54" t="str">
        <f aca="false">IF($B435="","",INDEX(Journal!$C$5:$C$1504,$B435))</f>
        <v/>
      </c>
      <c r="F435" s="54" t="str">
        <f aca="false">IF($B435="","",IF(INDEX(Journal!$D$5:$D$1504,$B435)=$C$4,INDEX(Journal!$E$5:$E$1504,$B435),INDEX(Journal!$D$5:$D$1504,$B435)))</f>
        <v/>
      </c>
      <c r="G435" s="56" t="str">
        <f aca="false">IF($B435="","",IF(INDEX(Journal!$D$5:$D$1504,$B435)=$C$4,INDEX(Journal!$M$5:$M$1504,$B435),0))</f>
        <v/>
      </c>
      <c r="H435" s="56" t="str">
        <f aca="false">IF($B435="","",IF(INDEX(Journal!$E$5:$E$1504,$B435)=$C$4,INDEX(Journal!$N$5:$N$1504,$B435),0))</f>
        <v/>
      </c>
      <c r="I435" s="56" t="str">
        <f aca="false">IF($B435="","",IF(OR($G$4="Aktiv",$G$4="Aufwand"),I434+G435-H435,I434+H435-G435))</f>
        <v/>
      </c>
    </row>
    <row r="436" customFormat="false" ht="15" hidden="false" customHeight="false" outlineLevel="0" collapsed="false">
      <c r="A436" s="54" t="n">
        <v>429</v>
      </c>
      <c r="B436" s="54" t="str">
        <f aca="false">IFERROR(MATCH(A436,Journal!$W$5:$W$1504,0),"")</f>
        <v/>
      </c>
      <c r="C436" s="55" t="str">
        <f aca="false">IF($B436="","",INDEX(Journal!$A$5:$A$1504,$B436))</f>
        <v/>
      </c>
      <c r="D436" s="54" t="str">
        <f aca="false">IF($B436="","",INDEX(Journal!$B$5:$B$1504,$B436))</f>
        <v/>
      </c>
      <c r="E436" s="54" t="str">
        <f aca="false">IF($B436="","",INDEX(Journal!$C$5:$C$1504,$B436))</f>
        <v/>
      </c>
      <c r="F436" s="54" t="str">
        <f aca="false">IF($B436="","",IF(INDEX(Journal!$D$5:$D$1504,$B436)=$C$4,INDEX(Journal!$E$5:$E$1504,$B436),INDEX(Journal!$D$5:$D$1504,$B436)))</f>
        <v/>
      </c>
      <c r="G436" s="56" t="str">
        <f aca="false">IF($B436="","",IF(INDEX(Journal!$D$5:$D$1504,$B436)=$C$4,INDEX(Journal!$M$5:$M$1504,$B436),0))</f>
        <v/>
      </c>
      <c r="H436" s="56" t="str">
        <f aca="false">IF($B436="","",IF(INDEX(Journal!$E$5:$E$1504,$B436)=$C$4,INDEX(Journal!$N$5:$N$1504,$B436),0))</f>
        <v/>
      </c>
      <c r="I436" s="56" t="str">
        <f aca="false">IF($B436="","",IF(OR($G$4="Aktiv",$G$4="Aufwand"),I435+G436-H436,I435+H436-G436))</f>
        <v/>
      </c>
    </row>
    <row r="437" customFormat="false" ht="15" hidden="false" customHeight="false" outlineLevel="0" collapsed="false">
      <c r="A437" s="54" t="n">
        <v>430</v>
      </c>
      <c r="B437" s="54" t="str">
        <f aca="false">IFERROR(MATCH(A437,Journal!$W$5:$W$1504,0),"")</f>
        <v/>
      </c>
      <c r="C437" s="55" t="str">
        <f aca="false">IF($B437="","",INDEX(Journal!$A$5:$A$1504,$B437))</f>
        <v/>
      </c>
      <c r="D437" s="54" t="str">
        <f aca="false">IF($B437="","",INDEX(Journal!$B$5:$B$1504,$B437))</f>
        <v/>
      </c>
      <c r="E437" s="54" t="str">
        <f aca="false">IF($B437="","",INDEX(Journal!$C$5:$C$1504,$B437))</f>
        <v/>
      </c>
      <c r="F437" s="54" t="str">
        <f aca="false">IF($B437="","",IF(INDEX(Journal!$D$5:$D$1504,$B437)=$C$4,INDEX(Journal!$E$5:$E$1504,$B437),INDEX(Journal!$D$5:$D$1504,$B437)))</f>
        <v/>
      </c>
      <c r="G437" s="56" t="str">
        <f aca="false">IF($B437="","",IF(INDEX(Journal!$D$5:$D$1504,$B437)=$C$4,INDEX(Journal!$M$5:$M$1504,$B437),0))</f>
        <v/>
      </c>
      <c r="H437" s="56" t="str">
        <f aca="false">IF($B437="","",IF(INDEX(Journal!$E$5:$E$1504,$B437)=$C$4,INDEX(Journal!$N$5:$N$1504,$B437),0))</f>
        <v/>
      </c>
      <c r="I437" s="56" t="str">
        <f aca="false">IF($B437="","",IF(OR($G$4="Aktiv",$G$4="Aufwand"),I436+G437-H437,I436+H437-G437))</f>
        <v/>
      </c>
    </row>
    <row r="438" customFormat="false" ht="15" hidden="false" customHeight="false" outlineLevel="0" collapsed="false">
      <c r="A438" s="54" t="n">
        <v>431</v>
      </c>
      <c r="B438" s="54" t="str">
        <f aca="false">IFERROR(MATCH(A438,Journal!$W$5:$W$1504,0),"")</f>
        <v/>
      </c>
      <c r="C438" s="55" t="str">
        <f aca="false">IF($B438="","",INDEX(Journal!$A$5:$A$1504,$B438))</f>
        <v/>
      </c>
      <c r="D438" s="54" t="str">
        <f aca="false">IF($B438="","",INDEX(Journal!$B$5:$B$1504,$B438))</f>
        <v/>
      </c>
      <c r="E438" s="54" t="str">
        <f aca="false">IF($B438="","",INDEX(Journal!$C$5:$C$1504,$B438))</f>
        <v/>
      </c>
      <c r="F438" s="54" t="str">
        <f aca="false">IF($B438="","",IF(INDEX(Journal!$D$5:$D$1504,$B438)=$C$4,INDEX(Journal!$E$5:$E$1504,$B438),INDEX(Journal!$D$5:$D$1504,$B438)))</f>
        <v/>
      </c>
      <c r="G438" s="56" t="str">
        <f aca="false">IF($B438="","",IF(INDEX(Journal!$D$5:$D$1504,$B438)=$C$4,INDEX(Journal!$M$5:$M$1504,$B438),0))</f>
        <v/>
      </c>
      <c r="H438" s="56" t="str">
        <f aca="false">IF($B438="","",IF(INDEX(Journal!$E$5:$E$1504,$B438)=$C$4,INDEX(Journal!$N$5:$N$1504,$B438),0))</f>
        <v/>
      </c>
      <c r="I438" s="56" t="str">
        <f aca="false">IF($B438="","",IF(OR($G$4="Aktiv",$G$4="Aufwand"),I437+G438-H438,I437+H438-G438))</f>
        <v/>
      </c>
    </row>
    <row r="439" customFormat="false" ht="15" hidden="false" customHeight="false" outlineLevel="0" collapsed="false">
      <c r="A439" s="54" t="n">
        <v>432</v>
      </c>
      <c r="B439" s="54" t="str">
        <f aca="false">IFERROR(MATCH(A439,Journal!$W$5:$W$1504,0),"")</f>
        <v/>
      </c>
      <c r="C439" s="55" t="str">
        <f aca="false">IF($B439="","",INDEX(Journal!$A$5:$A$1504,$B439))</f>
        <v/>
      </c>
      <c r="D439" s="54" t="str">
        <f aca="false">IF($B439="","",INDEX(Journal!$B$5:$B$1504,$B439))</f>
        <v/>
      </c>
      <c r="E439" s="54" t="str">
        <f aca="false">IF($B439="","",INDEX(Journal!$C$5:$C$1504,$B439))</f>
        <v/>
      </c>
      <c r="F439" s="54" t="str">
        <f aca="false">IF($B439="","",IF(INDEX(Journal!$D$5:$D$1504,$B439)=$C$4,INDEX(Journal!$E$5:$E$1504,$B439),INDEX(Journal!$D$5:$D$1504,$B439)))</f>
        <v/>
      </c>
      <c r="G439" s="56" t="str">
        <f aca="false">IF($B439="","",IF(INDEX(Journal!$D$5:$D$1504,$B439)=$C$4,INDEX(Journal!$M$5:$M$1504,$B439),0))</f>
        <v/>
      </c>
      <c r="H439" s="56" t="str">
        <f aca="false">IF($B439="","",IF(INDEX(Journal!$E$5:$E$1504,$B439)=$C$4,INDEX(Journal!$N$5:$N$1504,$B439),0))</f>
        <v/>
      </c>
      <c r="I439" s="56" t="str">
        <f aca="false">IF($B439="","",IF(OR($G$4="Aktiv",$G$4="Aufwand"),I438+G439-H439,I438+H439-G439))</f>
        <v/>
      </c>
    </row>
    <row r="440" customFormat="false" ht="15" hidden="false" customHeight="false" outlineLevel="0" collapsed="false">
      <c r="A440" s="54" t="n">
        <v>433</v>
      </c>
      <c r="B440" s="54" t="str">
        <f aca="false">IFERROR(MATCH(A440,Journal!$W$5:$W$1504,0),"")</f>
        <v/>
      </c>
      <c r="C440" s="55" t="str">
        <f aca="false">IF($B440="","",INDEX(Journal!$A$5:$A$1504,$B440))</f>
        <v/>
      </c>
      <c r="D440" s="54" t="str">
        <f aca="false">IF($B440="","",INDEX(Journal!$B$5:$B$1504,$B440))</f>
        <v/>
      </c>
      <c r="E440" s="54" t="str">
        <f aca="false">IF($B440="","",INDEX(Journal!$C$5:$C$1504,$B440))</f>
        <v/>
      </c>
      <c r="F440" s="54" t="str">
        <f aca="false">IF($B440="","",IF(INDEX(Journal!$D$5:$D$1504,$B440)=$C$4,INDEX(Journal!$E$5:$E$1504,$B440),INDEX(Journal!$D$5:$D$1504,$B440)))</f>
        <v/>
      </c>
      <c r="G440" s="56" t="str">
        <f aca="false">IF($B440="","",IF(INDEX(Journal!$D$5:$D$1504,$B440)=$C$4,INDEX(Journal!$M$5:$M$1504,$B440),0))</f>
        <v/>
      </c>
      <c r="H440" s="56" t="str">
        <f aca="false">IF($B440="","",IF(INDEX(Journal!$E$5:$E$1504,$B440)=$C$4,INDEX(Journal!$N$5:$N$1504,$B440),0))</f>
        <v/>
      </c>
      <c r="I440" s="56" t="str">
        <f aca="false">IF($B440="","",IF(OR($G$4="Aktiv",$G$4="Aufwand"),I439+G440-H440,I439+H440-G440))</f>
        <v/>
      </c>
    </row>
    <row r="441" customFormat="false" ht="15" hidden="false" customHeight="false" outlineLevel="0" collapsed="false">
      <c r="A441" s="54" t="n">
        <v>434</v>
      </c>
      <c r="B441" s="54" t="str">
        <f aca="false">IFERROR(MATCH(A441,Journal!$W$5:$W$1504,0),"")</f>
        <v/>
      </c>
      <c r="C441" s="55" t="str">
        <f aca="false">IF($B441="","",INDEX(Journal!$A$5:$A$1504,$B441))</f>
        <v/>
      </c>
      <c r="D441" s="54" t="str">
        <f aca="false">IF($B441="","",INDEX(Journal!$B$5:$B$1504,$B441))</f>
        <v/>
      </c>
      <c r="E441" s="54" t="str">
        <f aca="false">IF($B441="","",INDEX(Journal!$C$5:$C$1504,$B441))</f>
        <v/>
      </c>
      <c r="F441" s="54" t="str">
        <f aca="false">IF($B441="","",IF(INDEX(Journal!$D$5:$D$1504,$B441)=$C$4,INDEX(Journal!$E$5:$E$1504,$B441),INDEX(Journal!$D$5:$D$1504,$B441)))</f>
        <v/>
      </c>
      <c r="G441" s="56" t="str">
        <f aca="false">IF($B441="","",IF(INDEX(Journal!$D$5:$D$1504,$B441)=$C$4,INDEX(Journal!$M$5:$M$1504,$B441),0))</f>
        <v/>
      </c>
      <c r="H441" s="56" t="str">
        <f aca="false">IF($B441="","",IF(INDEX(Journal!$E$5:$E$1504,$B441)=$C$4,INDEX(Journal!$N$5:$N$1504,$B441),0))</f>
        <v/>
      </c>
      <c r="I441" s="56" t="str">
        <f aca="false">IF($B441="","",IF(OR($G$4="Aktiv",$G$4="Aufwand"),I440+G441-H441,I440+H441-G441))</f>
        <v/>
      </c>
    </row>
    <row r="442" customFormat="false" ht="15" hidden="false" customHeight="false" outlineLevel="0" collapsed="false">
      <c r="A442" s="54" t="n">
        <v>435</v>
      </c>
      <c r="B442" s="54" t="str">
        <f aca="false">IFERROR(MATCH(A442,Journal!$W$5:$W$1504,0),"")</f>
        <v/>
      </c>
      <c r="C442" s="55" t="str">
        <f aca="false">IF($B442="","",INDEX(Journal!$A$5:$A$1504,$B442))</f>
        <v/>
      </c>
      <c r="D442" s="54" t="str">
        <f aca="false">IF($B442="","",INDEX(Journal!$B$5:$B$1504,$B442))</f>
        <v/>
      </c>
      <c r="E442" s="54" t="str">
        <f aca="false">IF($B442="","",INDEX(Journal!$C$5:$C$1504,$B442))</f>
        <v/>
      </c>
      <c r="F442" s="54" t="str">
        <f aca="false">IF($B442="","",IF(INDEX(Journal!$D$5:$D$1504,$B442)=$C$4,INDEX(Journal!$E$5:$E$1504,$B442),INDEX(Journal!$D$5:$D$1504,$B442)))</f>
        <v/>
      </c>
      <c r="G442" s="56" t="str">
        <f aca="false">IF($B442="","",IF(INDEX(Journal!$D$5:$D$1504,$B442)=$C$4,INDEX(Journal!$M$5:$M$1504,$B442),0))</f>
        <v/>
      </c>
      <c r="H442" s="56" t="str">
        <f aca="false">IF($B442="","",IF(INDEX(Journal!$E$5:$E$1504,$B442)=$C$4,INDEX(Journal!$N$5:$N$1504,$B442),0))</f>
        <v/>
      </c>
      <c r="I442" s="56" t="str">
        <f aca="false">IF($B442="","",IF(OR($G$4="Aktiv",$G$4="Aufwand"),I441+G442-H442,I441+H442-G442))</f>
        <v/>
      </c>
    </row>
    <row r="443" customFormat="false" ht="15" hidden="false" customHeight="false" outlineLevel="0" collapsed="false">
      <c r="A443" s="54" t="n">
        <v>436</v>
      </c>
      <c r="B443" s="54" t="str">
        <f aca="false">IFERROR(MATCH(A443,Journal!$W$5:$W$1504,0),"")</f>
        <v/>
      </c>
      <c r="C443" s="55" t="str">
        <f aca="false">IF($B443="","",INDEX(Journal!$A$5:$A$1504,$B443))</f>
        <v/>
      </c>
      <c r="D443" s="54" t="str">
        <f aca="false">IF($B443="","",INDEX(Journal!$B$5:$B$1504,$B443))</f>
        <v/>
      </c>
      <c r="E443" s="54" t="str">
        <f aca="false">IF($B443="","",INDEX(Journal!$C$5:$C$1504,$B443))</f>
        <v/>
      </c>
      <c r="F443" s="54" t="str">
        <f aca="false">IF($B443="","",IF(INDEX(Journal!$D$5:$D$1504,$B443)=$C$4,INDEX(Journal!$E$5:$E$1504,$B443),INDEX(Journal!$D$5:$D$1504,$B443)))</f>
        <v/>
      </c>
      <c r="G443" s="56" t="str">
        <f aca="false">IF($B443="","",IF(INDEX(Journal!$D$5:$D$1504,$B443)=$C$4,INDEX(Journal!$M$5:$M$1504,$B443),0))</f>
        <v/>
      </c>
      <c r="H443" s="56" t="str">
        <f aca="false">IF($B443="","",IF(INDEX(Journal!$E$5:$E$1504,$B443)=$C$4,INDEX(Journal!$N$5:$N$1504,$B443),0))</f>
        <v/>
      </c>
      <c r="I443" s="56" t="str">
        <f aca="false">IF($B443="","",IF(OR($G$4="Aktiv",$G$4="Aufwand"),I442+G443-H443,I442+H443-G443))</f>
        <v/>
      </c>
    </row>
    <row r="444" customFormat="false" ht="15" hidden="false" customHeight="false" outlineLevel="0" collapsed="false">
      <c r="A444" s="54" t="n">
        <v>437</v>
      </c>
      <c r="B444" s="54" t="str">
        <f aca="false">IFERROR(MATCH(A444,Journal!$W$5:$W$1504,0),"")</f>
        <v/>
      </c>
      <c r="C444" s="55" t="str">
        <f aca="false">IF($B444="","",INDEX(Journal!$A$5:$A$1504,$B444))</f>
        <v/>
      </c>
      <c r="D444" s="54" t="str">
        <f aca="false">IF($B444="","",INDEX(Journal!$B$5:$B$1504,$B444))</f>
        <v/>
      </c>
      <c r="E444" s="54" t="str">
        <f aca="false">IF($B444="","",INDEX(Journal!$C$5:$C$1504,$B444))</f>
        <v/>
      </c>
      <c r="F444" s="54" t="str">
        <f aca="false">IF($B444="","",IF(INDEX(Journal!$D$5:$D$1504,$B444)=$C$4,INDEX(Journal!$E$5:$E$1504,$B444),INDEX(Journal!$D$5:$D$1504,$B444)))</f>
        <v/>
      </c>
      <c r="G444" s="56" t="str">
        <f aca="false">IF($B444="","",IF(INDEX(Journal!$D$5:$D$1504,$B444)=$C$4,INDEX(Journal!$M$5:$M$1504,$B444),0))</f>
        <v/>
      </c>
      <c r="H444" s="56" t="str">
        <f aca="false">IF($B444="","",IF(INDEX(Journal!$E$5:$E$1504,$B444)=$C$4,INDEX(Journal!$N$5:$N$1504,$B444),0))</f>
        <v/>
      </c>
      <c r="I444" s="56" t="str">
        <f aca="false">IF($B444="","",IF(OR($G$4="Aktiv",$G$4="Aufwand"),I443+G444-H444,I443+H444-G444))</f>
        <v/>
      </c>
    </row>
    <row r="445" customFormat="false" ht="15" hidden="false" customHeight="false" outlineLevel="0" collapsed="false">
      <c r="A445" s="54" t="n">
        <v>438</v>
      </c>
      <c r="B445" s="54" t="str">
        <f aca="false">IFERROR(MATCH(A445,Journal!$W$5:$W$1504,0),"")</f>
        <v/>
      </c>
      <c r="C445" s="55" t="str">
        <f aca="false">IF($B445="","",INDEX(Journal!$A$5:$A$1504,$B445))</f>
        <v/>
      </c>
      <c r="D445" s="54" t="str">
        <f aca="false">IF($B445="","",INDEX(Journal!$B$5:$B$1504,$B445))</f>
        <v/>
      </c>
      <c r="E445" s="54" t="str">
        <f aca="false">IF($B445="","",INDEX(Journal!$C$5:$C$1504,$B445))</f>
        <v/>
      </c>
      <c r="F445" s="54" t="str">
        <f aca="false">IF($B445="","",IF(INDEX(Journal!$D$5:$D$1504,$B445)=$C$4,INDEX(Journal!$E$5:$E$1504,$B445),INDEX(Journal!$D$5:$D$1504,$B445)))</f>
        <v/>
      </c>
      <c r="G445" s="56" t="str">
        <f aca="false">IF($B445="","",IF(INDEX(Journal!$D$5:$D$1504,$B445)=$C$4,INDEX(Journal!$M$5:$M$1504,$B445),0))</f>
        <v/>
      </c>
      <c r="H445" s="56" t="str">
        <f aca="false">IF($B445="","",IF(INDEX(Journal!$E$5:$E$1504,$B445)=$C$4,INDEX(Journal!$N$5:$N$1504,$B445),0))</f>
        <v/>
      </c>
      <c r="I445" s="56" t="str">
        <f aca="false">IF($B445="","",IF(OR($G$4="Aktiv",$G$4="Aufwand"),I444+G445-H445,I444+H445-G445))</f>
        <v/>
      </c>
    </row>
    <row r="446" customFormat="false" ht="15" hidden="false" customHeight="false" outlineLevel="0" collapsed="false">
      <c r="A446" s="54" t="n">
        <v>439</v>
      </c>
      <c r="B446" s="54" t="str">
        <f aca="false">IFERROR(MATCH(A446,Journal!$W$5:$W$1504,0),"")</f>
        <v/>
      </c>
      <c r="C446" s="55" t="str">
        <f aca="false">IF($B446="","",INDEX(Journal!$A$5:$A$1504,$B446))</f>
        <v/>
      </c>
      <c r="D446" s="54" t="str">
        <f aca="false">IF($B446="","",INDEX(Journal!$B$5:$B$1504,$B446))</f>
        <v/>
      </c>
      <c r="E446" s="54" t="str">
        <f aca="false">IF($B446="","",INDEX(Journal!$C$5:$C$1504,$B446))</f>
        <v/>
      </c>
      <c r="F446" s="54" t="str">
        <f aca="false">IF($B446="","",IF(INDEX(Journal!$D$5:$D$1504,$B446)=$C$4,INDEX(Journal!$E$5:$E$1504,$B446),INDEX(Journal!$D$5:$D$1504,$B446)))</f>
        <v/>
      </c>
      <c r="G446" s="56" t="str">
        <f aca="false">IF($B446="","",IF(INDEX(Journal!$D$5:$D$1504,$B446)=$C$4,INDEX(Journal!$M$5:$M$1504,$B446),0))</f>
        <v/>
      </c>
      <c r="H446" s="56" t="str">
        <f aca="false">IF($B446="","",IF(INDEX(Journal!$E$5:$E$1504,$B446)=$C$4,INDEX(Journal!$N$5:$N$1504,$B446),0))</f>
        <v/>
      </c>
      <c r="I446" s="56" t="str">
        <f aca="false">IF($B446="","",IF(OR($G$4="Aktiv",$G$4="Aufwand"),I445+G446-H446,I445+H446-G446))</f>
        <v/>
      </c>
    </row>
    <row r="447" customFormat="false" ht="15" hidden="false" customHeight="false" outlineLevel="0" collapsed="false">
      <c r="A447" s="54" t="n">
        <v>440</v>
      </c>
      <c r="B447" s="54" t="str">
        <f aca="false">IFERROR(MATCH(A447,Journal!$W$5:$W$1504,0),"")</f>
        <v/>
      </c>
      <c r="C447" s="55" t="str">
        <f aca="false">IF($B447="","",INDEX(Journal!$A$5:$A$1504,$B447))</f>
        <v/>
      </c>
      <c r="D447" s="54" t="str">
        <f aca="false">IF($B447="","",INDEX(Journal!$B$5:$B$1504,$B447))</f>
        <v/>
      </c>
      <c r="E447" s="54" t="str">
        <f aca="false">IF($B447="","",INDEX(Journal!$C$5:$C$1504,$B447))</f>
        <v/>
      </c>
      <c r="F447" s="54" t="str">
        <f aca="false">IF($B447="","",IF(INDEX(Journal!$D$5:$D$1504,$B447)=$C$4,INDEX(Journal!$E$5:$E$1504,$B447),INDEX(Journal!$D$5:$D$1504,$B447)))</f>
        <v/>
      </c>
      <c r="G447" s="56" t="str">
        <f aca="false">IF($B447="","",IF(INDEX(Journal!$D$5:$D$1504,$B447)=$C$4,INDEX(Journal!$M$5:$M$1504,$B447),0))</f>
        <v/>
      </c>
      <c r="H447" s="56" t="str">
        <f aca="false">IF($B447="","",IF(INDEX(Journal!$E$5:$E$1504,$B447)=$C$4,INDEX(Journal!$N$5:$N$1504,$B447),0))</f>
        <v/>
      </c>
      <c r="I447" s="56" t="str">
        <f aca="false">IF($B447="","",IF(OR($G$4="Aktiv",$G$4="Aufwand"),I446+G447-H447,I446+H447-G447))</f>
        <v/>
      </c>
    </row>
    <row r="448" customFormat="false" ht="15" hidden="false" customHeight="false" outlineLevel="0" collapsed="false">
      <c r="A448" s="54" t="n">
        <v>441</v>
      </c>
      <c r="B448" s="54" t="str">
        <f aca="false">IFERROR(MATCH(A448,Journal!$W$5:$W$1504,0),"")</f>
        <v/>
      </c>
      <c r="C448" s="55" t="str">
        <f aca="false">IF($B448="","",INDEX(Journal!$A$5:$A$1504,$B448))</f>
        <v/>
      </c>
      <c r="D448" s="54" t="str">
        <f aca="false">IF($B448="","",INDEX(Journal!$B$5:$B$1504,$B448))</f>
        <v/>
      </c>
      <c r="E448" s="54" t="str">
        <f aca="false">IF($B448="","",INDEX(Journal!$C$5:$C$1504,$B448))</f>
        <v/>
      </c>
      <c r="F448" s="54" t="str">
        <f aca="false">IF($B448="","",IF(INDEX(Journal!$D$5:$D$1504,$B448)=$C$4,INDEX(Journal!$E$5:$E$1504,$B448),INDEX(Journal!$D$5:$D$1504,$B448)))</f>
        <v/>
      </c>
      <c r="G448" s="56" t="str">
        <f aca="false">IF($B448="","",IF(INDEX(Journal!$D$5:$D$1504,$B448)=$C$4,INDEX(Journal!$M$5:$M$1504,$B448),0))</f>
        <v/>
      </c>
      <c r="H448" s="56" t="str">
        <f aca="false">IF($B448="","",IF(INDEX(Journal!$E$5:$E$1504,$B448)=$C$4,INDEX(Journal!$N$5:$N$1504,$B448),0))</f>
        <v/>
      </c>
      <c r="I448" s="56" t="str">
        <f aca="false">IF($B448="","",IF(OR($G$4="Aktiv",$G$4="Aufwand"),I447+G448-H448,I447+H448-G448))</f>
        <v/>
      </c>
    </row>
    <row r="449" customFormat="false" ht="15" hidden="false" customHeight="false" outlineLevel="0" collapsed="false">
      <c r="A449" s="54" t="n">
        <v>442</v>
      </c>
      <c r="B449" s="54" t="str">
        <f aca="false">IFERROR(MATCH(A449,Journal!$W$5:$W$1504,0),"")</f>
        <v/>
      </c>
      <c r="C449" s="55" t="str">
        <f aca="false">IF($B449="","",INDEX(Journal!$A$5:$A$1504,$B449))</f>
        <v/>
      </c>
      <c r="D449" s="54" t="str">
        <f aca="false">IF($B449="","",INDEX(Journal!$B$5:$B$1504,$B449))</f>
        <v/>
      </c>
      <c r="E449" s="54" t="str">
        <f aca="false">IF($B449="","",INDEX(Journal!$C$5:$C$1504,$B449))</f>
        <v/>
      </c>
      <c r="F449" s="54" t="str">
        <f aca="false">IF($B449="","",IF(INDEX(Journal!$D$5:$D$1504,$B449)=$C$4,INDEX(Journal!$E$5:$E$1504,$B449),INDEX(Journal!$D$5:$D$1504,$B449)))</f>
        <v/>
      </c>
      <c r="G449" s="56" t="str">
        <f aca="false">IF($B449="","",IF(INDEX(Journal!$D$5:$D$1504,$B449)=$C$4,INDEX(Journal!$M$5:$M$1504,$B449),0))</f>
        <v/>
      </c>
      <c r="H449" s="56" t="str">
        <f aca="false">IF($B449="","",IF(INDEX(Journal!$E$5:$E$1504,$B449)=$C$4,INDEX(Journal!$N$5:$N$1504,$B449),0))</f>
        <v/>
      </c>
      <c r="I449" s="56" t="str">
        <f aca="false">IF($B449="","",IF(OR($G$4="Aktiv",$G$4="Aufwand"),I448+G449-H449,I448+H449-G449))</f>
        <v/>
      </c>
    </row>
    <row r="450" customFormat="false" ht="15" hidden="false" customHeight="false" outlineLevel="0" collapsed="false">
      <c r="A450" s="54" t="n">
        <v>443</v>
      </c>
      <c r="B450" s="54" t="str">
        <f aca="false">IFERROR(MATCH(A450,Journal!$W$5:$W$1504,0),"")</f>
        <v/>
      </c>
      <c r="C450" s="55" t="str">
        <f aca="false">IF($B450="","",INDEX(Journal!$A$5:$A$1504,$B450))</f>
        <v/>
      </c>
      <c r="D450" s="54" t="str">
        <f aca="false">IF($B450="","",INDEX(Journal!$B$5:$B$1504,$B450))</f>
        <v/>
      </c>
      <c r="E450" s="54" t="str">
        <f aca="false">IF($B450="","",INDEX(Journal!$C$5:$C$1504,$B450))</f>
        <v/>
      </c>
      <c r="F450" s="54" t="str">
        <f aca="false">IF($B450="","",IF(INDEX(Journal!$D$5:$D$1504,$B450)=$C$4,INDEX(Journal!$E$5:$E$1504,$B450),INDEX(Journal!$D$5:$D$1504,$B450)))</f>
        <v/>
      </c>
      <c r="G450" s="56" t="str">
        <f aca="false">IF($B450="","",IF(INDEX(Journal!$D$5:$D$1504,$B450)=$C$4,INDEX(Journal!$M$5:$M$1504,$B450),0))</f>
        <v/>
      </c>
      <c r="H450" s="56" t="str">
        <f aca="false">IF($B450="","",IF(INDEX(Journal!$E$5:$E$1504,$B450)=$C$4,INDEX(Journal!$N$5:$N$1504,$B450),0))</f>
        <v/>
      </c>
      <c r="I450" s="56" t="str">
        <f aca="false">IF($B450="","",IF(OR($G$4="Aktiv",$G$4="Aufwand"),I449+G450-H450,I449+H450-G450))</f>
        <v/>
      </c>
    </row>
    <row r="451" customFormat="false" ht="15" hidden="false" customHeight="false" outlineLevel="0" collapsed="false">
      <c r="A451" s="54" t="n">
        <v>444</v>
      </c>
      <c r="B451" s="54" t="str">
        <f aca="false">IFERROR(MATCH(A451,Journal!$W$5:$W$1504,0),"")</f>
        <v/>
      </c>
      <c r="C451" s="55" t="str">
        <f aca="false">IF($B451="","",INDEX(Journal!$A$5:$A$1504,$B451))</f>
        <v/>
      </c>
      <c r="D451" s="54" t="str">
        <f aca="false">IF($B451="","",INDEX(Journal!$B$5:$B$1504,$B451))</f>
        <v/>
      </c>
      <c r="E451" s="54" t="str">
        <f aca="false">IF($B451="","",INDEX(Journal!$C$5:$C$1504,$B451))</f>
        <v/>
      </c>
      <c r="F451" s="54" t="str">
        <f aca="false">IF($B451="","",IF(INDEX(Journal!$D$5:$D$1504,$B451)=$C$4,INDEX(Journal!$E$5:$E$1504,$B451),INDEX(Journal!$D$5:$D$1504,$B451)))</f>
        <v/>
      </c>
      <c r="G451" s="56" t="str">
        <f aca="false">IF($B451="","",IF(INDEX(Journal!$D$5:$D$1504,$B451)=$C$4,INDEX(Journal!$M$5:$M$1504,$B451),0))</f>
        <v/>
      </c>
      <c r="H451" s="56" t="str">
        <f aca="false">IF($B451="","",IF(INDEX(Journal!$E$5:$E$1504,$B451)=$C$4,INDEX(Journal!$N$5:$N$1504,$B451),0))</f>
        <v/>
      </c>
      <c r="I451" s="56" t="str">
        <f aca="false">IF($B451="","",IF(OR($G$4="Aktiv",$G$4="Aufwand"),I450+G451-H451,I450+H451-G451))</f>
        <v/>
      </c>
    </row>
    <row r="452" customFormat="false" ht="15" hidden="false" customHeight="false" outlineLevel="0" collapsed="false">
      <c r="A452" s="54" t="n">
        <v>445</v>
      </c>
      <c r="B452" s="54" t="str">
        <f aca="false">IFERROR(MATCH(A452,Journal!$W$5:$W$1504,0),"")</f>
        <v/>
      </c>
      <c r="C452" s="55" t="str">
        <f aca="false">IF($B452="","",INDEX(Journal!$A$5:$A$1504,$B452))</f>
        <v/>
      </c>
      <c r="D452" s="54" t="str">
        <f aca="false">IF($B452="","",INDEX(Journal!$B$5:$B$1504,$B452))</f>
        <v/>
      </c>
      <c r="E452" s="54" t="str">
        <f aca="false">IF($B452="","",INDEX(Journal!$C$5:$C$1504,$B452))</f>
        <v/>
      </c>
      <c r="F452" s="54" t="str">
        <f aca="false">IF($B452="","",IF(INDEX(Journal!$D$5:$D$1504,$B452)=$C$4,INDEX(Journal!$E$5:$E$1504,$B452),INDEX(Journal!$D$5:$D$1504,$B452)))</f>
        <v/>
      </c>
      <c r="G452" s="56" t="str">
        <f aca="false">IF($B452="","",IF(INDEX(Journal!$D$5:$D$1504,$B452)=$C$4,INDEX(Journal!$M$5:$M$1504,$B452),0))</f>
        <v/>
      </c>
      <c r="H452" s="56" t="str">
        <f aca="false">IF($B452="","",IF(INDEX(Journal!$E$5:$E$1504,$B452)=$C$4,INDEX(Journal!$N$5:$N$1504,$B452),0))</f>
        <v/>
      </c>
      <c r="I452" s="56" t="str">
        <f aca="false">IF($B452="","",IF(OR($G$4="Aktiv",$G$4="Aufwand"),I451+G452-H452,I451+H452-G452))</f>
        <v/>
      </c>
    </row>
    <row r="453" customFormat="false" ht="15" hidden="false" customHeight="false" outlineLevel="0" collapsed="false">
      <c r="A453" s="54" t="n">
        <v>446</v>
      </c>
      <c r="B453" s="54" t="str">
        <f aca="false">IFERROR(MATCH(A453,Journal!$W$5:$W$1504,0),"")</f>
        <v/>
      </c>
      <c r="C453" s="55" t="str">
        <f aca="false">IF($B453="","",INDEX(Journal!$A$5:$A$1504,$B453))</f>
        <v/>
      </c>
      <c r="D453" s="54" t="str">
        <f aca="false">IF($B453="","",INDEX(Journal!$B$5:$B$1504,$B453))</f>
        <v/>
      </c>
      <c r="E453" s="54" t="str">
        <f aca="false">IF($B453="","",INDEX(Journal!$C$5:$C$1504,$B453))</f>
        <v/>
      </c>
      <c r="F453" s="54" t="str">
        <f aca="false">IF($B453="","",IF(INDEX(Journal!$D$5:$D$1504,$B453)=$C$4,INDEX(Journal!$E$5:$E$1504,$B453),INDEX(Journal!$D$5:$D$1504,$B453)))</f>
        <v/>
      </c>
      <c r="G453" s="56" t="str">
        <f aca="false">IF($B453="","",IF(INDEX(Journal!$D$5:$D$1504,$B453)=$C$4,INDEX(Journal!$M$5:$M$1504,$B453),0))</f>
        <v/>
      </c>
      <c r="H453" s="56" t="str">
        <f aca="false">IF($B453="","",IF(INDEX(Journal!$E$5:$E$1504,$B453)=$C$4,INDEX(Journal!$N$5:$N$1504,$B453),0))</f>
        <v/>
      </c>
      <c r="I453" s="56" t="str">
        <f aca="false">IF($B453="","",IF(OR($G$4="Aktiv",$G$4="Aufwand"),I452+G453-H453,I452+H453-G453))</f>
        <v/>
      </c>
    </row>
    <row r="454" customFormat="false" ht="15" hidden="false" customHeight="false" outlineLevel="0" collapsed="false">
      <c r="A454" s="54" t="n">
        <v>447</v>
      </c>
      <c r="B454" s="54" t="str">
        <f aca="false">IFERROR(MATCH(A454,Journal!$W$5:$W$1504,0),"")</f>
        <v/>
      </c>
      <c r="C454" s="55" t="str">
        <f aca="false">IF($B454="","",INDEX(Journal!$A$5:$A$1504,$B454))</f>
        <v/>
      </c>
      <c r="D454" s="54" t="str">
        <f aca="false">IF($B454="","",INDEX(Journal!$B$5:$B$1504,$B454))</f>
        <v/>
      </c>
      <c r="E454" s="54" t="str">
        <f aca="false">IF($B454="","",INDEX(Journal!$C$5:$C$1504,$B454))</f>
        <v/>
      </c>
      <c r="F454" s="54" t="str">
        <f aca="false">IF($B454="","",IF(INDEX(Journal!$D$5:$D$1504,$B454)=$C$4,INDEX(Journal!$E$5:$E$1504,$B454),INDEX(Journal!$D$5:$D$1504,$B454)))</f>
        <v/>
      </c>
      <c r="G454" s="56" t="str">
        <f aca="false">IF($B454="","",IF(INDEX(Journal!$D$5:$D$1504,$B454)=$C$4,INDEX(Journal!$M$5:$M$1504,$B454),0))</f>
        <v/>
      </c>
      <c r="H454" s="56" t="str">
        <f aca="false">IF($B454="","",IF(INDEX(Journal!$E$5:$E$1504,$B454)=$C$4,INDEX(Journal!$N$5:$N$1504,$B454),0))</f>
        <v/>
      </c>
      <c r="I454" s="56" t="str">
        <f aca="false">IF($B454="","",IF(OR($G$4="Aktiv",$G$4="Aufwand"),I453+G454-H454,I453+H454-G454))</f>
        <v/>
      </c>
    </row>
    <row r="455" customFormat="false" ht="15" hidden="false" customHeight="false" outlineLevel="0" collapsed="false">
      <c r="A455" s="54" t="n">
        <v>448</v>
      </c>
      <c r="B455" s="54" t="str">
        <f aca="false">IFERROR(MATCH(A455,Journal!$W$5:$W$1504,0),"")</f>
        <v/>
      </c>
      <c r="C455" s="55" t="str">
        <f aca="false">IF($B455="","",INDEX(Journal!$A$5:$A$1504,$B455))</f>
        <v/>
      </c>
      <c r="D455" s="54" t="str">
        <f aca="false">IF($B455="","",INDEX(Journal!$B$5:$B$1504,$B455))</f>
        <v/>
      </c>
      <c r="E455" s="54" t="str">
        <f aca="false">IF($B455="","",INDEX(Journal!$C$5:$C$1504,$B455))</f>
        <v/>
      </c>
      <c r="F455" s="54" t="str">
        <f aca="false">IF($B455="","",IF(INDEX(Journal!$D$5:$D$1504,$B455)=$C$4,INDEX(Journal!$E$5:$E$1504,$B455),INDEX(Journal!$D$5:$D$1504,$B455)))</f>
        <v/>
      </c>
      <c r="G455" s="56" t="str">
        <f aca="false">IF($B455="","",IF(INDEX(Journal!$D$5:$D$1504,$B455)=$C$4,INDEX(Journal!$M$5:$M$1504,$B455),0))</f>
        <v/>
      </c>
      <c r="H455" s="56" t="str">
        <f aca="false">IF($B455="","",IF(INDEX(Journal!$E$5:$E$1504,$B455)=$C$4,INDEX(Journal!$N$5:$N$1504,$B455),0))</f>
        <v/>
      </c>
      <c r="I455" s="56" t="str">
        <f aca="false">IF($B455="","",IF(OR($G$4="Aktiv",$G$4="Aufwand"),I454+G455-H455,I454+H455-G455))</f>
        <v/>
      </c>
    </row>
    <row r="456" customFormat="false" ht="15" hidden="false" customHeight="false" outlineLevel="0" collapsed="false">
      <c r="A456" s="54" t="n">
        <v>449</v>
      </c>
      <c r="B456" s="54" t="str">
        <f aca="false">IFERROR(MATCH(A456,Journal!$W$5:$W$1504,0),"")</f>
        <v/>
      </c>
      <c r="C456" s="55" t="str">
        <f aca="false">IF($B456="","",INDEX(Journal!$A$5:$A$1504,$B456))</f>
        <v/>
      </c>
      <c r="D456" s="54" t="str">
        <f aca="false">IF($B456="","",INDEX(Journal!$B$5:$B$1504,$B456))</f>
        <v/>
      </c>
      <c r="E456" s="54" t="str">
        <f aca="false">IF($B456="","",INDEX(Journal!$C$5:$C$1504,$B456))</f>
        <v/>
      </c>
      <c r="F456" s="54" t="str">
        <f aca="false">IF($B456="","",IF(INDEX(Journal!$D$5:$D$1504,$B456)=$C$4,INDEX(Journal!$E$5:$E$1504,$B456),INDEX(Journal!$D$5:$D$1504,$B456)))</f>
        <v/>
      </c>
      <c r="G456" s="56" t="str">
        <f aca="false">IF($B456="","",IF(INDEX(Journal!$D$5:$D$1504,$B456)=$C$4,INDEX(Journal!$M$5:$M$1504,$B456),0))</f>
        <v/>
      </c>
      <c r="H456" s="56" t="str">
        <f aca="false">IF($B456="","",IF(INDEX(Journal!$E$5:$E$1504,$B456)=$C$4,INDEX(Journal!$N$5:$N$1504,$B456),0))</f>
        <v/>
      </c>
      <c r="I456" s="56" t="str">
        <f aca="false">IF($B456="","",IF(OR($G$4="Aktiv",$G$4="Aufwand"),I455+G456-H456,I455+H456-G456))</f>
        <v/>
      </c>
    </row>
    <row r="457" customFormat="false" ht="15" hidden="false" customHeight="false" outlineLevel="0" collapsed="false">
      <c r="A457" s="54" t="n">
        <v>450</v>
      </c>
      <c r="B457" s="54" t="str">
        <f aca="false">IFERROR(MATCH(A457,Journal!$W$5:$W$1504,0),"")</f>
        <v/>
      </c>
      <c r="C457" s="55" t="str">
        <f aca="false">IF($B457="","",INDEX(Journal!$A$5:$A$1504,$B457))</f>
        <v/>
      </c>
      <c r="D457" s="54" t="str">
        <f aca="false">IF($B457="","",INDEX(Journal!$B$5:$B$1504,$B457))</f>
        <v/>
      </c>
      <c r="E457" s="54" t="str">
        <f aca="false">IF($B457="","",INDEX(Journal!$C$5:$C$1504,$B457))</f>
        <v/>
      </c>
      <c r="F457" s="54" t="str">
        <f aca="false">IF($B457="","",IF(INDEX(Journal!$D$5:$D$1504,$B457)=$C$4,INDEX(Journal!$E$5:$E$1504,$B457),INDEX(Journal!$D$5:$D$1504,$B457)))</f>
        <v/>
      </c>
      <c r="G457" s="56" t="str">
        <f aca="false">IF($B457="","",IF(INDEX(Journal!$D$5:$D$1504,$B457)=$C$4,INDEX(Journal!$M$5:$M$1504,$B457),0))</f>
        <v/>
      </c>
      <c r="H457" s="56" t="str">
        <f aca="false">IF($B457="","",IF(INDEX(Journal!$E$5:$E$1504,$B457)=$C$4,INDEX(Journal!$N$5:$N$1504,$B457),0))</f>
        <v/>
      </c>
      <c r="I457" s="56" t="str">
        <f aca="false">IF($B457="","",IF(OR($G$4="Aktiv",$G$4="Aufwand"),I456+G457-H457,I456+H457-G457))</f>
        <v/>
      </c>
    </row>
    <row r="458" customFormat="false" ht="15" hidden="false" customHeight="false" outlineLevel="0" collapsed="false">
      <c r="A458" s="54" t="n">
        <v>451</v>
      </c>
      <c r="B458" s="54" t="str">
        <f aca="false">IFERROR(MATCH(A458,Journal!$W$5:$W$1504,0),"")</f>
        <v/>
      </c>
      <c r="C458" s="55" t="str">
        <f aca="false">IF($B458="","",INDEX(Journal!$A$5:$A$1504,$B458))</f>
        <v/>
      </c>
      <c r="D458" s="54" t="str">
        <f aca="false">IF($B458="","",INDEX(Journal!$B$5:$B$1504,$B458))</f>
        <v/>
      </c>
      <c r="E458" s="54" t="str">
        <f aca="false">IF($B458="","",INDEX(Journal!$C$5:$C$1504,$B458))</f>
        <v/>
      </c>
      <c r="F458" s="54" t="str">
        <f aca="false">IF($B458="","",IF(INDEX(Journal!$D$5:$D$1504,$B458)=$C$4,INDEX(Journal!$E$5:$E$1504,$B458),INDEX(Journal!$D$5:$D$1504,$B458)))</f>
        <v/>
      </c>
      <c r="G458" s="56" t="str">
        <f aca="false">IF($B458="","",IF(INDEX(Journal!$D$5:$D$1504,$B458)=$C$4,INDEX(Journal!$M$5:$M$1504,$B458),0))</f>
        <v/>
      </c>
      <c r="H458" s="56" t="str">
        <f aca="false">IF($B458="","",IF(INDEX(Journal!$E$5:$E$1504,$B458)=$C$4,INDEX(Journal!$N$5:$N$1504,$B458),0))</f>
        <v/>
      </c>
      <c r="I458" s="56" t="str">
        <f aca="false">IF($B458="","",IF(OR($G$4="Aktiv",$G$4="Aufwand"),I457+G458-H458,I457+H458-G458))</f>
        <v/>
      </c>
    </row>
    <row r="459" customFormat="false" ht="15" hidden="false" customHeight="false" outlineLevel="0" collapsed="false">
      <c r="A459" s="54" t="n">
        <v>452</v>
      </c>
      <c r="B459" s="54" t="str">
        <f aca="false">IFERROR(MATCH(A459,Journal!$W$5:$W$1504,0),"")</f>
        <v/>
      </c>
      <c r="C459" s="55" t="str">
        <f aca="false">IF($B459="","",INDEX(Journal!$A$5:$A$1504,$B459))</f>
        <v/>
      </c>
      <c r="D459" s="54" t="str">
        <f aca="false">IF($B459="","",INDEX(Journal!$B$5:$B$1504,$B459))</f>
        <v/>
      </c>
      <c r="E459" s="54" t="str">
        <f aca="false">IF($B459="","",INDEX(Journal!$C$5:$C$1504,$B459))</f>
        <v/>
      </c>
      <c r="F459" s="54" t="str">
        <f aca="false">IF($B459="","",IF(INDEX(Journal!$D$5:$D$1504,$B459)=$C$4,INDEX(Journal!$E$5:$E$1504,$B459),INDEX(Journal!$D$5:$D$1504,$B459)))</f>
        <v/>
      </c>
      <c r="G459" s="56" t="str">
        <f aca="false">IF($B459="","",IF(INDEX(Journal!$D$5:$D$1504,$B459)=$C$4,INDEX(Journal!$M$5:$M$1504,$B459),0))</f>
        <v/>
      </c>
      <c r="H459" s="56" t="str">
        <f aca="false">IF($B459="","",IF(INDEX(Journal!$E$5:$E$1504,$B459)=$C$4,INDEX(Journal!$N$5:$N$1504,$B459),0))</f>
        <v/>
      </c>
      <c r="I459" s="56" t="str">
        <f aca="false">IF($B459="","",IF(OR($G$4="Aktiv",$G$4="Aufwand"),I458+G459-H459,I458+H459-G459))</f>
        <v/>
      </c>
    </row>
    <row r="460" customFormat="false" ht="15" hidden="false" customHeight="false" outlineLevel="0" collapsed="false">
      <c r="A460" s="54" t="n">
        <v>453</v>
      </c>
      <c r="B460" s="54" t="str">
        <f aca="false">IFERROR(MATCH(A460,Journal!$W$5:$W$1504,0),"")</f>
        <v/>
      </c>
      <c r="C460" s="55" t="str">
        <f aca="false">IF($B460="","",INDEX(Journal!$A$5:$A$1504,$B460))</f>
        <v/>
      </c>
      <c r="D460" s="54" t="str">
        <f aca="false">IF($B460="","",INDEX(Journal!$B$5:$B$1504,$B460))</f>
        <v/>
      </c>
      <c r="E460" s="54" t="str">
        <f aca="false">IF($B460="","",INDEX(Journal!$C$5:$C$1504,$B460))</f>
        <v/>
      </c>
      <c r="F460" s="54" t="str">
        <f aca="false">IF($B460="","",IF(INDEX(Journal!$D$5:$D$1504,$B460)=$C$4,INDEX(Journal!$E$5:$E$1504,$B460),INDEX(Journal!$D$5:$D$1504,$B460)))</f>
        <v/>
      </c>
      <c r="G460" s="56" t="str">
        <f aca="false">IF($B460="","",IF(INDEX(Journal!$D$5:$D$1504,$B460)=$C$4,INDEX(Journal!$M$5:$M$1504,$B460),0))</f>
        <v/>
      </c>
      <c r="H460" s="56" t="str">
        <f aca="false">IF($B460="","",IF(INDEX(Journal!$E$5:$E$1504,$B460)=$C$4,INDEX(Journal!$N$5:$N$1504,$B460),0))</f>
        <v/>
      </c>
      <c r="I460" s="56" t="str">
        <f aca="false">IF($B460="","",IF(OR($G$4="Aktiv",$G$4="Aufwand"),I459+G460-H460,I459+H460-G460))</f>
        <v/>
      </c>
    </row>
    <row r="461" customFormat="false" ht="15" hidden="false" customHeight="false" outlineLevel="0" collapsed="false">
      <c r="A461" s="54" t="n">
        <v>454</v>
      </c>
      <c r="B461" s="54" t="str">
        <f aca="false">IFERROR(MATCH(A461,Journal!$W$5:$W$1504,0),"")</f>
        <v/>
      </c>
      <c r="C461" s="55" t="str">
        <f aca="false">IF($B461="","",INDEX(Journal!$A$5:$A$1504,$B461))</f>
        <v/>
      </c>
      <c r="D461" s="54" t="str">
        <f aca="false">IF($B461="","",INDEX(Journal!$B$5:$B$1504,$B461))</f>
        <v/>
      </c>
      <c r="E461" s="54" t="str">
        <f aca="false">IF($B461="","",INDEX(Journal!$C$5:$C$1504,$B461))</f>
        <v/>
      </c>
      <c r="F461" s="54" t="str">
        <f aca="false">IF($B461="","",IF(INDEX(Journal!$D$5:$D$1504,$B461)=$C$4,INDEX(Journal!$E$5:$E$1504,$B461),INDEX(Journal!$D$5:$D$1504,$B461)))</f>
        <v/>
      </c>
      <c r="G461" s="56" t="str">
        <f aca="false">IF($B461="","",IF(INDEX(Journal!$D$5:$D$1504,$B461)=$C$4,INDEX(Journal!$M$5:$M$1504,$B461),0))</f>
        <v/>
      </c>
      <c r="H461" s="56" t="str">
        <f aca="false">IF($B461="","",IF(INDEX(Journal!$E$5:$E$1504,$B461)=$C$4,INDEX(Journal!$N$5:$N$1504,$B461),0))</f>
        <v/>
      </c>
      <c r="I461" s="56" t="str">
        <f aca="false">IF($B461="","",IF(OR($G$4="Aktiv",$G$4="Aufwand"),I460+G461-H461,I460+H461-G461))</f>
        <v/>
      </c>
    </row>
    <row r="462" customFormat="false" ht="15" hidden="false" customHeight="false" outlineLevel="0" collapsed="false">
      <c r="A462" s="54" t="n">
        <v>455</v>
      </c>
      <c r="B462" s="54" t="str">
        <f aca="false">IFERROR(MATCH(A462,Journal!$W$5:$W$1504,0),"")</f>
        <v/>
      </c>
      <c r="C462" s="55" t="str">
        <f aca="false">IF($B462="","",INDEX(Journal!$A$5:$A$1504,$B462))</f>
        <v/>
      </c>
      <c r="D462" s="54" t="str">
        <f aca="false">IF($B462="","",INDEX(Journal!$B$5:$B$1504,$B462))</f>
        <v/>
      </c>
      <c r="E462" s="54" t="str">
        <f aca="false">IF($B462="","",INDEX(Journal!$C$5:$C$1504,$B462))</f>
        <v/>
      </c>
      <c r="F462" s="54" t="str">
        <f aca="false">IF($B462="","",IF(INDEX(Journal!$D$5:$D$1504,$B462)=$C$4,INDEX(Journal!$E$5:$E$1504,$B462),INDEX(Journal!$D$5:$D$1504,$B462)))</f>
        <v/>
      </c>
      <c r="G462" s="56" t="str">
        <f aca="false">IF($B462="","",IF(INDEX(Journal!$D$5:$D$1504,$B462)=$C$4,INDEX(Journal!$M$5:$M$1504,$B462),0))</f>
        <v/>
      </c>
      <c r="H462" s="56" t="str">
        <f aca="false">IF($B462="","",IF(INDEX(Journal!$E$5:$E$1504,$B462)=$C$4,INDEX(Journal!$N$5:$N$1504,$B462),0))</f>
        <v/>
      </c>
      <c r="I462" s="56" t="str">
        <f aca="false">IF($B462="","",IF(OR($G$4="Aktiv",$G$4="Aufwand"),I461+G462-H462,I461+H462-G462))</f>
        <v/>
      </c>
    </row>
    <row r="463" customFormat="false" ht="15" hidden="false" customHeight="false" outlineLevel="0" collapsed="false">
      <c r="A463" s="54" t="n">
        <v>456</v>
      </c>
      <c r="B463" s="54" t="str">
        <f aca="false">IFERROR(MATCH(A463,Journal!$W$5:$W$1504,0),"")</f>
        <v/>
      </c>
      <c r="C463" s="55" t="str">
        <f aca="false">IF($B463="","",INDEX(Journal!$A$5:$A$1504,$B463))</f>
        <v/>
      </c>
      <c r="D463" s="54" t="str">
        <f aca="false">IF($B463="","",INDEX(Journal!$B$5:$B$1504,$B463))</f>
        <v/>
      </c>
      <c r="E463" s="54" t="str">
        <f aca="false">IF($B463="","",INDEX(Journal!$C$5:$C$1504,$B463))</f>
        <v/>
      </c>
      <c r="F463" s="54" t="str">
        <f aca="false">IF($B463="","",IF(INDEX(Journal!$D$5:$D$1504,$B463)=$C$4,INDEX(Journal!$E$5:$E$1504,$B463),INDEX(Journal!$D$5:$D$1504,$B463)))</f>
        <v/>
      </c>
      <c r="G463" s="56" t="str">
        <f aca="false">IF($B463="","",IF(INDEX(Journal!$D$5:$D$1504,$B463)=$C$4,INDEX(Journal!$M$5:$M$1504,$B463),0))</f>
        <v/>
      </c>
      <c r="H463" s="56" t="str">
        <f aca="false">IF($B463="","",IF(INDEX(Journal!$E$5:$E$1504,$B463)=$C$4,INDEX(Journal!$N$5:$N$1504,$B463),0))</f>
        <v/>
      </c>
      <c r="I463" s="56" t="str">
        <f aca="false">IF($B463="","",IF(OR($G$4="Aktiv",$G$4="Aufwand"),I462+G463-H463,I462+H463-G463))</f>
        <v/>
      </c>
    </row>
    <row r="464" customFormat="false" ht="15" hidden="false" customHeight="false" outlineLevel="0" collapsed="false">
      <c r="A464" s="54" t="n">
        <v>457</v>
      </c>
      <c r="B464" s="54" t="str">
        <f aca="false">IFERROR(MATCH(A464,Journal!$W$5:$W$1504,0),"")</f>
        <v/>
      </c>
      <c r="C464" s="55" t="str">
        <f aca="false">IF($B464="","",INDEX(Journal!$A$5:$A$1504,$B464))</f>
        <v/>
      </c>
      <c r="D464" s="54" t="str">
        <f aca="false">IF($B464="","",INDEX(Journal!$B$5:$B$1504,$B464))</f>
        <v/>
      </c>
      <c r="E464" s="54" t="str">
        <f aca="false">IF($B464="","",INDEX(Journal!$C$5:$C$1504,$B464))</f>
        <v/>
      </c>
      <c r="F464" s="54" t="str">
        <f aca="false">IF($B464="","",IF(INDEX(Journal!$D$5:$D$1504,$B464)=$C$4,INDEX(Journal!$E$5:$E$1504,$B464),INDEX(Journal!$D$5:$D$1504,$B464)))</f>
        <v/>
      </c>
      <c r="G464" s="56" t="str">
        <f aca="false">IF($B464="","",IF(INDEX(Journal!$D$5:$D$1504,$B464)=$C$4,INDEX(Journal!$M$5:$M$1504,$B464),0))</f>
        <v/>
      </c>
      <c r="H464" s="56" t="str">
        <f aca="false">IF($B464="","",IF(INDEX(Journal!$E$5:$E$1504,$B464)=$C$4,INDEX(Journal!$N$5:$N$1504,$B464),0))</f>
        <v/>
      </c>
      <c r="I464" s="56" t="str">
        <f aca="false">IF($B464="","",IF(OR($G$4="Aktiv",$G$4="Aufwand"),I463+G464-H464,I463+H464-G464))</f>
        <v/>
      </c>
    </row>
    <row r="465" customFormat="false" ht="15" hidden="false" customHeight="false" outlineLevel="0" collapsed="false">
      <c r="A465" s="54" t="n">
        <v>458</v>
      </c>
      <c r="B465" s="54" t="str">
        <f aca="false">IFERROR(MATCH(A465,Journal!$W$5:$W$1504,0),"")</f>
        <v/>
      </c>
      <c r="C465" s="55" t="str">
        <f aca="false">IF($B465="","",INDEX(Journal!$A$5:$A$1504,$B465))</f>
        <v/>
      </c>
      <c r="D465" s="54" t="str">
        <f aca="false">IF($B465="","",INDEX(Journal!$B$5:$B$1504,$B465))</f>
        <v/>
      </c>
      <c r="E465" s="54" t="str">
        <f aca="false">IF($B465="","",INDEX(Journal!$C$5:$C$1504,$B465))</f>
        <v/>
      </c>
      <c r="F465" s="54" t="str">
        <f aca="false">IF($B465="","",IF(INDEX(Journal!$D$5:$D$1504,$B465)=$C$4,INDEX(Journal!$E$5:$E$1504,$B465),INDEX(Journal!$D$5:$D$1504,$B465)))</f>
        <v/>
      </c>
      <c r="G465" s="56" t="str">
        <f aca="false">IF($B465="","",IF(INDEX(Journal!$D$5:$D$1504,$B465)=$C$4,INDEX(Journal!$M$5:$M$1504,$B465),0))</f>
        <v/>
      </c>
      <c r="H465" s="56" t="str">
        <f aca="false">IF($B465="","",IF(INDEX(Journal!$E$5:$E$1504,$B465)=$C$4,INDEX(Journal!$N$5:$N$1504,$B465),0))</f>
        <v/>
      </c>
      <c r="I465" s="56" t="str">
        <f aca="false">IF($B465="","",IF(OR($G$4="Aktiv",$G$4="Aufwand"),I464+G465-H465,I464+H465-G465))</f>
        <v/>
      </c>
    </row>
    <row r="466" customFormat="false" ht="15" hidden="false" customHeight="false" outlineLevel="0" collapsed="false">
      <c r="A466" s="54" t="n">
        <v>459</v>
      </c>
      <c r="B466" s="54" t="str">
        <f aca="false">IFERROR(MATCH(A466,Journal!$W$5:$W$1504,0),"")</f>
        <v/>
      </c>
      <c r="C466" s="55" t="str">
        <f aca="false">IF($B466="","",INDEX(Journal!$A$5:$A$1504,$B466))</f>
        <v/>
      </c>
      <c r="D466" s="54" t="str">
        <f aca="false">IF($B466="","",INDEX(Journal!$B$5:$B$1504,$B466))</f>
        <v/>
      </c>
      <c r="E466" s="54" t="str">
        <f aca="false">IF($B466="","",INDEX(Journal!$C$5:$C$1504,$B466))</f>
        <v/>
      </c>
      <c r="F466" s="54" t="str">
        <f aca="false">IF($B466="","",IF(INDEX(Journal!$D$5:$D$1504,$B466)=$C$4,INDEX(Journal!$E$5:$E$1504,$B466),INDEX(Journal!$D$5:$D$1504,$B466)))</f>
        <v/>
      </c>
      <c r="G466" s="56" t="str">
        <f aca="false">IF($B466="","",IF(INDEX(Journal!$D$5:$D$1504,$B466)=$C$4,INDEX(Journal!$M$5:$M$1504,$B466),0))</f>
        <v/>
      </c>
      <c r="H466" s="56" t="str">
        <f aca="false">IF($B466="","",IF(INDEX(Journal!$E$5:$E$1504,$B466)=$C$4,INDEX(Journal!$N$5:$N$1504,$B466),0))</f>
        <v/>
      </c>
      <c r="I466" s="56" t="str">
        <f aca="false">IF($B466="","",IF(OR($G$4="Aktiv",$G$4="Aufwand"),I465+G466-H466,I465+H466-G466))</f>
        <v/>
      </c>
    </row>
    <row r="467" customFormat="false" ht="15" hidden="false" customHeight="false" outlineLevel="0" collapsed="false">
      <c r="A467" s="54" t="n">
        <v>460</v>
      </c>
      <c r="B467" s="54" t="str">
        <f aca="false">IFERROR(MATCH(A467,Journal!$W$5:$W$1504,0),"")</f>
        <v/>
      </c>
      <c r="C467" s="55" t="str">
        <f aca="false">IF($B467="","",INDEX(Journal!$A$5:$A$1504,$B467))</f>
        <v/>
      </c>
      <c r="D467" s="54" t="str">
        <f aca="false">IF($B467="","",INDEX(Journal!$B$5:$B$1504,$B467))</f>
        <v/>
      </c>
      <c r="E467" s="54" t="str">
        <f aca="false">IF($B467="","",INDEX(Journal!$C$5:$C$1504,$B467))</f>
        <v/>
      </c>
      <c r="F467" s="54" t="str">
        <f aca="false">IF($B467="","",IF(INDEX(Journal!$D$5:$D$1504,$B467)=$C$4,INDEX(Journal!$E$5:$E$1504,$B467),INDEX(Journal!$D$5:$D$1504,$B467)))</f>
        <v/>
      </c>
      <c r="G467" s="56" t="str">
        <f aca="false">IF($B467="","",IF(INDEX(Journal!$D$5:$D$1504,$B467)=$C$4,INDEX(Journal!$M$5:$M$1504,$B467),0))</f>
        <v/>
      </c>
      <c r="H467" s="56" t="str">
        <f aca="false">IF($B467="","",IF(INDEX(Journal!$E$5:$E$1504,$B467)=$C$4,INDEX(Journal!$N$5:$N$1504,$B467),0))</f>
        <v/>
      </c>
      <c r="I467" s="56" t="str">
        <f aca="false">IF($B467="","",IF(OR($G$4="Aktiv",$G$4="Aufwand"),I466+G467-H467,I466+H467-G467))</f>
        <v/>
      </c>
    </row>
    <row r="468" customFormat="false" ht="15" hidden="false" customHeight="false" outlineLevel="0" collapsed="false">
      <c r="A468" s="54" t="n">
        <v>461</v>
      </c>
      <c r="B468" s="54" t="str">
        <f aca="false">IFERROR(MATCH(A468,Journal!$W$5:$W$1504,0),"")</f>
        <v/>
      </c>
      <c r="C468" s="55" t="str">
        <f aca="false">IF($B468="","",INDEX(Journal!$A$5:$A$1504,$B468))</f>
        <v/>
      </c>
      <c r="D468" s="54" t="str">
        <f aca="false">IF($B468="","",INDEX(Journal!$B$5:$B$1504,$B468))</f>
        <v/>
      </c>
      <c r="E468" s="54" t="str">
        <f aca="false">IF($B468="","",INDEX(Journal!$C$5:$C$1504,$B468))</f>
        <v/>
      </c>
      <c r="F468" s="54" t="str">
        <f aca="false">IF($B468="","",IF(INDEX(Journal!$D$5:$D$1504,$B468)=$C$4,INDEX(Journal!$E$5:$E$1504,$B468),INDEX(Journal!$D$5:$D$1504,$B468)))</f>
        <v/>
      </c>
      <c r="G468" s="56" t="str">
        <f aca="false">IF($B468="","",IF(INDEX(Journal!$D$5:$D$1504,$B468)=$C$4,INDEX(Journal!$M$5:$M$1504,$B468),0))</f>
        <v/>
      </c>
      <c r="H468" s="56" t="str">
        <f aca="false">IF($B468="","",IF(INDEX(Journal!$E$5:$E$1504,$B468)=$C$4,INDEX(Journal!$N$5:$N$1504,$B468),0))</f>
        <v/>
      </c>
      <c r="I468" s="56" t="str">
        <f aca="false">IF($B468="","",IF(OR($G$4="Aktiv",$G$4="Aufwand"),I467+G468-H468,I467+H468-G468))</f>
        <v/>
      </c>
    </row>
    <row r="469" customFormat="false" ht="15" hidden="false" customHeight="false" outlineLevel="0" collapsed="false">
      <c r="A469" s="54" t="n">
        <v>462</v>
      </c>
      <c r="B469" s="54" t="str">
        <f aca="false">IFERROR(MATCH(A469,Journal!$W$5:$W$1504,0),"")</f>
        <v/>
      </c>
      <c r="C469" s="55" t="str">
        <f aca="false">IF($B469="","",INDEX(Journal!$A$5:$A$1504,$B469))</f>
        <v/>
      </c>
      <c r="D469" s="54" t="str">
        <f aca="false">IF($B469="","",INDEX(Journal!$B$5:$B$1504,$B469))</f>
        <v/>
      </c>
      <c r="E469" s="54" t="str">
        <f aca="false">IF($B469="","",INDEX(Journal!$C$5:$C$1504,$B469))</f>
        <v/>
      </c>
      <c r="F469" s="54" t="str">
        <f aca="false">IF($B469="","",IF(INDEX(Journal!$D$5:$D$1504,$B469)=$C$4,INDEX(Journal!$E$5:$E$1504,$B469),INDEX(Journal!$D$5:$D$1504,$B469)))</f>
        <v/>
      </c>
      <c r="G469" s="56" t="str">
        <f aca="false">IF($B469="","",IF(INDEX(Journal!$D$5:$D$1504,$B469)=$C$4,INDEX(Journal!$M$5:$M$1504,$B469),0))</f>
        <v/>
      </c>
      <c r="H469" s="56" t="str">
        <f aca="false">IF($B469="","",IF(INDEX(Journal!$E$5:$E$1504,$B469)=$C$4,INDEX(Journal!$N$5:$N$1504,$B469),0))</f>
        <v/>
      </c>
      <c r="I469" s="56" t="str">
        <f aca="false">IF($B469="","",IF(OR($G$4="Aktiv",$G$4="Aufwand"),I468+G469-H469,I468+H469-G469))</f>
        <v/>
      </c>
    </row>
    <row r="470" customFormat="false" ht="15" hidden="false" customHeight="false" outlineLevel="0" collapsed="false">
      <c r="A470" s="54" t="n">
        <v>463</v>
      </c>
      <c r="B470" s="54" t="str">
        <f aca="false">IFERROR(MATCH(A470,Journal!$W$5:$W$1504,0),"")</f>
        <v/>
      </c>
      <c r="C470" s="55" t="str">
        <f aca="false">IF($B470="","",INDEX(Journal!$A$5:$A$1504,$B470))</f>
        <v/>
      </c>
      <c r="D470" s="54" t="str">
        <f aca="false">IF($B470="","",INDEX(Journal!$B$5:$B$1504,$B470))</f>
        <v/>
      </c>
      <c r="E470" s="54" t="str">
        <f aca="false">IF($B470="","",INDEX(Journal!$C$5:$C$1504,$B470))</f>
        <v/>
      </c>
      <c r="F470" s="54" t="str">
        <f aca="false">IF($B470="","",IF(INDEX(Journal!$D$5:$D$1504,$B470)=$C$4,INDEX(Journal!$E$5:$E$1504,$B470),INDEX(Journal!$D$5:$D$1504,$B470)))</f>
        <v/>
      </c>
      <c r="G470" s="56" t="str">
        <f aca="false">IF($B470="","",IF(INDEX(Journal!$D$5:$D$1504,$B470)=$C$4,INDEX(Journal!$M$5:$M$1504,$B470),0))</f>
        <v/>
      </c>
      <c r="H470" s="56" t="str">
        <f aca="false">IF($B470="","",IF(INDEX(Journal!$E$5:$E$1504,$B470)=$C$4,INDEX(Journal!$N$5:$N$1504,$B470),0))</f>
        <v/>
      </c>
      <c r="I470" s="56" t="str">
        <f aca="false">IF($B470="","",IF(OR($G$4="Aktiv",$G$4="Aufwand"),I469+G470-H470,I469+H470-G470))</f>
        <v/>
      </c>
    </row>
    <row r="471" customFormat="false" ht="15" hidden="false" customHeight="false" outlineLevel="0" collapsed="false">
      <c r="A471" s="54" t="n">
        <v>464</v>
      </c>
      <c r="B471" s="54" t="str">
        <f aca="false">IFERROR(MATCH(A471,Journal!$W$5:$W$1504,0),"")</f>
        <v/>
      </c>
      <c r="C471" s="55" t="str">
        <f aca="false">IF($B471="","",INDEX(Journal!$A$5:$A$1504,$B471))</f>
        <v/>
      </c>
      <c r="D471" s="54" t="str">
        <f aca="false">IF($B471="","",INDEX(Journal!$B$5:$B$1504,$B471))</f>
        <v/>
      </c>
      <c r="E471" s="54" t="str">
        <f aca="false">IF($B471="","",INDEX(Journal!$C$5:$C$1504,$B471))</f>
        <v/>
      </c>
      <c r="F471" s="54" t="str">
        <f aca="false">IF($B471="","",IF(INDEX(Journal!$D$5:$D$1504,$B471)=$C$4,INDEX(Journal!$E$5:$E$1504,$B471),INDEX(Journal!$D$5:$D$1504,$B471)))</f>
        <v/>
      </c>
      <c r="G471" s="56" t="str">
        <f aca="false">IF($B471="","",IF(INDEX(Journal!$D$5:$D$1504,$B471)=$C$4,INDEX(Journal!$M$5:$M$1504,$B471),0))</f>
        <v/>
      </c>
      <c r="H471" s="56" t="str">
        <f aca="false">IF($B471="","",IF(INDEX(Journal!$E$5:$E$1504,$B471)=$C$4,INDEX(Journal!$N$5:$N$1504,$B471),0))</f>
        <v/>
      </c>
      <c r="I471" s="56" t="str">
        <f aca="false">IF($B471="","",IF(OR($G$4="Aktiv",$G$4="Aufwand"),I470+G471-H471,I470+H471-G471))</f>
        <v/>
      </c>
    </row>
    <row r="472" customFormat="false" ht="15" hidden="false" customHeight="false" outlineLevel="0" collapsed="false">
      <c r="A472" s="54" t="n">
        <v>465</v>
      </c>
      <c r="B472" s="54" t="str">
        <f aca="false">IFERROR(MATCH(A472,Journal!$W$5:$W$1504,0),"")</f>
        <v/>
      </c>
      <c r="C472" s="55" t="str">
        <f aca="false">IF($B472="","",INDEX(Journal!$A$5:$A$1504,$B472))</f>
        <v/>
      </c>
      <c r="D472" s="54" t="str">
        <f aca="false">IF($B472="","",INDEX(Journal!$B$5:$B$1504,$B472))</f>
        <v/>
      </c>
      <c r="E472" s="54" t="str">
        <f aca="false">IF($B472="","",INDEX(Journal!$C$5:$C$1504,$B472))</f>
        <v/>
      </c>
      <c r="F472" s="54" t="str">
        <f aca="false">IF($B472="","",IF(INDEX(Journal!$D$5:$D$1504,$B472)=$C$4,INDEX(Journal!$E$5:$E$1504,$B472),INDEX(Journal!$D$5:$D$1504,$B472)))</f>
        <v/>
      </c>
      <c r="G472" s="56" t="str">
        <f aca="false">IF($B472="","",IF(INDEX(Journal!$D$5:$D$1504,$B472)=$C$4,INDEX(Journal!$M$5:$M$1504,$B472),0))</f>
        <v/>
      </c>
      <c r="H472" s="56" t="str">
        <f aca="false">IF($B472="","",IF(INDEX(Journal!$E$5:$E$1504,$B472)=$C$4,INDEX(Journal!$N$5:$N$1504,$B472),0))</f>
        <v/>
      </c>
      <c r="I472" s="56" t="str">
        <f aca="false">IF($B472="","",IF(OR($G$4="Aktiv",$G$4="Aufwand"),I471+G472-H472,I471+H472-G472))</f>
        <v/>
      </c>
    </row>
    <row r="473" customFormat="false" ht="15" hidden="false" customHeight="false" outlineLevel="0" collapsed="false">
      <c r="A473" s="54" t="n">
        <v>466</v>
      </c>
      <c r="B473" s="54" t="str">
        <f aca="false">IFERROR(MATCH(A473,Journal!$W$5:$W$1504,0),"")</f>
        <v/>
      </c>
      <c r="C473" s="55" t="str">
        <f aca="false">IF($B473="","",INDEX(Journal!$A$5:$A$1504,$B473))</f>
        <v/>
      </c>
      <c r="D473" s="54" t="str">
        <f aca="false">IF($B473="","",INDEX(Journal!$B$5:$B$1504,$B473))</f>
        <v/>
      </c>
      <c r="E473" s="54" t="str">
        <f aca="false">IF($B473="","",INDEX(Journal!$C$5:$C$1504,$B473))</f>
        <v/>
      </c>
      <c r="F473" s="54" t="str">
        <f aca="false">IF($B473="","",IF(INDEX(Journal!$D$5:$D$1504,$B473)=$C$4,INDEX(Journal!$E$5:$E$1504,$B473),INDEX(Journal!$D$5:$D$1504,$B473)))</f>
        <v/>
      </c>
      <c r="G473" s="56" t="str">
        <f aca="false">IF($B473="","",IF(INDEX(Journal!$D$5:$D$1504,$B473)=$C$4,INDEX(Journal!$M$5:$M$1504,$B473),0))</f>
        <v/>
      </c>
      <c r="H473" s="56" t="str">
        <f aca="false">IF($B473="","",IF(INDEX(Journal!$E$5:$E$1504,$B473)=$C$4,INDEX(Journal!$N$5:$N$1504,$B473),0))</f>
        <v/>
      </c>
      <c r="I473" s="56" t="str">
        <f aca="false">IF($B473="","",IF(OR($G$4="Aktiv",$G$4="Aufwand"),I472+G473-H473,I472+H473-G473))</f>
        <v/>
      </c>
    </row>
    <row r="474" customFormat="false" ht="15" hidden="false" customHeight="false" outlineLevel="0" collapsed="false">
      <c r="A474" s="54" t="n">
        <v>467</v>
      </c>
      <c r="B474" s="54" t="str">
        <f aca="false">IFERROR(MATCH(A474,Journal!$W$5:$W$1504,0),"")</f>
        <v/>
      </c>
      <c r="C474" s="55" t="str">
        <f aca="false">IF($B474="","",INDEX(Journal!$A$5:$A$1504,$B474))</f>
        <v/>
      </c>
      <c r="D474" s="54" t="str">
        <f aca="false">IF($B474="","",INDEX(Journal!$B$5:$B$1504,$B474))</f>
        <v/>
      </c>
      <c r="E474" s="54" t="str">
        <f aca="false">IF($B474="","",INDEX(Journal!$C$5:$C$1504,$B474))</f>
        <v/>
      </c>
      <c r="F474" s="54" t="str">
        <f aca="false">IF($B474="","",IF(INDEX(Journal!$D$5:$D$1504,$B474)=$C$4,INDEX(Journal!$E$5:$E$1504,$B474),INDEX(Journal!$D$5:$D$1504,$B474)))</f>
        <v/>
      </c>
      <c r="G474" s="56" t="str">
        <f aca="false">IF($B474="","",IF(INDEX(Journal!$D$5:$D$1504,$B474)=$C$4,INDEX(Journal!$M$5:$M$1504,$B474),0))</f>
        <v/>
      </c>
      <c r="H474" s="56" t="str">
        <f aca="false">IF($B474="","",IF(INDEX(Journal!$E$5:$E$1504,$B474)=$C$4,INDEX(Journal!$N$5:$N$1504,$B474),0))</f>
        <v/>
      </c>
      <c r="I474" s="56" t="str">
        <f aca="false">IF($B474="","",IF(OR($G$4="Aktiv",$G$4="Aufwand"),I473+G474-H474,I473+H474-G474))</f>
        <v/>
      </c>
    </row>
    <row r="475" customFormat="false" ht="15" hidden="false" customHeight="false" outlineLevel="0" collapsed="false">
      <c r="A475" s="54" t="n">
        <v>468</v>
      </c>
      <c r="B475" s="54" t="str">
        <f aca="false">IFERROR(MATCH(A475,Journal!$W$5:$W$1504,0),"")</f>
        <v/>
      </c>
      <c r="C475" s="55" t="str">
        <f aca="false">IF($B475="","",INDEX(Journal!$A$5:$A$1504,$B475))</f>
        <v/>
      </c>
      <c r="D475" s="54" t="str">
        <f aca="false">IF($B475="","",INDEX(Journal!$B$5:$B$1504,$B475))</f>
        <v/>
      </c>
      <c r="E475" s="54" t="str">
        <f aca="false">IF($B475="","",INDEX(Journal!$C$5:$C$1504,$B475))</f>
        <v/>
      </c>
      <c r="F475" s="54" t="str">
        <f aca="false">IF($B475="","",IF(INDEX(Journal!$D$5:$D$1504,$B475)=$C$4,INDEX(Journal!$E$5:$E$1504,$B475),INDEX(Journal!$D$5:$D$1504,$B475)))</f>
        <v/>
      </c>
      <c r="G475" s="56" t="str">
        <f aca="false">IF($B475="","",IF(INDEX(Journal!$D$5:$D$1504,$B475)=$C$4,INDEX(Journal!$M$5:$M$1504,$B475),0))</f>
        <v/>
      </c>
      <c r="H475" s="56" t="str">
        <f aca="false">IF($B475="","",IF(INDEX(Journal!$E$5:$E$1504,$B475)=$C$4,INDEX(Journal!$N$5:$N$1504,$B475),0))</f>
        <v/>
      </c>
      <c r="I475" s="56" t="str">
        <f aca="false">IF($B475="","",IF(OR($G$4="Aktiv",$G$4="Aufwand"),I474+G475-H475,I474+H475-G475))</f>
        <v/>
      </c>
    </row>
    <row r="476" customFormat="false" ht="15" hidden="false" customHeight="false" outlineLevel="0" collapsed="false">
      <c r="A476" s="54" t="n">
        <v>469</v>
      </c>
      <c r="B476" s="54" t="str">
        <f aca="false">IFERROR(MATCH(A476,Journal!$W$5:$W$1504,0),"")</f>
        <v/>
      </c>
      <c r="C476" s="55" t="str">
        <f aca="false">IF($B476="","",INDEX(Journal!$A$5:$A$1504,$B476))</f>
        <v/>
      </c>
      <c r="D476" s="54" t="str">
        <f aca="false">IF($B476="","",INDEX(Journal!$B$5:$B$1504,$B476))</f>
        <v/>
      </c>
      <c r="E476" s="54" t="str">
        <f aca="false">IF($B476="","",INDEX(Journal!$C$5:$C$1504,$B476))</f>
        <v/>
      </c>
      <c r="F476" s="54" t="str">
        <f aca="false">IF($B476="","",IF(INDEX(Journal!$D$5:$D$1504,$B476)=$C$4,INDEX(Journal!$E$5:$E$1504,$B476),INDEX(Journal!$D$5:$D$1504,$B476)))</f>
        <v/>
      </c>
      <c r="G476" s="56" t="str">
        <f aca="false">IF($B476="","",IF(INDEX(Journal!$D$5:$D$1504,$B476)=$C$4,INDEX(Journal!$M$5:$M$1504,$B476),0))</f>
        <v/>
      </c>
      <c r="H476" s="56" t="str">
        <f aca="false">IF($B476="","",IF(INDEX(Journal!$E$5:$E$1504,$B476)=$C$4,INDEX(Journal!$N$5:$N$1504,$B476),0))</f>
        <v/>
      </c>
      <c r="I476" s="56" t="str">
        <f aca="false">IF($B476="","",IF(OR($G$4="Aktiv",$G$4="Aufwand"),I475+G476-H476,I475+H476-G476))</f>
        <v/>
      </c>
    </row>
    <row r="477" customFormat="false" ht="15" hidden="false" customHeight="false" outlineLevel="0" collapsed="false">
      <c r="A477" s="54" t="n">
        <v>470</v>
      </c>
      <c r="B477" s="54" t="str">
        <f aca="false">IFERROR(MATCH(A477,Journal!$W$5:$W$1504,0),"")</f>
        <v/>
      </c>
      <c r="C477" s="55" t="str">
        <f aca="false">IF($B477="","",INDEX(Journal!$A$5:$A$1504,$B477))</f>
        <v/>
      </c>
      <c r="D477" s="54" t="str">
        <f aca="false">IF($B477="","",INDEX(Journal!$B$5:$B$1504,$B477))</f>
        <v/>
      </c>
      <c r="E477" s="54" t="str">
        <f aca="false">IF($B477="","",INDEX(Journal!$C$5:$C$1504,$B477))</f>
        <v/>
      </c>
      <c r="F477" s="54" t="str">
        <f aca="false">IF($B477="","",IF(INDEX(Journal!$D$5:$D$1504,$B477)=$C$4,INDEX(Journal!$E$5:$E$1504,$B477),INDEX(Journal!$D$5:$D$1504,$B477)))</f>
        <v/>
      </c>
      <c r="G477" s="56" t="str">
        <f aca="false">IF($B477="","",IF(INDEX(Journal!$D$5:$D$1504,$B477)=$C$4,INDEX(Journal!$M$5:$M$1504,$B477),0))</f>
        <v/>
      </c>
      <c r="H477" s="56" t="str">
        <f aca="false">IF($B477="","",IF(INDEX(Journal!$E$5:$E$1504,$B477)=$C$4,INDEX(Journal!$N$5:$N$1504,$B477),0))</f>
        <v/>
      </c>
      <c r="I477" s="56" t="str">
        <f aca="false">IF($B477="","",IF(OR($G$4="Aktiv",$G$4="Aufwand"),I476+G477-H477,I476+H477-G477))</f>
        <v/>
      </c>
    </row>
    <row r="478" customFormat="false" ht="15" hidden="false" customHeight="false" outlineLevel="0" collapsed="false">
      <c r="A478" s="54" t="n">
        <v>471</v>
      </c>
      <c r="B478" s="54" t="str">
        <f aca="false">IFERROR(MATCH(A478,Journal!$W$5:$W$1504,0),"")</f>
        <v/>
      </c>
      <c r="C478" s="55" t="str">
        <f aca="false">IF($B478="","",INDEX(Journal!$A$5:$A$1504,$B478))</f>
        <v/>
      </c>
      <c r="D478" s="54" t="str">
        <f aca="false">IF($B478="","",INDEX(Journal!$B$5:$B$1504,$B478))</f>
        <v/>
      </c>
      <c r="E478" s="54" t="str">
        <f aca="false">IF($B478="","",INDEX(Journal!$C$5:$C$1504,$B478))</f>
        <v/>
      </c>
      <c r="F478" s="54" t="str">
        <f aca="false">IF($B478="","",IF(INDEX(Journal!$D$5:$D$1504,$B478)=$C$4,INDEX(Journal!$E$5:$E$1504,$B478),INDEX(Journal!$D$5:$D$1504,$B478)))</f>
        <v/>
      </c>
      <c r="G478" s="56" t="str">
        <f aca="false">IF($B478="","",IF(INDEX(Journal!$D$5:$D$1504,$B478)=$C$4,INDEX(Journal!$M$5:$M$1504,$B478),0))</f>
        <v/>
      </c>
      <c r="H478" s="56" t="str">
        <f aca="false">IF($B478="","",IF(INDEX(Journal!$E$5:$E$1504,$B478)=$C$4,INDEX(Journal!$N$5:$N$1504,$B478),0))</f>
        <v/>
      </c>
      <c r="I478" s="56" t="str">
        <f aca="false">IF($B478="","",IF(OR($G$4="Aktiv",$G$4="Aufwand"),I477+G478-H478,I477+H478-G478))</f>
        <v/>
      </c>
    </row>
    <row r="479" customFormat="false" ht="15" hidden="false" customHeight="false" outlineLevel="0" collapsed="false">
      <c r="A479" s="54" t="n">
        <v>472</v>
      </c>
      <c r="B479" s="54" t="str">
        <f aca="false">IFERROR(MATCH(A479,Journal!$W$5:$W$1504,0),"")</f>
        <v/>
      </c>
      <c r="C479" s="55" t="str">
        <f aca="false">IF($B479="","",INDEX(Journal!$A$5:$A$1504,$B479))</f>
        <v/>
      </c>
      <c r="D479" s="54" t="str">
        <f aca="false">IF($B479="","",INDEX(Journal!$B$5:$B$1504,$B479))</f>
        <v/>
      </c>
      <c r="E479" s="54" t="str">
        <f aca="false">IF($B479="","",INDEX(Journal!$C$5:$C$1504,$B479))</f>
        <v/>
      </c>
      <c r="F479" s="54" t="str">
        <f aca="false">IF($B479="","",IF(INDEX(Journal!$D$5:$D$1504,$B479)=$C$4,INDEX(Journal!$E$5:$E$1504,$B479),INDEX(Journal!$D$5:$D$1504,$B479)))</f>
        <v/>
      </c>
      <c r="G479" s="56" t="str">
        <f aca="false">IF($B479="","",IF(INDEX(Journal!$D$5:$D$1504,$B479)=$C$4,INDEX(Journal!$M$5:$M$1504,$B479),0))</f>
        <v/>
      </c>
      <c r="H479" s="56" t="str">
        <f aca="false">IF($B479="","",IF(INDEX(Journal!$E$5:$E$1504,$B479)=$C$4,INDEX(Journal!$N$5:$N$1504,$B479),0))</f>
        <v/>
      </c>
      <c r="I479" s="56" t="str">
        <f aca="false">IF($B479="","",IF(OR($G$4="Aktiv",$G$4="Aufwand"),I478+G479-H479,I478+H479-G479))</f>
        <v/>
      </c>
    </row>
    <row r="480" customFormat="false" ht="15" hidden="false" customHeight="false" outlineLevel="0" collapsed="false">
      <c r="A480" s="54" t="n">
        <v>473</v>
      </c>
      <c r="B480" s="54" t="str">
        <f aca="false">IFERROR(MATCH(A480,Journal!$W$5:$W$1504,0),"")</f>
        <v/>
      </c>
      <c r="C480" s="55" t="str">
        <f aca="false">IF($B480="","",INDEX(Journal!$A$5:$A$1504,$B480))</f>
        <v/>
      </c>
      <c r="D480" s="54" t="str">
        <f aca="false">IF($B480="","",INDEX(Journal!$B$5:$B$1504,$B480))</f>
        <v/>
      </c>
      <c r="E480" s="54" t="str">
        <f aca="false">IF($B480="","",INDEX(Journal!$C$5:$C$1504,$B480))</f>
        <v/>
      </c>
      <c r="F480" s="54" t="str">
        <f aca="false">IF($B480="","",IF(INDEX(Journal!$D$5:$D$1504,$B480)=$C$4,INDEX(Journal!$E$5:$E$1504,$B480),INDEX(Journal!$D$5:$D$1504,$B480)))</f>
        <v/>
      </c>
      <c r="G480" s="56" t="str">
        <f aca="false">IF($B480="","",IF(INDEX(Journal!$D$5:$D$1504,$B480)=$C$4,INDEX(Journal!$M$5:$M$1504,$B480),0))</f>
        <v/>
      </c>
      <c r="H480" s="56" t="str">
        <f aca="false">IF($B480="","",IF(INDEX(Journal!$E$5:$E$1504,$B480)=$C$4,INDEX(Journal!$N$5:$N$1504,$B480),0))</f>
        <v/>
      </c>
      <c r="I480" s="56" t="str">
        <f aca="false">IF($B480="","",IF(OR($G$4="Aktiv",$G$4="Aufwand"),I479+G480-H480,I479+H480-G480))</f>
        <v/>
      </c>
    </row>
    <row r="481" customFormat="false" ht="15" hidden="false" customHeight="false" outlineLevel="0" collapsed="false">
      <c r="A481" s="54" t="n">
        <v>474</v>
      </c>
      <c r="B481" s="54" t="str">
        <f aca="false">IFERROR(MATCH(A481,Journal!$W$5:$W$1504,0),"")</f>
        <v/>
      </c>
      <c r="C481" s="55" t="str">
        <f aca="false">IF($B481="","",INDEX(Journal!$A$5:$A$1504,$B481))</f>
        <v/>
      </c>
      <c r="D481" s="54" t="str">
        <f aca="false">IF($B481="","",INDEX(Journal!$B$5:$B$1504,$B481))</f>
        <v/>
      </c>
      <c r="E481" s="54" t="str">
        <f aca="false">IF($B481="","",INDEX(Journal!$C$5:$C$1504,$B481))</f>
        <v/>
      </c>
      <c r="F481" s="54" t="str">
        <f aca="false">IF($B481="","",IF(INDEX(Journal!$D$5:$D$1504,$B481)=$C$4,INDEX(Journal!$E$5:$E$1504,$B481),INDEX(Journal!$D$5:$D$1504,$B481)))</f>
        <v/>
      </c>
      <c r="G481" s="56" t="str">
        <f aca="false">IF($B481="","",IF(INDEX(Journal!$D$5:$D$1504,$B481)=$C$4,INDEX(Journal!$M$5:$M$1504,$B481),0))</f>
        <v/>
      </c>
      <c r="H481" s="56" t="str">
        <f aca="false">IF($B481="","",IF(INDEX(Journal!$E$5:$E$1504,$B481)=$C$4,INDEX(Journal!$N$5:$N$1504,$B481),0))</f>
        <v/>
      </c>
      <c r="I481" s="56" t="str">
        <f aca="false">IF($B481="","",IF(OR($G$4="Aktiv",$G$4="Aufwand"),I480+G481-H481,I480+H481-G481))</f>
        <v/>
      </c>
    </row>
    <row r="482" customFormat="false" ht="15" hidden="false" customHeight="false" outlineLevel="0" collapsed="false">
      <c r="A482" s="54" t="n">
        <v>475</v>
      </c>
      <c r="B482" s="54" t="str">
        <f aca="false">IFERROR(MATCH(A482,Journal!$W$5:$W$1504,0),"")</f>
        <v/>
      </c>
      <c r="C482" s="55" t="str">
        <f aca="false">IF($B482="","",INDEX(Journal!$A$5:$A$1504,$B482))</f>
        <v/>
      </c>
      <c r="D482" s="54" t="str">
        <f aca="false">IF($B482="","",INDEX(Journal!$B$5:$B$1504,$B482))</f>
        <v/>
      </c>
      <c r="E482" s="54" t="str">
        <f aca="false">IF($B482="","",INDEX(Journal!$C$5:$C$1504,$B482))</f>
        <v/>
      </c>
      <c r="F482" s="54" t="str">
        <f aca="false">IF($B482="","",IF(INDEX(Journal!$D$5:$D$1504,$B482)=$C$4,INDEX(Journal!$E$5:$E$1504,$B482),INDEX(Journal!$D$5:$D$1504,$B482)))</f>
        <v/>
      </c>
      <c r="G482" s="56" t="str">
        <f aca="false">IF($B482="","",IF(INDEX(Journal!$D$5:$D$1504,$B482)=$C$4,INDEX(Journal!$M$5:$M$1504,$B482),0))</f>
        <v/>
      </c>
      <c r="H482" s="56" t="str">
        <f aca="false">IF($B482="","",IF(INDEX(Journal!$E$5:$E$1504,$B482)=$C$4,INDEX(Journal!$N$5:$N$1504,$B482),0))</f>
        <v/>
      </c>
      <c r="I482" s="56" t="str">
        <f aca="false">IF($B482="","",IF(OR($G$4="Aktiv",$G$4="Aufwand"),I481+G482-H482,I481+H482-G482))</f>
        <v/>
      </c>
    </row>
    <row r="483" customFormat="false" ht="15" hidden="false" customHeight="false" outlineLevel="0" collapsed="false">
      <c r="A483" s="54" t="n">
        <v>476</v>
      </c>
      <c r="B483" s="54" t="str">
        <f aca="false">IFERROR(MATCH(A483,Journal!$W$5:$W$1504,0),"")</f>
        <v/>
      </c>
      <c r="C483" s="55" t="str">
        <f aca="false">IF($B483="","",INDEX(Journal!$A$5:$A$1504,$B483))</f>
        <v/>
      </c>
      <c r="D483" s="54" t="str">
        <f aca="false">IF($B483="","",INDEX(Journal!$B$5:$B$1504,$B483))</f>
        <v/>
      </c>
      <c r="E483" s="54" t="str">
        <f aca="false">IF($B483="","",INDEX(Journal!$C$5:$C$1504,$B483))</f>
        <v/>
      </c>
      <c r="F483" s="54" t="str">
        <f aca="false">IF($B483="","",IF(INDEX(Journal!$D$5:$D$1504,$B483)=$C$4,INDEX(Journal!$E$5:$E$1504,$B483),INDEX(Journal!$D$5:$D$1504,$B483)))</f>
        <v/>
      </c>
      <c r="G483" s="56" t="str">
        <f aca="false">IF($B483="","",IF(INDEX(Journal!$D$5:$D$1504,$B483)=$C$4,INDEX(Journal!$M$5:$M$1504,$B483),0))</f>
        <v/>
      </c>
      <c r="H483" s="56" t="str">
        <f aca="false">IF($B483="","",IF(INDEX(Journal!$E$5:$E$1504,$B483)=$C$4,INDEX(Journal!$N$5:$N$1504,$B483),0))</f>
        <v/>
      </c>
      <c r="I483" s="56" t="str">
        <f aca="false">IF($B483="","",IF(OR($G$4="Aktiv",$G$4="Aufwand"),I482+G483-H483,I482+H483-G483))</f>
        <v/>
      </c>
    </row>
    <row r="484" customFormat="false" ht="15" hidden="false" customHeight="false" outlineLevel="0" collapsed="false">
      <c r="A484" s="54" t="n">
        <v>477</v>
      </c>
      <c r="B484" s="54" t="str">
        <f aca="false">IFERROR(MATCH(A484,Journal!$W$5:$W$1504,0),"")</f>
        <v/>
      </c>
      <c r="C484" s="55" t="str">
        <f aca="false">IF($B484="","",INDEX(Journal!$A$5:$A$1504,$B484))</f>
        <v/>
      </c>
      <c r="D484" s="54" t="str">
        <f aca="false">IF($B484="","",INDEX(Journal!$B$5:$B$1504,$B484))</f>
        <v/>
      </c>
      <c r="E484" s="54" t="str">
        <f aca="false">IF($B484="","",INDEX(Journal!$C$5:$C$1504,$B484))</f>
        <v/>
      </c>
      <c r="F484" s="54" t="str">
        <f aca="false">IF($B484="","",IF(INDEX(Journal!$D$5:$D$1504,$B484)=$C$4,INDEX(Journal!$E$5:$E$1504,$B484),INDEX(Journal!$D$5:$D$1504,$B484)))</f>
        <v/>
      </c>
      <c r="G484" s="56" t="str">
        <f aca="false">IF($B484="","",IF(INDEX(Journal!$D$5:$D$1504,$B484)=$C$4,INDEX(Journal!$M$5:$M$1504,$B484),0))</f>
        <v/>
      </c>
      <c r="H484" s="56" t="str">
        <f aca="false">IF($B484="","",IF(INDEX(Journal!$E$5:$E$1504,$B484)=$C$4,INDEX(Journal!$N$5:$N$1504,$B484),0))</f>
        <v/>
      </c>
      <c r="I484" s="56" t="str">
        <f aca="false">IF($B484="","",IF(OR($G$4="Aktiv",$G$4="Aufwand"),I483+G484-H484,I483+H484-G484))</f>
        <v/>
      </c>
    </row>
    <row r="485" customFormat="false" ht="15" hidden="false" customHeight="false" outlineLevel="0" collapsed="false">
      <c r="A485" s="54" t="n">
        <v>478</v>
      </c>
      <c r="B485" s="54" t="str">
        <f aca="false">IFERROR(MATCH(A485,Journal!$W$5:$W$1504,0),"")</f>
        <v/>
      </c>
      <c r="C485" s="55" t="str">
        <f aca="false">IF($B485="","",INDEX(Journal!$A$5:$A$1504,$B485))</f>
        <v/>
      </c>
      <c r="D485" s="54" t="str">
        <f aca="false">IF($B485="","",INDEX(Journal!$B$5:$B$1504,$B485))</f>
        <v/>
      </c>
      <c r="E485" s="54" t="str">
        <f aca="false">IF($B485="","",INDEX(Journal!$C$5:$C$1504,$B485))</f>
        <v/>
      </c>
      <c r="F485" s="54" t="str">
        <f aca="false">IF($B485="","",IF(INDEX(Journal!$D$5:$D$1504,$B485)=$C$4,INDEX(Journal!$E$5:$E$1504,$B485),INDEX(Journal!$D$5:$D$1504,$B485)))</f>
        <v/>
      </c>
      <c r="G485" s="56" t="str">
        <f aca="false">IF($B485="","",IF(INDEX(Journal!$D$5:$D$1504,$B485)=$C$4,INDEX(Journal!$M$5:$M$1504,$B485),0))</f>
        <v/>
      </c>
      <c r="H485" s="56" t="str">
        <f aca="false">IF($B485="","",IF(INDEX(Journal!$E$5:$E$1504,$B485)=$C$4,INDEX(Journal!$N$5:$N$1504,$B485),0))</f>
        <v/>
      </c>
      <c r="I485" s="56" t="str">
        <f aca="false">IF($B485="","",IF(OR($G$4="Aktiv",$G$4="Aufwand"),I484+G485-H485,I484+H485-G485))</f>
        <v/>
      </c>
    </row>
    <row r="486" customFormat="false" ht="15" hidden="false" customHeight="false" outlineLevel="0" collapsed="false">
      <c r="A486" s="54" t="n">
        <v>479</v>
      </c>
      <c r="B486" s="54" t="str">
        <f aca="false">IFERROR(MATCH(A486,Journal!$W$5:$W$1504,0),"")</f>
        <v/>
      </c>
      <c r="C486" s="55" t="str">
        <f aca="false">IF($B486="","",INDEX(Journal!$A$5:$A$1504,$B486))</f>
        <v/>
      </c>
      <c r="D486" s="54" t="str">
        <f aca="false">IF($B486="","",INDEX(Journal!$B$5:$B$1504,$B486))</f>
        <v/>
      </c>
      <c r="E486" s="54" t="str">
        <f aca="false">IF($B486="","",INDEX(Journal!$C$5:$C$1504,$B486))</f>
        <v/>
      </c>
      <c r="F486" s="54" t="str">
        <f aca="false">IF($B486="","",IF(INDEX(Journal!$D$5:$D$1504,$B486)=$C$4,INDEX(Journal!$E$5:$E$1504,$B486),INDEX(Journal!$D$5:$D$1504,$B486)))</f>
        <v/>
      </c>
      <c r="G486" s="56" t="str">
        <f aca="false">IF($B486="","",IF(INDEX(Journal!$D$5:$D$1504,$B486)=$C$4,INDEX(Journal!$M$5:$M$1504,$B486),0))</f>
        <v/>
      </c>
      <c r="H486" s="56" t="str">
        <f aca="false">IF($B486="","",IF(INDEX(Journal!$E$5:$E$1504,$B486)=$C$4,INDEX(Journal!$N$5:$N$1504,$B486),0))</f>
        <v/>
      </c>
      <c r="I486" s="56" t="str">
        <f aca="false">IF($B486="","",IF(OR($G$4="Aktiv",$G$4="Aufwand"),I485+G486-H486,I485+H486-G486))</f>
        <v/>
      </c>
    </row>
    <row r="487" customFormat="false" ht="15" hidden="false" customHeight="false" outlineLevel="0" collapsed="false">
      <c r="A487" s="54" t="n">
        <v>480</v>
      </c>
      <c r="B487" s="54" t="str">
        <f aca="false">IFERROR(MATCH(A487,Journal!$W$5:$W$1504,0),"")</f>
        <v/>
      </c>
      <c r="C487" s="55" t="str">
        <f aca="false">IF($B487="","",INDEX(Journal!$A$5:$A$1504,$B487))</f>
        <v/>
      </c>
      <c r="D487" s="54" t="str">
        <f aca="false">IF($B487="","",INDEX(Journal!$B$5:$B$1504,$B487))</f>
        <v/>
      </c>
      <c r="E487" s="54" t="str">
        <f aca="false">IF($B487="","",INDEX(Journal!$C$5:$C$1504,$B487))</f>
        <v/>
      </c>
      <c r="F487" s="54" t="str">
        <f aca="false">IF($B487="","",IF(INDEX(Journal!$D$5:$D$1504,$B487)=$C$4,INDEX(Journal!$E$5:$E$1504,$B487),INDEX(Journal!$D$5:$D$1504,$B487)))</f>
        <v/>
      </c>
      <c r="G487" s="56" t="str">
        <f aca="false">IF($B487="","",IF(INDEX(Journal!$D$5:$D$1504,$B487)=$C$4,INDEX(Journal!$M$5:$M$1504,$B487),0))</f>
        <v/>
      </c>
      <c r="H487" s="56" t="str">
        <f aca="false">IF($B487="","",IF(INDEX(Journal!$E$5:$E$1504,$B487)=$C$4,INDEX(Journal!$N$5:$N$1504,$B487),0))</f>
        <v/>
      </c>
      <c r="I487" s="56" t="str">
        <f aca="false">IF($B487="","",IF(OR($G$4="Aktiv",$G$4="Aufwand"),I486+G487-H487,I486+H487-G487))</f>
        <v/>
      </c>
    </row>
    <row r="488" customFormat="false" ht="15" hidden="false" customHeight="false" outlineLevel="0" collapsed="false">
      <c r="A488" s="54" t="n">
        <v>481</v>
      </c>
      <c r="B488" s="54" t="str">
        <f aca="false">IFERROR(MATCH(A488,Journal!$W$5:$W$1504,0),"")</f>
        <v/>
      </c>
      <c r="C488" s="55" t="str">
        <f aca="false">IF($B488="","",INDEX(Journal!$A$5:$A$1504,$B488))</f>
        <v/>
      </c>
      <c r="D488" s="54" t="str">
        <f aca="false">IF($B488="","",INDEX(Journal!$B$5:$B$1504,$B488))</f>
        <v/>
      </c>
      <c r="E488" s="54" t="str">
        <f aca="false">IF($B488="","",INDEX(Journal!$C$5:$C$1504,$B488))</f>
        <v/>
      </c>
      <c r="F488" s="54" t="str">
        <f aca="false">IF($B488="","",IF(INDEX(Journal!$D$5:$D$1504,$B488)=$C$4,INDEX(Journal!$E$5:$E$1504,$B488),INDEX(Journal!$D$5:$D$1504,$B488)))</f>
        <v/>
      </c>
      <c r="G488" s="56" t="str">
        <f aca="false">IF($B488="","",IF(INDEX(Journal!$D$5:$D$1504,$B488)=$C$4,INDEX(Journal!$M$5:$M$1504,$B488),0))</f>
        <v/>
      </c>
      <c r="H488" s="56" t="str">
        <f aca="false">IF($B488="","",IF(INDEX(Journal!$E$5:$E$1504,$B488)=$C$4,INDEX(Journal!$N$5:$N$1504,$B488),0))</f>
        <v/>
      </c>
      <c r="I488" s="56" t="str">
        <f aca="false">IF($B488="","",IF(OR($G$4="Aktiv",$G$4="Aufwand"),I487+G488-H488,I487+H488-G488))</f>
        <v/>
      </c>
    </row>
    <row r="489" customFormat="false" ht="15" hidden="false" customHeight="false" outlineLevel="0" collapsed="false">
      <c r="A489" s="54" t="n">
        <v>482</v>
      </c>
      <c r="B489" s="54" t="str">
        <f aca="false">IFERROR(MATCH(A489,Journal!$W$5:$W$1504,0),"")</f>
        <v/>
      </c>
      <c r="C489" s="55" t="str">
        <f aca="false">IF($B489="","",INDEX(Journal!$A$5:$A$1504,$B489))</f>
        <v/>
      </c>
      <c r="D489" s="54" t="str">
        <f aca="false">IF($B489="","",INDEX(Journal!$B$5:$B$1504,$B489))</f>
        <v/>
      </c>
      <c r="E489" s="54" t="str">
        <f aca="false">IF($B489="","",INDEX(Journal!$C$5:$C$1504,$B489))</f>
        <v/>
      </c>
      <c r="F489" s="54" t="str">
        <f aca="false">IF($B489="","",IF(INDEX(Journal!$D$5:$D$1504,$B489)=$C$4,INDEX(Journal!$E$5:$E$1504,$B489),INDEX(Journal!$D$5:$D$1504,$B489)))</f>
        <v/>
      </c>
      <c r="G489" s="56" t="str">
        <f aca="false">IF($B489="","",IF(INDEX(Journal!$D$5:$D$1504,$B489)=$C$4,INDEX(Journal!$M$5:$M$1504,$B489),0))</f>
        <v/>
      </c>
      <c r="H489" s="56" t="str">
        <f aca="false">IF($B489="","",IF(INDEX(Journal!$E$5:$E$1504,$B489)=$C$4,INDEX(Journal!$N$5:$N$1504,$B489),0))</f>
        <v/>
      </c>
      <c r="I489" s="56" t="str">
        <f aca="false">IF($B489="","",IF(OR($G$4="Aktiv",$G$4="Aufwand"),I488+G489-H489,I488+H489-G489))</f>
        <v/>
      </c>
    </row>
    <row r="490" customFormat="false" ht="15" hidden="false" customHeight="false" outlineLevel="0" collapsed="false">
      <c r="A490" s="54" t="n">
        <v>483</v>
      </c>
      <c r="B490" s="54" t="str">
        <f aca="false">IFERROR(MATCH(A490,Journal!$W$5:$W$1504,0),"")</f>
        <v/>
      </c>
      <c r="C490" s="55" t="str">
        <f aca="false">IF($B490="","",INDEX(Journal!$A$5:$A$1504,$B490))</f>
        <v/>
      </c>
      <c r="D490" s="54" t="str">
        <f aca="false">IF($B490="","",INDEX(Journal!$B$5:$B$1504,$B490))</f>
        <v/>
      </c>
      <c r="E490" s="54" t="str">
        <f aca="false">IF($B490="","",INDEX(Journal!$C$5:$C$1504,$B490))</f>
        <v/>
      </c>
      <c r="F490" s="54" t="str">
        <f aca="false">IF($B490="","",IF(INDEX(Journal!$D$5:$D$1504,$B490)=$C$4,INDEX(Journal!$E$5:$E$1504,$B490),INDEX(Journal!$D$5:$D$1504,$B490)))</f>
        <v/>
      </c>
      <c r="G490" s="56" t="str">
        <f aca="false">IF($B490="","",IF(INDEX(Journal!$D$5:$D$1504,$B490)=$C$4,INDEX(Journal!$M$5:$M$1504,$B490),0))</f>
        <v/>
      </c>
      <c r="H490" s="56" t="str">
        <f aca="false">IF($B490="","",IF(INDEX(Journal!$E$5:$E$1504,$B490)=$C$4,INDEX(Journal!$N$5:$N$1504,$B490),0))</f>
        <v/>
      </c>
      <c r="I490" s="56" t="str">
        <f aca="false">IF($B490="","",IF(OR($G$4="Aktiv",$G$4="Aufwand"),I489+G490-H490,I489+H490-G490))</f>
        <v/>
      </c>
    </row>
    <row r="491" customFormat="false" ht="15" hidden="false" customHeight="false" outlineLevel="0" collapsed="false">
      <c r="A491" s="54" t="n">
        <v>484</v>
      </c>
      <c r="B491" s="54" t="str">
        <f aca="false">IFERROR(MATCH(A491,Journal!$W$5:$W$1504,0),"")</f>
        <v/>
      </c>
      <c r="C491" s="55" t="str">
        <f aca="false">IF($B491="","",INDEX(Journal!$A$5:$A$1504,$B491))</f>
        <v/>
      </c>
      <c r="D491" s="54" t="str">
        <f aca="false">IF($B491="","",INDEX(Journal!$B$5:$B$1504,$B491))</f>
        <v/>
      </c>
      <c r="E491" s="54" t="str">
        <f aca="false">IF($B491="","",INDEX(Journal!$C$5:$C$1504,$B491))</f>
        <v/>
      </c>
      <c r="F491" s="54" t="str">
        <f aca="false">IF($B491="","",IF(INDEX(Journal!$D$5:$D$1504,$B491)=$C$4,INDEX(Journal!$E$5:$E$1504,$B491),INDEX(Journal!$D$5:$D$1504,$B491)))</f>
        <v/>
      </c>
      <c r="G491" s="56" t="str">
        <f aca="false">IF($B491="","",IF(INDEX(Journal!$D$5:$D$1504,$B491)=$C$4,INDEX(Journal!$M$5:$M$1504,$B491),0))</f>
        <v/>
      </c>
      <c r="H491" s="56" t="str">
        <f aca="false">IF($B491="","",IF(INDEX(Journal!$E$5:$E$1504,$B491)=$C$4,INDEX(Journal!$N$5:$N$1504,$B491),0))</f>
        <v/>
      </c>
      <c r="I491" s="56" t="str">
        <f aca="false">IF($B491="","",IF(OR($G$4="Aktiv",$G$4="Aufwand"),I490+G491-H491,I490+H491-G491))</f>
        <v/>
      </c>
    </row>
    <row r="492" customFormat="false" ht="15" hidden="false" customHeight="false" outlineLevel="0" collapsed="false">
      <c r="A492" s="54" t="n">
        <v>485</v>
      </c>
      <c r="B492" s="54" t="str">
        <f aca="false">IFERROR(MATCH(A492,Journal!$W$5:$W$1504,0),"")</f>
        <v/>
      </c>
      <c r="C492" s="55" t="str">
        <f aca="false">IF($B492="","",INDEX(Journal!$A$5:$A$1504,$B492))</f>
        <v/>
      </c>
      <c r="D492" s="54" t="str">
        <f aca="false">IF($B492="","",INDEX(Journal!$B$5:$B$1504,$B492))</f>
        <v/>
      </c>
      <c r="E492" s="54" t="str">
        <f aca="false">IF($B492="","",INDEX(Journal!$C$5:$C$1504,$B492))</f>
        <v/>
      </c>
      <c r="F492" s="54" t="str">
        <f aca="false">IF($B492="","",IF(INDEX(Journal!$D$5:$D$1504,$B492)=$C$4,INDEX(Journal!$E$5:$E$1504,$B492),INDEX(Journal!$D$5:$D$1504,$B492)))</f>
        <v/>
      </c>
      <c r="G492" s="56" t="str">
        <f aca="false">IF($B492="","",IF(INDEX(Journal!$D$5:$D$1504,$B492)=$C$4,INDEX(Journal!$M$5:$M$1504,$B492),0))</f>
        <v/>
      </c>
      <c r="H492" s="56" t="str">
        <f aca="false">IF($B492="","",IF(INDEX(Journal!$E$5:$E$1504,$B492)=$C$4,INDEX(Journal!$N$5:$N$1504,$B492),0))</f>
        <v/>
      </c>
      <c r="I492" s="56" t="str">
        <f aca="false">IF($B492="","",IF(OR($G$4="Aktiv",$G$4="Aufwand"),I491+G492-H492,I491+H492-G492))</f>
        <v/>
      </c>
    </row>
    <row r="493" customFormat="false" ht="15" hidden="false" customHeight="false" outlineLevel="0" collapsed="false">
      <c r="A493" s="54" t="n">
        <v>486</v>
      </c>
      <c r="B493" s="54" t="str">
        <f aca="false">IFERROR(MATCH(A493,Journal!$W$5:$W$1504,0),"")</f>
        <v/>
      </c>
      <c r="C493" s="55" t="str">
        <f aca="false">IF($B493="","",INDEX(Journal!$A$5:$A$1504,$B493))</f>
        <v/>
      </c>
      <c r="D493" s="54" t="str">
        <f aca="false">IF($B493="","",INDEX(Journal!$B$5:$B$1504,$B493))</f>
        <v/>
      </c>
      <c r="E493" s="54" t="str">
        <f aca="false">IF($B493="","",INDEX(Journal!$C$5:$C$1504,$B493))</f>
        <v/>
      </c>
      <c r="F493" s="54" t="str">
        <f aca="false">IF($B493="","",IF(INDEX(Journal!$D$5:$D$1504,$B493)=$C$4,INDEX(Journal!$E$5:$E$1504,$B493),INDEX(Journal!$D$5:$D$1504,$B493)))</f>
        <v/>
      </c>
      <c r="G493" s="56" t="str">
        <f aca="false">IF($B493="","",IF(INDEX(Journal!$D$5:$D$1504,$B493)=$C$4,INDEX(Journal!$M$5:$M$1504,$B493),0))</f>
        <v/>
      </c>
      <c r="H493" s="56" t="str">
        <f aca="false">IF($B493="","",IF(INDEX(Journal!$E$5:$E$1504,$B493)=$C$4,INDEX(Journal!$N$5:$N$1504,$B493),0))</f>
        <v/>
      </c>
      <c r="I493" s="56" t="str">
        <f aca="false">IF($B493="","",IF(OR($G$4="Aktiv",$G$4="Aufwand"),I492+G493-H493,I492+H493-G493))</f>
        <v/>
      </c>
    </row>
    <row r="494" customFormat="false" ht="15" hidden="false" customHeight="false" outlineLevel="0" collapsed="false">
      <c r="A494" s="54" t="n">
        <v>487</v>
      </c>
      <c r="B494" s="54" t="str">
        <f aca="false">IFERROR(MATCH(A494,Journal!$W$5:$W$1504,0),"")</f>
        <v/>
      </c>
      <c r="C494" s="55" t="str">
        <f aca="false">IF($B494="","",INDEX(Journal!$A$5:$A$1504,$B494))</f>
        <v/>
      </c>
      <c r="D494" s="54" t="str">
        <f aca="false">IF($B494="","",INDEX(Journal!$B$5:$B$1504,$B494))</f>
        <v/>
      </c>
      <c r="E494" s="54" t="str">
        <f aca="false">IF($B494="","",INDEX(Journal!$C$5:$C$1504,$B494))</f>
        <v/>
      </c>
      <c r="F494" s="54" t="str">
        <f aca="false">IF($B494="","",IF(INDEX(Journal!$D$5:$D$1504,$B494)=$C$4,INDEX(Journal!$E$5:$E$1504,$B494),INDEX(Journal!$D$5:$D$1504,$B494)))</f>
        <v/>
      </c>
      <c r="G494" s="56" t="str">
        <f aca="false">IF($B494="","",IF(INDEX(Journal!$D$5:$D$1504,$B494)=$C$4,INDEX(Journal!$M$5:$M$1504,$B494),0))</f>
        <v/>
      </c>
      <c r="H494" s="56" t="str">
        <f aca="false">IF($B494="","",IF(INDEX(Journal!$E$5:$E$1504,$B494)=$C$4,INDEX(Journal!$N$5:$N$1504,$B494),0))</f>
        <v/>
      </c>
      <c r="I494" s="56" t="str">
        <f aca="false">IF($B494="","",IF(OR($G$4="Aktiv",$G$4="Aufwand"),I493+G494-H494,I493+H494-G494))</f>
        <v/>
      </c>
    </row>
    <row r="495" customFormat="false" ht="15" hidden="false" customHeight="false" outlineLevel="0" collapsed="false">
      <c r="A495" s="54" t="n">
        <v>488</v>
      </c>
      <c r="B495" s="54" t="str">
        <f aca="false">IFERROR(MATCH(A495,Journal!$W$5:$W$1504,0),"")</f>
        <v/>
      </c>
      <c r="C495" s="55" t="str">
        <f aca="false">IF($B495="","",INDEX(Journal!$A$5:$A$1504,$B495))</f>
        <v/>
      </c>
      <c r="D495" s="54" t="str">
        <f aca="false">IF($B495="","",INDEX(Journal!$B$5:$B$1504,$B495))</f>
        <v/>
      </c>
      <c r="E495" s="54" t="str">
        <f aca="false">IF($B495="","",INDEX(Journal!$C$5:$C$1504,$B495))</f>
        <v/>
      </c>
      <c r="F495" s="54" t="str">
        <f aca="false">IF($B495="","",IF(INDEX(Journal!$D$5:$D$1504,$B495)=$C$4,INDEX(Journal!$E$5:$E$1504,$B495),INDEX(Journal!$D$5:$D$1504,$B495)))</f>
        <v/>
      </c>
      <c r="G495" s="56" t="str">
        <f aca="false">IF($B495="","",IF(INDEX(Journal!$D$5:$D$1504,$B495)=$C$4,INDEX(Journal!$M$5:$M$1504,$B495),0))</f>
        <v/>
      </c>
      <c r="H495" s="56" t="str">
        <f aca="false">IF($B495="","",IF(INDEX(Journal!$E$5:$E$1504,$B495)=$C$4,INDEX(Journal!$N$5:$N$1504,$B495),0))</f>
        <v/>
      </c>
      <c r="I495" s="56" t="str">
        <f aca="false">IF($B495="","",IF(OR($G$4="Aktiv",$G$4="Aufwand"),I494+G495-H495,I494+H495-G495))</f>
        <v/>
      </c>
    </row>
    <row r="496" customFormat="false" ht="15" hidden="false" customHeight="false" outlineLevel="0" collapsed="false">
      <c r="A496" s="54" t="n">
        <v>489</v>
      </c>
      <c r="B496" s="54" t="str">
        <f aca="false">IFERROR(MATCH(A496,Journal!$W$5:$W$1504,0),"")</f>
        <v/>
      </c>
      <c r="C496" s="55" t="str">
        <f aca="false">IF($B496="","",INDEX(Journal!$A$5:$A$1504,$B496))</f>
        <v/>
      </c>
      <c r="D496" s="54" t="str">
        <f aca="false">IF($B496="","",INDEX(Journal!$B$5:$B$1504,$B496))</f>
        <v/>
      </c>
      <c r="E496" s="54" t="str">
        <f aca="false">IF($B496="","",INDEX(Journal!$C$5:$C$1504,$B496))</f>
        <v/>
      </c>
      <c r="F496" s="54" t="str">
        <f aca="false">IF($B496="","",IF(INDEX(Journal!$D$5:$D$1504,$B496)=$C$4,INDEX(Journal!$E$5:$E$1504,$B496),INDEX(Journal!$D$5:$D$1504,$B496)))</f>
        <v/>
      </c>
      <c r="G496" s="56" t="str">
        <f aca="false">IF($B496="","",IF(INDEX(Journal!$D$5:$D$1504,$B496)=$C$4,INDEX(Journal!$M$5:$M$1504,$B496),0))</f>
        <v/>
      </c>
      <c r="H496" s="56" t="str">
        <f aca="false">IF($B496="","",IF(INDEX(Journal!$E$5:$E$1504,$B496)=$C$4,INDEX(Journal!$N$5:$N$1504,$B496),0))</f>
        <v/>
      </c>
      <c r="I496" s="56" t="str">
        <f aca="false">IF($B496="","",IF(OR($G$4="Aktiv",$G$4="Aufwand"),I495+G496-H496,I495+H496-G496))</f>
        <v/>
      </c>
    </row>
    <row r="497" customFormat="false" ht="15" hidden="false" customHeight="false" outlineLevel="0" collapsed="false">
      <c r="A497" s="54" t="n">
        <v>490</v>
      </c>
      <c r="B497" s="54" t="str">
        <f aca="false">IFERROR(MATCH(A497,Journal!$W$5:$W$1504,0),"")</f>
        <v/>
      </c>
      <c r="C497" s="55" t="str">
        <f aca="false">IF($B497="","",INDEX(Journal!$A$5:$A$1504,$B497))</f>
        <v/>
      </c>
      <c r="D497" s="54" t="str">
        <f aca="false">IF($B497="","",INDEX(Journal!$B$5:$B$1504,$B497))</f>
        <v/>
      </c>
      <c r="E497" s="54" t="str">
        <f aca="false">IF($B497="","",INDEX(Journal!$C$5:$C$1504,$B497))</f>
        <v/>
      </c>
      <c r="F497" s="54" t="str">
        <f aca="false">IF($B497="","",IF(INDEX(Journal!$D$5:$D$1504,$B497)=$C$4,INDEX(Journal!$E$5:$E$1504,$B497),INDEX(Journal!$D$5:$D$1504,$B497)))</f>
        <v/>
      </c>
      <c r="G497" s="56" t="str">
        <f aca="false">IF($B497="","",IF(INDEX(Journal!$D$5:$D$1504,$B497)=$C$4,INDEX(Journal!$M$5:$M$1504,$B497),0))</f>
        <v/>
      </c>
      <c r="H497" s="56" t="str">
        <f aca="false">IF($B497="","",IF(INDEX(Journal!$E$5:$E$1504,$B497)=$C$4,INDEX(Journal!$N$5:$N$1504,$B497),0))</f>
        <v/>
      </c>
      <c r="I497" s="56" t="str">
        <f aca="false">IF($B497="","",IF(OR($G$4="Aktiv",$G$4="Aufwand"),I496+G497-H497,I496+H497-G497))</f>
        <v/>
      </c>
    </row>
    <row r="498" customFormat="false" ht="15" hidden="false" customHeight="false" outlineLevel="0" collapsed="false">
      <c r="A498" s="54" t="n">
        <v>491</v>
      </c>
      <c r="B498" s="54" t="str">
        <f aca="false">IFERROR(MATCH(A498,Journal!$W$5:$W$1504,0),"")</f>
        <v/>
      </c>
      <c r="C498" s="55" t="str">
        <f aca="false">IF($B498="","",INDEX(Journal!$A$5:$A$1504,$B498))</f>
        <v/>
      </c>
      <c r="D498" s="54" t="str">
        <f aca="false">IF($B498="","",INDEX(Journal!$B$5:$B$1504,$B498))</f>
        <v/>
      </c>
      <c r="E498" s="54" t="str">
        <f aca="false">IF($B498="","",INDEX(Journal!$C$5:$C$1504,$B498))</f>
        <v/>
      </c>
      <c r="F498" s="54" t="str">
        <f aca="false">IF($B498="","",IF(INDEX(Journal!$D$5:$D$1504,$B498)=$C$4,INDEX(Journal!$E$5:$E$1504,$B498),INDEX(Journal!$D$5:$D$1504,$B498)))</f>
        <v/>
      </c>
      <c r="G498" s="56" t="str">
        <f aca="false">IF($B498="","",IF(INDEX(Journal!$D$5:$D$1504,$B498)=$C$4,INDEX(Journal!$M$5:$M$1504,$B498),0))</f>
        <v/>
      </c>
      <c r="H498" s="56" t="str">
        <f aca="false">IF($B498="","",IF(INDEX(Journal!$E$5:$E$1504,$B498)=$C$4,INDEX(Journal!$N$5:$N$1504,$B498),0))</f>
        <v/>
      </c>
      <c r="I498" s="56" t="str">
        <f aca="false">IF($B498="","",IF(OR($G$4="Aktiv",$G$4="Aufwand"),I497+G498-H498,I497+H498-G498))</f>
        <v/>
      </c>
    </row>
    <row r="499" customFormat="false" ht="15" hidden="false" customHeight="false" outlineLevel="0" collapsed="false">
      <c r="A499" s="54" t="n">
        <v>492</v>
      </c>
      <c r="B499" s="54" t="str">
        <f aca="false">IFERROR(MATCH(A499,Journal!$W$5:$W$1504,0),"")</f>
        <v/>
      </c>
      <c r="C499" s="55" t="str">
        <f aca="false">IF($B499="","",INDEX(Journal!$A$5:$A$1504,$B499))</f>
        <v/>
      </c>
      <c r="D499" s="54" t="str">
        <f aca="false">IF($B499="","",INDEX(Journal!$B$5:$B$1504,$B499))</f>
        <v/>
      </c>
      <c r="E499" s="54" t="str">
        <f aca="false">IF($B499="","",INDEX(Journal!$C$5:$C$1504,$B499))</f>
        <v/>
      </c>
      <c r="F499" s="54" t="str">
        <f aca="false">IF($B499="","",IF(INDEX(Journal!$D$5:$D$1504,$B499)=$C$4,INDEX(Journal!$E$5:$E$1504,$B499),INDEX(Journal!$D$5:$D$1504,$B499)))</f>
        <v/>
      </c>
      <c r="G499" s="56" t="str">
        <f aca="false">IF($B499="","",IF(INDEX(Journal!$D$5:$D$1504,$B499)=$C$4,INDEX(Journal!$M$5:$M$1504,$B499),0))</f>
        <v/>
      </c>
      <c r="H499" s="56" t="str">
        <f aca="false">IF($B499="","",IF(INDEX(Journal!$E$5:$E$1504,$B499)=$C$4,INDEX(Journal!$N$5:$N$1504,$B499),0))</f>
        <v/>
      </c>
      <c r="I499" s="56" t="str">
        <f aca="false">IF($B499="","",IF(OR($G$4="Aktiv",$G$4="Aufwand"),I498+G499-H499,I498+H499-G499))</f>
        <v/>
      </c>
    </row>
    <row r="500" customFormat="false" ht="15" hidden="false" customHeight="false" outlineLevel="0" collapsed="false">
      <c r="A500" s="54" t="n">
        <v>493</v>
      </c>
      <c r="B500" s="54" t="str">
        <f aca="false">IFERROR(MATCH(A500,Journal!$W$5:$W$1504,0),"")</f>
        <v/>
      </c>
      <c r="C500" s="55" t="str">
        <f aca="false">IF($B500="","",INDEX(Journal!$A$5:$A$1504,$B500))</f>
        <v/>
      </c>
      <c r="D500" s="54" t="str">
        <f aca="false">IF($B500="","",INDEX(Journal!$B$5:$B$1504,$B500))</f>
        <v/>
      </c>
      <c r="E500" s="54" t="str">
        <f aca="false">IF($B500="","",INDEX(Journal!$C$5:$C$1504,$B500))</f>
        <v/>
      </c>
      <c r="F500" s="54" t="str">
        <f aca="false">IF($B500="","",IF(INDEX(Journal!$D$5:$D$1504,$B500)=$C$4,INDEX(Journal!$E$5:$E$1504,$B500),INDEX(Journal!$D$5:$D$1504,$B500)))</f>
        <v/>
      </c>
      <c r="G500" s="56" t="str">
        <f aca="false">IF($B500="","",IF(INDEX(Journal!$D$5:$D$1504,$B500)=$C$4,INDEX(Journal!$M$5:$M$1504,$B500),0))</f>
        <v/>
      </c>
      <c r="H500" s="56" t="str">
        <f aca="false">IF($B500="","",IF(INDEX(Journal!$E$5:$E$1504,$B500)=$C$4,INDEX(Journal!$N$5:$N$1504,$B500),0))</f>
        <v/>
      </c>
      <c r="I500" s="56" t="str">
        <f aca="false">IF($B500="","",IF(OR($G$4="Aktiv",$G$4="Aufwand"),I499+G500-H500,I499+H500-G500))</f>
        <v/>
      </c>
    </row>
    <row r="501" customFormat="false" ht="15" hidden="false" customHeight="false" outlineLevel="0" collapsed="false">
      <c r="A501" s="54" t="n">
        <v>494</v>
      </c>
      <c r="B501" s="54" t="str">
        <f aca="false">IFERROR(MATCH(A501,Journal!$W$5:$W$1504,0),"")</f>
        <v/>
      </c>
      <c r="C501" s="55" t="str">
        <f aca="false">IF($B501="","",INDEX(Journal!$A$5:$A$1504,$B501))</f>
        <v/>
      </c>
      <c r="D501" s="54" t="str">
        <f aca="false">IF($B501="","",INDEX(Journal!$B$5:$B$1504,$B501))</f>
        <v/>
      </c>
      <c r="E501" s="54" t="str">
        <f aca="false">IF($B501="","",INDEX(Journal!$C$5:$C$1504,$B501))</f>
        <v/>
      </c>
      <c r="F501" s="54" t="str">
        <f aca="false">IF($B501="","",IF(INDEX(Journal!$D$5:$D$1504,$B501)=$C$4,INDEX(Journal!$E$5:$E$1504,$B501),INDEX(Journal!$D$5:$D$1504,$B501)))</f>
        <v/>
      </c>
      <c r="G501" s="56" t="str">
        <f aca="false">IF($B501="","",IF(INDEX(Journal!$D$5:$D$1504,$B501)=$C$4,INDEX(Journal!$M$5:$M$1504,$B501),0))</f>
        <v/>
      </c>
      <c r="H501" s="56" t="str">
        <f aca="false">IF($B501="","",IF(INDEX(Journal!$E$5:$E$1504,$B501)=$C$4,INDEX(Journal!$N$5:$N$1504,$B501),0))</f>
        <v/>
      </c>
      <c r="I501" s="56" t="str">
        <f aca="false">IF($B501="","",IF(OR($G$4="Aktiv",$G$4="Aufwand"),I500+G501-H501,I500+H501-G501))</f>
        <v/>
      </c>
    </row>
    <row r="502" customFormat="false" ht="15" hidden="false" customHeight="false" outlineLevel="0" collapsed="false">
      <c r="A502" s="54" t="n">
        <v>495</v>
      </c>
      <c r="B502" s="54" t="str">
        <f aca="false">IFERROR(MATCH(A502,Journal!$W$5:$W$1504,0),"")</f>
        <v/>
      </c>
      <c r="C502" s="55" t="str">
        <f aca="false">IF($B502="","",INDEX(Journal!$A$5:$A$1504,$B502))</f>
        <v/>
      </c>
      <c r="D502" s="54" t="str">
        <f aca="false">IF($B502="","",INDEX(Journal!$B$5:$B$1504,$B502))</f>
        <v/>
      </c>
      <c r="E502" s="54" t="str">
        <f aca="false">IF($B502="","",INDEX(Journal!$C$5:$C$1504,$B502))</f>
        <v/>
      </c>
      <c r="F502" s="54" t="str">
        <f aca="false">IF($B502="","",IF(INDEX(Journal!$D$5:$D$1504,$B502)=$C$4,INDEX(Journal!$E$5:$E$1504,$B502),INDEX(Journal!$D$5:$D$1504,$B502)))</f>
        <v/>
      </c>
      <c r="G502" s="56" t="str">
        <f aca="false">IF($B502="","",IF(INDEX(Journal!$D$5:$D$1504,$B502)=$C$4,INDEX(Journal!$M$5:$M$1504,$B502),0))</f>
        <v/>
      </c>
      <c r="H502" s="56" t="str">
        <f aca="false">IF($B502="","",IF(INDEX(Journal!$E$5:$E$1504,$B502)=$C$4,INDEX(Journal!$N$5:$N$1504,$B502),0))</f>
        <v/>
      </c>
      <c r="I502" s="56" t="str">
        <f aca="false">IF($B502="","",IF(OR($G$4="Aktiv",$G$4="Aufwand"),I501+G502-H502,I501+H502-G502))</f>
        <v/>
      </c>
    </row>
    <row r="503" customFormat="false" ht="15" hidden="false" customHeight="false" outlineLevel="0" collapsed="false">
      <c r="A503" s="54" t="n">
        <v>496</v>
      </c>
      <c r="B503" s="54" t="str">
        <f aca="false">IFERROR(MATCH(A503,Journal!$W$5:$W$1504,0),"")</f>
        <v/>
      </c>
      <c r="C503" s="55" t="str">
        <f aca="false">IF($B503="","",INDEX(Journal!$A$5:$A$1504,$B503))</f>
        <v/>
      </c>
      <c r="D503" s="54" t="str">
        <f aca="false">IF($B503="","",INDEX(Journal!$B$5:$B$1504,$B503))</f>
        <v/>
      </c>
      <c r="E503" s="54" t="str">
        <f aca="false">IF($B503="","",INDEX(Journal!$C$5:$C$1504,$B503))</f>
        <v/>
      </c>
      <c r="F503" s="54" t="str">
        <f aca="false">IF($B503="","",IF(INDEX(Journal!$D$5:$D$1504,$B503)=$C$4,INDEX(Journal!$E$5:$E$1504,$B503),INDEX(Journal!$D$5:$D$1504,$B503)))</f>
        <v/>
      </c>
      <c r="G503" s="56" t="str">
        <f aca="false">IF($B503="","",IF(INDEX(Journal!$D$5:$D$1504,$B503)=$C$4,INDEX(Journal!$M$5:$M$1504,$B503),0))</f>
        <v/>
      </c>
      <c r="H503" s="56" t="str">
        <f aca="false">IF($B503="","",IF(INDEX(Journal!$E$5:$E$1504,$B503)=$C$4,INDEX(Journal!$N$5:$N$1504,$B503),0))</f>
        <v/>
      </c>
      <c r="I503" s="56" t="str">
        <f aca="false">IF($B503="","",IF(OR($G$4="Aktiv",$G$4="Aufwand"),I502+G503-H503,I502+H503-G503))</f>
        <v/>
      </c>
    </row>
    <row r="504" customFormat="false" ht="15" hidden="false" customHeight="false" outlineLevel="0" collapsed="false">
      <c r="A504" s="54" t="n">
        <v>497</v>
      </c>
      <c r="B504" s="54" t="str">
        <f aca="false">IFERROR(MATCH(A504,Journal!$W$5:$W$1504,0),"")</f>
        <v/>
      </c>
      <c r="C504" s="55" t="str">
        <f aca="false">IF($B504="","",INDEX(Journal!$A$5:$A$1504,$B504))</f>
        <v/>
      </c>
      <c r="D504" s="54" t="str">
        <f aca="false">IF($B504="","",INDEX(Journal!$B$5:$B$1504,$B504))</f>
        <v/>
      </c>
      <c r="E504" s="54" t="str">
        <f aca="false">IF($B504="","",INDEX(Journal!$C$5:$C$1504,$B504))</f>
        <v/>
      </c>
      <c r="F504" s="54" t="str">
        <f aca="false">IF($B504="","",IF(INDEX(Journal!$D$5:$D$1504,$B504)=$C$4,INDEX(Journal!$E$5:$E$1504,$B504),INDEX(Journal!$D$5:$D$1504,$B504)))</f>
        <v/>
      </c>
      <c r="G504" s="56" t="str">
        <f aca="false">IF($B504="","",IF(INDEX(Journal!$D$5:$D$1504,$B504)=$C$4,INDEX(Journal!$M$5:$M$1504,$B504),0))</f>
        <v/>
      </c>
      <c r="H504" s="56" t="str">
        <f aca="false">IF($B504="","",IF(INDEX(Journal!$E$5:$E$1504,$B504)=$C$4,INDEX(Journal!$N$5:$N$1504,$B504),0))</f>
        <v/>
      </c>
      <c r="I504" s="56" t="str">
        <f aca="false">IF($B504="","",IF(OR($G$4="Aktiv",$G$4="Aufwand"),I503+G504-H504,I503+H504-G504))</f>
        <v/>
      </c>
    </row>
    <row r="505" customFormat="false" ht="15" hidden="false" customHeight="false" outlineLevel="0" collapsed="false">
      <c r="A505" s="54" t="n">
        <v>498</v>
      </c>
      <c r="B505" s="54" t="str">
        <f aca="false">IFERROR(MATCH(A505,Journal!$W$5:$W$1504,0),"")</f>
        <v/>
      </c>
      <c r="C505" s="55" t="str">
        <f aca="false">IF($B505="","",INDEX(Journal!$A$5:$A$1504,$B505))</f>
        <v/>
      </c>
      <c r="D505" s="54" t="str">
        <f aca="false">IF($B505="","",INDEX(Journal!$B$5:$B$1504,$B505))</f>
        <v/>
      </c>
      <c r="E505" s="54" t="str">
        <f aca="false">IF($B505="","",INDEX(Journal!$C$5:$C$1504,$B505))</f>
        <v/>
      </c>
      <c r="F505" s="54" t="str">
        <f aca="false">IF($B505="","",IF(INDEX(Journal!$D$5:$D$1504,$B505)=$C$4,INDEX(Journal!$E$5:$E$1504,$B505),INDEX(Journal!$D$5:$D$1504,$B505)))</f>
        <v/>
      </c>
      <c r="G505" s="56" t="str">
        <f aca="false">IF($B505="","",IF(INDEX(Journal!$D$5:$D$1504,$B505)=$C$4,INDEX(Journal!$M$5:$M$1504,$B505),0))</f>
        <v/>
      </c>
      <c r="H505" s="56" t="str">
        <f aca="false">IF($B505="","",IF(INDEX(Journal!$E$5:$E$1504,$B505)=$C$4,INDEX(Journal!$N$5:$N$1504,$B505),0))</f>
        <v/>
      </c>
      <c r="I505" s="56" t="str">
        <f aca="false">IF($B505="","",IF(OR($G$4="Aktiv",$G$4="Aufwand"),I504+G505-H505,I504+H505-G505))</f>
        <v/>
      </c>
    </row>
    <row r="506" customFormat="false" ht="15" hidden="false" customHeight="false" outlineLevel="0" collapsed="false">
      <c r="A506" s="54" t="n">
        <v>499</v>
      </c>
      <c r="B506" s="54" t="str">
        <f aca="false">IFERROR(MATCH(A506,Journal!$W$5:$W$1504,0),"")</f>
        <v/>
      </c>
      <c r="C506" s="55" t="str">
        <f aca="false">IF($B506="","",INDEX(Journal!$A$5:$A$1504,$B506))</f>
        <v/>
      </c>
      <c r="D506" s="54" t="str">
        <f aca="false">IF($B506="","",INDEX(Journal!$B$5:$B$1504,$B506))</f>
        <v/>
      </c>
      <c r="E506" s="54" t="str">
        <f aca="false">IF($B506="","",INDEX(Journal!$C$5:$C$1504,$B506))</f>
        <v/>
      </c>
      <c r="F506" s="54" t="str">
        <f aca="false">IF($B506="","",IF(INDEX(Journal!$D$5:$D$1504,$B506)=$C$4,INDEX(Journal!$E$5:$E$1504,$B506),INDEX(Journal!$D$5:$D$1504,$B506)))</f>
        <v/>
      </c>
      <c r="G506" s="56" t="str">
        <f aca="false">IF($B506="","",IF(INDEX(Journal!$D$5:$D$1504,$B506)=$C$4,INDEX(Journal!$M$5:$M$1504,$B506),0))</f>
        <v/>
      </c>
      <c r="H506" s="56" t="str">
        <f aca="false">IF($B506="","",IF(INDEX(Journal!$E$5:$E$1504,$B506)=$C$4,INDEX(Journal!$N$5:$N$1504,$B506),0))</f>
        <v/>
      </c>
      <c r="I506" s="56" t="str">
        <f aca="false">IF($B506="","",IF(OR($G$4="Aktiv",$G$4="Aufwand"),I505+G506-H506,I505+H506-G506))</f>
        <v/>
      </c>
    </row>
    <row r="507" customFormat="false" ht="15" hidden="false" customHeight="false" outlineLevel="0" collapsed="false">
      <c r="A507" s="54" t="n">
        <v>500</v>
      </c>
      <c r="B507" s="54" t="str">
        <f aca="false">IFERROR(MATCH(A507,Journal!$W$5:$W$1504,0),"")</f>
        <v/>
      </c>
      <c r="C507" s="55" t="str">
        <f aca="false">IF($B507="","",INDEX(Journal!$A$5:$A$1504,$B507))</f>
        <v/>
      </c>
      <c r="D507" s="54" t="str">
        <f aca="false">IF($B507="","",INDEX(Journal!$B$5:$B$1504,$B507))</f>
        <v/>
      </c>
      <c r="E507" s="54" t="str">
        <f aca="false">IF($B507="","",INDEX(Journal!$C$5:$C$1504,$B507))</f>
        <v/>
      </c>
      <c r="F507" s="54" t="str">
        <f aca="false">IF($B507="","",IF(INDEX(Journal!$D$5:$D$1504,$B507)=$C$4,INDEX(Journal!$E$5:$E$1504,$B507),INDEX(Journal!$D$5:$D$1504,$B507)))</f>
        <v/>
      </c>
      <c r="G507" s="56" t="str">
        <f aca="false">IF($B507="","",IF(INDEX(Journal!$D$5:$D$1504,$B507)=$C$4,INDEX(Journal!$M$5:$M$1504,$B507),0))</f>
        <v/>
      </c>
      <c r="H507" s="56" t="str">
        <f aca="false">IF($B507="","",IF(INDEX(Journal!$E$5:$E$1504,$B507)=$C$4,INDEX(Journal!$N$5:$N$1504,$B507),0))</f>
        <v/>
      </c>
      <c r="I507" s="56" t="str">
        <f aca="false">IF($B507="","",IF(OR($G$4="Aktiv",$G$4="Aufwand"),I506+G507-H507,I506+H507-G507))</f>
        <v/>
      </c>
    </row>
  </sheetData>
  <dataValidations count="1">
    <dataValidation allowBlank="false" errorStyle="stop" operator="between" showDropDown="false" showErrorMessage="false" showInputMessage="false" sqref="C4" type="list">
      <formula1>Kontenplan!$A$5:$A$90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3" min="3" style="0" width="62"/>
    <col collapsed="false" customWidth="true" hidden="false" outlineLevel="0" max="4" min="4" style="0" width="11"/>
    <col collapsed="false" customWidth="true" hidden="false" outlineLevel="0" max="5" min="5" style="0" width="16"/>
  </cols>
  <sheetData>
    <row r="1" customFormat="false" ht="19.7" hidden="false" customHeight="false" outlineLevel="0" collapsed="false">
      <c r="A1" s="1" t="s">
        <v>742</v>
      </c>
    </row>
    <row r="2" customFormat="false" ht="15" hidden="false" customHeight="false" outlineLevel="0" collapsed="false">
      <c r="A2" s="2" t="s">
        <v>743</v>
      </c>
    </row>
    <row r="4" customFormat="false" ht="31.5" hidden="false" customHeight="true" outlineLevel="0" collapsed="false">
      <c r="A4" s="10" t="s">
        <v>744</v>
      </c>
      <c r="B4" s="10" t="s">
        <v>745</v>
      </c>
      <c r="C4" s="10" t="s">
        <v>574</v>
      </c>
      <c r="D4" s="10" t="s">
        <v>746</v>
      </c>
    </row>
    <row r="5" customFormat="false" ht="15" hidden="false" customHeight="false" outlineLevel="0" collapsed="false">
      <c r="A5" s="44" t="n">
        <f aca="false">DATE(Einstellungen!$B$7,6,30)+60</f>
        <v>46263</v>
      </c>
      <c r="B5" s="14" t="s">
        <v>747</v>
      </c>
      <c r="C5" s="13" t="s">
        <v>748</v>
      </c>
      <c r="D5" s="32"/>
      <c r="E5" s="53" t="str">
        <f aca="true">IF(OR(A5="",D5&lt;&gt;""),"",IF(A5&lt;TODAY(),"überfällig!",IF(A5-TODAY()&lt;=30,"in "&amp;(A5-TODAY())&amp;" Tagen","")))</f>
        <v>überfällig!</v>
      </c>
    </row>
    <row r="6" customFormat="false" ht="15" hidden="false" customHeight="false" outlineLevel="0" collapsed="false">
      <c r="A6" s="44" t="n">
        <f aca="false">DATE(Einstellungen!$B$7,12,31)+60</f>
        <v>46447</v>
      </c>
      <c r="B6" s="14" t="s">
        <v>749</v>
      </c>
      <c r="C6" s="13" t="s">
        <v>750</v>
      </c>
      <c r="D6" s="32"/>
      <c r="E6" s="53" t="str">
        <f aca="true">IF(OR(A6="",D6&lt;&gt;""),"",IF(A6&lt;TODAY(),"überfällig!",IF(A6-TODAY()&lt;=30,"in "&amp;(A6-TODAY())&amp;" Tagen","")))</f>
        <v/>
      </c>
    </row>
    <row r="7" customFormat="false" ht="15" hidden="false" customHeight="false" outlineLevel="0" collapsed="false">
      <c r="A7" s="44" t="n">
        <f aca="false">DATE(Einstellungen!$B$7,3,31)+60</f>
        <v>46172</v>
      </c>
      <c r="B7" s="14" t="s">
        <v>751</v>
      </c>
      <c r="C7" s="13"/>
      <c r="D7" s="32"/>
      <c r="E7" s="53" t="str">
        <f aca="true">IF(OR(A7="",D7&lt;&gt;""),"",IF(A7&lt;TODAY(),"überfällig!",IF(A7-TODAY()&lt;=30,"in "&amp;(A7-TODAY())&amp;" Tagen","")))</f>
        <v>überfällig!</v>
      </c>
    </row>
    <row r="8" customFormat="false" ht="15" hidden="false" customHeight="false" outlineLevel="0" collapsed="false">
      <c r="A8" s="44" t="n">
        <f aca="false">DATE(Einstellungen!$B$7,6,30)+60</f>
        <v>46263</v>
      </c>
      <c r="B8" s="14" t="s">
        <v>752</v>
      </c>
      <c r="C8" s="13"/>
      <c r="D8" s="32"/>
      <c r="E8" s="53" t="str">
        <f aca="true">IF(OR(A8="",D8&lt;&gt;""),"",IF(A8&lt;TODAY(),"überfällig!",IF(A8-TODAY()&lt;=30,"in "&amp;(A8-TODAY())&amp;" Tagen","")))</f>
        <v>überfällig!</v>
      </c>
    </row>
    <row r="9" customFormat="false" ht="15" hidden="false" customHeight="false" outlineLevel="0" collapsed="false">
      <c r="A9" s="44" t="n">
        <f aca="false">DATE(Einstellungen!$B$7,9,30)+60</f>
        <v>46355</v>
      </c>
      <c r="B9" s="14" t="s">
        <v>753</v>
      </c>
      <c r="C9" s="13"/>
      <c r="D9" s="32"/>
      <c r="E9" s="53" t="str">
        <f aca="true">IF(OR(A9="",D9&lt;&gt;""),"",IF(A9&lt;TODAY(),"überfällig!",IF(A9-TODAY()&lt;=30,"in "&amp;(A9-TODAY())&amp;" Tagen","")))</f>
        <v/>
      </c>
    </row>
    <row r="10" customFormat="false" ht="15" hidden="false" customHeight="false" outlineLevel="0" collapsed="false">
      <c r="A10" s="44" t="n">
        <f aca="false">DATE(Einstellungen!$B$7,12,31)+60</f>
        <v>46447</v>
      </c>
      <c r="B10" s="14" t="s">
        <v>754</v>
      </c>
      <c r="C10" s="13"/>
      <c r="D10" s="32"/>
      <c r="E10" s="53" t="str">
        <f aca="true">IF(OR(A10="",D10&lt;&gt;""),"",IF(A10&lt;TODAY(),"überfällig!",IF(A10-TODAY()&lt;=30,"in "&amp;(A10-TODAY())&amp;" Tagen","")))</f>
        <v/>
      </c>
    </row>
    <row r="11" customFormat="false" ht="15" hidden="false" customHeight="false" outlineLevel="0" collapsed="false">
      <c r="A11" s="44" t="n">
        <f aca="false">DATE(Einstellungen!$B$7,3,31)</f>
        <v>46112</v>
      </c>
      <c r="B11" s="14" t="s">
        <v>755</v>
      </c>
      <c r="C11" s="13" t="s">
        <v>756</v>
      </c>
      <c r="D11" s="32"/>
      <c r="E11" s="53" t="str">
        <f aca="true">IF(OR(A11="",D11&lt;&gt;""),"",IF(A11&lt;TODAY(),"überfällig!",IF(A11-TODAY()&lt;=30,"in "&amp;(A11-TODAY())&amp;" Tagen","")))</f>
        <v>überfällig!</v>
      </c>
    </row>
    <row r="12" customFormat="false" ht="15" hidden="false" customHeight="false" outlineLevel="0" collapsed="false">
      <c r="A12" s="44" t="n">
        <f aca="false">DATE(Einstellungen!$B$7,6,30)</f>
        <v>46203</v>
      </c>
      <c r="B12" s="14" t="s">
        <v>757</v>
      </c>
      <c r="C12" s="13"/>
      <c r="D12" s="32"/>
      <c r="E12" s="53" t="str">
        <f aca="true">IF(OR(A12="",D12&lt;&gt;""),"",IF(A12&lt;TODAY(),"überfällig!",IF(A12-TODAY()&lt;=30,"in "&amp;(A12-TODAY())&amp;" Tagen","")))</f>
        <v>überfällig!</v>
      </c>
    </row>
    <row r="13" customFormat="false" ht="15" hidden="false" customHeight="false" outlineLevel="0" collapsed="false">
      <c r="A13" s="44" t="n">
        <f aca="false">DATE(Einstellungen!$B$7,9,30)</f>
        <v>46295</v>
      </c>
      <c r="B13" s="14" t="s">
        <v>757</v>
      </c>
      <c r="C13" s="13"/>
      <c r="D13" s="32"/>
      <c r="E13" s="53" t="str">
        <f aca="true">IF(OR(A13="",D13&lt;&gt;""),"",IF(A13&lt;TODAY(),"überfällig!",IF(A13-TODAY()&lt;=30,"in "&amp;(A13-TODAY())&amp;" Tagen","")))</f>
        <v>überfällig!</v>
      </c>
    </row>
    <row r="14" customFormat="false" ht="15" hidden="false" customHeight="false" outlineLevel="0" collapsed="false">
      <c r="A14" s="44" t="n">
        <f aca="false">DATE(Einstellungen!$B$7,12,31)</f>
        <v>46387</v>
      </c>
      <c r="B14" s="14" t="s">
        <v>757</v>
      </c>
      <c r="C14" s="13" t="s">
        <v>758</v>
      </c>
      <c r="D14" s="32"/>
      <c r="E14" s="53" t="str">
        <f aca="true">IF(OR(A14="",D14&lt;&gt;""),"",IF(A14&lt;TODAY(),"überfällig!",IF(A14-TODAY()&lt;=30,"in "&amp;(A14-TODAY())&amp;" Tagen","")))</f>
        <v/>
      </c>
    </row>
    <row r="15" customFormat="false" ht="15" hidden="false" customHeight="false" outlineLevel="0" collapsed="false">
      <c r="A15" s="44" t="n">
        <f aca="false">DATE(Einstellungen!$B$7,12,31)</f>
        <v>46387</v>
      </c>
      <c r="B15" s="14" t="s">
        <v>759</v>
      </c>
      <c r="C15" s="13" t="s">
        <v>760</v>
      </c>
      <c r="D15" s="32"/>
      <c r="E15" s="53" t="str">
        <f aca="true">IF(OR(A15="",D15&lt;&gt;""),"",IF(A15&lt;TODAY(),"überfällig!",IF(A15-TODAY()&lt;=30,"in "&amp;(A15-TODAY())&amp;" Tagen","")))</f>
        <v/>
      </c>
    </row>
    <row r="16" customFormat="false" ht="15" hidden="false" customHeight="false" outlineLevel="0" collapsed="false">
      <c r="A16" s="44" t="n">
        <f aca="false">DATE(Einstellungen!$B$7,12,31)</f>
        <v>46387</v>
      </c>
      <c r="B16" s="14" t="s">
        <v>761</v>
      </c>
      <c r="C16" s="13" t="s">
        <v>762</v>
      </c>
      <c r="D16" s="32"/>
      <c r="E16" s="53" t="str">
        <f aca="true">IF(OR(A16="",D16&lt;&gt;""),"",IF(A16&lt;TODAY(),"überfällig!",IF(A16-TODAY()&lt;=30,"in "&amp;(A16-TODAY())&amp;" Tagen","")))</f>
        <v/>
      </c>
    </row>
    <row r="17" customFormat="false" ht="15" hidden="false" customHeight="false" outlineLevel="0" collapsed="false">
      <c r="A17" s="44" t="n">
        <f aca="false">DATE(Einstellungen!$B$7,12,31)</f>
        <v>46387</v>
      </c>
      <c r="B17" s="14" t="s">
        <v>763</v>
      </c>
      <c r="C17" s="13" t="s">
        <v>764</v>
      </c>
      <c r="D17" s="32"/>
      <c r="E17" s="53" t="str">
        <f aca="true">IF(OR(A17="",D17&lt;&gt;""),"",IF(A17&lt;TODAY(),"überfällig!",IF(A17-TODAY()&lt;=30,"in "&amp;(A17-TODAY())&amp;" Tagen","")))</f>
        <v/>
      </c>
    </row>
    <row r="18" customFormat="false" ht="15" hidden="false" customHeight="false" outlineLevel="0" collapsed="false">
      <c r="A18" s="44" t="n">
        <f aca="false">DATE(Einstellungen!$B$7+1,1,30)</f>
        <v>46417</v>
      </c>
      <c r="B18" s="14" t="s">
        <v>765</v>
      </c>
      <c r="C18" s="13" t="s">
        <v>766</v>
      </c>
      <c r="D18" s="32"/>
      <c r="E18" s="53" t="str">
        <f aca="true">IF(OR(A18="",D18&lt;&gt;""),"",IF(A18&lt;TODAY(),"überfällig!",IF(A18-TODAY()&lt;=30,"in "&amp;(A18-TODAY())&amp;" Tagen","")))</f>
        <v/>
      </c>
    </row>
    <row r="19" customFormat="false" ht="15" hidden="false" customHeight="false" outlineLevel="0" collapsed="false">
      <c r="A19" s="44" t="n">
        <f aca="false">DATE(Einstellungen!$B$7+1,1,31)</f>
        <v>46418</v>
      </c>
      <c r="B19" s="14" t="s">
        <v>767</v>
      </c>
      <c r="C19" s="13"/>
      <c r="D19" s="32"/>
      <c r="E19" s="53" t="str">
        <f aca="true">IF(OR(A19="",D19&lt;&gt;""),"",IF(A19&lt;TODAY(),"überfällig!",IF(A19-TODAY()&lt;=30,"in "&amp;(A19-TODAY())&amp;" Tagen","")))</f>
        <v/>
      </c>
    </row>
    <row r="20" customFormat="false" ht="15" hidden="false" customHeight="false" outlineLevel="0" collapsed="false">
      <c r="A20" s="44" t="n">
        <f aca="false">DATE(Einstellungen!$B$7+1,3,31)</f>
        <v>46477</v>
      </c>
      <c r="B20" s="14" t="s">
        <v>768</v>
      </c>
      <c r="C20" s="13" t="s">
        <v>769</v>
      </c>
      <c r="D20" s="32"/>
      <c r="E20" s="53" t="str">
        <f aca="true">IF(OR(A20="",D20&lt;&gt;""),"",IF(A20&lt;TODAY(),"überfällig!",IF(A20-TODAY()&lt;=30,"in "&amp;(A20-TODAY())&amp;" Tagen","")))</f>
        <v/>
      </c>
    </row>
    <row r="21" customFormat="false" ht="15" hidden="false" customHeight="false" outlineLevel="0" collapsed="false">
      <c r="A21" s="44"/>
      <c r="B21" s="14" t="s">
        <v>770</v>
      </c>
      <c r="C21" s="13" t="s">
        <v>771</v>
      </c>
      <c r="D21" s="32"/>
      <c r="E21" s="53" t="str">
        <f aca="true">IF(OR(A21="",D21&lt;&gt;""),"",IF(A21&lt;TODAY(),"überfällig!",IF(A21-TODAY()&lt;=30,"in "&amp;(A21-TODAY())&amp;" Tagen","")))</f>
        <v/>
      </c>
    </row>
    <row r="22" customFormat="false" ht="15" hidden="false" customHeight="false" outlineLevel="0" collapsed="false">
      <c r="A22" s="44"/>
      <c r="B22" s="14" t="s">
        <v>772</v>
      </c>
      <c r="C22" s="13" t="s">
        <v>773</v>
      </c>
      <c r="D22" s="32"/>
      <c r="E22" s="53" t="str">
        <f aca="true">IF(OR(A22="",D22&lt;&gt;""),"",IF(A22&lt;TODAY(),"überfällig!",IF(A22-TODAY()&lt;=30,"in "&amp;(A22-TODAY())&amp;" Tagen","")))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2026-10-19T09:50:54Z</dcterms:created>
  <dc:creator>openpyxl</dc:creator>
  <dc:description/>
  <dc:language>en-US</dc:language>
  <cp:lastModifiedBy/>
  <dcterms:modified xsi:type="dcterms:W3CDTF">2026-10-19T11:51:01Z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